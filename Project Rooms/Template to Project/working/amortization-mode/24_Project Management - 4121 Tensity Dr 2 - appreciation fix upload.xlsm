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mc="http://schemas.openxmlformats.org/markup-compatibility/2006" xmlns:ns2="http://schemas.microsoft.com/office/spreadsheetml/2010/11/ac" xmlns:ns3="http://schemas.microsoft.com/office/spreadsheetml/2014/revision" xmlns:ns4="http://schemas.microsoft.com/office/spreadsheetml/2016/revision6" xmlns:ns5="http://schemas.microsoft.com/office/spreadsheetml/2016/revision10" xmlns:ns6="http://schemas.microsoft.com/office/spreadsheetml/2015/revision2" xmlns:ns9="http://schemas.microsoft.com/office/spreadsheetml/2018/calcfeatures" xmlns:r="http://schemas.openxmlformats.org/officeDocument/2006/relationships" xmlns:x15="http://schemas.microsoft.com/office/spreadsheetml/2010/11/main" mc:Ignorable="x15 xr xr6 xr10 xr2">
  <fileVersion appName="xl" lastEdited="7" lowestEdited="7" rupBuild="30026" codeName="{28389E77-7640-9E18-AD5C-E98E2F4A8B83}"/>
  <workbookPr codeName="ThisWorkbook" hidePivotFieldList="1"/>
  <mc:AlternateContent>
    <mc:Choice Requires="x15">
      <ns2:absPath url="https://lifeisanadventure.sharepoint.com/sites/SellYourHome/Shared Documents/Property/"/>
    </mc:Choice>
  </mc:AlternateContent>
  <ns3:revisionPtr revIDLastSave="30" documentId="13_ncr:1_{92633762-A67F-4043-9A2E-4963A3078F72}" ns4:coauthVersionLast="47" ns4:coauthVersionMax="47" ns5:uidLastSave="{48404787-B1D4-4FA1-8B23-93FBD6492B67}"/>
  <bookViews>
    <workbookView xWindow="-120" yWindow="-120" windowWidth="38640" windowHeight="15720" tabRatio="889" activeTab="1" ns6: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subjectInterestRate">'Amortization - Table Test'!$C$4</definedName>
    <definedName name="subjectKnownBalance">'Amortization - Table Test'!$C$3</definedName>
    <definedName name="subjectKnownBalanceDate">'Amortization - Table Test'!$C$7</definedName>
    <definedName name="subjectMonthlyPayment">'Amortization - Table Test'!$C$6</definedName>
    <definedName name="subjectMortgageEndDate">'Amortization - Table Test'!$C$8</definedName>
    <definedName name="subjectRemainingMonths">'Amortization - Table Test'!$D$5</definedName>
    <definedName name="subjectRemainingYears">'Amortization - Table Test'!$C$5</definedName>
    <definedName name="Today" localSheetId="10">TODAY()</definedName>
  </definedNames>
  <calcPr calcId="191029" iterate="1" iterateDelta="1E-4" calcCompleted="0" forceFullCalc="1" calcMode="auto" fullCalcOnLoad="1"/>
  <extLst>
    <ext uri="{140A7094-0E35-4892-8432-C4D2E57EDEB5}">
      <x15:workbookPr chartTrackingRefBase="1"/>
    </ext>
    <ext uri="{FCE2AD5D-F65C-4FA6-A056-5C36A1767C68}">
      <x15:dataModel>
        <x15:modelTables>
          <x15:modelTable id="Recap_93f76440-af07-4f37-8bb6-5797315de35b" name="Recap" connection="Query - Recap"/>
        </x15:modelTables>
      </x15:dataModel>
    </ext>
    <ext uri="{B58B0392-4F1F-4190-BB64-5DF3571DCE5F}">
      <ns9:calcFeatures>
        <ns9:feature name="microsoft.com:RD"/>
        <ns9:feature name="microsoft.com:Single"/>
        <ns9:feature name="microsoft.com:FV"/>
        <ns9:feature name="microsoft.com:CNMTM"/>
        <ns9:feature name="microsoft.com:LET_WF"/>
        <ns9:feature name="microsoft.com:LAMBDA_WF"/>
        <ns9:feature name="microsoft.com:ARRAYTEXT_WF"/>
      </ns9: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<sst xmlns="http://schemas.openxmlformats.org/spreadsheetml/2006/main" count="2979" uniqueCount="1200">
  <si>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</si>
  <si>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</si>
  <si>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</si>
  <si>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</si>
  <si>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</si>
  <si>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</si>
  <si>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</si>
  <si>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</si>
  <si>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</si>
  <si>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</si>
  <si>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</si>
  <si>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</si>
  <si>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</si>
  <si>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</si>
  <si>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</si>
  <si>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</si>
  <si>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</si>
  <si>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</si>
  <si>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</si>
  <si>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</si>
  <si>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</si>
  <si>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</si>
  <si>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</si>
  <si>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</si>
  <si>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</si>
  <si>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</si>
  <si>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</si>
  <si>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</si>
  <si>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</si>
  <si>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</si>
  <si>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</si>
  <si>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</si>
  <si>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</si>
  <si>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</si>
  <si>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</si>
  <si>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</si>
  <si>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</si>
  <si>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</si>
  <si>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</si>
  <si>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</si>
  <si>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</si>
  <si>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</si>
  <si>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</si>
  <si>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</si>
  <si>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</si>
  <si>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</si>
  <si>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</si>
  <si>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</si>
  <si>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</si>
  <si>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</si>
  <si>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</si>
  <si>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</si>
  <si>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</si>
  <si>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</si>
  <si>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</si>
  <si>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</si>
  <si>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</si>
  <si>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</si>
  <si>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</si>
  <si>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</si>
  <si>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</si>
  <si>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</si>
  <si>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</si>
  <si>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</si>
  <si>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</si>
  <si>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</si>
  <si>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</si>
  <si>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</si>
  <si>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</si>
  <si>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</si>
  <si>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</si>
  <si>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</si>
  <si>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</si>
  <si>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</si>
  <si>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</si>
  <si>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</si>
  <si>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</si>
  <si>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</si>
  <si>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</si>
  <si>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</si>
  <si>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</si>
  <si>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</si>
  <si>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</si>
  <si>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</si>
  <si>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</si>
  <si>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</si>
  <si>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</si>
  <si>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</si>
  <si>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</si>
  <si>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</si>
  <si>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</si>
  <si>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</si>
  <si>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</si>
  <si>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</si>
  <si>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</si>
  <si>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</si>
  <si>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</si>
  <si>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</si>
  <si>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</si>
  <si>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</si>
  <si>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</si>
  <si>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</si>
  <si>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</si>
  <si>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</si>
  <si>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</si>
  <si>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</si>
  <si>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</si>
  <si>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</si>
  <si>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</si>
  <si>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</si>
  <si>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</si>
  <si>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</si>
  <si>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</si>
  <si>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</si>
  <si>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</si>
  <si>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</si>
  <si>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</si>
  <si>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</si>
  <si>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</si>
  <si>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</si>
  <si>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</si>
  <si>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</si>
  <si>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</si>
  <si>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</si>
  <si>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</si>
  <si>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</si>
  <si>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</si>
  <si>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</si>
  <si>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</si>
  <si>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</si>
  <si>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</si>
  <si>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</si>
  <si>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</si>
  <si>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</si>
  <si>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</si>
  <si>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</si>
  <si>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</si>
  <si>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</si>
  <si>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</si>
  <si>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</si>
  <si>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</si>
  <si>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</si>
  <si>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</si>
  <si>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</si>
  <si>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</si>
  <si>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</si>
  <si>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</si>
  <si>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</si>
  <si>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</si>
  <si>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</si>
  <si>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</si>
  <si>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</si>
  <si>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</si>
  <si>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</si>
  <si>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</si>
  <si>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</si>
  <si>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</si>
  <si>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</si>
  <si>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</si>
  <si>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</si>
  <si>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</si>
  <si>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</si>
  <si>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</si>
  <si>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</si>
  <si>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</si>
  <si>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</si>
  <si>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</si>
  <si>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</si>
  <si>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</si>
  <si>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</si>
  <si>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</si>
  <si>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</si>
  <si>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</si>
  <si>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</si>
  <si>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</si>
  <si>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</si>
  <si>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</si>
  <si>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</si>
  <si>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</si>
  <si>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</si>
  <si>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</si>
  <si>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</si>
  <si>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</si>
  <si>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</si>
  <si>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</si>
  <si>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</si>
  <si>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</si>
  <si>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</si>
  <si>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</si>
  <si>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</si>
  <si>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</si>
  <si>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</si>
  <si>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</si>
  <si>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</si>
  <si>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</si>
  <si>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</si>
  <si>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</si>
  <si>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</si>
  <si>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</si>
  <si>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</si>
  <si>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</si>
  <si>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</si>
  <si>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</si>
  <si>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</si>
  <si>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</si>
  <si>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</si>
  <si>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</si>
  <si>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</si>
  <si>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</si>
  <si>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</si>
  <si>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</si>
  <si>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</si>
  <si>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</si>
  <si>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</si>
  <si>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</si>
  <si>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</si>
  <si>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</si>
  <si>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</si>
  <si>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</si>
  <si>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</si>
  <si>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</si>
  <si>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</si>
  <si>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</si>
  <si>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</si>
  <si>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</si>
  <si>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</si>
  <si>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</si>
  <si>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</si>
  <si>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</si>
  <si>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</si>
  <si>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</si>
  <si>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</si>
  <si>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</si>
  <si>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</si>
  <si>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</si>
  <si>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</si>
  <si>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</si>
  <si>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</si>
  <si>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</si>
  <si>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</si>
  <si>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</si>
  <si>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</si>
  <si>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</si>
  <si>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</si>
  <si>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</si>
  <si>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</si>
  <si>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</si>
  <si>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</si>
  <si>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</si>
  <si>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</si>
  <si>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</si>
  <si>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</si>
  <si>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</si>
  <si>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</si>
  <si>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</si>
  <si>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</si>
  <si>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</si>
  <si>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</si>
  <si>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</si>
  <si>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</si>
  <si>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</si>
  <si>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</si>
  <si>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</si>
  <si>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</si>
  <si>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</si>
  <si>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</si>
  <si>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</si>
  <si>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</si>
  <si>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</si>
  <si>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</si>
  <si>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</si>
  <si>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</si>
  <si>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</si>
  <si>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</si>
  <si>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</si>
  <si>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</si>
  <si>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</si>
  <si>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</si>
  <si>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</si>
  <si>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</si>
  <si>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</si>
  <si>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</si>
  <si>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</si>
  <si>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</si>
  <si>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</si>
  <si>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</si>
  <si>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</si>
  <si>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</si>
  <si>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</si>
  <si>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</si>
  <si>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</si>
  <si>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</si>
  <si>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</si>
  <si>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</si>
  <si>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</si>
  <si>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</si>
  <si>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</si>
  <si>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</si>
  <si>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</si>
  <si>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</si>
  <si>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</si>
  <si>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</si>
  <si>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</si>
  <si>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</si>
  <si>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</si>
  <si>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</si>
  <si>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</si>
  <si>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</si>
  <si>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</si>
  <si>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</si>
  <si>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</si>
  <si>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</si>
  <si>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</si>
  <si>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</si>
  <si>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</si>
  <si>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</si>
  <si>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</si>
  <si>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</si>
  <si>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</si>
  <si>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</si>
  <si>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</si>
  <si>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</si>
  <si>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</si>
  <si>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</si>
  <si>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</si>
  <si>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</si>
  <si>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</si>
  <si>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</si>
  <si>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</si>
  <si>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</si>
  <si>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</si>
  <si>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</si>
  <si>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</si>
  <si>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</si>
  <si>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</si>
  <si>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</si>
  <si>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</si>
  <si>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</si>
  <si>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</si>
  <si>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</si>
  <si>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</si>
  <si>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</si>
  <si>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</si>
  <si>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</si>
  <si>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</si>
  <si>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</si>
  <si>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</si>
  <si>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</si>
  <si>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</si>
  <si>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</si>
  <si>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</si>
  <si>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</si>
  <si>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</si>
  <si>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</si>
  <si>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</si>
  <si>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</si>
  <si>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</si>
  <si>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</si>
  <si>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</si>
  <si>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</si>
  <si>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</si>
  <si>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</si>
  <si>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</si>
  <si>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</si>
  <si>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</si>
  <si>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</si>
  <si>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</si>
  <si>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</si>
  <si>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</si>
  <si>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</si>
  <si>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</si>
  <si>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</si>
  <si>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</si>
  <si>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</si>
  <si>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</si>
  <si>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</si>
  <si>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</si>
  <si>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</si>
  <si>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</si>
  <si>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</si>
  <si>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</si>
  <si>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</si>
  <si>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</si>
  <si>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</si>
  <si>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</si>
  <si>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</si>
  <si>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</si>
  <si>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</si>
  <si>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</si>
  <si>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</si>
  <si>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</si>
  <si>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</si>
  <si>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</si>
  <si>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</si>
  <si>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</si>
  <si>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</si>
  <si>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</si>
  <si>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</si>
  <si>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</si>
  <si>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</si>
  <si>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</si>
  <si>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</si>
  <si>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</si>
  <si>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</si>
  <si>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</si>
  <si>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</si>
  <si>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</si>
  <si>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</si>
  <si>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</si>
  <si>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</si>
  <si>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</si>
  <si>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</si>
  <si>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</si>
  <si>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</si>
  <si>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</si>
  <si>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</si>
  <si>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</si>
  <si>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</si>
  <si>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</si>
  <si>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</si>
  <si>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</si>
  <si>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</si>
  <si>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</si>
  <si>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</si>
  <si>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</si>
  <si>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</si>
  <si>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</si>
  <si>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</si>
  <si>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</si>
  <si>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</si>
  <si>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</si>
  <si>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</si>
  <si>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</si>
  <si>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</si>
  <si>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</si>
  <si>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</si>
  <si>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</si>
  <si>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</si>
  <si>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</si>
  <si>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</si>
  <si>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</si>
  <si>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</si>
  <si>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</si>
  <si>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</si>
  <si>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</si>
  <si>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</si>
  <si>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</si>
  <si>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</si>
  <si>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</si>
  <si>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</si>
  <si>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</si>
  <si>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</si>
  <si>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</si>
  <si>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</si>
  <si>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</si>
  <si>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</si>
  <si>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</si>
  <si>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</si>
  <si>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</si>
  <si>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</si>
  <si>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</si>
  <si>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</si>
  <si>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</si>
  <si>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</si>
  <si>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</si>
  <si>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</si>
  <si>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</si>
  <si>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</si>
  <si>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</si>
  <si>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</si>
  <si>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</si>
  <si>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</si>
  <si>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</si>
  <si>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</si>
  <si>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</si>
  <si>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</si>
  <si>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</si>
  <si>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</si>
  <si>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</si>
  <si>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</si>
  <si>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</si>
  <si>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</si>
  <si>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</si>
  <si>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</si>
  <si>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</si>
  <si>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</si>
  <si>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</si>
  <si>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</si>
  <si>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</si>
  <si>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</si>
  <si>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</si>
  <si>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</si>
  <si>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</si>
  <si>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</si>
  <si>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</si>
  <si>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</si>
  <si>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</si>
  <si>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</si>
  <si>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</si>
  <si>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</si>
  <si>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</si>
  <si>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</si>
  <si>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</si>
  <si>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</si>
  <si>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</si>
  <si>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</si>
  <si>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</si>
  <si>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</si>
  <si>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</si>
  <si>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</si>
  <si>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</si>
  <si>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</si>
  <si>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</si>
  <si>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</si>
  <si>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</si>
  <si>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</si>
  <si>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</si>
  <si>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</si>
  <si>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</si>
  <si>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</si>
  <si>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</si>
  <si>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</si>
  <si>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</si>
  <si>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</si>
  <si>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</si>
  <si>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</si>
  <si>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</si>
  <si>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</si>
  <si>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</si>
  <si>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</si>
  <si>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</si>
  <si>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</si>
  <si>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</si>
  <si>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</si>
  <si>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</si>
  <si>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</si>
  <si>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</si>
  <si>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</si>
  <si>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</si>
  <si>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</si>
  <si>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</si>
  <si>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</si>
  <si>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</si>
  <si>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</si>
  <si>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</si>
  <si>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</si>
  <si>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</si>
  <si>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</si>
  <si>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</si>
  <si>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</si>
  <si>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</si>
  <si>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</si>
  <si>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</si>
  <si>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</si>
  <si>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</si>
  <si>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</si>
  <si>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</si>
  <si>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</si>
  <si>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</si>
  <si>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</si>
  <si>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</si>
  <si>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</si>
  <si>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</si>
  <si>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</si>
  <si>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</si>
  <si>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</si>
  <si>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</si>
  <si>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</si>
  <si>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</si>
  <si>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</si>
  <si>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</si>
  <si>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</si>
  <si>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</si>
  <si>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</si>
  <si>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</si>
  <si>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</si>
  <si>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</si>
  <si>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</si>
  <si>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</si>
  <si>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</si>
  <si>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</si>
  <si>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</si>
  <si>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</si>
  <si>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</si>
  <si>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</si>
  <si>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</si>
  <si>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</si>
  <si>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</si>
  <si>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</si>
  <si>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</si>
  <si>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</si>
  <si>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</si>
  <si>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</si>
  <si>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</si>
  <si>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</si>
  <si>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</si>
  <si>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</si>
  <si>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</si>
  <si>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</si>
  <si>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</si>
  <si>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</si>
  <si>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</si>
  <si>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</si>
  <si>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</si>
  <si>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</si>
  <si>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</si>
  <si>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</si>
  <si>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</si>
  <si>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</si>
  <si>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</si>
  <si>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</si>
  <si>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</si>
  <si>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</si>
  <si>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</si>
  <si>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</si>
  <si>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</si>
  <si>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</si>
  <si>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</si>
  <si>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</si>
  <si>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</si>
  <si>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</si>
  <si>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</si>
  <si>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</si>
  <si>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</si>
  <si>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</si>
  <si>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</si>
  <si>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</si>
  <si>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</si>
  <si>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</si>
  <si>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</si>
  <si>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</si>
  <si>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</si>
  <si>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</si>
  <si>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</si>
  <si>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</si>
  <si>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</si>
  <si>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</si>
  <si>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</si>
  <si>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</si>
  <si>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</si>
  <si>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</si>
  <si>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</si>
  <si>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</si>
  <si>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</si>
  <si>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</si>
  <si>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</si>
  <si>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</si>
  <si>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</si>
  <si>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</si>
  <si>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</si>
  <si>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</si>
  <si>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</si>
  <si>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</si>
  <si>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</si>
  <si>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</si>
  <si>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</si>
  <si>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</si>
  <si>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</si>
  <si>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</si>
  <si>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</si>
  <si>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</si>
  <si>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</si>
  <si>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</si>
  <si>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</si>
  <si>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</si>
  <si>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</si>
  <si>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</si>
  <si>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</si>
  <si>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</si>
  <si>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</si>
  <si>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</si>
  <si>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</si>
  <si>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</si>
  <si>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</si>
  <si>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</si>
  <si>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</si>
  <si>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</si>
  <si>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</si>
  <si>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</si>
  <si>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</si>
  <si>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</si>
  <si>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</si>
  <si>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</si>
  <si>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</si>
  <si>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</si>
  <si>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</si>
  <si>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</si>
  <si>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</si>
  <si>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</si>
  <si>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</si>
  <si>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</si>
  <si>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</si>
  <si>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</si>
  <si>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</si>
  <si>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</si>
  <si>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</si>
  <si>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</si>
  <si>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</si>
  <si>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</si>
  <si>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</si>
  <si>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</si>
  <si>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</si>
  <si>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</si>
  <si>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</si>
  <si>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</si>
  <si>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</si>
  <si>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</si>
  <si>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</si>
  <si>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</si>
  <si>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</si>
  <si>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</si>
  <si>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</si>
  <si>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</si>
  <si>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</si>
  <si>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</si>
  <si>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</si>
  <si>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</si>
  <si>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</si>
  <si>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</si>
  <si>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</si>
  <si>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</si>
  <si>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</si>
  <si>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</si>
  <si>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</si>
  <si>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</si>
  <si>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</si>
  <si>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</si>
  <si>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</si>
  <si>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</si>
  <si>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</si>
  <si>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</si>
  <si>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</si>
  <si>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</si>
  <si>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</si>
  <si>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</si>
  <si>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</si>
  <si>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</si>
  <si>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</si>
  <si>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</si>
  <si>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</si>
  <si>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</si>
  <si>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</si>
  <si>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</si>
  <si>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</si>
  <si>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</si>
  <si>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</si>
  <si>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</si>
  <si>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</si>
  <si>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</si>
  <si>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</si>
  <si>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</si>
  <si>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</si>
  <si>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</si>
  <si>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</si>
  <si>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</si>
  <si>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</si>
  <si>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</si>
  <si>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</si>
  <si>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</si>
  <si>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</si>
  <si>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</si>
  <si>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</si>
  <si>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</si>
  <si>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</si>
  <si>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</si>
  <si>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</si>
  <si>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</si>
  <si>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</si>
  <si>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</si>
  <si>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</si>
  <si>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</si>
  <si>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</si>
  <si>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</si>
  <si>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</si>
  <si>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</si>
  <si>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</si>
  <si>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</si>
  <si>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</si>
  <si>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</si>
  <si>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</si>
  <si>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</si>
  <si>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</si>
  <si>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</si>
  <si>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</si>
  <si>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</si>
  <si>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</si>
  <si>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</si>
  <si>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</si>
  <si>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</si>
  <si>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</si>
  <si>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</si>
  <si>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</si>
  <si>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</si>
  <si>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</si>
  <si>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</si>
  <si>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</si>
  <si>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</si>
  <si>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</si>
  <si>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</si>
  <si>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</si>
  <si>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</si>
  <si>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</si>
  <si>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</si>
  <si>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</si>
  <si>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</si>
  <si>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</si>
  <si>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</si>
  <si>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</si>
  <si>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</si>
  <si>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</si>
  <si>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</si>
  <si>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</si>
  <si>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</si>
  <si>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</si>
  <si>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</si>
  <si>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</si>
  <si>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</si>
  <si>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</si>
  <si>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</si>
  <si>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</si>
  <si>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</si>
  <si>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</si>
  <si>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</si>
  <si>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</si>
  <si>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</si>
  <si>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</si>
  <si>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</si>
  <si>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</si>
  <si>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</si>
  <si>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</si>
  <si>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</si>
  <si>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</si>
  <si>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</si>
  <si>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</si>
  <si>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</si>
  <si>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</si>
  <si>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</si>
  <si>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</si>
  <si>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</si>
  <si>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</si>
  <si>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</si>
  <si>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</si>
  <si>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</si>
  <si>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</si>
  <si>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</si>
  <si>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</si>
  <si>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</si>
  <si>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</si>
  <si>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</si>
  <si>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</si>
  <si>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</si>
  <si>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</si>
  <si>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</si>
  <si>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</si>
  <si>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</si>
  <si>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</si>
  <si>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</si>
  <si>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</si>
  <si>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</si>
  <si>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</si>
  <si>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</si>
  <si>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</si>
  <si>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</si>
  <si>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</si>
  <si>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</si>
  <si>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</si>
  <si>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</si>
  <si>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</si>
  <si>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</si>
  <si>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</si>
  <si>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</si>
  <si>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</si>
  <si>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</si>
  <si>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</si>
  <si>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</si>
  <si>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</si>
  <si>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</si>
  <si>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</si>
  <si>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</si>
  <si>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</si>
  <si>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</si>
  <si>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</si>
  <si>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</si>
  <si>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</si>
  <si>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</si>
  <si>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</si>
  <si>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</si>
  <si>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</si>
  <si>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</si>
  <si>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</si>
  <si>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</si>
  <si>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</si>
  <si>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</si>
  <si>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</si>
  <si>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</si>
  <si>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</si>
  <si>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</si>
  <si>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</si>
  <si>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</si>
  <si>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</si>
  <si>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</si>
  <si>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</si>
  <si>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</si>
  <si>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</si>
  <si>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</si>
  <si>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</si>
  <si>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</si>
  <si>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</si>
  <si>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</si>
  <si>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</si>
  <si>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</si>
  <si>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</si>
  <si>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</si>
  <si>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</si>
  <si>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</si>
  <si>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</si>
  <si>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</si>
  <si>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</si>
  <si>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</si>
  <si>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</si>
  <si>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</si>
  <si>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</si>
  <si>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</si>
  <si>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</si>
  <si>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</si>
  <si>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</si>
  <si>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</si>
  <si>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</si>
  <si>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</si>
  <si>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</si>
  <si>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</si>
  <si>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</si>
  <si>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</si>
  <si>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</si>
  <si>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</si>
  <si>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</si>
  <si>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</si>
  <si>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</si>
  <si>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</si>
  <si>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</si>
  <si>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</si>
  <si>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</si>
  <si>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</si>
  <si>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</si>
  <si>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</si>
  <si>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</si>
  <si>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</si>
  <si>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</si>
  <si>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</si>
  <si>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</si>
  <si>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</si>
  <si>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</si>
  <si>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</si>
  <si>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</si>
  <si>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</si>
  <si>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</si>
  <si>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</si>
  <si>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</si>
  <si>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</si>
  <si>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</si>
  <si>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</si>
  <si>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</si>
  <si>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</si>
  <si>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</si>
  <si>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</si>
  <si>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</si>
  <si>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</si>
  <si>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</si>
  <si>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</si>
  <si>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</si>
  <si>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</si>
  <si>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</si>
  <si>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</si>
  <si>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</si>
  <si>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</si>
  <si>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</si>
  <si>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</si>
  <si>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</si>
  <si>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</si>
  <si>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</si>
  <si>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</si>
  <si>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</si>
  <si>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</si>
  <si>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</si>
  <si>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</si>
  <si>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</si>
  <si>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</si>
  <si>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</si>
  <si>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</si>
  <si>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</si>
  <si>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</si>
  <si>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</si>
  <si>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</si>
  <si>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</si>
  <si>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</si>
  <si>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</si>
  <si>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</si>
  <si>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</si>
  <si>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</si>
  <si>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</si>
  <si>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</si>
  <si>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</si>
  <si>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</si>
  <si>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</si>
  <si>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</si>
  <si>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</si>
  <si>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</si>
  <si>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</si>
  <si>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</si>
  <si>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</si>
  <si>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</si>
  <si>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</si>
  <si>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</si>
  <si>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</si>
  <si>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</si>
  <si>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</si>
  <si>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</si>
  <si>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</si>
  <si>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</si>
  <si>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</si>
  <si>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</si>
  <si>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</si>
  <si>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</si>
  <si>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</si>
  <si>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</si>
  <si>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</si>
  <si>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</si>
  <si>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</si>
  <si>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</si>
  <si>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</si>
  <si>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</si>
  <si>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</si>
  <si>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</si>
  <si>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</si>
  <si>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</si>
  <si>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</si>
  <si>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</si>
  <si>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</si>
  <si>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</si>
  <si>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</si>
  <si>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</si>
  <si>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</si>
  <si>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</si>
  <si>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</si>
  <si>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</si>
  <si>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</si>
  <si>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</si>
  <si>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</si>
  <si>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</si>
  <si>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</si>
  <si>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</si>
  <si>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</si>
  <si>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</si>
  <si>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</si>
  <si>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</si>
  <si>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</si>
  <si>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</si>
  <si>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</si>
  <si>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</si>
  <si>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</si>
  <si>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</si>
  <si>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</si>
  <si>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</si>
  <si>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</si>
  <si>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</si>
  <si>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</si>
  <si>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</si>
  <si>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</si>
  <si>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</si>
  <si>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</si>
  <si>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</si>
  <si>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</si>
  <si>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</si>
  <si>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</si>
  <si>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</si>
  <si>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</si>
  <si>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</si>
  <si>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</si>
  <si>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</si>
  <si>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</si>
  <si>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</si>
  <si>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</si>
  <si>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</si>
  <si>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</si>
  <si>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</si>
  <si>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</si>
  <si>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</si>
  <si>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</si>
  <si>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</si>
  <si>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</si>
  <si>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</si>
  <si>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</si>
  <si>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</si>
  <si>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</si>
  <si>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</si>
  <si>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</si>
  <si>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</si>
  <si>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</si>
  <si>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</si>
  <si>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</si>
  <si>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</si>
  <si>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</si>
  <si>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</si>
  <si>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</si>
  <si>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</si>
  <si>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</si>
  <si>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</si>
  <si>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</si>
  <si>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</si>
  <si>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</si>
  <si>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</si>
  <si>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</si>
  <si>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</si>
  <si>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</si>
  <si>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</si>
  <si>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</si>
  <si>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</si>
  <si>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</si>
  <si>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</si>
  <si>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</si>
  <si>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</si>
  <si>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</si>
  <si>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</si>
  <si>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</si>
  <si>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</si>
  <si>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</si>
  <si>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</si>
  <si>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</si>
  <si>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</si>
  <si>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</si>
  <si>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</si>
  <si>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</si>
  <si>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</si>
  <si>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</si>
  <si>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</si>
  <si>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</si>
  <si>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</si>
  <si>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</si>
  <si>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</si>
  <si>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</si>
  <si>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</si>
  <si>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</si>
  <si>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</si>
  <si>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</si>
  <si>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</si>
  <si>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</si>
  <si>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</si>
  <si>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</si>
  <si>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</si>
  <si>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</si>
  <si>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</si>
  <si>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</si>
  <si>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</si>
  <si>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</si>
  <si>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</si>
  <si>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</si>
  <si>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</si>
  <si>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</si>
  <si>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</si>
  <si>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</si>
  <si>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</si>
  <si>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</si>
  <si>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</si>
  <si>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</si>
  <si>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</si>
  <si>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</si>
  <si>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</si>
  <si>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</si>
  <si>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</si>
  <si>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</si>
  <si>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</si>
  <si>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</si>
  <si>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</si>
  <si>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</si>
  <si>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</si>
  <si>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</si>
  <si>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</si>
  <si>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</si>
  <si>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</si>
  <si>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</si>
  <si>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</si>
  <si>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</si>
  <si>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</si>
  <si>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</si>
  <si>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</si>
  <si>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</si>
  <si>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</si>
  <si>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</si>
  <si>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</si>
  <si>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</si>
  <si>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</si>
  <si>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</si>
  <si>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</si>
  <si>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</si>
  <si>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</si>
  <si>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Known Balance:</t>
  </si>
  <si>
    <t>Remaining Years/Months</t>
  </si>
  <si>
    <t>Known Balance Date:</t>
  </si>
  <si>
    <t>Beginning Balance</t>
  </si>
  <si>
    <t>Ending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</si>
</sst>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7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0" borderId="34" xfId="0" applyFont="1" applyBorder="1" applyAlignment="1">
      <alignment horizontal="right"/>
    </xf>
    <xf numFmtId="0" fontId="0" fillId="0" borderId="35" xfId="0" applyBorder="1"/>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0" fontId="0" fillId="18" borderId="35" xfId="0"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0" fillId="0" borderId="35" xfId="0" applyBorder="1" applyAlignment="1">
      <alignment horizontal="center"/>
    </xf>
    <xf numFmtId="0" fontId="0" fillId="3" borderId="36" xfId="0"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0" fontId="0" fillId="0" borderId="3" xfId="0" applyBorder="1"/>
    <xf numFmtId="0" fontId="0" fillId="0" borderId="36" xfId="0" applyBorder="1"/>
    <xf numFmtId="3" fontId="1" fillId="33"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0" borderId="34" xfId="0" applyNumberFormat="1" applyFont="1" applyBorder="1" applyAlignment="1">
      <alignment horizontal="right"/>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4" fillId="24" borderId="36" xfId="0" applyFont="1" applyFill="1" applyBorder="1" applyAlignment="1">
      <alignment horizontal="right"/>
    </xf>
    <xf numFmtId="0" fontId="0" fillId="24" borderId="36" xfId="0" applyFill="1" applyBorder="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3" borderId="0" xfId="0" applyFont="1" applyFill="1" applyAlignment="1">
      <alignment horizontal="right"/>
    </xf>
    <xf numFmtId="0" fontId="0" fillId="0" borderId="0" xfId="0"/>
    <xf numFmtId="0" fontId="15" fillId="3" borderId="26" xfId="0" applyFont="1" applyFill="1" applyBorder="1" applyAlignment="1">
      <alignment horizontal="right"/>
    </xf>
    <xf numFmtId="3" fontId="14" fillId="2" borderId="4" xfId="0" applyNumberFormat="1" applyFont="1" applyFill="1" applyBorder="1"/>
    <xf numFmtId="3" fontId="14" fillId="2" borderId="5" xfId="0" applyNumberFormat="1" applyFont="1"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164" fontId="14" fillId="0" borderId="11" xfId="0" applyNumberFormat="1" applyFont="1" applyBorder="1"/>
    <xf numFmtId="0" fontId="14" fillId="0" borderId="12" xfId="0" applyFont="1" applyBorder="1"/>
    <xf numFmtId="3" fontId="15" fillId="3" borderId="36" xfId="0" applyNumberFormat="1" applyFont="1" applyFill="1" applyBorder="1"/>
    <xf numFmtId="3" fontId="15" fillId="3" borderId="1"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3" fontId="14" fillId="2" borderId="6" xfId="0" applyNumberFormat="1" applyFont="1" applyFill="1" applyBorder="1"/>
    <xf numFmtId="3" fontId="14" fillId="2" borderId="7" xfId="0" applyNumberFormat="1" applyFont="1" applyFill="1"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4" fontId="14" fillId="2" borderId="34" xfId="0" applyNumberFormat="1" applyFont="1" applyFill="1" applyBorder="1" applyAlignment="1">
      <alignment horizontal="center" vertical="center"/>
    </xf>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61" fillId="0" borderId="34" xfId="0" applyFont="1" applyBorder="1" applyAlignment="1">
      <alignment horizontal="center" wrapText="1"/>
    </xf>
    <xf numFmtId="0" fontId="62" fillId="0" borderId="35" xfId="0" applyFont="1" applyBorder="1" applyAlignment="1">
      <alignment horizont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3" fontId="1" fillId="33" borderId="36" xfId="0" applyNumberFormat="1" applyFont="1" applyFill="1" applyBorder="1" applyAlignment="1">
      <alignment horizontal="center" vertic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0" fontId="1" fillId="0" borderId="36" xfId="0" applyFont="1" applyBorder="1" applyAlignment="1">
      <alignment horizontal="center"/>
    </xf>
    <xf numFmtId="3" fontId="1" fillId="0" borderId="36" xfId="0" applyNumberFormat="1"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0" fontId="1" fillId="18" borderId="34" xfId="0" applyFont="1" applyFill="1" applyBorder="1" applyAlignment="1">
      <alignment horizontal="center"/>
    </xf>
    <xf numFmtId="0" fontId="1" fillId="18" borderId="28" xfId="0" applyFont="1" applyFill="1" applyBorder="1" applyAlignment="1">
      <alignment horizontal="center"/>
    </xf>
    <xf numFmtId="3" fontId="0" fillId="18" borderId="0" xfId="0" applyNumberFormat="1" applyFill="1"/>
    <xf numFmtId="3" fontId="0" fillId="18" borderId="1" xfId="0" applyNumberFormat="1" applyFill="1" applyBorder="1"/>
    <xf numFmtId="173" fontId="0" fillId="18" borderId="0" xfId="0" applyNumberFormat="1" applyFill="1" applyAlignment="1">
      <alignment horizontal="center"/>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fill>
        <patternFill patternType="solid">
          <fgColor indexed="64"/>
          <bgColor rgb="FFFFC000"/>
        </patternFill>
      </fill>
    </dxf>
    <dxf>
      <numFmt numFmtId="3" formatCode="#,##0"/>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calculatedColumnFormula>IF(ROW()=ROW(tblSubjectToLoan[#Headers])+1,subjectKnownBalanceDate,IF(OR(INDEX(tblSubjectToLoan[Date],ROW()-ROW(tblSubjectToLoan[#Headers])-1)="",INDEX(tblSubjectToLoan[Date],ROW()-ROW(tblSubjectToLoan[#Headers])-1)&gt;=subjectMortgageEndDate),"",EDATE(INDEX(tblSubjectToLoan[Date],ROW()-ROW(tblSubjectToLoan[#Headers])-1),1)))</calculatedColumnFormula>
    </tableColumn>
    <tableColumn id="2" xr3:uid="{97169920-9E20-46B0-9275-CDB69F2B7E20}" name="Beginning Balance" dataDxfId="124">
      <calculatedColumnFormula>IF(tblSubjectToLoan[[#This Row],[Date]]="",0,IF(ROW()=ROW(tblSubjectToLoan[#Headers])+1,subjectKnownBalance,MAX(0,INDEX(tblSubjectToLoan[Ending Balance],ROW()-ROW(tblSubjectToLoan[#Headers])-1))))</calculatedColumnFormula>
    </tableColumn>
    <tableColumn id="3" xr3:uid="{29B13418-7AB5-4BED-8938-1AFD73584620}" name="Payment" dataDxfId="123">
      <calculatedColumnFormula>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calculatedColumnFormula>
    </tableColumn>
    <tableColumn id="4" xr3:uid="{59D98215-D250-4E98-B28F-28E8FEF5B704}" name="Princ" dataDxfId="122">
      <calculatedColumnFormula>IF(tblSubjectToLoan[[#This Row],[Payment]]=0,0,MAX(0,MIN(tblSubjectToLoan[[#This Row],[Beginning Balance]],tblSubjectToLoan[[#This Row],[Payment]]-tblSubjectToLoan[[#This Row],[Int]])))</calculatedColumnFormula>
    </tableColumn>
    <tableColumn id="5" xr3:uid="{CA09D9DD-EDE2-4CFD-9E21-030519667110}" name="Int" dataDxfId="121">
      <calculatedColumnFormula>IF(tblSubjectToLoan[[#This Row],[Date]]="",0,ROUND(tblSubjectToLoan[[#This Row],[Beginning Balance]]*(subjectInterestRate/12),2))</calculatedColumnFormula>
    </tableColumn>
    <tableColumn id="6" xr3:uid="{EDF5A829-F409-40AE-89E2-E8CB9B5D0FF4}" name="Ins" dataDxfId="120"/>
    <tableColumn id="7" xr3:uid="{589E968B-91B9-4913-8C3D-42359D5891E7}" name="Taxes" dataDxfId="119"/>
    <tableColumn id="8" xr3:uid="{08030123-3EE6-4201-B7FB-4B90DBAD70D8}" name="Total " dataDxfId="118">
      <calculatedColumnFormula>SUM(tblSubjectToLoan[[#This Row],[Princ]],tblSubjectToLoan[[#This Row],[Int]],tblSubjectToLoan[[#This Row],[Ins]],tblSubjectToLoan[[#This Row],[Taxes]])</calculatedColumnFormula>
    </tableColumn>
    <tableColumn id="9" xr3:uid="{B55DFD4A-3AC5-40B7-8DCD-59805B6DBFDB}" name="Principal" dataDxfId="117">
      <calculatedColumnFormula>IF(tblSubjectToLoan[[#This Row],[Date]]="",IF(ROW()=ROW(tblSubjectToLoan[#Headers])+1,0,INDEX(tblSubjectToLoan[Principal],ROW()-ROW(tblSubjectToLoan[#Headers])-1)),tblSubjectToLoan[[#This Row],[Princ]]+IF(ROW()=ROW(tblSubjectToLoan[#Headers])+1,0,INDEX(tblSubjectToLoan[Principal],ROW()-ROW(tblSubjectToLoan[#Headers])-1)))</calculatedColumnFormula>
    </tableColumn>
    <tableColumn id="10" xr3:uid="{6B0DA8E4-1B75-412D-9DAC-6338B0794CBF}" name="Interest" dataDxfId="34">
      <calculatedColumnFormula>IF(tblSubjectToLoan[[#This Row],[Date]]="",IF(ROW()=ROW(tblSubjectToLoan[#Headers])+1,0,INDEX(tblSubjectToLoan[Interest],ROW()-ROW(tblSubjectToLoan[#Headers])-1)),tblSubjectToLoan[[#This Row],[Int]]+IF(ROW()=ROW(tblSubjectToLoan[#Headers])+1,0,INDEX(tblSubjectToLoan[Interest],ROW()-ROW(tblSubjectToLoan[#Headers])-1)))</calculatedColumnFormula>
    </tableColumn>
    <tableColumn id="11" xr3:uid="{F8CE94A6-5C5E-4EDE-B208-4DCC524F986E}" name="Ending Balance" dataDxfId="33">
      <calculatedColumnFormula>IF(tblSubjectToLoan[[#This Row],[Date]]="",0,MAX(0,tblSubjectToLoan[[#This Row],[Beginning Balance]]-tblSubjectToLoan[[#This Row],[Princ]]))</calculatedColumnFormula>
    </tableColumn>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6" dataDxfId="114" headerRowBorderDxfId="115" tableBorderDxfId="113">
  <autoFilter ref="L19:M833" xr:uid="{73D951D4-A168-44D6-974D-EBA44A3BA7B6}">
    <filterColumn colId="0" hiddenButton="1"/>
    <filterColumn colId="1" hiddenButton="1"/>
  </autoFilter>
  <tableColumns count="2">
    <tableColumn id="1" xr3:uid="{CCF10384-7D00-426D-996F-822402246933}" name="Year" dataDxfId="112"/>
    <tableColumn id="2" xr3:uid="{147517BE-5732-44A7-974A-14DAE4109340}" name="Period" dataDxfId="111">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0" headerRowBorderDxfId="109">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8">
      <calculatedColumnFormula>INDEX(tblSubjectToLoan[Date],ROW()-ROW(tblContractForDeed[#Headers]))</calculatedColumnFormula>
    </tableColumn>
    <tableColumn id="2" xr3:uid="{ECB873B5-C083-4C40-8069-B9E5F8698705}" name="Beg" dataDxfId="107">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6">
      <calculatedColumnFormula>IF(tblContractForDeed[[#This Row],[Date]]="","",IF(tblContractForDeed[[#This Row],[Date]]&lt;cfdRateChangeDate,cfdRate1,cfdRate2))</calculatedColumnFormula>
    </tableColumn>
    <tableColumn id="4" xr3:uid="{1636A52E-B78B-4971-A350-27AAF73BE8AB}" name="Payment" dataDxfId="105">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4">
      <calculatedColumnFormula>IF(tblContractForDeed[[#This Row],[Payment]]=0,0,MAX(0,MIN(tblContractForDeed[[#This Row],[Beg]],tblContractForDeed[[#This Row],[Payment]]-tblContractForDeed[[#This Row],[Int]])))</calculatedColumnFormula>
    </tableColumn>
    <tableColumn id="6" xr3:uid="{333AB5D2-CFCA-47CE-BEB7-DEC4603F289D}" name="Int" dataDxfId="103">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2">
      <calculatedColumnFormula>IF(tblContractForDeed[[#This Row],[Payment]]=0,0,$W$2)</calculatedColumnFormula>
    </tableColumn>
    <tableColumn id="8" xr3:uid="{953DECD1-A993-404F-BB01-67C5B5235815}" name="Taxes" dataDxfId="101">
      <calculatedColumnFormula>IF(tblContractForDeed[[#This Row],[Princ]]=0,0,$W$3)</calculatedColumnFormula>
    </tableColumn>
    <tableColumn id="9" xr3:uid="{61523046-F564-451D-8252-202BB1589694}" name="Total" dataDxfId="100">
      <calculatedColumnFormula>SUM(tblContractForDeed[[#This Row],[Princ]],tblContractForDeed[[#This Row],[Int]],tblContractForDeed[[#This Row],[Ins]],tblContractForDeed[[#This Row],[Taxes]])</calculatedColumnFormula>
    </tableColumn>
    <tableColumn id="10" xr3:uid="{0044FA08-9081-4FAC-B454-F81C52BDD807}" name="Cumul Princ" dataDxfId="99">
      <calculatedColumnFormula>SUM(INDEX(tblContractForDeed[Princ],1):INDEX(tblContractForDeed[Princ],ROW()-ROW(tblContractForDeed[#Headers])))</calculatedColumnFormula>
    </tableColumn>
    <tableColumn id="11" xr3:uid="{E4D2C53C-A408-49FE-BA58-469487DDF7C4}" name="End Bal" dataDxfId="98">
      <calculatedColumnFormula>IF(tblContractForDeed[[#This Row],[Beg]]&lt;=0,0,tblContractForDeed[[#This Row],[Beg]]-tblContractForDeed[[#This Row],[Princ]])</calculatedColumnFormula>
    </tableColumn>
    <tableColumn id="12" xr3:uid="{4416FB9A-4A9F-4AF7-9D43-BF28E4CF4E75}" name="Period" dataDxfId="97">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6" headerRowBorderDxfId="95" tableBorderDxfId="94">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3">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2"/>
    <tableColumn id="4" xr3:uid="{226D6180-901A-48F0-9597-8830FAEE2FB1}" name="Monthly Cash Flow" dataDxfId="91">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ative Cash Flow" dataDxfId="90">
      <calculatedColumnFormula>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calculatedColumnFormula>
    </tableColumn>
    <tableColumn id="6" xr3:uid="{D99B1270-5F23-475F-838E-D9967DE5FFFE}" name="Monthly Appr" dataDxfId="89">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8">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87"/>
    <tableColumn id="4" xr3:uid="{190BD60E-30EC-4E24-9935-E2190E0233E5}" name="Vendor"/>
    <tableColumn id="5" xr3:uid="{0EEF483C-D90C-4BD2-8F3B-5458E833A4F6}" name="Description"/>
    <tableColumn id="6" xr3:uid="{B6FEFB87-38EC-4F40-A491-700E378F77FA}" name="Amount" dataDxfId="86"/>
    <tableColumn id="7" xr3:uid="{3C0463BE-769E-4291-834E-CBEDED63E449}" name="Source"/>
    <tableColumn id="8" xr3:uid="{DC4DDB7E-B6A8-4ACA-BF15-72944CBFA858}" name="Invoice #" dataDxfId="85"/>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4" headerRowBorderDxfId="83">
  <autoFilter ref="A11:E55" xr:uid="{E8A9C9B7-BAF7-4CAB-9067-DC10D354858C}"/>
  <tableColumns count="5">
    <tableColumn id="1" xr3:uid="{9A4F1599-587C-4C12-AC23-D5B3879D1321}" name="Cost Code" dataDxfId="82"/>
    <tableColumn id="2" xr3:uid="{3ACCA719-70D2-4F0D-A8A3-69AE3272D3C1}" name="Title" dataDxfId="81"/>
    <tableColumn id="3" xr3:uid="{661FF8D2-2D43-4F8B-B73F-EC14A34B7050}" name="Description" dataDxfId="80"/>
    <tableColumn id="5" xr3:uid="{96319F4C-C120-4B14-BEB7-1D271C147258}" name="Qty" dataDxfId="79"/>
    <tableColumn id="6" xr3:uid="{CAFF8447-B9F2-4425-B2CD-C62CE1EB051F}" name="Unit Price" dataDxfId="78"/>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77" dataDxfId="76">
  <autoFilter ref="A4:N48" xr:uid="{4A34AA4E-C13A-41A2-95E8-83E7E9409806}"/>
  <tableColumns count="14">
    <tableColumn id="8" xr3:uid="{96E49A5C-5367-4ACB-B14D-E01CC163A0F1}" uniqueName="8" name="Party" queryTableFieldId="8" dataDxfId="75">
      <calculatedColumnFormula>+IF(FromProposal[[#This Row],[Cost Code]]&lt;&gt;0,+'Gnatt Chart'!$A$2,"")</calculatedColumnFormula>
    </tableColumn>
    <tableColumn id="1" xr3:uid="{6ADBCE42-4844-4052-8DB6-AB34AD671DD5}" uniqueName="1" name="Item" queryTableFieldId="15" dataDxfId="74"/>
    <tableColumn id="2" xr3:uid="{33F8A9BB-342C-4F7D-B125-F381BCB77C64}" uniqueName="2" name="Cost Code" queryTableFieldId="2" dataDxfId="73"/>
    <tableColumn id="3" xr3:uid="{EAE8FFCB-2C04-49B6-85CD-78C67097E902}" uniqueName="3" name="Title" queryTableFieldId="3" dataDxfId="72"/>
    <tableColumn id="4" xr3:uid="{439B82DD-03F8-428D-9245-8543A46F29DC}" uniqueName="4" name="Description" queryTableFieldId="4" dataDxfId="71"/>
    <tableColumn id="5" xr3:uid="{1E080297-D531-4180-92D4-1B19AACF49C1}" uniqueName="5" name="Qty" queryTableFieldId="5" dataDxfId="70"/>
    <tableColumn id="6" xr3:uid="{575B5FBE-3F82-40CD-8A54-810E146EF82F}" uniqueName="6" name="Unit Price" queryTableFieldId="6" dataDxfId="69"/>
    <tableColumn id="7" xr3:uid="{766B7F26-7C49-427A-A617-067C40444D87}" uniqueName="7" name="Price" queryTableFieldId="7" dataDxfId="68"/>
    <tableColumn id="9" xr3:uid="{A5701DF5-B99B-45EC-8FC5-7061E5C93440}" uniqueName="9" name="Done" queryTableFieldId="17" dataDxfId="67"/>
    <tableColumn id="14" xr3:uid="{1C4B67EF-B985-4B9A-9327-556AFBB5C4A1}" uniqueName="14" name="Group Order" queryTableFieldId="20" dataDxfId="66"/>
    <tableColumn id="12" xr3:uid="{A3E3248C-A9FB-45EA-9F9E-83897992215A}" uniqueName="12" name="Start Date" queryTableFieldId="12" dataDxfId="65"/>
    <tableColumn id="15" xr3:uid="{E31CECDC-7A24-4472-8474-4283CEDBD8FC}" uniqueName="15" name="Days" queryTableFieldId="14" dataDxfId="64"/>
    <tableColumn id="10" xr3:uid="{3EA3D46A-2606-48C3-B90D-0603A94FFB2E}" uniqueName="10" name="Paid" queryTableFieldId="18" dataDxfId="63"/>
    <tableColumn id="13" xr3:uid="{7268DDA6-B96D-499B-92E4-F124E0D116A3}" uniqueName="13" name="Notes" queryTableFieldId="19" dataDxfId="62"/>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61" dataDxfId="60">
  <sortState xmlns:xlrd2="http://schemas.microsoft.com/office/spreadsheetml/2017/richdata2" ref="A28:O71">
    <sortCondition ref="J28:J81"/>
    <sortCondition ref="K28:K81"/>
  </sortState>
  <tableColumns count="15">
    <tableColumn id="106" xr3:uid="{88C796C4-2105-4C93-8E7A-CCEA28B0DF71}" uniqueName="106" name="Party" queryTableFieldId="1" dataDxfId="59"/>
    <tableColumn id="107" xr3:uid="{541F33A4-C6A3-44C5-81DB-FAA61B7F72AB}" uniqueName="107" name="Item" queryTableFieldId="2" dataDxfId="58"/>
    <tableColumn id="108" xr3:uid="{3AE45ADE-D247-428D-BB07-058C3457BF76}" uniqueName="108" name="Cost Code" queryTableFieldId="3" dataDxfId="57"/>
    <tableColumn id="109" xr3:uid="{B0D5185D-6AD1-4E8D-B845-F1898A9538BA}" uniqueName="109" name="Title" queryTableFieldId="4" dataDxfId="56"/>
    <tableColumn id="110" xr3:uid="{BF5C7BBF-561F-458E-BF23-5B7C697DF8C9}" uniqueName="110" name="Description" queryTableFieldId="5" dataDxfId="55"/>
    <tableColumn id="111" xr3:uid="{F21AE756-8924-4878-8615-262AB0D00519}" uniqueName="111" name="Qty" queryTableFieldId="6" dataDxfId="54"/>
    <tableColumn id="112" xr3:uid="{0CD8A8A4-BACC-44F4-93A1-F713A821F322}" uniqueName="112" name="Unit Price" queryTableFieldId="7" dataDxfId="53"/>
    <tableColumn id="113" xr3:uid="{26C57DEB-9347-43DE-B22B-A524ED52F9F1}" uniqueName="113" name="Price" queryTableFieldId="8" dataDxfId="52"/>
    <tableColumn id="114" xr3:uid="{EBDB1F65-628C-4940-9612-1C3FD8569DC1}" uniqueName="114" name="Done" queryTableFieldId="9" dataDxfId="51"/>
    <tableColumn id="115" xr3:uid="{12EEE598-AD5C-449D-9592-F3BFFA8A06FB}" uniqueName="115" name="Group Order" queryTableFieldId="10" dataDxfId="50"/>
    <tableColumn id="116" xr3:uid="{C6321B43-2488-4F52-A140-04EF16631EAF}" uniqueName="116" name="Start Date" queryTableFieldId="11" dataDxfId="49"/>
    <tableColumn id="117" xr3:uid="{E22A3266-2A40-492B-9764-940B22EBAEF6}" uniqueName="117" name="Days" queryTableFieldId="12" dataDxfId="48"/>
    <tableColumn id="118" xr3:uid="{DA6448B5-75FA-40C7-BF8D-CB99AC089926}" uniqueName="118" name="Paid" queryTableFieldId="13" dataDxfId="47"/>
    <tableColumn id="3" xr3:uid="{0EAEDA6D-3B4A-4D63-BCE1-6489307C3CA2}" uniqueName="3" name="Due" queryTableFieldId="23" dataDxfId="46"/>
    <tableColumn id="1" xr3:uid="{67811F05-1AA8-4D00-9800-87B33F8463CE}" uniqueName="1" name="Notes" queryTableFieldId="24" dataDxfId="45"/>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4">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3"/>
    <tableColumn id="16" xr3:uid="{2E21600F-1D2E-4263-85CB-0D780BA42B26}" uniqueName="16" name="Description" queryTableFieldId="16" dataDxfId="42"/>
    <tableColumn id="4" xr3:uid="{089042D1-0A79-42D2-9FB4-550A2F42688C}" uniqueName="4" name="Order" queryTableFieldId="24"/>
    <tableColumn id="11" xr3:uid="{6FD6A57A-45C8-406C-9809-1268DBB2B9B0}" uniqueName="11" name="Start Date" queryTableFieldId="11" dataDxfId="36"/>
    <tableColumn id="3" xr3:uid="{5EC4595E-174D-4F70-976B-3F65280A553E}" uniqueName="3" name="Price" queryTableFieldId="22" dataDxfId="35"/>
    <tableColumn id="9" xr3:uid="{AF672E56-69B2-45E3-9B51-49B71E4850F5}" uniqueName="9" name="Done" queryTableFieldId="9" dataDxfId="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40">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39"/>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8">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37"/>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87" t="s">
        <v>853</v>
      </c>
      <c r="G1" s="788"/>
      <c r="H1" s="788"/>
      <c r="I1" s="788"/>
      <c r="J1" s="788"/>
      <c r="K1" s="675"/>
      <c r="L1" s="675"/>
      <c r="M1" s="676"/>
      <c r="R1" s="38" t="s">
        <v>634</v>
      </c>
      <c r="S1" s="37" t="b">
        <v>0</v>
      </c>
    </row>
    <row r="2" spans="1:25" ht="16.5" customHeight="1" thickBot="1" x14ac:dyDescent="0.3">
      <c r="A2" s="113"/>
      <c r="B2" s="734" t="s">
        <v>737</v>
      </c>
      <c r="C2" s="735"/>
      <c r="D2" s="735"/>
      <c r="E2" s="733" t="s">
        <v>738</v>
      </c>
      <c r="F2" s="668"/>
      <c r="G2" s="443" t="s">
        <v>739</v>
      </c>
      <c r="H2" s="590"/>
      <c r="I2" s="590"/>
      <c r="J2" s="590"/>
      <c r="K2" s="590"/>
      <c r="L2" s="803" t="s">
        <v>1</v>
      </c>
      <c r="M2" s="723">
        <v>45715</v>
      </c>
      <c r="O2" s="428" t="s">
        <v>2</v>
      </c>
      <c r="P2" s="428"/>
      <c r="R2" s="38" t="s">
        <v>633</v>
      </c>
      <c r="S2" s="37" t="b">
        <v>0</v>
      </c>
    </row>
    <row r="3" spans="1:25" ht="12" customHeight="1" thickBot="1" x14ac:dyDescent="0.25">
      <c r="A3" s="115" t="s">
        <v>4</v>
      </c>
      <c r="B3" s="116"/>
      <c r="D3" s="789" t="s">
        <v>1156</v>
      </c>
      <c r="E3" s="790"/>
      <c r="F3" s="789" t="s">
        <v>1163</v>
      </c>
      <c r="G3" s="790"/>
      <c r="H3" s="789" t="s">
        <v>1164</v>
      </c>
      <c r="I3" s="790"/>
      <c r="J3" s="789" t="s">
        <v>0</v>
      </c>
      <c r="K3" s="790"/>
      <c r="L3" s="804"/>
      <c r="M3" s="724"/>
      <c r="R3" s="131" t="s">
        <v>35</v>
      </c>
      <c r="S3" s="37" t="b">
        <v>0</v>
      </c>
      <c r="T3" s="37">
        <v>3</v>
      </c>
    </row>
    <row r="4" spans="1:25" ht="12" customHeight="1" thickBot="1" x14ac:dyDescent="0.25">
      <c r="A4" s="38" t="s">
        <v>5</v>
      </c>
      <c r="B4" s="811">
        <v>330000</v>
      </c>
      <c r="C4" s="812"/>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813">
        <f>IF(B1="Flip",B4,IF(C1="hold",B4*(1+C5),+Amortization!O3))</f>
        <v>346500</v>
      </c>
      <c r="C6" s="814"/>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803" t="s">
        <v>10</v>
      </c>
      <c r="M7" s="793">
        <v>0.03</v>
      </c>
      <c r="Q7" s="261"/>
      <c r="R7" s="427"/>
    </row>
    <row r="8" spans="1:25" ht="12" customHeight="1" thickBot="1" x14ac:dyDescent="0.25">
      <c r="A8" s="38" t="s">
        <v>1157</v>
      </c>
      <c r="B8" s="327"/>
      <c r="C8" s="391"/>
      <c r="D8" s="361"/>
      <c r="E8" s="336"/>
      <c r="F8" s="340"/>
      <c r="G8" s="341">
        <f>+IF($C$1="hold",$M$7,0)*$C$50/12*B4</f>
        <v>0</v>
      </c>
      <c r="H8" s="595"/>
      <c r="I8" s="600"/>
      <c r="J8" s="374"/>
      <c r="K8" s="375"/>
      <c r="L8" s="804"/>
      <c r="M8" s="794"/>
    </row>
    <row r="9" spans="1:25" ht="12" customHeight="1" thickBot="1" x14ac:dyDescent="0.25">
      <c r="A9" s="130" t="str">
        <f>IF(T3=3,"Delta Mortgages","Monthly Rent:")</f>
        <v>Delta Mortgages</v>
      </c>
      <c r="B9" s="772">
        <v>1800</v>
      </c>
      <c r="C9" s="808"/>
      <c r="D9" s="363"/>
      <c r="E9" s="364"/>
      <c r="F9" s="382"/>
      <c r="G9" s="366"/>
      <c r="H9" s="596"/>
      <c r="I9" s="601"/>
      <c r="J9" s="379"/>
      <c r="K9" s="388">
        <f>IF(OR(C1="Hold",D1="Slow Flip"),IF(C1="hold",+B9,+Amortization!AA9),"")</f>
        <v>835.83</v>
      </c>
      <c r="L9" s="803" t="s">
        <v>12</v>
      </c>
      <c r="M9" s="729">
        <v>1368</v>
      </c>
    </row>
    <row r="10" spans="1:25" ht="12" customHeight="1" thickBot="1" x14ac:dyDescent="0.25">
      <c r="C10" s="817" t="s">
        <v>13</v>
      </c>
      <c r="D10" s="767" t="s">
        <v>13</v>
      </c>
      <c r="E10" s="117">
        <f>SUM(D4:E9)</f>
        <v>0</v>
      </c>
      <c r="F10" s="725">
        <f>+SUM(F4:G9)</f>
        <v>34650</v>
      </c>
      <c r="G10" s="726"/>
      <c r="H10" s="114"/>
      <c r="I10" s="114"/>
      <c r="J10" s="725">
        <f>SUM(J4:K9)</f>
        <v>835.83</v>
      </c>
      <c r="K10" s="726"/>
      <c r="L10" s="804"/>
      <c r="M10" s="730"/>
      <c r="O10" s="476" t="s">
        <v>625</v>
      </c>
      <c r="P10" s="477"/>
      <c r="Q10" s="470"/>
      <c r="R10" s="478"/>
      <c r="U10" s="37" t="s">
        <v>740</v>
      </c>
      <c r="V10" s="37" t="s">
        <v>741</v>
      </c>
      <c r="W10" s="133"/>
    </row>
    <row r="11" spans="1:25" ht="12" customHeight="1" thickBot="1" x14ac:dyDescent="0.3">
      <c r="C11" s="118"/>
      <c r="D11" s="815" t="str">
        <f>IF(T3=3,"Profit calculations based on selling in 5 years","")</f>
        <v>Profit calculations based on selling in 5 years</v>
      </c>
      <c r="E11" s="669"/>
      <c r="F11" s="669"/>
      <c r="G11" s="669"/>
      <c r="H11" s="669"/>
      <c r="I11" s="669"/>
      <c r="J11" s="669"/>
      <c r="K11" s="816"/>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91" t="s">
        <v>16</v>
      </c>
      <c r="I14" s="792"/>
      <c r="J14" s="673"/>
      <c r="K14" s="641"/>
      <c r="L14" s="699" t="s">
        <v>17</v>
      </c>
      <c r="M14" s="798"/>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799"/>
      <c r="M15" s="800"/>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799"/>
      <c r="M16" s="800"/>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801"/>
      <c r="M17" s="802"/>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85">
        <f>-SUM(D14:D20)</f>
        <v>130291.26</v>
      </c>
      <c r="C21" s="653"/>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31" t="s">
        <v>609</v>
      </c>
      <c r="M22" s="732"/>
      <c r="R22" s="427"/>
    </row>
    <row r="23" spans="1:24" ht="12" customHeight="1" thickBot="1" x14ac:dyDescent="0.25">
      <c r="A23" s="38" t="s">
        <v>600</v>
      </c>
      <c r="B23" s="342">
        <v>6.5000000000000002E-2</v>
      </c>
      <c r="C23" s="343">
        <v>30</v>
      </c>
      <c r="D23" s="335"/>
      <c r="E23" s="336"/>
      <c r="F23" s="340"/>
      <c r="G23" s="341"/>
      <c r="H23" s="592"/>
      <c r="I23" s="600"/>
      <c r="J23" s="377"/>
      <c r="K23" s="375"/>
      <c r="L23" s="731" t="s">
        <v>597</v>
      </c>
      <c r="M23" s="732"/>
      <c r="R23" s="427"/>
    </row>
    <row r="24" spans="1:24" ht="12" customHeight="1" thickBot="1" x14ac:dyDescent="0.25">
      <c r="A24" s="38" t="s">
        <v>601</v>
      </c>
      <c r="B24" s="765">
        <v>45566</v>
      </c>
      <c r="C24" s="717"/>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809">
        <v>5000</v>
      </c>
      <c r="C27" s="810">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95" t="s">
        <v>23</v>
      </c>
      <c r="M29" s="702"/>
      <c r="S29" s="133"/>
    </row>
    <row r="30" spans="1:24" ht="12" customHeight="1" thickBot="1" x14ac:dyDescent="0.25">
      <c r="A30" s="130" t="s">
        <v>580</v>
      </c>
      <c r="C30" s="495">
        <f>+B45/C50</f>
        <v>706.85208086111106</v>
      </c>
      <c r="D30" s="361"/>
      <c r="E30" s="336"/>
      <c r="F30" s="340"/>
      <c r="G30" s="341"/>
      <c r="H30" s="592"/>
      <c r="I30" s="600"/>
      <c r="J30" s="376"/>
      <c r="K30" s="375"/>
      <c r="L30" s="796"/>
      <c r="M30" s="797"/>
      <c r="Q30" s="261"/>
      <c r="R30" s="427"/>
    </row>
    <row r="31" spans="1:24" ht="12" customHeight="1" x14ac:dyDescent="0.2">
      <c r="A31" s="130" t="s">
        <v>841</v>
      </c>
      <c r="B31" s="508">
        <f>+Carrying!B25/Profit!$B$28</f>
        <v>14.95234426229508</v>
      </c>
      <c r="C31" s="122"/>
      <c r="D31" s="361"/>
      <c r="E31" s="336"/>
      <c r="F31" s="340"/>
      <c r="G31" s="341"/>
      <c r="H31" s="592"/>
      <c r="I31" s="600"/>
      <c r="J31" s="376"/>
      <c r="K31" s="375"/>
      <c r="L31" s="760" t="s">
        <v>25</v>
      </c>
      <c r="M31" s="672"/>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61"/>
      <c r="M32" s="762"/>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61"/>
      <c r="M33" s="762"/>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63"/>
      <c r="M34" s="764"/>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83" t="s">
        <v>26</v>
      </c>
      <c r="M41" s="758">
        <f>IF(+T3=3,-J54,+B42/B28)</f>
        <v>1478.7032229508197</v>
      </c>
    </row>
    <row r="42" spans="1:13" ht="12" customHeight="1" thickBot="1" x14ac:dyDescent="0.3">
      <c r="A42" s="38" t="s">
        <v>26</v>
      </c>
      <c r="B42" s="782">
        <f>+B28*SUM(B31:B41)</f>
        <v>5503.2800000000007</v>
      </c>
      <c r="C42" s="641"/>
      <c r="D42" s="335">
        <f>-B42</f>
        <v>-5503.2800000000007</v>
      </c>
      <c r="E42" s="336"/>
      <c r="F42" s="340"/>
      <c r="G42" s="341"/>
      <c r="H42" s="592"/>
      <c r="I42" s="600"/>
      <c r="J42" s="376"/>
      <c r="K42" s="375"/>
      <c r="L42" s="784"/>
      <c r="M42" s="759"/>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83" t="s">
        <v>1040</v>
      </c>
      <c r="M44" s="758">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84"/>
      <c r="M45" s="759"/>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49" t="s">
        <v>27</v>
      </c>
      <c r="M47" s="758">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50"/>
      <c r="M48" s="759"/>
    </row>
    <row r="49" spans="1:17" ht="12" customHeight="1" thickBot="1" x14ac:dyDescent="0.25">
      <c r="A49" s="131" t="s">
        <v>37</v>
      </c>
      <c r="B49" s="399"/>
      <c r="C49" s="183">
        <v>2.4E-2</v>
      </c>
      <c r="D49" s="361"/>
      <c r="E49" s="336"/>
      <c r="F49" s="340">
        <f>IF(S5,IF(OR(T3=1,T3=2),-C49*$F$10,0),"")</f>
        <v>0</v>
      </c>
      <c r="G49" s="341"/>
      <c r="H49" s="592"/>
      <c r="I49" s="600"/>
      <c r="J49" s="377"/>
      <c r="K49" s="375"/>
      <c r="L49" s="749" t="s">
        <v>31</v>
      </c>
      <c r="M49" s="758">
        <f>-E55</f>
        <v>-4446.7850890000082</v>
      </c>
    </row>
    <row r="50" spans="1:17" ht="12" customHeight="1" thickBot="1" x14ac:dyDescent="0.25">
      <c r="A50" s="184" t="s">
        <v>38</v>
      </c>
      <c r="B50" s="182"/>
      <c r="C50" s="210">
        <v>36</v>
      </c>
      <c r="D50" s="361"/>
      <c r="E50" s="336"/>
      <c r="F50" s="340"/>
      <c r="G50" s="341"/>
      <c r="H50" s="592"/>
      <c r="I50" s="600"/>
      <c r="J50" s="377"/>
      <c r="K50" s="375"/>
      <c r="L50" s="750"/>
      <c r="M50" s="759"/>
    </row>
    <row r="51" spans="1:17" ht="12" customHeight="1" thickBot="1" x14ac:dyDescent="0.3">
      <c r="A51" s="38" t="s">
        <v>39</v>
      </c>
      <c r="B51" s="772"/>
      <c r="C51" s="773"/>
      <c r="D51" s="362"/>
      <c r="E51" s="336"/>
      <c r="F51" s="340">
        <f>-C51</f>
        <v>0</v>
      </c>
      <c r="G51" s="341"/>
      <c r="H51" s="592"/>
      <c r="I51" s="600"/>
      <c r="J51" s="378"/>
      <c r="K51" s="375"/>
      <c r="L51" s="678" t="s">
        <v>34</v>
      </c>
      <c r="M51" s="746"/>
    </row>
    <row r="52" spans="1:17" ht="12" customHeight="1" thickBot="1" x14ac:dyDescent="0.25">
      <c r="A52" s="38" t="s">
        <v>40</v>
      </c>
      <c r="B52" s="770">
        <f>+D91</f>
        <v>940</v>
      </c>
      <c r="C52" s="771"/>
      <c r="D52" s="361">
        <f>-B52</f>
        <v>-940</v>
      </c>
      <c r="E52" s="336"/>
      <c r="F52" s="340"/>
      <c r="G52" s="341"/>
      <c r="H52" s="592"/>
      <c r="I52" s="600"/>
      <c r="J52" s="378"/>
      <c r="K52" s="375"/>
      <c r="L52" s="747"/>
      <c r="M52" s="748"/>
    </row>
    <row r="53" spans="1:17" ht="12" customHeight="1" thickBot="1" x14ac:dyDescent="0.25">
      <c r="A53" s="38" t="s">
        <v>41</v>
      </c>
      <c r="B53" s="768">
        <f>+D102</f>
        <v>290</v>
      </c>
      <c r="C53" s="769"/>
      <c r="D53" s="363"/>
      <c r="E53" s="364"/>
      <c r="F53" s="365">
        <f>-B53</f>
        <v>-290</v>
      </c>
      <c r="G53" s="366"/>
      <c r="H53" s="591"/>
      <c r="I53" s="601"/>
      <c r="J53" s="379"/>
      <c r="K53" s="380"/>
    </row>
    <row r="54" spans="1:17" ht="12" customHeight="1" thickBot="1" x14ac:dyDescent="0.25">
      <c r="B54" s="766" t="s">
        <v>42</v>
      </c>
      <c r="C54" s="767"/>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80" t="s">
        <v>43</v>
      </c>
      <c r="C55" s="781"/>
      <c r="D55" s="781"/>
      <c r="E55" s="602">
        <f>+SUM(D10:E53)</f>
        <v>4446.7850890000082</v>
      </c>
      <c r="F55" s="727">
        <f>+SUM(F10:G53)</f>
        <v>49968.999999999971</v>
      </c>
      <c r="G55" s="728"/>
      <c r="H55" s="786"/>
      <c r="I55" s="786"/>
      <c r="J55" s="135"/>
      <c r="K55" s="137">
        <f>+SUM(J54:K54)</f>
        <v>210.83000000000015</v>
      </c>
      <c r="Q55" s="112"/>
    </row>
    <row r="56" spans="1:17" ht="12" customHeight="1" thickBot="1" x14ac:dyDescent="0.25">
      <c r="A56" s="39"/>
      <c r="B56" s="39"/>
      <c r="D56" s="39"/>
      <c r="E56" s="706" t="s">
        <v>44</v>
      </c>
      <c r="F56" s="707"/>
      <c r="G56" s="587">
        <f>SUM(E55:G55)</f>
        <v>54415.785088999983</v>
      </c>
      <c r="H56" s="728">
        <f>+SUM(H10:I53)</f>
        <v>-152955.03</v>
      </c>
      <c r="I56" s="728"/>
      <c r="J56" s="135"/>
      <c r="K56" s="137"/>
      <c r="L56" s="689" t="s">
        <v>45</v>
      </c>
      <c r="M56" s="740" t="s">
        <v>46</v>
      </c>
      <c r="Q56" s="112"/>
    </row>
    <row r="57" spans="1:17" ht="12" customHeight="1" x14ac:dyDescent="0.2">
      <c r="A57" s="39"/>
      <c r="B57" s="39"/>
      <c r="D57" s="39"/>
      <c r="E57" s="706" t="s">
        <v>44</v>
      </c>
      <c r="F57" s="707"/>
      <c r="G57" s="134"/>
      <c r="H57" s="134"/>
      <c r="I57" s="134">
        <f>SUM(G56:I56)</f>
        <v>-98539.244911000016</v>
      </c>
      <c r="J57" s="135"/>
      <c r="K57" s="137"/>
      <c r="L57" s="690"/>
      <c r="M57" s="741"/>
      <c r="Q57" s="112"/>
    </row>
    <row r="58" spans="1:17" ht="12" customHeight="1" thickBot="1" x14ac:dyDescent="0.25">
      <c r="A58" s="39"/>
      <c r="B58" s="39"/>
      <c r="E58" s="706" t="s">
        <v>47</v>
      </c>
      <c r="F58" s="707"/>
      <c r="G58" s="707"/>
      <c r="H58" s="135"/>
      <c r="I58" s="604"/>
      <c r="J58" s="606">
        <f>IF(OR(T3=2,T3=3),IF(T3=2,C50,60),0)</f>
        <v>60</v>
      </c>
      <c r="K58" s="605">
        <f>IF(OR(T3=2,T3=3),+J58*K55,0)</f>
        <v>12649.80000000001</v>
      </c>
      <c r="L58" s="691"/>
      <c r="M58" s="741"/>
    </row>
    <row r="59" spans="1:17" ht="12" customHeight="1" thickBot="1" x14ac:dyDescent="0.25">
      <c r="A59" s="39"/>
      <c r="B59" s="39"/>
      <c r="E59" s="136"/>
      <c r="F59" s="692" t="s">
        <v>611</v>
      </c>
      <c r="G59" s="693"/>
      <c r="H59" s="603"/>
      <c r="I59" s="603"/>
      <c r="J59" s="597"/>
      <c r="K59" s="597">
        <f>+K58+I57</f>
        <v>-85889.444910999999</v>
      </c>
      <c r="L59" s="123">
        <f>$B$25*$K$59</f>
        <v>0</v>
      </c>
      <c r="M59" s="124">
        <f>+$K$59-L59</f>
        <v>-85889.444910999999</v>
      </c>
    </row>
    <row r="60" spans="1:17" ht="12" customHeight="1" thickTop="1" thickBot="1" x14ac:dyDescent="0.3">
      <c r="A60" s="125" t="s">
        <v>48</v>
      </c>
      <c r="B60" s="778">
        <f>IF(OR(C1="Hold",D1="slow flip"),0.15,0)</f>
        <v>0.15</v>
      </c>
      <c r="C60" s="779"/>
      <c r="D60" s="125"/>
      <c r="E60" s="125"/>
      <c r="F60" s="692" t="s">
        <v>602</v>
      </c>
      <c r="G60" s="718"/>
      <c r="H60" s="718"/>
      <c r="I60" s="719"/>
      <c r="J60" s="719"/>
      <c r="K60" s="719"/>
      <c r="L60" s="134">
        <f>-I85</f>
        <v>0</v>
      </c>
      <c r="M60" s="168">
        <f>+I85</f>
        <v>0</v>
      </c>
    </row>
    <row r="61" spans="1:17" ht="12" customHeight="1" thickTop="1" thickBot="1" x14ac:dyDescent="0.3">
      <c r="A61" s="38" t="s">
        <v>49</v>
      </c>
      <c r="B61" s="774">
        <v>0.1</v>
      </c>
      <c r="C61" s="775">
        <v>0.15</v>
      </c>
      <c r="D61" s="776">
        <f>+M63*B61</f>
        <v>-7300.6028174349995</v>
      </c>
      <c r="E61" s="777"/>
      <c r="F61" s="720" t="s">
        <v>1158</v>
      </c>
      <c r="G61" s="718"/>
      <c r="H61" s="718"/>
      <c r="I61" s="719"/>
      <c r="J61" s="719"/>
      <c r="K61" s="719"/>
      <c r="L61" s="400" t="s">
        <v>471</v>
      </c>
      <c r="M61" s="168">
        <f>IF(B60="",0,-$B$60*SUM(M59:M60))</f>
        <v>12883.416736649999</v>
      </c>
    </row>
    <row r="62" spans="1:17" ht="12" customHeight="1" x14ac:dyDescent="0.25">
      <c r="F62" s="720" t="s">
        <v>1159</v>
      </c>
      <c r="G62" s="718"/>
      <c r="H62" s="718"/>
      <c r="I62" s="719"/>
      <c r="J62" s="719"/>
      <c r="K62" s="719"/>
      <c r="L62" s="123">
        <f>SUM(L59:L61)</f>
        <v>0</v>
      </c>
      <c r="M62" s="124">
        <f>SUM(M59:M61)</f>
        <v>-73006.028174349995</v>
      </c>
    </row>
    <row r="63" spans="1:17" ht="12" customHeight="1" thickBot="1" x14ac:dyDescent="0.3">
      <c r="A63" s="116"/>
      <c r="C63" s="38"/>
      <c r="D63" s="38"/>
      <c r="E63" s="38"/>
      <c r="F63" s="720" t="s">
        <v>612</v>
      </c>
      <c r="G63" s="718"/>
      <c r="H63" s="718"/>
      <c r="I63" s="719"/>
      <c r="J63" s="719"/>
      <c r="K63" s="719"/>
      <c r="L63" s="128"/>
      <c r="M63" s="320">
        <f>SUM(L62:M62)</f>
        <v>-73006.028174349995</v>
      </c>
    </row>
    <row r="64" spans="1:17" ht="12" customHeight="1" x14ac:dyDescent="0.25">
      <c r="A64" s="116"/>
      <c r="F64" s="720" t="s">
        <v>1160</v>
      </c>
      <c r="G64" s="718"/>
      <c r="H64" s="718"/>
      <c r="I64" s="719"/>
      <c r="J64" s="719"/>
      <c r="K64" s="719"/>
      <c r="L64" s="134"/>
      <c r="M64" s="588">
        <f>IF($T$3=3,Docs!I23,0)</f>
        <v>236592</v>
      </c>
    </row>
    <row r="65" spans="1:13" ht="12" customHeight="1" thickBot="1" x14ac:dyDescent="0.3">
      <c r="A65" s="116"/>
      <c r="C65" s="38"/>
      <c r="F65" s="720" t="s">
        <v>1162</v>
      </c>
      <c r="G65" s="718"/>
      <c r="H65" s="718"/>
      <c r="I65" s="719"/>
      <c r="J65" s="719"/>
      <c r="K65" s="719"/>
      <c r="L65" s="134"/>
      <c r="M65" s="589">
        <f>+'Trade Properties'!R11*J58</f>
        <v>197160</v>
      </c>
    </row>
    <row r="66" spans="1:13" ht="12" customHeight="1" thickBot="1" x14ac:dyDescent="0.3">
      <c r="A66" s="116"/>
      <c r="C66" s="38"/>
      <c r="D66" s="38"/>
      <c r="E66" s="38"/>
      <c r="F66" s="805" t="s">
        <v>1166</v>
      </c>
      <c r="G66" s="806"/>
      <c r="H66" s="806"/>
      <c r="I66" s="807"/>
      <c r="J66" s="807"/>
      <c r="K66" s="807"/>
      <c r="L66" s="587"/>
      <c r="M66" s="589">
        <f>SUM(M63:M65)</f>
        <v>360745.97182565002</v>
      </c>
    </row>
    <row r="67" spans="1:13" ht="12" customHeight="1" thickTop="1" x14ac:dyDescent="0.2">
      <c r="A67" s="119" t="s">
        <v>50</v>
      </c>
    </row>
    <row r="68" spans="1:13" ht="12" customHeight="1" thickBot="1" x14ac:dyDescent="0.25">
      <c r="A68" s="38" t="s">
        <v>51</v>
      </c>
      <c r="B68" s="710">
        <f>+'Gnatt Chart'!J5</f>
        <v>25446.674910999998</v>
      </c>
      <c r="C68" s="710"/>
      <c r="D68" s="710">
        <f>-B68</f>
        <v>-25446.674910999998</v>
      </c>
      <c r="E68" s="710"/>
    </row>
    <row r="69" spans="1:13" ht="12" customHeight="1" thickBot="1" x14ac:dyDescent="0.25">
      <c r="A69" s="38" t="s">
        <v>52</v>
      </c>
      <c r="B69" s="126">
        <v>0.1</v>
      </c>
      <c r="D69" s="710"/>
      <c r="E69" s="710"/>
      <c r="G69" s="699" t="s">
        <v>53</v>
      </c>
      <c r="H69" s="700"/>
      <c r="I69" s="700"/>
      <c r="J69" s="701"/>
      <c r="K69" s="701"/>
      <c r="L69" s="702"/>
    </row>
    <row r="70" spans="1:13" ht="12" customHeight="1" thickBot="1" x14ac:dyDescent="0.25">
      <c r="A70" s="38" t="s">
        <v>54</v>
      </c>
      <c r="B70" s="739">
        <f>IF(M13,0,+B69*SUM(B68:C68))</f>
        <v>0</v>
      </c>
      <c r="C70" s="739"/>
      <c r="D70" s="739">
        <f>-B70</f>
        <v>0</v>
      </c>
      <c r="E70" s="739"/>
      <c r="G70" s="703"/>
      <c r="H70" s="704"/>
      <c r="I70" s="704"/>
      <c r="J70" s="704"/>
      <c r="K70" s="704"/>
      <c r="L70" s="705"/>
    </row>
    <row r="71" spans="1:13" ht="12" customHeight="1" thickBot="1" x14ac:dyDescent="0.25">
      <c r="A71" s="38" t="s">
        <v>55</v>
      </c>
      <c r="D71" s="708">
        <f>+SUM(D68:E70)</f>
        <v>-25446.674910999998</v>
      </c>
      <c r="E71" s="709"/>
      <c r="G71" s="685" t="s">
        <v>1165</v>
      </c>
      <c r="H71" s="686"/>
      <c r="I71" s="686"/>
      <c r="J71" s="687"/>
      <c r="K71" s="687"/>
      <c r="L71" s="688"/>
    </row>
    <row r="72" spans="1:13" ht="12" customHeight="1" thickTop="1" thickBot="1" x14ac:dyDescent="0.25">
      <c r="A72" s="127" t="s">
        <v>56</v>
      </c>
      <c r="B72" s="125"/>
      <c r="C72" s="125"/>
      <c r="D72" s="38"/>
      <c r="E72" s="38"/>
      <c r="G72" s="682"/>
      <c r="H72" s="683"/>
      <c r="I72" s="683"/>
      <c r="J72" s="683"/>
      <c r="K72" s="683"/>
      <c r="L72" s="684"/>
    </row>
    <row r="73" spans="1:13" ht="12" customHeight="1" x14ac:dyDescent="0.2">
      <c r="A73" s="38" t="s">
        <v>57</v>
      </c>
      <c r="B73" s="737">
        <v>350</v>
      </c>
      <c r="C73" s="738"/>
      <c r="D73" s="710"/>
      <c r="E73" s="710"/>
      <c r="J73" s="37"/>
      <c r="K73" s="37"/>
    </row>
    <row r="74" spans="1:13" ht="12" customHeight="1" thickBot="1" x14ac:dyDescent="0.25">
      <c r="A74" s="38" t="s">
        <v>58</v>
      </c>
      <c r="B74" s="721">
        <v>0</v>
      </c>
      <c r="C74" s="722"/>
      <c r="D74" s="710"/>
      <c r="E74" s="710"/>
      <c r="J74" s="37"/>
      <c r="K74" s="37"/>
    </row>
    <row r="75" spans="1:13" ht="12" customHeight="1" thickBot="1" x14ac:dyDescent="0.25">
      <c r="A75" s="38" t="s">
        <v>59</v>
      </c>
      <c r="B75" s="721">
        <v>250</v>
      </c>
      <c r="C75" s="722"/>
      <c r="F75" s="736" t="s">
        <v>480</v>
      </c>
      <c r="G75" s="713"/>
      <c r="H75" s="713" t="s">
        <v>212</v>
      </c>
      <c r="I75" s="713"/>
      <c r="J75" s="303" t="s">
        <v>481</v>
      </c>
      <c r="K75" s="37"/>
    </row>
    <row r="76" spans="1:13" ht="12" customHeight="1" thickBot="1" x14ac:dyDescent="0.3">
      <c r="A76" s="38" t="s">
        <v>59</v>
      </c>
      <c r="B76" s="721"/>
      <c r="C76" s="722"/>
      <c r="F76" s="714">
        <f>_xlfn.DAYS(J76,H76)</f>
        <v>183</v>
      </c>
      <c r="G76" s="715"/>
      <c r="H76" s="716">
        <v>45748</v>
      </c>
      <c r="I76" s="717"/>
      <c r="J76" s="469">
        <v>45931</v>
      </c>
      <c r="K76" s="37"/>
    </row>
    <row r="77" spans="1:13" ht="12" customHeight="1" x14ac:dyDescent="0.2">
      <c r="A77" s="38" t="s">
        <v>60</v>
      </c>
      <c r="B77" s="721"/>
      <c r="C77" s="722"/>
      <c r="D77" s="121"/>
      <c r="E77" s="114"/>
      <c r="F77" s="114"/>
      <c r="G77" s="114"/>
      <c r="H77" s="304"/>
      <c r="I77" s="305"/>
      <c r="J77" s="114"/>
      <c r="K77" s="694" t="s">
        <v>564</v>
      </c>
    </row>
    <row r="78" spans="1:13" ht="12" customHeight="1" x14ac:dyDescent="0.2">
      <c r="A78" s="38" t="s">
        <v>60</v>
      </c>
      <c r="B78" s="721"/>
      <c r="C78" s="722"/>
      <c r="D78" s="306"/>
      <c r="G78" s="697" t="s">
        <v>482</v>
      </c>
      <c r="H78" s="697" t="s">
        <v>483</v>
      </c>
      <c r="I78" s="697" t="s">
        <v>484</v>
      </c>
      <c r="J78" s="697" t="s">
        <v>485</v>
      </c>
      <c r="K78" s="695"/>
    </row>
    <row r="79" spans="1:13" ht="12" customHeight="1" thickBot="1" x14ac:dyDescent="0.25">
      <c r="A79" s="38" t="s">
        <v>61</v>
      </c>
      <c r="B79" s="721"/>
      <c r="C79" s="722"/>
      <c r="D79" s="115" t="s">
        <v>253</v>
      </c>
      <c r="E79" s="751" t="s">
        <v>486</v>
      </c>
      <c r="F79" s="751"/>
      <c r="G79" s="698"/>
      <c r="H79" s="698"/>
      <c r="I79" s="698"/>
      <c r="J79" s="698"/>
      <c r="K79" s="696"/>
    </row>
    <row r="80" spans="1:13" ht="12" customHeight="1" x14ac:dyDescent="0.25">
      <c r="A80" s="38" t="s">
        <v>62</v>
      </c>
      <c r="B80" s="721"/>
      <c r="C80" s="722"/>
      <c r="D80" s="581">
        <v>45397</v>
      </c>
      <c r="E80" s="752" t="s">
        <v>605</v>
      </c>
      <c r="F80" s="753"/>
      <c r="G80" s="369"/>
      <c r="H80" s="370">
        <f>+G80/$G$86</f>
        <v>0</v>
      </c>
      <c r="I80" s="371">
        <f>+$L$59*H80</f>
        <v>0</v>
      </c>
      <c r="J80" s="372">
        <f>+G80+I80</f>
        <v>0</v>
      </c>
      <c r="K80" s="373">
        <f>IF(G80="",0,+I80/G80*365/_xlfn.DAYS($J$76,D80))</f>
        <v>0</v>
      </c>
    </row>
    <row r="81" spans="1:12" ht="12" customHeight="1" x14ac:dyDescent="0.25">
      <c r="A81" s="38" t="s">
        <v>63</v>
      </c>
      <c r="B81" s="721"/>
      <c r="C81" s="722"/>
      <c r="D81" s="581">
        <f>+D80+90</f>
        <v>45487</v>
      </c>
      <c r="E81" s="752" t="str">
        <f>+E80</f>
        <v>unknown</v>
      </c>
      <c r="F81" s="753"/>
      <c r="G81" s="369"/>
      <c r="H81" s="370">
        <f>+G81/$G$86</f>
        <v>0</v>
      </c>
      <c r="I81" s="371">
        <f>+$L$59*H81</f>
        <v>0</v>
      </c>
      <c r="J81" s="372">
        <f>+G81+I81</f>
        <v>0</v>
      </c>
      <c r="K81" s="373">
        <f>IF(G81="",0,+I81/G81*365/_xlfn.DAYS($J$76,D81))</f>
        <v>0</v>
      </c>
    </row>
    <row r="82" spans="1:12" ht="12" customHeight="1" x14ac:dyDescent="0.25">
      <c r="A82" s="38" t="s">
        <v>64</v>
      </c>
      <c r="B82" s="721"/>
      <c r="C82" s="722"/>
      <c r="D82" s="581">
        <f>+D81+270</f>
        <v>45757</v>
      </c>
      <c r="E82" s="752" t="str">
        <f>+E81</f>
        <v>unknown</v>
      </c>
      <c r="F82" s="753"/>
      <c r="G82" s="369"/>
      <c r="H82" s="370">
        <f>+G82/$G$86</f>
        <v>0</v>
      </c>
      <c r="I82" s="371">
        <f>+$L$59*H82</f>
        <v>0</v>
      </c>
      <c r="J82" s="372">
        <f>+G82+I82</f>
        <v>0</v>
      </c>
      <c r="K82" s="373">
        <f>IF(G82="",0,+I82/G82*365/_xlfn.DAYS($J$76,D82))</f>
        <v>0</v>
      </c>
    </row>
    <row r="83" spans="1:12" ht="12" customHeight="1" thickBot="1" x14ac:dyDescent="0.3">
      <c r="A83" s="38" t="s">
        <v>65</v>
      </c>
      <c r="B83" s="721"/>
      <c r="C83" s="722"/>
      <c r="D83" s="581">
        <f>+J76-120</f>
        <v>45811</v>
      </c>
      <c r="E83" s="752" t="str">
        <f>+E82</f>
        <v>unknown</v>
      </c>
      <c r="F83" s="753"/>
      <c r="G83" s="369"/>
      <c r="H83" s="370">
        <f>+G83/$G$86</f>
        <v>0</v>
      </c>
      <c r="I83" s="371">
        <f>+$L$59*H83</f>
        <v>0</v>
      </c>
      <c r="J83" s="372">
        <f>+G83+I83</f>
        <v>0</v>
      </c>
      <c r="K83" s="373">
        <f>IF(G83="",0,+I83/G83*365/_xlfn.DAYS($J$76,D83))</f>
        <v>0</v>
      </c>
    </row>
    <row r="84" spans="1:12" ht="12" customHeight="1" thickBot="1" x14ac:dyDescent="0.3">
      <c r="A84" s="38" t="s">
        <v>66</v>
      </c>
      <c r="B84" s="721">
        <v>200</v>
      </c>
      <c r="C84" s="722"/>
      <c r="D84" s="582">
        <v>45422</v>
      </c>
      <c r="E84" s="754" t="str">
        <f>+F1</f>
        <v>Heritage Management</v>
      </c>
      <c r="F84" s="755"/>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21"/>
      <c r="C85" s="722"/>
      <c r="D85" s="348" t="str">
        <f>+J75</f>
        <v>End Date</v>
      </c>
      <c r="E85" s="711" t="s">
        <v>603</v>
      </c>
      <c r="F85" s="712"/>
      <c r="G85" s="349">
        <f>+SUM(G79:G82)</f>
        <v>0</v>
      </c>
      <c r="H85" s="350">
        <f>+SUM(H79:H82)</f>
        <v>0</v>
      </c>
      <c r="I85" s="349">
        <f>+SUM(I79:I82)</f>
        <v>0</v>
      </c>
      <c r="J85" s="349">
        <f>+SUM(J79:J82)</f>
        <v>0</v>
      </c>
      <c r="K85" s="351">
        <f>AVERAGE(K79:K82)</f>
        <v>0</v>
      </c>
    </row>
    <row r="86" spans="1:12" ht="12" customHeight="1" thickBot="1" x14ac:dyDescent="0.3">
      <c r="A86" s="38" t="s">
        <v>68</v>
      </c>
      <c r="B86" s="721"/>
      <c r="C86" s="722"/>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21">
        <v>90</v>
      </c>
      <c r="C87" s="722"/>
      <c r="D87" s="710"/>
      <c r="E87" s="710"/>
    </row>
    <row r="88" spans="1:12" ht="12" customHeight="1" x14ac:dyDescent="0.2">
      <c r="A88" s="38" t="s">
        <v>565</v>
      </c>
      <c r="B88" s="721">
        <v>20</v>
      </c>
      <c r="C88" s="722"/>
      <c r="D88" s="710"/>
      <c r="E88" s="710"/>
    </row>
    <row r="89" spans="1:12" ht="12" customHeight="1" x14ac:dyDescent="0.2">
      <c r="A89" s="38" t="s">
        <v>70</v>
      </c>
      <c r="B89" s="721">
        <v>30</v>
      </c>
      <c r="C89" s="722"/>
      <c r="D89" s="710"/>
      <c r="E89" s="710"/>
    </row>
    <row r="90" spans="1:12" ht="12" customHeight="1" thickBot="1" x14ac:dyDescent="0.25">
      <c r="A90" s="38" t="s">
        <v>71</v>
      </c>
      <c r="B90" s="756"/>
      <c r="C90" s="757"/>
      <c r="D90" s="744"/>
      <c r="E90" s="745"/>
    </row>
    <row r="91" spans="1:12" ht="12" customHeight="1" thickBot="1" x14ac:dyDescent="0.25">
      <c r="D91" s="708">
        <f>+SUM(B73:C90)</f>
        <v>940</v>
      </c>
      <c r="E91" s="709"/>
      <c r="G91" s="678" t="s">
        <v>72</v>
      </c>
      <c r="H91" s="679"/>
      <c r="I91" s="679"/>
      <c r="J91" s="680"/>
      <c r="K91" s="680"/>
      <c r="L91" s="681"/>
    </row>
    <row r="92" spans="1:12" ht="12" customHeight="1" thickBot="1" x14ac:dyDescent="0.25">
      <c r="G92" s="682"/>
      <c r="H92" s="683"/>
      <c r="I92" s="683"/>
      <c r="J92" s="683"/>
      <c r="K92" s="683"/>
      <c r="L92" s="684"/>
    </row>
    <row r="93" spans="1:12" ht="12" customHeight="1" thickTop="1" thickBot="1" x14ac:dyDescent="0.25">
      <c r="A93" s="127" t="s">
        <v>73</v>
      </c>
      <c r="B93" s="125"/>
      <c r="C93" s="125"/>
      <c r="D93" s="125"/>
      <c r="E93" s="125"/>
    </row>
    <row r="94" spans="1:12" ht="12" customHeight="1" x14ac:dyDescent="0.2">
      <c r="A94" s="38" t="s">
        <v>57</v>
      </c>
      <c r="B94" s="737"/>
      <c r="C94" s="738"/>
      <c r="D94" s="710"/>
      <c r="E94" s="710"/>
    </row>
    <row r="95" spans="1:12" ht="12" customHeight="1" x14ac:dyDescent="0.2">
      <c r="A95" s="38" t="s">
        <v>59</v>
      </c>
      <c r="B95" s="721">
        <v>250</v>
      </c>
      <c r="C95" s="722"/>
      <c r="D95" s="710"/>
      <c r="E95" s="710"/>
    </row>
    <row r="96" spans="1:12" ht="12" customHeight="1" x14ac:dyDescent="0.2">
      <c r="A96" s="38" t="s">
        <v>74</v>
      </c>
      <c r="B96" s="721">
        <v>0</v>
      </c>
      <c r="C96" s="722"/>
      <c r="D96" s="710"/>
      <c r="E96" s="710"/>
    </row>
    <row r="97" spans="1:12" ht="12" customHeight="1" x14ac:dyDescent="0.2">
      <c r="A97" s="38" t="s">
        <v>75</v>
      </c>
      <c r="B97" s="721"/>
      <c r="C97" s="722"/>
      <c r="D97" s="710"/>
      <c r="E97" s="710"/>
    </row>
    <row r="98" spans="1:12" ht="12" customHeight="1" x14ac:dyDescent="0.2">
      <c r="A98" s="38" t="s">
        <v>69</v>
      </c>
      <c r="B98" s="721"/>
      <c r="C98" s="722"/>
      <c r="D98" s="710"/>
      <c r="E98" s="710"/>
    </row>
    <row r="99" spans="1:12" ht="12" customHeight="1" x14ac:dyDescent="0.2">
      <c r="A99" s="38" t="s">
        <v>76</v>
      </c>
      <c r="B99" s="721">
        <v>40</v>
      </c>
      <c r="C99" s="722"/>
      <c r="D99" s="710"/>
      <c r="E99" s="710"/>
    </row>
    <row r="100" spans="1:12" ht="12" customHeight="1" x14ac:dyDescent="0.2">
      <c r="A100" s="38" t="s">
        <v>77</v>
      </c>
      <c r="B100" s="721"/>
      <c r="C100" s="722"/>
      <c r="D100" s="710"/>
      <c r="E100" s="710"/>
    </row>
    <row r="101" spans="1:12" ht="12" customHeight="1" thickBot="1" x14ac:dyDescent="0.25">
      <c r="A101" s="38" t="s">
        <v>71</v>
      </c>
      <c r="B101" s="742"/>
      <c r="C101" s="743"/>
      <c r="D101" s="744"/>
      <c r="E101" s="745"/>
    </row>
    <row r="102" spans="1:12" ht="12" customHeight="1" thickTop="1" thickBot="1" x14ac:dyDescent="0.25">
      <c r="D102" s="708">
        <f>+SUM(B94:C101)</f>
        <v>290</v>
      </c>
      <c r="E102" s="709"/>
      <c r="G102" s="678" t="s">
        <v>78</v>
      </c>
      <c r="H102" s="679"/>
      <c r="I102" s="679"/>
      <c r="J102" s="680"/>
      <c r="K102" s="680"/>
      <c r="L102" s="681"/>
    </row>
    <row r="103" spans="1:12" ht="12" customHeight="1" thickBot="1" x14ac:dyDescent="0.25">
      <c r="G103" s="682"/>
      <c r="H103" s="683"/>
      <c r="I103" s="683"/>
      <c r="J103" s="683"/>
      <c r="K103" s="683"/>
      <c r="L103" s="68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F64:K64"/>
    <mergeCell ref="F66:K66"/>
    <mergeCell ref="E57:F57"/>
    <mergeCell ref="H56:I56"/>
    <mergeCell ref="B9:C9"/>
    <mergeCell ref="B27:C27"/>
    <mergeCell ref="L2:L3"/>
    <mergeCell ref="D3:E3"/>
    <mergeCell ref="F3:G3"/>
    <mergeCell ref="B4:C4"/>
    <mergeCell ref="B6:C6"/>
    <mergeCell ref="D11:K11"/>
    <mergeCell ref="C10:D10"/>
    <mergeCell ref="F1:M1"/>
    <mergeCell ref="J3:K3"/>
    <mergeCell ref="H3:I3"/>
    <mergeCell ref="H14:K14"/>
    <mergeCell ref="M7:M8"/>
    <mergeCell ref="L29:M30"/>
    <mergeCell ref="L14:M17"/>
    <mergeCell ref="L7:L8"/>
    <mergeCell ref="L9:L10"/>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B94:C94"/>
    <mergeCell ref="D94:E94"/>
    <mergeCell ref="B95:C95"/>
    <mergeCell ref="D95:E95"/>
    <mergeCell ref="B90:C90"/>
    <mergeCell ref="D90:E90"/>
    <mergeCell ref="B86:C86"/>
    <mergeCell ref="B87:C87"/>
    <mergeCell ref="B89:C89"/>
    <mergeCell ref="D91:E91"/>
    <mergeCell ref="D89:E89"/>
    <mergeCell ref="B88:C88"/>
    <mergeCell ref="D88:E8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s>
  <conditionalFormatting sqref="F19">
    <cfRule type="expression" dxfId="32" priority="33">
      <formula>IF(B1="flip",-C19,0)</formula>
    </cfRule>
  </conditionalFormatting>
  <conditionalFormatting sqref="K9">
    <cfRule type="expression" dxfId="31" priority="31">
      <formula>IF(OR(C1="Hold",D1="Slow Flip"),+B9,"")</formula>
    </cfRule>
  </conditionalFormatting>
  <conditionalFormatting sqref="B60">
    <cfRule type="expression" dxfId="30" priority="28">
      <formula>IF(OR(C1="Hold",D1="slow flip"),0.15,0)</formula>
    </cfRule>
  </conditionalFormatting>
  <conditionalFormatting sqref="F17">
    <cfRule type="expression" dxfId="29" priority="22">
      <formula>IF(T5=3,-C17,0)</formula>
    </cfRule>
  </conditionalFormatting>
  <conditionalFormatting sqref="F49">
    <cfRule type="expression" dxfId="28" priority="18">
      <formula>OR(T3=1,T3=2)</formula>
    </cfRule>
  </conditionalFormatting>
  <conditionalFormatting sqref="F48">
    <cfRule type="expression" dxfId="27" priority="17">
      <formula>OR(T3=1,T3=2)</formula>
    </cfRule>
  </conditionalFormatting>
  <conditionalFormatting sqref="I6:I7">
    <cfRule type="expression" dxfId="26" priority="15">
      <formula>IF(OR(U3=1,U3=2),$B$6,0)</formula>
    </cfRule>
  </conditionalFormatting>
  <conditionalFormatting sqref="I8">
    <cfRule type="expression" dxfId="25" priority="70">
      <formula>U3=2</formula>
    </cfRule>
  </conditionalFormatting>
  <conditionalFormatting sqref="C22">
    <cfRule type="expression" dxfId="24" priority="100">
      <formula>IF(C1="Hold",+B4*B22,0)</formula>
    </cfRule>
  </conditionalFormatting>
  <conditionalFormatting sqref="F22">
    <cfRule type="expression" dxfId="23" priority="101">
      <formula>IF(OR(C1="hold",D1="slow flip"),-C22,"")</formula>
    </cfRule>
  </conditionalFormatting>
  <conditionalFormatting sqref="J22">
    <cfRule type="expression" dxfId="22" priority="102">
      <formula>IF(OR(C1="hold",C4="slow flip"),IPMT(B23/12,1,C23*12,C22),PMT(B23/12,12*C23,C22))</formula>
    </cfRule>
  </conditionalFormatting>
  <conditionalFormatting sqref="E22">
    <cfRule type="expression" dxfId="21" priority="104">
      <formula>IF(C1="hold",C22-C15-C19-C28-B45,0)</formula>
    </cfRule>
  </conditionalFormatting>
  <conditionalFormatting sqref="J58">
    <cfRule type="expression" dxfId="20" priority="105">
      <formula>IF(OR(C1="Hold",D1="slow Flip"),C50,0)</formula>
    </cfRule>
  </conditionalFormatting>
  <conditionalFormatting sqref="M61">
    <cfRule type="expression" dxfId="19" priority="106">
      <formula>IF(C1="Hold",-$B$60*M59,0)</formula>
    </cfRule>
  </conditionalFormatting>
  <conditionalFormatting sqref="G7">
    <cfRule type="expression" dxfId="18" priority="13">
      <formula>$T$3=3</formula>
    </cfRule>
  </conditionalFormatting>
  <conditionalFormatting sqref="A9">
    <cfRule type="expression" dxfId="17" priority="10">
      <formula>"(R3=3)"</formula>
    </cfRule>
  </conditionalFormatting>
  <conditionalFormatting sqref="C7">
    <cfRule type="expression" dxfId="16" priority="135">
      <formula>IF(C1048571="Hold",+B1048574*B7,0)</formula>
    </cfRule>
  </conditionalFormatting>
  <conditionalFormatting sqref="D43:D47">
    <cfRule type="expression" dxfId="15" priority="139">
      <formula>IF(OR(T5=1,T5=2),-B43,0)</formula>
    </cfRule>
  </conditionalFormatting>
  <conditionalFormatting sqref="D37">
    <cfRule type="expression" dxfId="14" priority="4">
      <formula>IF(OR(T3=1,T3=2),-B37,0)</formula>
    </cfRule>
  </conditionalFormatting>
  <conditionalFormatting sqref="D38:D42">
    <cfRule type="expression" dxfId="13" priority="5">
      <formula>IF(OR(T5=1,T5=2),-B38,0)</formula>
    </cfRule>
  </conditionalFormatting>
  <conditionalFormatting sqref="H6">
    <cfRule type="expression" dxfId="12" priority="141">
      <formula>IF(OR(U3=1,U3=2),$B$6,0)</formula>
    </cfRule>
  </conditionalFormatting>
  <conditionalFormatting sqref="H8">
    <cfRule type="expression" dxfId="11" priority="143">
      <formula>U3=2</formula>
    </cfRule>
  </conditionalFormatting>
  <conditionalFormatting sqref="H7">
    <cfRule type="expression" dxfId="10" priority="3">
      <formula>IF(OR(U4=1,U4=2),$B$6,0)</formula>
    </cfRule>
  </conditionalFormatting>
  <conditionalFormatting sqref="I15:I52">
    <cfRule type="expression" dxfId="9" priority="1">
      <formula>IF(OR(U12=1,U12=2),$B$6,0)</formula>
    </cfRule>
  </conditionalFormatting>
  <conditionalFormatting sqref="D11">
    <cfRule type="expression" dxfId="8" priority="133">
      <formula>IF(T3=3,+#REF!,0)</formula>
    </cfRule>
  </conditionalFormatting>
  <conditionalFormatting sqref="H13">
    <cfRule type="expression" dxfId="7" priority="145">
      <formula>IF(U3=3,+#REF!,0)</formula>
    </cfRule>
  </conditionalFormatting>
  <conditionalFormatting sqref="H12">
    <cfRule type="expression" dxfId="6"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20" activePane="bottomLeft" state="frozen"/>
      <selection pane="bottomLeft" activeCell="A3" sqref="A3:B3"/>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8.42578125" style="276"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1:42" ht="15.75" thickBot="1" x14ac:dyDescent="0.3">
      <c r="N1" s="329"/>
      <c r="O1" s="627"/>
      <c r="P1" s="627"/>
      <c r="Q1" s="627"/>
      <c r="R1" s="627"/>
      <c r="S1" s="617">
        <v>1</v>
      </c>
      <c r="T1" s="13"/>
      <c r="Z1" s="329"/>
      <c r="AA1" s="456"/>
      <c r="AD1" s="14"/>
      <c r="AE1" s="13"/>
      <c r="AJ1" s="276"/>
      <c r="AK1" s="276"/>
      <c r="AL1" s="276"/>
      <c r="AM1" s="276"/>
      <c r="AP1"/>
    </row>
    <row r="2" spans="1:42" ht="15.75" thickBot="1" x14ac:dyDescent="0.3">
      <c r="A2" s="642" t="s">
        <v>595</v>
      </c>
      <c r="B2" s="669"/>
      <c r="C2" s="669"/>
      <c r="D2" s="670"/>
      <c r="J2" s="2" t="s">
        <v>1139</v>
      </c>
      <c r="K2" s="634">
        <v>0</v>
      </c>
      <c r="L2" s="635"/>
      <c r="N2" s="30" t="s">
        <v>1140</v>
      </c>
      <c r="O2" s="572">
        <f>IF($S$1=1,P2,IF($S$1=2,Q2,IF($S$1=3,R2)))</f>
        <v>0.05</v>
      </c>
      <c r="P2" s="573">
        <v>0.05</v>
      </c>
      <c r="Q2" s="573">
        <v>0.05</v>
      </c>
      <c r="R2" s="573">
        <v>0.05</v>
      </c>
      <c r="U2" s="14"/>
      <c r="V2" s="456" t="s">
        <v>1151</v>
      </c>
      <c r="W2" s="458">
        <v>134.16999999999999</v>
      </c>
      <c r="Z2" s="642" t="s">
        <v>1177</v>
      </c>
      <c r="AA2" s="643"/>
      <c r="AB2" s="644"/>
      <c r="AC2" s="645"/>
      <c r="AJ2" s="276"/>
      <c r="AK2" s="276"/>
      <c r="AL2" s="276"/>
      <c r="AM2" s="276"/>
      <c r="AP2"/>
    </row>
    <row r="3" spans="1:42" ht="15.75" thickBot="1" x14ac:dyDescent="0.3">
      <c r="A3" s="671" t="s">
        <v>1195</v>
      </c>
      <c r="B3" s="672"/>
      <c r="C3" s="465">
        <f>+Profit!C15</f>
        <v>97228</v>
      </c>
      <c r="D3" s="631"/>
      <c r="J3" s="30" t="s">
        <v>1141</v>
      </c>
      <c r="K3" s="636">
        <v>0.1</v>
      </c>
      <c r="L3" s="637"/>
      <c r="N3" s="30" t="s">
        <v>1142</v>
      </c>
      <c r="O3" s="384">
        <f>IF($S$1=1,P3,IF($S$1=2,Q3,IF($S$1=3,R3)))</f>
        <v>346500</v>
      </c>
      <c r="P3" s="574">
        <f>+Profit!$B$4*(1++P2)</f>
        <v>346500</v>
      </c>
      <c r="Q3" s="385">
        <f>+Profit!$B$4*(1++Q2)</f>
        <v>346500</v>
      </c>
      <c r="R3" s="386">
        <f>+Profit!$B$4*(1++R2)</f>
        <v>346500</v>
      </c>
      <c r="U3" s="14"/>
      <c r="V3" s="456" t="s">
        <v>1152</v>
      </c>
      <c r="W3" s="458">
        <v>188.55</v>
      </c>
      <c r="Z3" s="646" t="s">
        <v>1178</v>
      </c>
      <c r="AA3" s="647"/>
      <c r="AB3" s="648"/>
      <c r="AC3" s="628">
        <f>cfdRate1Payment</f>
        <v>645.28</v>
      </c>
      <c r="AJ3" s="276"/>
      <c r="AK3" s="276"/>
      <c r="AL3" s="276"/>
      <c r="AM3" s="276"/>
      <c r="AP3"/>
    </row>
    <row r="4" spans="1:42" ht="15.75" thickBot="1" x14ac:dyDescent="0.3">
      <c r="A4" s="671" t="s">
        <v>591</v>
      </c>
      <c r="B4" s="672"/>
      <c r="C4" s="441">
        <f>+Profit!B15</f>
        <v>3.7499999999999999E-2</v>
      </c>
      <c r="D4" s="315"/>
      <c r="J4" s="30"/>
      <c r="K4" s="30"/>
      <c r="L4" s="30"/>
      <c r="N4" s="30" t="s">
        <v>1144</v>
      </c>
      <c r="O4" s="384">
        <f>IF($S$1=1,P4,IF($S$1=2,Q4,IF($S$1=3,R4)))</f>
        <v>34650</v>
      </c>
      <c r="P4" s="574">
        <f>+$O$3*$K$3</f>
        <v>34650</v>
      </c>
      <c r="Q4" s="385">
        <f>+$O$3*$K$3</f>
        <v>34650</v>
      </c>
      <c r="R4" s="386">
        <f>+$O$3*$K$3</f>
        <v>34650</v>
      </c>
      <c r="U4" s="14"/>
      <c r="V4" s="456" t="s">
        <v>1155</v>
      </c>
      <c r="W4" s="457">
        <f>+O9+W2+W3</f>
        <v>968</v>
      </c>
      <c r="Z4" s="646" t="s">
        <v>1179</v>
      </c>
      <c r="AA4" s="647"/>
      <c r="AB4" s="648"/>
      <c r="AC4" s="629">
        <f>cfdRate2Payment</f>
        <v>659.9</v>
      </c>
      <c r="AJ4" s="276"/>
      <c r="AK4" s="276"/>
      <c r="AL4" s="276"/>
      <c r="AM4" s="276"/>
      <c r="AO4" s="460"/>
      <c r="AP4" s="14"/>
    </row>
    <row r="5" spans="1:42" ht="15.75" thickBot="1" x14ac:dyDescent="0.3">
      <c r="A5" s="671" t="s">
        <v>1196</v>
      </c>
      <c r="B5" s="672"/>
      <c r="C5" s="465">
        <f>subjectRemainingMonths/12</f>
        <v>17.75</v>
      </c>
      <c r="D5" s="465">
        <f>DATEDIF(subjectKnownBalanceDate,subjectMortgageEndDate,"m")+1</f>
        <v>213</v>
      </c>
      <c r="J5" s="30"/>
      <c r="K5" s="30"/>
      <c r="L5" s="30"/>
      <c r="N5" s="30" t="s">
        <v>1161</v>
      </c>
      <c r="O5" s="384">
        <f>+'Trade Properties'!R8</f>
        <v>236592</v>
      </c>
      <c r="P5" s="574">
        <f>+O5</f>
        <v>236592</v>
      </c>
      <c r="Q5" s="385">
        <f>+O5</f>
        <v>236592</v>
      </c>
      <c r="R5" s="386">
        <f>+O5</f>
        <v>236592</v>
      </c>
      <c r="U5" s="460"/>
      <c r="V5" s="460"/>
      <c r="W5" s="460"/>
      <c r="Z5" s="646" t="s">
        <v>1180</v>
      </c>
      <c r="AA5" s="647"/>
      <c r="AB5" s="648"/>
      <c r="AC5" s="629">
        <f>IFERROR(_xlfn.XLOOKUP(cfdFirstRateMonths-1,tblContractForDeed[Period],tblContractForDeed[End Bal]),"")</f>
        <v>57470.46</v>
      </c>
      <c r="AJ5" s="22"/>
      <c r="AK5"/>
    </row>
    <row r="6" spans="1:42" ht="15.75" thickBot="1" x14ac:dyDescent="0.3">
      <c r="A6" s="671" t="s">
        <v>590</v>
      </c>
      <c r="B6" s="672"/>
      <c r="C6" s="457">
        <f>ROUND(PMT(subjectInterestRate/12,subjectRemainingMonths,-subjectKnownBalance,0),2)</f>
        <v>625.80999999999995</v>
      </c>
      <c r="D6" s="315"/>
      <c r="N6" s="30" t="s">
        <v>1145</v>
      </c>
      <c r="O6" s="384">
        <f>IF($S$1=1,P6,IF($S$1=2,Q6,IF($S$1=3,R6)))</f>
        <v>75258</v>
      </c>
      <c r="P6" s="574">
        <f>+P3-P4-$O$5</f>
        <v>75258</v>
      </c>
      <c r="Q6" s="385">
        <f t="shared" ref="Q6:R6" si="0">+Q3-Q4-$O$5</f>
        <v>75258</v>
      </c>
      <c r="R6" s="386">
        <f t="shared" si="0"/>
        <v>75258</v>
      </c>
      <c r="U6" s="460"/>
      <c r="V6" s="460"/>
      <c r="W6" s="460"/>
      <c r="Z6" s="646" t="s">
        <v>1181</v>
      </c>
      <c r="AA6" s="647"/>
      <c r="AB6" s="648"/>
      <c r="AC6" s="629">
        <f>IFERROR(_xlfn.XLOOKUP(12,tblScheduleIndex[Period],tblBuyerOutputs[Monthly Cash Flow]),"")</f>
        <v>19.470000000000027</v>
      </c>
      <c r="AJ6" s="22"/>
      <c r="AK6"/>
    </row>
    <row r="7" spans="1:42" ht="15.75" thickBot="1" x14ac:dyDescent="0.3">
      <c r="A7" s="671" t="s">
        <v>1197</v>
      </c>
      <c r="B7" s="672"/>
      <c r="C7" s="576">
        <v>45870</v>
      </c>
      <c r="D7" s="315"/>
      <c r="N7" s="30" t="s">
        <v>1146</v>
      </c>
      <c r="P7" s="575">
        <v>2.5000000000000001E-2</v>
      </c>
      <c r="Q7" s="575">
        <v>3.5000000000000003E-2</v>
      </c>
      <c r="R7" s="575">
        <v>3.2500000000000001E-2</v>
      </c>
      <c r="U7" s="460"/>
      <c r="V7" s="460"/>
      <c r="W7" s="460"/>
      <c r="Z7" s="646" t="s">
        <v>1182</v>
      </c>
      <c r="AA7" s="647"/>
      <c r="AB7" s="648"/>
      <c r="AC7" s="629">
        <f>IFERROR(_xlfn.XLOOKUP(cfdFirstRateMonths-1,tblContractForDeed[Period],tblBuyerOutputs[Cumulative Cash Flow]),"")</f>
        <v>687.64000000000169</v>
      </c>
      <c r="AJ7" s="22"/>
      <c r="AK7"/>
    </row>
    <row r="8" spans="1:42" ht="15.75" thickBot="1" x14ac:dyDescent="0.3">
      <c r="A8" s="677" t="s">
        <v>1148</v>
      </c>
      <c r="B8" s="641"/>
      <c r="C8" s="576">
        <v>52322</v>
      </c>
      <c r="D8" s="509"/>
      <c r="N8" s="30" t="s">
        <v>1173</v>
      </c>
      <c r="O8" s="441">
        <f>IF($S$1=1,P8,IF($S$1=2,Q8,IF($S$1=3,R8)))</f>
        <v>6.25E-2</v>
      </c>
      <c r="P8" s="577">
        <f>+$C$4+P7</f>
        <v>6.25E-2</v>
      </c>
      <c r="Q8" s="578">
        <f>+$C$4+Q7</f>
        <v>7.2500000000000009E-2</v>
      </c>
      <c r="R8" s="579">
        <f>+$C$4+R7</f>
        <v>7.0000000000000007E-2</v>
      </c>
      <c r="U8" s="444" t="str">
        <f>"Rate 1 Payment at "&amp;TEXT($O$8,"0.00%")</f>
        <v>Rate 1 Payment at 6.25%</v>
      </c>
      <c r="V8" s="384">
        <f>IF(cfdContractMonths&lt;=0,0,ROUND(PMT(cfdRate1/12,cfdContractMonths,-$O$6,0),2))</f>
        <v>645.28</v>
      </c>
      <c r="Z8" s="646" t="s">
        <v>1183</v>
      </c>
      <c r="AA8" s="647"/>
      <c r="AB8" s="648"/>
      <c r="AC8" s="629">
        <f>IFERROR(_xlfn.XLOOKUP(cfdFirstRateMonths-1,tblContractForDeed[Period],tblBuyerOutputs[Monthly Appr]),"")</f>
        <v>0</v>
      </c>
      <c r="AJ8" s="22"/>
      <c r="AK8"/>
    </row>
    <row r="9" spans="1:42" ht="15.75" thickBot="1" x14ac:dyDescent="0.3">
      <c r="N9" s="30" t="s">
        <v>1149</v>
      </c>
      <c r="O9" s="384">
        <f>IF($P$14&lt;=0,0,ROUND(PMT($O$8/12,$P$14,-$O$6,0),2))</f>
        <v>645.28</v>
      </c>
      <c r="P9" s="574">
        <f>IF($P$14&lt;=0,0,ROUND(PMT(P8/12,$P$14,-P6,0),2))</f>
        <v>645.28</v>
      </c>
      <c r="Q9" s="385">
        <f>IF($P$14&lt;=0,0,ROUND(PMT(Q8/12,$P$14,-Q6,0),2))</f>
        <v>687</v>
      </c>
      <c r="R9" s="386">
        <f>IF($P$14&lt;=0,0,ROUND(PMT(R8/12,$P$14,-R6,0),2))</f>
        <v>676.44</v>
      </c>
      <c r="Z9" s="646" t="s">
        <v>1184</v>
      </c>
      <c r="AA9" s="647"/>
      <c r="AB9" s="648"/>
      <c r="AC9" s="629">
        <f>IFERROR(_xlfn.XLOOKUP(cfdFirstRateMonths-1,tblContractForDeed[Period],tblBuyerOutputs[Cumul Appr]),"")</f>
        <v>0</v>
      </c>
      <c r="AH9" s="22"/>
      <c r="AI9" s="22"/>
      <c r="AJ9" s="22"/>
      <c r="AK9"/>
    </row>
    <row r="10" spans="1:42" ht="15.75" thickBot="1" x14ac:dyDescent="0.3">
      <c r="N10" s="30" t="s">
        <v>1189</v>
      </c>
      <c r="P10" s="575">
        <v>0.03</v>
      </c>
      <c r="Q10" s="575">
        <v>3.5000000000000003E-2</v>
      </c>
      <c r="R10" s="575">
        <v>0.04</v>
      </c>
      <c r="Z10" s="649" t="s">
        <v>1185</v>
      </c>
      <c r="AA10" s="650"/>
      <c r="AB10" s="651"/>
      <c r="AC10" s="630">
        <f>cfdFirstRateMonths</f>
        <v>60</v>
      </c>
      <c r="AH10" s="22"/>
      <c r="AI10" s="22"/>
      <c r="AJ10" s="22"/>
      <c r="AK10"/>
    </row>
    <row r="11" spans="1:42" ht="15.75" thickBot="1" x14ac:dyDescent="0.3">
      <c r="N11" s="30" t="s">
        <v>1174</v>
      </c>
      <c r="O11" s="441">
        <f>IF($S$1=1,P11,IF($S$1=2,Q11,IF($S$1=3,R11)))</f>
        <v>6.7500000000000004E-2</v>
      </c>
      <c r="P11" s="577">
        <f>+$C$4+P10</f>
        <v>6.7500000000000004E-2</v>
      </c>
      <c r="Q11" s="429">
        <f>+$C$4+Q10</f>
        <v>7.2500000000000009E-2</v>
      </c>
      <c r="R11" s="430">
        <f>+$C$4+R10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1:42" ht="15.75" thickBot="1" x14ac:dyDescent="0.3">
      <c r="N12" s="30"/>
      <c r="O12" s="384"/>
      <c r="P12" s="574"/>
      <c r="Q12" s="607"/>
      <c r="R12" s="608"/>
      <c r="T12" s="13"/>
      <c r="AC12"/>
      <c r="AH12" s="22"/>
      <c r="AI12" s="22"/>
      <c r="AJ12" s="22"/>
      <c r="AK12"/>
    </row>
    <row r="13" spans="1:42" ht="15.75" thickBot="1" x14ac:dyDescent="0.3">
      <c r="H13" s="640" t="s">
        <v>1153</v>
      </c>
      <c r="I13" s="641"/>
      <c r="J13" s="616">
        <v>46204</v>
      </c>
      <c r="K13" s="640" t="s">
        <v>1187</v>
      </c>
      <c r="L13" s="673"/>
      <c r="M13" s="673"/>
      <c r="N13" s="641"/>
      <c r="O13" s="464">
        <v>5</v>
      </c>
      <c r="P13" s="465">
        <f>+O13*12</f>
        <v>60</v>
      </c>
      <c r="Q13" s="640" t="s">
        <v>1186</v>
      </c>
      <c r="R13" s="641"/>
      <c r="S13" s="652">
        <f>EDATE(J13,P13)</f>
        <v>48030</v>
      </c>
      <c r="T13" s="653"/>
      <c r="AC13"/>
      <c r="AH13" s="22"/>
      <c r="AI13" s="22"/>
      <c r="AJ13" s="22"/>
      <c r="AK13"/>
    </row>
    <row r="14" spans="1:42" ht="15.75" thickBot="1" x14ac:dyDescent="0.3">
      <c r="K14" s="640" t="s">
        <v>1188</v>
      </c>
      <c r="L14" s="673"/>
      <c r="M14" s="673"/>
      <c r="N14" s="641"/>
      <c r="O14" s="464">
        <v>15</v>
      </c>
      <c r="P14" s="465">
        <f>+O14*12</f>
        <v>180</v>
      </c>
      <c r="Q14" s="640" t="s">
        <v>1154</v>
      </c>
      <c r="R14" s="641"/>
      <c r="S14" s="652">
        <f>EDATE(J13,P14-1)</f>
        <v>51653</v>
      </c>
      <c r="T14" s="653"/>
      <c r="AC14"/>
      <c r="AH14" s="22"/>
      <c r="AI14" s="22"/>
      <c r="AJ14" s="22"/>
      <c r="AK14"/>
    </row>
    <row r="15" spans="1:42" ht="15" customHeight="1" x14ac:dyDescent="0.25">
      <c r="Z15" s="460"/>
      <c r="AA15" s="460"/>
      <c r="AE15" s="14"/>
    </row>
    <row r="16" spans="1:42" ht="15.75" thickBot="1" x14ac:dyDescent="0.3">
      <c r="O16" s="276"/>
      <c r="P16" s="276"/>
      <c r="Q16" s="276"/>
      <c r="R16" s="276"/>
      <c r="S16" s="276"/>
      <c r="T16" s="276"/>
      <c r="Z16" s="611"/>
      <c r="AA16" s="456"/>
      <c r="AE16" s="14"/>
      <c r="AJ16" s="431"/>
      <c r="AK16" s="431"/>
      <c r="AL16" s="431"/>
      <c r="AM16" s="276"/>
    </row>
    <row r="17" spans="1:44" ht="15.75" thickBot="1" x14ac:dyDescent="0.3">
      <c r="A17" s="674" t="s">
        <v>1194</v>
      </c>
      <c r="B17" s="675"/>
      <c r="C17" s="675"/>
      <c r="D17" s="675"/>
      <c r="E17" s="675"/>
      <c r="F17" s="675"/>
      <c r="G17" s="675"/>
      <c r="H17" s="675"/>
      <c r="I17" s="675"/>
      <c r="J17" s="675"/>
      <c r="K17" s="676"/>
      <c r="N17" s="460"/>
      <c r="O17" s="674" t="str">
        <f>"Official Contract for Deed Schedule: "&amp;TEXT($O$8,"0.00%")&amp;" for first "&amp;$O$13&amp;" years, then "&amp;TEXT($O$11,"0.00%")</f>
        <v>Official Contract for Deed Schedule: 6.25% for first 5 years, then 6.75%</v>
      </c>
      <c r="P17" s="675"/>
      <c r="Q17" s="675"/>
      <c r="R17" s="675"/>
      <c r="S17" s="675"/>
      <c r="T17" s="675"/>
      <c r="U17" s="675"/>
      <c r="V17" s="675"/>
      <c r="W17" s="675"/>
      <c r="X17" s="675"/>
      <c r="Y17" s="676"/>
      <c r="Z17" s="674" t="s">
        <v>1193</v>
      </c>
      <c r="AA17" s="675"/>
      <c r="AB17" s="675"/>
      <c r="AC17" s="675"/>
      <c r="AD17" s="675"/>
      <c r="AE17" s="676"/>
    </row>
    <row r="18" spans="1:44" ht="15" customHeight="1" thickBot="1" x14ac:dyDescent="0.3">
      <c r="A18" s="971"/>
      <c r="B18" s="969"/>
      <c r="C18" s="654" t="s">
        <v>658</v>
      </c>
      <c r="D18" s="655"/>
      <c r="E18" s="656"/>
      <c r="F18" s="656"/>
      <c r="G18" s="656"/>
      <c r="H18" s="657"/>
      <c r="I18" s="658" t="s">
        <v>655</v>
      </c>
      <c r="J18" s="659"/>
      <c r="K18" s="969"/>
      <c r="L18" s="658" t="s">
        <v>1190</v>
      </c>
      <c r="M18" s="667"/>
      <c r="N18" s="668"/>
      <c r="O18" s="466"/>
      <c r="P18" s="618"/>
      <c r="Q18" s="660" t="s">
        <v>658</v>
      </c>
      <c r="R18" s="661"/>
      <c r="S18" s="662"/>
      <c r="T18" s="662"/>
      <c r="U18" s="662"/>
      <c r="V18" s="663"/>
      <c r="W18" s="660" t="s">
        <v>655</v>
      </c>
      <c r="X18" s="664"/>
      <c r="Y18" s="968"/>
      <c r="Z18" s="665" t="s">
        <v>1175</v>
      </c>
      <c r="AA18" s="666"/>
      <c r="AB18" s="967" t="s">
        <v>1169</v>
      </c>
      <c r="AC18" s="959"/>
      <c r="AD18" s="959"/>
      <c r="AE18" s="668"/>
    </row>
    <row r="19" spans="1:44" ht="45.75" thickBot="1" x14ac:dyDescent="0.3">
      <c r="A19" s="461" t="s">
        <v>253</v>
      </c>
      <c r="B19" s="619" t="s">
        <v>1198</v>
      </c>
      <c r="C19" s="620" t="s">
        <v>200</v>
      </c>
      <c r="D19" s="621" t="s">
        <v>659</v>
      </c>
      <c r="E19" s="620" t="s">
        <v>656</v>
      </c>
      <c r="F19" s="620" t="s">
        <v>663</v>
      </c>
      <c r="G19" s="620" t="s">
        <v>661</v>
      </c>
      <c r="H19" s="620" t="s">
        <v>660</v>
      </c>
      <c r="I19" s="622" t="s">
        <v>1191</v>
      </c>
      <c r="J19" s="622" t="s">
        <v>1192</v>
      </c>
      <c r="K19" s="623" t="s">
        <v>1199</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1182</v>
      </c>
      <c r="AD19" s="619" t="s">
        <v>1171</v>
      </c>
      <c r="AE19" s="619" t="s">
        <v>1172</v>
      </c>
      <c r="AF19" s="22"/>
      <c r="AG19" s="14"/>
      <c r="AL19"/>
      <c r="AM19" s="14"/>
      <c r="AO19" s="276"/>
      <c r="AQ19" s="14"/>
      <c r="AR19"/>
    </row>
    <row r="20" spans="1:44" x14ac:dyDescent="0.25">
      <c r="A20" s="613">
        <f>IF(ROW()=ROW(tblSubjectToLoan[#Headers])+1,subjectKnownBalanceDate,IF(OR(INDEX(tblSubjectToLoan[Date],ROW()-ROW(tblSubjectToLoan[#Headers])-1)="",INDEX(tblSubjectToLoan[Date],ROW()-ROW(tblSubjectToLoan[#Headers])-1)&gt;=subjectMortgageEndDate),"",EDATE(INDEX(tblSubjectToLoan[Date],ROW()-ROW(tblSubjectToLoan[#Headers])-1),1)))</f>
        <v>45870</v>
      </c>
      <c r="B20" s="276">
        <f>IF(tblSubjectToLoan[[#This Row],[Date]]="",0,IF(ROW()=ROW(tblSubjectToLoan[#Headers])+1,subjectKnownBalance,MAX(0,INDEX(tblSubjectToLoan[Ending Balance],ROW()-ROW(tblSubjectToLoan[#Headers])-1))))</f>
        <v>97228</v>
      </c>
      <c r="C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 s="14">
        <f>IF(tblSubjectToLoan[[#This Row],[Payment]]=0,0,MAX(0,MIN(tblSubjectToLoan[[#This Row],[Beginning Balance]],tblSubjectToLoan[[#This Row],[Payment]]-tblSubjectToLoan[[#This Row],[Int]])))</f>
        <v>321.96999999999997</v>
      </c>
      <c r="E20" s="14">
        <f>IF(tblSubjectToLoan[[#This Row],[Date]]="",0,ROUND(tblSubjectToLoan[[#This Row],[Beginning Balance]]*(subjectInterestRate/12),2))</f>
        <v>303.83999999999997</v>
      </c>
      <c r="H20" s="14">
        <f>SUM(tblSubjectToLoan[[#This Row],[Princ]],tblSubjectToLoan[[#This Row],[Int]],tblSubjectToLoan[[#This Row],[Ins]],tblSubjectToLoan[[#This Row],[Taxes]])</f>
        <v>625.80999999999995</v>
      </c>
      <c r="I20" s="276">
        <f>IF(tblSubjectToLoan[[#This Row],[Date]]="",IF(ROW()=ROW(tblSubjectToLoan[#Headers])+1,0,INDEX(tblSubjectToLoan[Principal],ROW()-ROW(tblSubjectToLoan[#Headers])-1)),tblSubjectToLoan[[#This Row],[Princ]]+IF(ROW()=ROW(tblSubjectToLoan[#Headers])+1,0,INDEX(tblSubjectToLoan[Principal],ROW()-ROW(tblSubjectToLoan[#Headers])-1)))</f>
        <v>321.96999999999997</v>
      </c>
      <c r="J20" s="276">
        <f>IF(tblSubjectToLoan[[#This Row],[Date]]="",IF(ROW()=ROW(tblSubjectToLoan[#Headers])+1,0,INDEX(tblSubjectToLoan[Interest],ROW()-ROW(tblSubjectToLoan[#Headers])-1)),tblSubjectToLoan[[#This Row],[Int]]+IF(ROW()=ROW(tblSubjectToLoan[#Headers])+1,0,INDEX(tblSubjectToLoan[Interest],ROW()-ROW(tblSubjectToLoan[#Headers])-1)))</f>
        <v>303.83999999999997</v>
      </c>
      <c r="K20" s="969">
        <f>IF(tblSubjectToLoan[[#This Row],[Date]]="",0,MAX(0,tblSubjectToLoan[[#This Row],[Beginning Balance]]-tblSubjectToLoan[[#This Row],[Princ]]))</f>
        <v>96906.03</v>
      </c>
      <c r="L20" s="394">
        <f t="shared" ref="L20:L83" si="1">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0" s="276">
        <f>IF(INDEX(tblContractForDeed[End Bal],ROW()-ROW(tblBuyerOutputs[#Headers]))&lt;=0,0,($O$6+IF(ROW()=ROW(tblBuyerOutputs[#Headers])+1,0,INDEX(tblBuyerOutputs[Cumul Appr],ROW()-ROW(tblBuyerOutputs[#Headers])-1)))*$O$2/12)</f>
        <v>0</v>
      </c>
      <c r="AE20" s="276">
        <f>IF(INDEX(tblContractForDeed[End Bal],ROW()-ROW(tblBuyerOutputs[#Headers]))&lt;=0,0,IF(ROW()=ROW(tblBuyerOutputs[#Headers])+1,0,INDEX(tblBuyerOutputs[Cumul Appr],ROW()-ROW(tblBuyerOutputs[#Headers])-1))+tblBuyerOutputs[[#This Row],[Monthly Appr]])</f>
        <v>0</v>
      </c>
      <c r="AF20" s="22"/>
      <c r="AG20" s="14"/>
      <c r="AL20"/>
      <c r="AM20" s="14"/>
      <c r="AO20" s="276"/>
      <c r="AQ20" s="14"/>
      <c r="AR20"/>
    </row>
    <row r="21" spans="1:44" x14ac:dyDescent="0.25">
      <c r="A21" s="613">
        <f>IF(ROW()=ROW(tblSubjectToLoan[#Headers])+1,subjectKnownBalanceDate,IF(OR(INDEX(tblSubjectToLoan[Date],ROW()-ROW(tblSubjectToLoan[#Headers])-1)="",INDEX(tblSubjectToLoan[Date],ROW()-ROW(tblSubjectToLoan[#Headers])-1)&gt;=subjectMortgageEndDate),"",EDATE(INDEX(tblSubjectToLoan[Date],ROW()-ROW(tblSubjectToLoan[#Headers])-1),1)))</f>
        <v>45901</v>
      </c>
      <c r="B21" s="276">
        <f>IF(tblSubjectToLoan[[#This Row],[Date]]="",0,IF(ROW()=ROW(tblSubjectToLoan[#Headers])+1,subjectKnownBalance,MAX(0,INDEX(tblSubjectToLoan[Ending Balance],ROW()-ROW(tblSubjectToLoan[#Headers])-1))))</f>
        <v>96906.03</v>
      </c>
      <c r="C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 s="14">
        <f>IF(tblSubjectToLoan[[#This Row],[Payment]]=0,0,MAX(0,MIN(tblSubjectToLoan[[#This Row],[Beginning Balance]],tblSubjectToLoan[[#This Row],[Payment]]-tblSubjectToLoan[[#This Row],[Int]])))</f>
        <v>322.97999999999996</v>
      </c>
      <c r="E21" s="14">
        <f>IF(tblSubjectToLoan[[#This Row],[Date]]="",0,ROUND(tblSubjectToLoan[[#This Row],[Beginning Balance]]*(subjectInterestRate/12),2))</f>
        <v>302.83</v>
      </c>
      <c r="H21" s="14">
        <f>SUM(tblSubjectToLoan[[#This Row],[Princ]],tblSubjectToLoan[[#This Row],[Int]],tblSubjectToLoan[[#This Row],[Ins]],tblSubjectToLoan[[#This Row],[Taxes]])</f>
        <v>625.80999999999995</v>
      </c>
      <c r="I21" s="276">
        <f>IF(tblSubjectToLoan[[#This Row],[Date]]="",IF(ROW()=ROW(tblSubjectToLoan[#Headers])+1,0,INDEX(tblSubjectToLoan[Principal],ROW()-ROW(tblSubjectToLoan[#Headers])-1)),tblSubjectToLoan[[#This Row],[Princ]]+IF(ROW()=ROW(tblSubjectToLoan[#Headers])+1,0,INDEX(tblSubjectToLoan[Principal],ROW()-ROW(tblSubjectToLoan[#Headers])-1)))</f>
        <v>644.94999999999993</v>
      </c>
      <c r="J21" s="276">
        <f>IF(tblSubjectToLoan[[#This Row],[Date]]="",IF(ROW()=ROW(tblSubjectToLoan[#Headers])+1,0,INDEX(tblSubjectToLoan[Interest],ROW()-ROW(tblSubjectToLoan[#Headers])-1)),tblSubjectToLoan[[#This Row],[Int]]+IF(ROW()=ROW(tblSubjectToLoan[#Headers])+1,0,INDEX(tblSubjectToLoan[Interest],ROW()-ROW(tblSubjectToLoan[#Headers])-1)))</f>
        <v>606.66999999999996</v>
      </c>
      <c r="K21" s="969">
        <f>IF(tblSubjectToLoan[[#This Row],[Date]]="",0,MAX(0,tblSubjectToLoan[[#This Row],[Beginning Balance]]-tblSubjectToLoan[[#This Row],[Princ]]))</f>
        <v>96583.05</v>
      </c>
      <c r="L21" s="394">
        <f t="shared" si="1"/>
        <v>0</v>
      </c>
      <c r="M21" s="394">
        <f t="shared" ref="M21:M84" si="2">IF($A21&lt;&gt;"",M20+1,0)</f>
        <v>1</v>
      </c>
      <c r="N21" s="613">
        <f>INDEX(tblSubjectToLoan[Date],ROW()-ROW(tblContractForDeed[#Headers]))</f>
        <v>45901</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1" s="276">
        <f>IF(INDEX(tblContractForDeed[End Bal],ROW()-ROW(tblBuyerOutputs[#Headers]))&lt;=0,0,($O$6+IF(ROW()=ROW(tblBuyerOutputs[#Headers])+1,0,INDEX(tblBuyerOutputs[Cumul Appr],ROW()-ROW(tblBuyerOutputs[#Headers])-1)))*$O$2/12)</f>
        <v>0</v>
      </c>
      <c r="AE21" s="276">
        <f>IF(INDEX(tblContractForDeed[End Bal],ROW()-ROW(tblBuyerOutputs[#Headers]))&lt;=0,0,IF(ROW()=ROW(tblBuyerOutputs[#Headers])+1,0,INDEX(tblBuyerOutputs[Cumul Appr],ROW()-ROW(tblBuyerOutputs[#Headers])-1))+tblBuyerOutputs[[#This Row],[Monthly Appr]])</f>
        <v>0</v>
      </c>
      <c r="AF21" s="22"/>
      <c r="AG21" s="14"/>
      <c r="AL21"/>
      <c r="AM21" s="14"/>
      <c r="AO21" s="276"/>
      <c r="AQ21" s="14"/>
      <c r="AR21"/>
    </row>
    <row r="22" spans="1:44" x14ac:dyDescent="0.25">
      <c r="A22" s="613">
        <f>IF(ROW()=ROW(tblSubjectToLoan[#Headers])+1,subjectKnownBalanceDate,IF(OR(INDEX(tblSubjectToLoan[Date],ROW()-ROW(tblSubjectToLoan[#Headers])-1)="",INDEX(tblSubjectToLoan[Date],ROW()-ROW(tblSubjectToLoan[#Headers])-1)&gt;=subjectMortgageEndDate),"",EDATE(INDEX(tblSubjectToLoan[Date],ROW()-ROW(tblSubjectToLoan[#Headers])-1),1)))</f>
        <v>45931</v>
      </c>
      <c r="B22" s="276">
        <f>IF(tblSubjectToLoan[[#This Row],[Date]]="",0,IF(ROW()=ROW(tblSubjectToLoan[#Headers])+1,subjectKnownBalance,MAX(0,INDEX(tblSubjectToLoan[Ending Balance],ROW()-ROW(tblSubjectToLoan[#Headers])-1))))</f>
        <v>96583.05</v>
      </c>
      <c r="C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 s="14">
        <f>IF(tblSubjectToLoan[[#This Row],[Payment]]=0,0,MAX(0,MIN(tblSubjectToLoan[[#This Row],[Beginning Balance]],tblSubjectToLoan[[#This Row],[Payment]]-tblSubjectToLoan[[#This Row],[Int]])))</f>
        <v>323.98999999999995</v>
      </c>
      <c r="E22" s="14">
        <f>IF(tblSubjectToLoan[[#This Row],[Date]]="",0,ROUND(tblSubjectToLoan[[#This Row],[Beginning Balance]]*(subjectInterestRate/12),2))</f>
        <v>301.82</v>
      </c>
      <c r="H22" s="14">
        <f>SUM(tblSubjectToLoan[[#This Row],[Princ]],tblSubjectToLoan[[#This Row],[Int]],tblSubjectToLoan[[#This Row],[Ins]],tblSubjectToLoan[[#This Row],[Taxes]])</f>
        <v>625.80999999999995</v>
      </c>
      <c r="I22" s="276">
        <f>IF(tblSubjectToLoan[[#This Row],[Date]]="",IF(ROW()=ROW(tblSubjectToLoan[#Headers])+1,0,INDEX(tblSubjectToLoan[Principal],ROW()-ROW(tblSubjectToLoan[#Headers])-1)),tblSubjectToLoan[[#This Row],[Princ]]+IF(ROW()=ROW(tblSubjectToLoan[#Headers])+1,0,INDEX(tblSubjectToLoan[Principal],ROW()-ROW(tblSubjectToLoan[#Headers])-1)))</f>
        <v>968.93999999999983</v>
      </c>
      <c r="J22" s="276">
        <f>IF(tblSubjectToLoan[[#This Row],[Date]]="",IF(ROW()=ROW(tblSubjectToLoan[#Headers])+1,0,INDEX(tblSubjectToLoan[Interest],ROW()-ROW(tblSubjectToLoan[#Headers])-1)),tblSubjectToLoan[[#This Row],[Int]]+IF(ROW()=ROW(tblSubjectToLoan[#Headers])+1,0,INDEX(tblSubjectToLoan[Interest],ROW()-ROW(tblSubjectToLoan[#Headers])-1)))</f>
        <v>908.49</v>
      </c>
      <c r="K22" s="969">
        <f>IF(tblSubjectToLoan[[#This Row],[Date]]="",0,MAX(0,tblSubjectToLoan[[#This Row],[Beginning Balance]]-tblSubjectToLoan[[#This Row],[Princ]]))</f>
        <v>96259.06</v>
      </c>
      <c r="L22" s="394">
        <f t="shared" si="1"/>
        <v>0</v>
      </c>
      <c r="M22" s="394">
        <f t="shared" si="2"/>
        <v>2</v>
      </c>
      <c r="N22" s="613">
        <f>INDEX(tblSubjectToLoan[Date],ROW()-ROW(tblContractForDeed[#Headers]))</f>
        <v>45931</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2" s="276">
        <f>IF(INDEX(tblContractForDeed[End Bal],ROW()-ROW(tblBuyerOutputs[#Headers]))&lt;=0,0,($O$6+IF(ROW()=ROW(tblBuyerOutputs[#Headers])+1,0,INDEX(tblBuyerOutputs[Cumul Appr],ROW()-ROW(tblBuyerOutputs[#Headers])-1)))*$O$2/12)</f>
        <v>0</v>
      </c>
      <c r="AE22" s="276">
        <f>IF(INDEX(tblContractForDeed[End Bal],ROW()-ROW(tblBuyerOutputs[#Headers]))&lt;=0,0,IF(ROW()=ROW(tblBuyerOutputs[#Headers])+1,0,INDEX(tblBuyerOutputs[Cumul Appr],ROW()-ROW(tblBuyerOutputs[#Headers])-1))+tblBuyerOutputs[[#This Row],[Monthly Appr]])</f>
        <v>0</v>
      </c>
      <c r="AF22" s="22"/>
      <c r="AG22" s="14"/>
      <c r="AL22"/>
      <c r="AM22" s="14"/>
      <c r="AO22" s="276"/>
      <c r="AQ22" s="14"/>
      <c r="AR22"/>
    </row>
    <row r="23" spans="1:44" x14ac:dyDescent="0.25">
      <c r="A23" s="613">
        <f>IF(ROW()=ROW(tblSubjectToLoan[#Headers])+1,subjectKnownBalanceDate,IF(OR(INDEX(tblSubjectToLoan[Date],ROW()-ROW(tblSubjectToLoan[#Headers])-1)="",INDEX(tblSubjectToLoan[Date],ROW()-ROW(tblSubjectToLoan[#Headers])-1)&gt;=subjectMortgageEndDate),"",EDATE(INDEX(tblSubjectToLoan[Date],ROW()-ROW(tblSubjectToLoan[#Headers])-1),1)))</f>
        <v>45962</v>
      </c>
      <c r="B23" s="276">
        <f>IF(tblSubjectToLoan[[#This Row],[Date]]="",0,IF(ROW()=ROW(tblSubjectToLoan[#Headers])+1,subjectKnownBalance,MAX(0,INDEX(tblSubjectToLoan[Ending Balance],ROW()-ROW(tblSubjectToLoan[#Headers])-1))))</f>
        <v>96259.06</v>
      </c>
      <c r="C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3" s="14">
        <f>IF(tblSubjectToLoan[[#This Row],[Payment]]=0,0,MAX(0,MIN(tblSubjectToLoan[[#This Row],[Beginning Balance]],tblSubjectToLoan[[#This Row],[Payment]]-tblSubjectToLoan[[#This Row],[Int]])))</f>
        <v>324.99999999999994</v>
      </c>
      <c r="E23" s="14">
        <f>IF(tblSubjectToLoan[[#This Row],[Date]]="",0,ROUND(tblSubjectToLoan[[#This Row],[Beginning Balance]]*(subjectInterestRate/12),2))</f>
        <v>300.81</v>
      </c>
      <c r="H23" s="14">
        <f>SUM(tblSubjectToLoan[[#This Row],[Princ]],tblSubjectToLoan[[#This Row],[Int]],tblSubjectToLoan[[#This Row],[Ins]],tblSubjectToLoan[[#This Row],[Taxes]])</f>
        <v>625.80999999999995</v>
      </c>
      <c r="I23" s="276">
        <f>IF(tblSubjectToLoan[[#This Row],[Date]]="",IF(ROW()=ROW(tblSubjectToLoan[#Headers])+1,0,INDEX(tblSubjectToLoan[Principal],ROW()-ROW(tblSubjectToLoan[#Headers])-1)),tblSubjectToLoan[[#This Row],[Princ]]+IF(ROW()=ROW(tblSubjectToLoan[#Headers])+1,0,INDEX(tblSubjectToLoan[Principal],ROW()-ROW(tblSubjectToLoan[#Headers])-1)))</f>
        <v>1293.9399999999998</v>
      </c>
      <c r="J23" s="276">
        <f>IF(tblSubjectToLoan[[#This Row],[Date]]="",IF(ROW()=ROW(tblSubjectToLoan[#Headers])+1,0,INDEX(tblSubjectToLoan[Interest],ROW()-ROW(tblSubjectToLoan[#Headers])-1)),tblSubjectToLoan[[#This Row],[Int]]+IF(ROW()=ROW(tblSubjectToLoan[#Headers])+1,0,INDEX(tblSubjectToLoan[Interest],ROW()-ROW(tblSubjectToLoan[#Headers])-1)))</f>
        <v>1209.3</v>
      </c>
      <c r="K23" s="969">
        <f>IF(tblSubjectToLoan[[#This Row],[Date]]="",0,MAX(0,tblSubjectToLoan[[#This Row],[Beginning Balance]]-tblSubjectToLoan[[#This Row],[Princ]]))</f>
        <v>95934.06</v>
      </c>
      <c r="L23" s="394">
        <f t="shared" si="1"/>
        <v>0</v>
      </c>
      <c r="M23" s="394">
        <f t="shared" si="2"/>
        <v>3</v>
      </c>
      <c r="N23" s="613">
        <f>INDEX(tblSubjectToLoan[Date],ROW()-ROW(tblContractForDeed[#Headers]))</f>
        <v>45962</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3" s="276">
        <f>IF(INDEX(tblContractForDeed[End Bal],ROW()-ROW(tblBuyerOutputs[#Headers]))&lt;=0,0,($O$6+IF(ROW()=ROW(tblBuyerOutputs[#Headers])+1,0,INDEX(tblBuyerOutputs[Cumul Appr],ROW()-ROW(tblBuyerOutputs[#Headers])-1)))*$O$2/12)</f>
        <v>0</v>
      </c>
      <c r="AE23" s="276">
        <f>IF(INDEX(tblContractForDeed[End Bal],ROW()-ROW(tblBuyerOutputs[#Headers]))&lt;=0,0,IF(ROW()=ROW(tblBuyerOutputs[#Headers])+1,0,INDEX(tblBuyerOutputs[Cumul Appr],ROW()-ROW(tblBuyerOutputs[#Headers])-1))+tblBuyerOutputs[[#This Row],[Monthly Appr]])</f>
        <v>0</v>
      </c>
      <c r="AF23" s="22"/>
      <c r="AG23" s="14"/>
      <c r="AL23"/>
      <c r="AM23" s="14"/>
      <c r="AO23" s="276"/>
      <c r="AQ23" s="14"/>
      <c r="AR23"/>
    </row>
    <row r="24" spans="1:44" x14ac:dyDescent="0.25">
      <c r="A24" s="613">
        <f>IF(ROW()=ROW(tblSubjectToLoan[#Headers])+1,subjectKnownBalanceDate,IF(OR(INDEX(tblSubjectToLoan[Date],ROW()-ROW(tblSubjectToLoan[#Headers])-1)="",INDEX(tblSubjectToLoan[Date],ROW()-ROW(tblSubjectToLoan[#Headers])-1)&gt;=subjectMortgageEndDate),"",EDATE(INDEX(tblSubjectToLoan[Date],ROW()-ROW(tblSubjectToLoan[#Headers])-1),1)))</f>
        <v>45992</v>
      </c>
      <c r="B24" s="276">
        <f>IF(tblSubjectToLoan[[#This Row],[Date]]="",0,IF(ROW()=ROW(tblSubjectToLoan[#Headers])+1,subjectKnownBalance,MAX(0,INDEX(tblSubjectToLoan[Ending Balance],ROW()-ROW(tblSubjectToLoan[#Headers])-1))))</f>
        <v>95934.06</v>
      </c>
      <c r="C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4" s="14">
        <f>IF(tblSubjectToLoan[[#This Row],[Payment]]=0,0,MAX(0,MIN(tblSubjectToLoan[[#This Row],[Beginning Balance]],tblSubjectToLoan[[#This Row],[Payment]]-tblSubjectToLoan[[#This Row],[Int]])))</f>
        <v>326.01999999999992</v>
      </c>
      <c r="E24" s="14">
        <f>IF(tblSubjectToLoan[[#This Row],[Date]]="",0,ROUND(tblSubjectToLoan[[#This Row],[Beginning Balance]]*(subjectInterestRate/12),2))</f>
        <v>299.79000000000002</v>
      </c>
      <c r="H24" s="14">
        <f>SUM(tblSubjectToLoan[[#This Row],[Princ]],tblSubjectToLoan[[#This Row],[Int]],tblSubjectToLoan[[#This Row],[Ins]],tblSubjectToLoan[[#This Row],[Taxes]])</f>
        <v>625.80999999999995</v>
      </c>
      <c r="I24" s="276">
        <f>IF(tblSubjectToLoan[[#This Row],[Date]]="",IF(ROW()=ROW(tblSubjectToLoan[#Headers])+1,0,INDEX(tblSubjectToLoan[Principal],ROW()-ROW(tblSubjectToLoan[#Headers])-1)),tblSubjectToLoan[[#This Row],[Princ]]+IF(ROW()=ROW(tblSubjectToLoan[#Headers])+1,0,INDEX(tblSubjectToLoan[Principal],ROW()-ROW(tblSubjectToLoan[#Headers])-1)))</f>
        <v>1619.9599999999998</v>
      </c>
      <c r="J24" s="276">
        <f>IF(tblSubjectToLoan[[#This Row],[Date]]="",IF(ROW()=ROW(tblSubjectToLoan[#Headers])+1,0,INDEX(tblSubjectToLoan[Interest],ROW()-ROW(tblSubjectToLoan[#Headers])-1)),tblSubjectToLoan[[#This Row],[Int]]+IF(ROW()=ROW(tblSubjectToLoan[#Headers])+1,0,INDEX(tblSubjectToLoan[Interest],ROW()-ROW(tblSubjectToLoan[#Headers])-1)))</f>
        <v>1509.09</v>
      </c>
      <c r="K24" s="969">
        <f>IF(tblSubjectToLoan[[#This Row],[Date]]="",0,MAX(0,tblSubjectToLoan[[#This Row],[Beginning Balance]]-tblSubjectToLoan[[#This Row],[Princ]]))</f>
        <v>95608.04</v>
      </c>
      <c r="L24" s="394">
        <f t="shared" si="1"/>
        <v>0</v>
      </c>
      <c r="M24" s="394">
        <f t="shared" si="2"/>
        <v>4</v>
      </c>
      <c r="N24" s="613">
        <f>INDEX(tblSubjectToLoan[Date],ROW()-ROW(tblContractForDeed[#Headers]))</f>
        <v>45992</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4" s="276">
        <f>IF(INDEX(tblContractForDeed[End Bal],ROW()-ROW(tblBuyerOutputs[#Headers]))&lt;=0,0,($O$6+IF(ROW()=ROW(tblBuyerOutputs[#Headers])+1,0,INDEX(tblBuyerOutputs[Cumul Appr],ROW()-ROW(tblBuyerOutputs[#Headers])-1)))*$O$2/12)</f>
        <v>0</v>
      </c>
      <c r="AE24" s="276">
        <f>IF(INDEX(tblContractForDeed[End Bal],ROW()-ROW(tblBuyerOutputs[#Headers]))&lt;=0,0,IF(ROW()=ROW(tblBuyerOutputs[#Headers])+1,0,INDEX(tblBuyerOutputs[Cumul Appr],ROW()-ROW(tblBuyerOutputs[#Headers])-1))+tblBuyerOutputs[[#This Row],[Monthly Appr]])</f>
        <v>0</v>
      </c>
      <c r="AF24" s="22"/>
      <c r="AG24" s="14"/>
      <c r="AL24"/>
      <c r="AM24" s="14"/>
      <c r="AO24" s="276"/>
      <c r="AQ24" s="14"/>
      <c r="AR24"/>
    </row>
    <row r="25" spans="1:44" x14ac:dyDescent="0.25">
      <c r="A25" s="613">
        <f>IF(ROW()=ROW(tblSubjectToLoan[#Headers])+1,subjectKnownBalanceDate,IF(OR(INDEX(tblSubjectToLoan[Date],ROW()-ROW(tblSubjectToLoan[#Headers])-1)="",INDEX(tblSubjectToLoan[Date],ROW()-ROW(tblSubjectToLoan[#Headers])-1)&gt;=subjectMortgageEndDate),"",EDATE(INDEX(tblSubjectToLoan[Date],ROW()-ROW(tblSubjectToLoan[#Headers])-1),1)))</f>
        <v>46023</v>
      </c>
      <c r="B25" s="276">
        <f>IF(tblSubjectToLoan[[#This Row],[Date]]="",0,IF(ROW()=ROW(tblSubjectToLoan[#Headers])+1,subjectKnownBalance,MAX(0,INDEX(tblSubjectToLoan[Ending Balance],ROW()-ROW(tblSubjectToLoan[#Headers])-1))))</f>
        <v>95608.04</v>
      </c>
      <c r="C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5" s="14">
        <f>IF(tblSubjectToLoan[[#This Row],[Payment]]=0,0,MAX(0,MIN(tblSubjectToLoan[[#This Row],[Beginning Balance]],tblSubjectToLoan[[#This Row],[Payment]]-tblSubjectToLoan[[#This Row],[Int]])))</f>
        <v>327.02999999999997</v>
      </c>
      <c r="E25" s="14">
        <f>IF(tblSubjectToLoan[[#This Row],[Date]]="",0,ROUND(tblSubjectToLoan[[#This Row],[Beginning Balance]]*(subjectInterestRate/12),2))</f>
        <v>298.77999999999997</v>
      </c>
      <c r="H25" s="14">
        <f>SUM(tblSubjectToLoan[[#This Row],[Princ]],tblSubjectToLoan[[#This Row],[Int]],tblSubjectToLoan[[#This Row],[Ins]],tblSubjectToLoan[[#This Row],[Taxes]])</f>
        <v>625.80999999999995</v>
      </c>
      <c r="I25" s="276">
        <f>IF(tblSubjectToLoan[[#This Row],[Date]]="",IF(ROW()=ROW(tblSubjectToLoan[#Headers])+1,0,INDEX(tblSubjectToLoan[Principal],ROW()-ROW(tblSubjectToLoan[#Headers])-1)),tblSubjectToLoan[[#This Row],[Princ]]+IF(ROW()=ROW(tblSubjectToLoan[#Headers])+1,0,INDEX(tblSubjectToLoan[Principal],ROW()-ROW(tblSubjectToLoan[#Headers])-1)))</f>
        <v>1946.9899999999998</v>
      </c>
      <c r="J25" s="276">
        <f>IF(tblSubjectToLoan[[#This Row],[Date]]="",IF(ROW()=ROW(tblSubjectToLoan[#Headers])+1,0,INDEX(tblSubjectToLoan[Interest],ROW()-ROW(tblSubjectToLoan[#Headers])-1)),tblSubjectToLoan[[#This Row],[Int]]+IF(ROW()=ROW(tblSubjectToLoan[#Headers])+1,0,INDEX(tblSubjectToLoan[Interest],ROW()-ROW(tblSubjectToLoan[#Headers])-1)))</f>
        <v>1807.87</v>
      </c>
      <c r="K25" s="969">
        <f>IF(tblSubjectToLoan[[#This Row],[Date]]="",0,MAX(0,tblSubjectToLoan[[#This Row],[Beginning Balance]]-tblSubjectToLoan[[#This Row],[Princ]]))</f>
        <v>95281.01</v>
      </c>
      <c r="L25" s="394">
        <f t="shared" si="1"/>
        <v>0</v>
      </c>
      <c r="M25" s="394">
        <f t="shared" si="2"/>
        <v>5</v>
      </c>
      <c r="N25" s="613">
        <f>INDEX(tblSubjectToLoan[Date],ROW()-ROW(tblContractForDeed[#Headers]))</f>
        <v>46023</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5" s="276">
        <f>IF(INDEX(tblContractForDeed[End Bal],ROW()-ROW(tblBuyerOutputs[#Headers]))&lt;=0,0,($O$6+IF(ROW()=ROW(tblBuyerOutputs[#Headers])+1,0,INDEX(tblBuyerOutputs[Cumul Appr],ROW()-ROW(tblBuyerOutputs[#Headers])-1)))*$O$2/12)</f>
        <v>0</v>
      </c>
      <c r="AE25" s="276">
        <f>IF(INDEX(tblContractForDeed[End Bal],ROW()-ROW(tblBuyerOutputs[#Headers]))&lt;=0,0,IF(ROW()=ROW(tblBuyerOutputs[#Headers])+1,0,INDEX(tblBuyerOutputs[Cumul Appr],ROW()-ROW(tblBuyerOutputs[#Headers])-1))+tblBuyerOutputs[[#This Row],[Monthly Appr]])</f>
        <v>0</v>
      </c>
      <c r="AF25" s="22"/>
      <c r="AG25" s="14"/>
      <c r="AL25"/>
      <c r="AM25" s="14"/>
      <c r="AO25" s="276"/>
      <c r="AQ25" s="14"/>
      <c r="AR25"/>
    </row>
    <row r="26" spans="1:44" x14ac:dyDescent="0.25">
      <c r="A26" s="613">
        <f>IF(ROW()=ROW(tblSubjectToLoan[#Headers])+1,subjectKnownBalanceDate,IF(OR(INDEX(tblSubjectToLoan[Date],ROW()-ROW(tblSubjectToLoan[#Headers])-1)="",INDEX(tblSubjectToLoan[Date],ROW()-ROW(tblSubjectToLoan[#Headers])-1)&gt;=subjectMortgageEndDate),"",EDATE(INDEX(tblSubjectToLoan[Date],ROW()-ROW(tblSubjectToLoan[#Headers])-1),1)))</f>
        <v>46054</v>
      </c>
      <c r="B26" s="276">
        <f>IF(tblSubjectToLoan[[#This Row],[Date]]="",0,IF(ROW()=ROW(tblSubjectToLoan[#Headers])+1,subjectKnownBalance,MAX(0,INDEX(tblSubjectToLoan[Ending Balance],ROW()-ROW(tblSubjectToLoan[#Headers])-1))))</f>
        <v>95281.01</v>
      </c>
      <c r="C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6" s="14">
        <f>IF(tblSubjectToLoan[[#This Row],[Payment]]=0,0,MAX(0,MIN(tblSubjectToLoan[[#This Row],[Beginning Balance]],tblSubjectToLoan[[#This Row],[Payment]]-tblSubjectToLoan[[#This Row],[Int]])))</f>
        <v>328.05999999999995</v>
      </c>
      <c r="E26" s="14">
        <f>IF(tblSubjectToLoan[[#This Row],[Date]]="",0,ROUND(tblSubjectToLoan[[#This Row],[Beginning Balance]]*(subjectInterestRate/12),2))</f>
        <v>297.75</v>
      </c>
      <c r="H26" s="14">
        <f>SUM(tblSubjectToLoan[[#This Row],[Princ]],tblSubjectToLoan[[#This Row],[Int]],tblSubjectToLoan[[#This Row],[Ins]],tblSubjectToLoan[[#This Row],[Taxes]])</f>
        <v>625.80999999999995</v>
      </c>
      <c r="I26" s="276">
        <f>IF(tblSubjectToLoan[[#This Row],[Date]]="",IF(ROW()=ROW(tblSubjectToLoan[#Headers])+1,0,INDEX(tblSubjectToLoan[Principal],ROW()-ROW(tblSubjectToLoan[#Headers])-1)),tblSubjectToLoan[[#This Row],[Princ]]+IF(ROW()=ROW(tblSubjectToLoan[#Headers])+1,0,INDEX(tblSubjectToLoan[Principal],ROW()-ROW(tblSubjectToLoan[#Headers])-1)))</f>
        <v>2275.0499999999997</v>
      </c>
      <c r="J26" s="276">
        <f>IF(tblSubjectToLoan[[#This Row],[Date]]="",IF(ROW()=ROW(tblSubjectToLoan[#Headers])+1,0,INDEX(tblSubjectToLoan[Interest],ROW()-ROW(tblSubjectToLoan[#Headers])-1)),tblSubjectToLoan[[#This Row],[Int]]+IF(ROW()=ROW(tblSubjectToLoan[#Headers])+1,0,INDEX(tblSubjectToLoan[Interest],ROW()-ROW(tblSubjectToLoan[#Headers])-1)))</f>
        <v>2105.62</v>
      </c>
      <c r="K26" s="969">
        <f>IF(tblSubjectToLoan[[#This Row],[Date]]="",0,MAX(0,tblSubjectToLoan[[#This Row],[Beginning Balance]]-tblSubjectToLoan[[#This Row],[Princ]]))</f>
        <v>94952.95</v>
      </c>
      <c r="L26" s="394">
        <f t="shared" si="1"/>
        <v>0</v>
      </c>
      <c r="M26" s="394">
        <f t="shared" si="2"/>
        <v>6</v>
      </c>
      <c r="N26" s="613">
        <f>INDEX(tblSubjectToLoan[Date],ROW()-ROW(tblContractForDeed[#Headers]))</f>
        <v>46054</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6" s="276">
        <f>IF(INDEX(tblContractForDeed[End Bal],ROW()-ROW(tblBuyerOutputs[#Headers]))&lt;=0,0,($O$6+IF(ROW()=ROW(tblBuyerOutputs[#Headers])+1,0,INDEX(tblBuyerOutputs[Cumul Appr],ROW()-ROW(tblBuyerOutputs[#Headers])-1)))*$O$2/12)</f>
        <v>0</v>
      </c>
      <c r="AE26" s="276">
        <f>IF(INDEX(tblContractForDeed[End Bal],ROW()-ROW(tblBuyerOutputs[#Headers]))&lt;=0,0,IF(ROW()=ROW(tblBuyerOutputs[#Headers])+1,0,INDEX(tblBuyerOutputs[Cumul Appr],ROW()-ROW(tblBuyerOutputs[#Headers])-1))+tblBuyerOutputs[[#This Row],[Monthly Appr]])</f>
        <v>0</v>
      </c>
      <c r="AF26" s="22"/>
      <c r="AG26" s="14"/>
      <c r="AL26"/>
      <c r="AM26" s="14"/>
      <c r="AO26" s="276"/>
      <c r="AQ26" s="14"/>
      <c r="AR26"/>
    </row>
    <row r="27" spans="1:44" x14ac:dyDescent="0.25">
      <c r="A27" s="613">
        <f>IF(ROW()=ROW(tblSubjectToLoan[#Headers])+1,subjectKnownBalanceDate,IF(OR(INDEX(tblSubjectToLoan[Date],ROW()-ROW(tblSubjectToLoan[#Headers])-1)="",INDEX(tblSubjectToLoan[Date],ROW()-ROW(tblSubjectToLoan[#Headers])-1)&gt;=subjectMortgageEndDate),"",EDATE(INDEX(tblSubjectToLoan[Date],ROW()-ROW(tblSubjectToLoan[#Headers])-1),1)))</f>
        <v>46082</v>
      </c>
      <c r="B27" s="276">
        <f>IF(tblSubjectToLoan[[#This Row],[Date]]="",0,IF(ROW()=ROW(tblSubjectToLoan[#Headers])+1,subjectKnownBalance,MAX(0,INDEX(tblSubjectToLoan[Ending Balance],ROW()-ROW(tblSubjectToLoan[#Headers])-1))))</f>
        <v>94952.95</v>
      </c>
      <c r="C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7" s="14">
        <f>IF(tblSubjectToLoan[[#This Row],[Payment]]=0,0,MAX(0,MIN(tblSubjectToLoan[[#This Row],[Beginning Balance]],tblSubjectToLoan[[#This Row],[Payment]]-tblSubjectToLoan[[#This Row],[Int]])))</f>
        <v>329.07999999999993</v>
      </c>
      <c r="E27" s="14">
        <f>IF(tblSubjectToLoan[[#This Row],[Date]]="",0,ROUND(tblSubjectToLoan[[#This Row],[Beginning Balance]]*(subjectInterestRate/12),2))</f>
        <v>296.73</v>
      </c>
      <c r="H27" s="14">
        <f>SUM(tblSubjectToLoan[[#This Row],[Princ]],tblSubjectToLoan[[#This Row],[Int]],tblSubjectToLoan[[#This Row],[Ins]],tblSubjectToLoan[[#This Row],[Taxes]])</f>
        <v>625.80999999999995</v>
      </c>
      <c r="I27" s="276">
        <f>IF(tblSubjectToLoan[[#This Row],[Date]]="",IF(ROW()=ROW(tblSubjectToLoan[#Headers])+1,0,INDEX(tblSubjectToLoan[Principal],ROW()-ROW(tblSubjectToLoan[#Headers])-1)),tblSubjectToLoan[[#This Row],[Princ]]+IF(ROW()=ROW(tblSubjectToLoan[#Headers])+1,0,INDEX(tblSubjectToLoan[Principal],ROW()-ROW(tblSubjectToLoan[#Headers])-1)))</f>
        <v>2604.1299999999997</v>
      </c>
      <c r="J27" s="276">
        <f>IF(tblSubjectToLoan[[#This Row],[Date]]="",IF(ROW()=ROW(tblSubjectToLoan[#Headers])+1,0,INDEX(tblSubjectToLoan[Interest],ROW()-ROW(tblSubjectToLoan[#Headers])-1)),tblSubjectToLoan[[#This Row],[Int]]+IF(ROW()=ROW(tblSubjectToLoan[#Headers])+1,0,INDEX(tblSubjectToLoan[Interest],ROW()-ROW(tblSubjectToLoan[#Headers])-1)))</f>
        <v>2402.35</v>
      </c>
      <c r="K27" s="969">
        <f>IF(tblSubjectToLoan[[#This Row],[Date]]="",0,MAX(0,tblSubjectToLoan[[#This Row],[Beginning Balance]]-tblSubjectToLoan[[#This Row],[Princ]]))</f>
        <v>94623.87</v>
      </c>
      <c r="L27" s="394">
        <f t="shared" si="1"/>
        <v>0</v>
      </c>
      <c r="M27" s="394">
        <f t="shared" si="2"/>
        <v>7</v>
      </c>
      <c r="N27" s="613">
        <f>INDEX(tblSubjectToLoan[Date],ROW()-ROW(tblContractForDeed[#Headers]))</f>
        <v>46082</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7" s="276">
        <f>IF(INDEX(tblContractForDeed[End Bal],ROW()-ROW(tblBuyerOutputs[#Headers]))&lt;=0,0,($O$6+IF(ROW()=ROW(tblBuyerOutputs[#Headers])+1,0,INDEX(tblBuyerOutputs[Cumul Appr],ROW()-ROW(tblBuyerOutputs[#Headers])-1)))*$O$2/12)</f>
        <v>0</v>
      </c>
      <c r="AE27" s="276">
        <f>IF(INDEX(tblContractForDeed[End Bal],ROW()-ROW(tblBuyerOutputs[#Headers]))&lt;=0,0,IF(ROW()=ROW(tblBuyerOutputs[#Headers])+1,0,INDEX(tblBuyerOutputs[Cumul Appr],ROW()-ROW(tblBuyerOutputs[#Headers])-1))+tblBuyerOutputs[[#This Row],[Monthly Appr]])</f>
        <v>0</v>
      </c>
      <c r="AF27" s="22"/>
      <c r="AG27" s="14"/>
      <c r="AL27"/>
      <c r="AM27" s="14"/>
      <c r="AO27" s="276"/>
      <c r="AQ27" s="14"/>
      <c r="AR27"/>
    </row>
    <row r="28" spans="1:44" x14ac:dyDescent="0.25">
      <c r="A28" s="613">
        <f>IF(ROW()=ROW(tblSubjectToLoan[#Headers])+1,subjectKnownBalanceDate,IF(OR(INDEX(tblSubjectToLoan[Date],ROW()-ROW(tblSubjectToLoan[#Headers])-1)="",INDEX(tblSubjectToLoan[Date],ROW()-ROW(tblSubjectToLoan[#Headers])-1)&gt;=subjectMortgageEndDate),"",EDATE(INDEX(tblSubjectToLoan[Date],ROW()-ROW(tblSubjectToLoan[#Headers])-1),1)))</f>
        <v>46113</v>
      </c>
      <c r="B28" s="276">
        <f>IF(tblSubjectToLoan[[#This Row],[Date]]="",0,IF(ROW()=ROW(tblSubjectToLoan[#Headers])+1,subjectKnownBalance,MAX(0,INDEX(tblSubjectToLoan[Ending Balance],ROW()-ROW(tblSubjectToLoan[#Headers])-1))))</f>
        <v>94623.87</v>
      </c>
      <c r="C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8" s="14">
        <f>IF(tblSubjectToLoan[[#This Row],[Payment]]=0,0,MAX(0,MIN(tblSubjectToLoan[[#This Row],[Beginning Balance]],tblSubjectToLoan[[#This Row],[Payment]]-tblSubjectToLoan[[#This Row],[Int]])))</f>
        <v>330.10999999999996</v>
      </c>
      <c r="E28" s="14">
        <f>IF(tblSubjectToLoan[[#This Row],[Date]]="",0,ROUND(tblSubjectToLoan[[#This Row],[Beginning Balance]]*(subjectInterestRate/12),2))</f>
        <v>295.7</v>
      </c>
      <c r="H28" s="14">
        <f>SUM(tblSubjectToLoan[[#This Row],[Princ]],tblSubjectToLoan[[#This Row],[Int]],tblSubjectToLoan[[#This Row],[Ins]],tblSubjectToLoan[[#This Row],[Taxes]])</f>
        <v>625.80999999999995</v>
      </c>
      <c r="I28" s="276">
        <f>IF(tblSubjectToLoan[[#This Row],[Date]]="",IF(ROW()=ROW(tblSubjectToLoan[#Headers])+1,0,INDEX(tblSubjectToLoan[Principal],ROW()-ROW(tblSubjectToLoan[#Headers])-1)),tblSubjectToLoan[[#This Row],[Princ]]+IF(ROW()=ROW(tblSubjectToLoan[#Headers])+1,0,INDEX(tblSubjectToLoan[Principal],ROW()-ROW(tblSubjectToLoan[#Headers])-1)))</f>
        <v>2934.24</v>
      </c>
      <c r="J28" s="276">
        <f>IF(tblSubjectToLoan[[#This Row],[Date]]="",IF(ROW()=ROW(tblSubjectToLoan[#Headers])+1,0,INDEX(tblSubjectToLoan[Interest],ROW()-ROW(tblSubjectToLoan[#Headers])-1)),tblSubjectToLoan[[#This Row],[Int]]+IF(ROW()=ROW(tblSubjectToLoan[#Headers])+1,0,INDEX(tblSubjectToLoan[Interest],ROW()-ROW(tblSubjectToLoan[#Headers])-1)))</f>
        <v>2698.0499999999997</v>
      </c>
      <c r="K28" s="969">
        <f>IF(tblSubjectToLoan[[#This Row],[Date]]="",0,MAX(0,tblSubjectToLoan[[#This Row],[Beginning Balance]]-tblSubjectToLoan[[#This Row],[Princ]]))</f>
        <v>94293.759999999995</v>
      </c>
      <c r="L28" s="394">
        <f t="shared" si="1"/>
        <v>0</v>
      </c>
      <c r="M28" s="394">
        <f t="shared" si="2"/>
        <v>8</v>
      </c>
      <c r="N28" s="613">
        <f>INDEX(tblSubjectToLoan[Date],ROW()-ROW(tblContractForDeed[#Headers]))</f>
        <v>46113</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8" s="276">
        <f>IF(INDEX(tblContractForDeed[End Bal],ROW()-ROW(tblBuyerOutputs[#Headers]))&lt;=0,0,($O$6+IF(ROW()=ROW(tblBuyerOutputs[#Headers])+1,0,INDEX(tblBuyerOutputs[Cumul Appr],ROW()-ROW(tblBuyerOutputs[#Headers])-1)))*$O$2/12)</f>
        <v>0</v>
      </c>
      <c r="AE28" s="276">
        <f>IF(INDEX(tblContractForDeed[End Bal],ROW()-ROW(tblBuyerOutputs[#Headers]))&lt;=0,0,IF(ROW()=ROW(tblBuyerOutputs[#Headers])+1,0,INDEX(tblBuyerOutputs[Cumul Appr],ROW()-ROW(tblBuyerOutputs[#Headers])-1))+tblBuyerOutputs[[#This Row],[Monthly Appr]])</f>
        <v>0</v>
      </c>
      <c r="AF28" s="22"/>
      <c r="AG28" s="14"/>
      <c r="AL28"/>
      <c r="AM28" s="14"/>
      <c r="AO28" s="276"/>
      <c r="AQ28" s="14"/>
      <c r="AR28"/>
    </row>
    <row r="29" spans="1:44" x14ac:dyDescent="0.25">
      <c r="A29" s="613">
        <f>IF(ROW()=ROW(tblSubjectToLoan[#Headers])+1,subjectKnownBalanceDate,IF(OR(INDEX(tblSubjectToLoan[Date],ROW()-ROW(tblSubjectToLoan[#Headers])-1)="",INDEX(tblSubjectToLoan[Date],ROW()-ROW(tblSubjectToLoan[#Headers])-1)&gt;=subjectMortgageEndDate),"",EDATE(INDEX(tblSubjectToLoan[Date],ROW()-ROW(tblSubjectToLoan[#Headers])-1),1)))</f>
        <v>46143</v>
      </c>
      <c r="B29" s="276">
        <f>IF(tblSubjectToLoan[[#This Row],[Date]]="",0,IF(ROW()=ROW(tblSubjectToLoan[#Headers])+1,subjectKnownBalance,MAX(0,INDEX(tblSubjectToLoan[Ending Balance],ROW()-ROW(tblSubjectToLoan[#Headers])-1))))</f>
        <v>94293.759999999995</v>
      </c>
      <c r="C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9" s="14">
        <f>IF(tblSubjectToLoan[[#This Row],[Payment]]=0,0,MAX(0,MIN(tblSubjectToLoan[[#This Row],[Beginning Balance]],tblSubjectToLoan[[#This Row],[Payment]]-tblSubjectToLoan[[#This Row],[Int]])))</f>
        <v>331.13999999999993</v>
      </c>
      <c r="E29" s="14">
        <f>IF(tblSubjectToLoan[[#This Row],[Date]]="",0,ROUND(tblSubjectToLoan[[#This Row],[Beginning Balance]]*(subjectInterestRate/12),2))</f>
        <v>294.67</v>
      </c>
      <c r="H29" s="14">
        <f>SUM(tblSubjectToLoan[[#This Row],[Princ]],tblSubjectToLoan[[#This Row],[Int]],tblSubjectToLoan[[#This Row],[Ins]],tblSubjectToLoan[[#This Row],[Taxes]])</f>
        <v>625.80999999999995</v>
      </c>
      <c r="I29" s="276">
        <f>IF(tblSubjectToLoan[[#This Row],[Date]]="",IF(ROW()=ROW(tblSubjectToLoan[#Headers])+1,0,INDEX(tblSubjectToLoan[Principal],ROW()-ROW(tblSubjectToLoan[#Headers])-1)),tblSubjectToLoan[[#This Row],[Princ]]+IF(ROW()=ROW(tblSubjectToLoan[#Headers])+1,0,INDEX(tblSubjectToLoan[Principal],ROW()-ROW(tblSubjectToLoan[#Headers])-1)))</f>
        <v>3265.3799999999997</v>
      </c>
      <c r="J29" s="276">
        <f>IF(tblSubjectToLoan[[#This Row],[Date]]="",IF(ROW()=ROW(tblSubjectToLoan[#Headers])+1,0,INDEX(tblSubjectToLoan[Interest],ROW()-ROW(tblSubjectToLoan[#Headers])-1)),tblSubjectToLoan[[#This Row],[Int]]+IF(ROW()=ROW(tblSubjectToLoan[#Headers])+1,0,INDEX(tblSubjectToLoan[Interest],ROW()-ROW(tblSubjectToLoan[#Headers])-1)))</f>
        <v>2992.72</v>
      </c>
      <c r="K29" s="969">
        <f>IF(tblSubjectToLoan[[#This Row],[Date]]="",0,MAX(0,tblSubjectToLoan[[#This Row],[Beginning Balance]]-tblSubjectToLoan[[#This Row],[Princ]]))</f>
        <v>93962.62</v>
      </c>
      <c r="L29" s="394">
        <f t="shared" si="1"/>
        <v>0</v>
      </c>
      <c r="M29" s="394">
        <f t="shared" si="2"/>
        <v>9</v>
      </c>
      <c r="N29" s="613">
        <f>INDEX(tblSubjectToLoan[Date],ROW()-ROW(tblContractForDeed[#Headers]))</f>
        <v>46143</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9" s="276">
        <f>IF(INDEX(tblContractForDeed[End Bal],ROW()-ROW(tblBuyerOutputs[#Headers]))&lt;=0,0,($O$6+IF(ROW()=ROW(tblBuyerOutputs[#Headers])+1,0,INDEX(tblBuyerOutputs[Cumul Appr],ROW()-ROW(tblBuyerOutputs[#Headers])-1)))*$O$2/12)</f>
        <v>0</v>
      </c>
      <c r="AE29" s="276">
        <f>IF(INDEX(tblContractForDeed[End Bal],ROW()-ROW(tblBuyerOutputs[#Headers]))&lt;=0,0,IF(ROW()=ROW(tblBuyerOutputs[#Headers])+1,0,INDEX(tblBuyerOutputs[Cumul Appr],ROW()-ROW(tblBuyerOutputs[#Headers])-1))+tblBuyerOutputs[[#This Row],[Monthly Appr]])</f>
        <v>0</v>
      </c>
      <c r="AF29" s="22"/>
      <c r="AG29" s="14"/>
      <c r="AL29"/>
      <c r="AM29" s="14"/>
      <c r="AO29" s="276"/>
      <c r="AQ29" s="14"/>
      <c r="AR29"/>
    </row>
    <row r="30" spans="1:44" x14ac:dyDescent="0.25">
      <c r="A30" s="613">
        <f>IF(ROW()=ROW(tblSubjectToLoan[#Headers])+1,subjectKnownBalanceDate,IF(OR(INDEX(tblSubjectToLoan[Date],ROW()-ROW(tblSubjectToLoan[#Headers])-1)="",INDEX(tblSubjectToLoan[Date],ROW()-ROW(tblSubjectToLoan[#Headers])-1)&gt;=subjectMortgageEndDate),"",EDATE(INDEX(tblSubjectToLoan[Date],ROW()-ROW(tblSubjectToLoan[#Headers])-1),1)))</f>
        <v>46174</v>
      </c>
      <c r="B30" s="276">
        <f>IF(tblSubjectToLoan[[#This Row],[Date]]="",0,IF(ROW()=ROW(tblSubjectToLoan[#Headers])+1,subjectKnownBalance,MAX(0,INDEX(tblSubjectToLoan[Ending Balance],ROW()-ROW(tblSubjectToLoan[#Headers])-1))))</f>
        <v>93962.62</v>
      </c>
      <c r="C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0" s="14">
        <f>IF(tblSubjectToLoan[[#This Row],[Payment]]=0,0,MAX(0,MIN(tblSubjectToLoan[[#This Row],[Beginning Balance]],tblSubjectToLoan[[#This Row],[Payment]]-tblSubjectToLoan[[#This Row],[Int]])))</f>
        <v>332.17999999999995</v>
      </c>
      <c r="E30" s="14">
        <f>IF(tblSubjectToLoan[[#This Row],[Date]]="",0,ROUND(tblSubjectToLoan[[#This Row],[Beginning Balance]]*(subjectInterestRate/12),2))</f>
        <v>293.63</v>
      </c>
      <c r="H30" s="14">
        <f>SUM(tblSubjectToLoan[[#This Row],[Princ]],tblSubjectToLoan[[#This Row],[Int]],tblSubjectToLoan[[#This Row],[Ins]],tblSubjectToLoan[[#This Row],[Taxes]])</f>
        <v>625.80999999999995</v>
      </c>
      <c r="I30" s="276">
        <f>IF(tblSubjectToLoan[[#This Row],[Date]]="",IF(ROW()=ROW(tblSubjectToLoan[#Headers])+1,0,INDEX(tblSubjectToLoan[Principal],ROW()-ROW(tblSubjectToLoan[#Headers])-1)),tblSubjectToLoan[[#This Row],[Princ]]+IF(ROW()=ROW(tblSubjectToLoan[#Headers])+1,0,INDEX(tblSubjectToLoan[Principal],ROW()-ROW(tblSubjectToLoan[#Headers])-1)))</f>
        <v>3597.5599999999995</v>
      </c>
      <c r="J30" s="276">
        <f>IF(tblSubjectToLoan[[#This Row],[Date]]="",IF(ROW()=ROW(tblSubjectToLoan[#Headers])+1,0,INDEX(tblSubjectToLoan[Interest],ROW()-ROW(tblSubjectToLoan[#Headers])-1)),tblSubjectToLoan[[#This Row],[Int]]+IF(ROW()=ROW(tblSubjectToLoan[#Headers])+1,0,INDEX(tblSubjectToLoan[Interest],ROW()-ROW(tblSubjectToLoan[#Headers])-1)))</f>
        <v>3286.35</v>
      </c>
      <c r="K30" s="969">
        <f>IF(tblSubjectToLoan[[#This Row],[Date]]="",0,MAX(0,tblSubjectToLoan[[#This Row],[Beginning Balance]]-tblSubjectToLoan[[#This Row],[Princ]]))</f>
        <v>93630.44</v>
      </c>
      <c r="L30" s="394">
        <f t="shared" si="1"/>
        <v>0</v>
      </c>
      <c r="M30" s="394">
        <f t="shared" si="2"/>
        <v>10</v>
      </c>
      <c r="N30" s="613">
        <f>INDEX(tblSubjectToLoan[Date],ROW()-ROW(tblContractForDeed[#Headers]))</f>
        <v>46174</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30" s="276">
        <f>IF(INDEX(tblContractForDeed[End Bal],ROW()-ROW(tblBuyerOutputs[#Headers]))&lt;=0,0,($O$6+IF(ROW()=ROW(tblBuyerOutputs[#Headers])+1,0,INDEX(tblBuyerOutputs[Cumul Appr],ROW()-ROW(tblBuyerOutputs[#Headers])-1)))*$O$2/12)</f>
        <v>0</v>
      </c>
      <c r="AE30" s="276">
        <f>IF(INDEX(tblContractForDeed[End Bal],ROW()-ROW(tblBuyerOutputs[#Headers]))&lt;=0,0,IF(ROW()=ROW(tblBuyerOutputs[#Headers])+1,0,INDEX(tblBuyerOutputs[Cumul Appr],ROW()-ROW(tblBuyerOutputs[#Headers])-1))+tblBuyerOutputs[[#This Row],[Monthly Appr]])</f>
        <v>0</v>
      </c>
      <c r="AF30" s="22"/>
      <c r="AG30" s="14"/>
      <c r="AL30"/>
      <c r="AM30" s="14"/>
      <c r="AO30" s="276"/>
      <c r="AQ30" s="14"/>
      <c r="AR30"/>
    </row>
    <row r="31" spans="1:44" ht="15.75" thickBot="1" x14ac:dyDescent="0.3">
      <c r="A31" s="614">
        <f>IF(ROW()=ROW(tblSubjectToLoan[#Headers])+1,subjectKnownBalanceDate,IF(OR(INDEX(tblSubjectToLoan[Date],ROW()-ROW(tblSubjectToLoan[#Headers])-1)="",INDEX(tblSubjectToLoan[Date],ROW()-ROW(tblSubjectToLoan[#Headers])-1)&gt;=subjectMortgageEndDate),"",EDATE(INDEX(tblSubjectToLoan[Date],ROW()-ROW(tblSubjectToLoan[#Headers])-1),1)))</f>
        <v>46204</v>
      </c>
      <c r="B31" s="332">
        <f>IF(tblSubjectToLoan[[#This Row],[Date]]="",0,IF(ROW()=ROW(tblSubjectToLoan[#Headers])+1,subjectKnownBalance,MAX(0,INDEX(tblSubjectToLoan[Ending Balance],ROW()-ROW(tblSubjectToLoan[#Headers])-1))))</f>
        <v>93630.44</v>
      </c>
      <c r="C3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1" s="21">
        <f>IF(tblSubjectToLoan[[#This Row],[Payment]]=0,0,MAX(0,MIN(tblSubjectToLoan[[#This Row],[Beginning Balance]],tblSubjectToLoan[[#This Row],[Payment]]-tblSubjectToLoan[[#This Row],[Int]])))</f>
        <v>333.20999999999992</v>
      </c>
      <c r="E31" s="21">
        <f>IF(tblSubjectToLoan[[#This Row],[Date]]="",0,ROUND(tblSubjectToLoan[[#This Row],[Beginning Balance]]*(subjectInterestRate/12),2))</f>
        <v>292.60000000000002</v>
      </c>
      <c r="F31" s="21"/>
      <c r="G31" s="21"/>
      <c r="H31" s="21">
        <f>SUM(tblSubjectToLoan[[#This Row],[Princ]],tblSubjectToLoan[[#This Row],[Int]],tblSubjectToLoan[[#This Row],[Ins]],tblSubjectToLoan[[#This Row],[Taxes]])</f>
        <v>625.80999999999995</v>
      </c>
      <c r="I31" s="332">
        <f>IF(tblSubjectToLoan[[#This Row],[Date]]="",IF(ROW()=ROW(tblSubjectToLoan[#Headers])+1,0,INDEX(tblSubjectToLoan[Principal],ROW()-ROW(tblSubjectToLoan[#Headers])-1)),tblSubjectToLoan[[#This Row],[Princ]]+IF(ROW()=ROW(tblSubjectToLoan[#Headers])+1,0,INDEX(tblSubjectToLoan[Principal],ROW()-ROW(tblSubjectToLoan[#Headers])-1)))</f>
        <v>3930.7699999999995</v>
      </c>
      <c r="J31" s="332">
        <f>IF(tblSubjectToLoan[[#This Row],[Date]]="",IF(ROW()=ROW(tblSubjectToLoan[#Headers])+1,0,INDEX(tblSubjectToLoan[Interest],ROW()-ROW(tblSubjectToLoan[#Headers])-1)),tblSubjectToLoan[[#This Row],[Int]]+IF(ROW()=ROW(tblSubjectToLoan[#Headers])+1,0,INDEX(tblSubjectToLoan[Interest],ROW()-ROW(tblSubjectToLoan[#Headers])-1)))</f>
        <v>3578.95</v>
      </c>
      <c r="K31" s="970">
        <f>IF(tblSubjectToLoan[[#This Row],[Date]]="",0,MAX(0,tblSubjectToLoan[[#This Row],[Beginning Balance]]-tblSubjectToLoan[[#This Row],[Princ]]))</f>
        <v>93297.23</v>
      </c>
      <c r="L31" s="395">
        <f t="shared" si="1"/>
        <v>0</v>
      </c>
      <c r="M31" s="395">
        <f t="shared" si="2"/>
        <v>11</v>
      </c>
      <c r="N31" s="614">
        <f>INDEX(tblSubjectToLoan[Date],ROW()-ROW(tblContractForDeed[#Headers]))</f>
        <v>46204</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32">
        <f>IF(tblContractForDeed[[#This Row],[Payment]]=0,0,MAX(0,MIN(tblContractForDeed[[#This Row],[Beg]],tblContractForDeed[[#This Row],[Payment]]-tblContractForDeed[[#This Row],[Int]])))</f>
        <v>253.30999999999995</v>
      </c>
      <c r="S31" s="332">
        <f>IF(OR(tblContractForDeed[[#This Row],[Date]]&lt;cfdContractDate,tblContractForDeed[[#This Row],[Date]]&gt;cfdEndDate),0,ROUND(tblContractForDeed[[#This Row],[Beg]]*(tblContractForDeed[[#This Row],[Int Rate]]/12),2))</f>
        <v>391.97</v>
      </c>
      <c r="T31" s="332">
        <f>IF(tblContractForDeed[[#This Row],[Payment]]=0,0,$W$2)</f>
        <v>134.16999999999999</v>
      </c>
      <c r="U31" s="332">
        <f>IF(tblContractForDeed[[#This Row],[Princ]]=0,0,$W$3)</f>
        <v>188.55</v>
      </c>
      <c r="V31" s="332">
        <f>SUM(tblContractForDeed[[#This Row],[Princ]],tblContractForDeed[[#This Row],[Int]],tblContractForDeed[[#This Row],[Ins]],tblContractForDeed[[#This Row],[Taxes]])</f>
        <v>968</v>
      </c>
      <c r="W31" s="332">
        <f>SUM(INDEX(tblContractForDeed[Princ],1):INDEX(tblContractForDeed[Princ],ROW()-ROW(tblContractForDeed[#Headers])))</f>
        <v>253.30999999999995</v>
      </c>
      <c r="X31" s="332">
        <f>IF(tblContractForDeed[[#This Row],[Beg]]&lt;=0,0,tblContractForDeed[[#This Row],[Beg]]-tblContractForDeed[[#This Row],[Princ]])</f>
        <v>75004.69</v>
      </c>
      <c r="Y3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68">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19.470000000000027</v>
      </c>
      <c r="AD31" s="332">
        <f>IF(INDEX(tblContractForDeed[End Bal],ROW()-ROW(tblBuyerOutputs[#Headers]))&lt;=0,0,($O$6+IF(ROW()=ROW(tblBuyerOutputs[#Headers])+1,0,INDEX(tblBuyerOutputs[Cumul Appr],ROW()-ROW(tblBuyerOutputs[#Headers])-1)))*$O$2/12)</f>
        <v>0</v>
      </c>
      <c r="AE31" s="276">
        <f>IF(INDEX(tblContractForDeed[End Bal],ROW()-ROW(tblBuyerOutputs[#Headers]))&lt;=0,0,IF(ROW()=ROW(tblBuyerOutputs[#Headers])+1,0,INDEX(tblBuyerOutputs[Cumul Appr],ROW()-ROW(tblBuyerOutputs[#Headers])-1))+tblBuyerOutputs[[#This Row],[Monthly Appr]])</f>
        <v>0</v>
      </c>
      <c r="AF31" s="22"/>
      <c r="AG31" s="14"/>
      <c r="AL31"/>
      <c r="AM31" s="14"/>
      <c r="AO31" s="276"/>
      <c r="AQ31" s="14"/>
      <c r="AR31"/>
    </row>
    <row r="32" spans="1:44" x14ac:dyDescent="0.25">
      <c r="A32" s="613">
        <f>IF(ROW()=ROW(tblSubjectToLoan[#Headers])+1,subjectKnownBalanceDate,IF(OR(INDEX(tblSubjectToLoan[Date],ROW()-ROW(tblSubjectToLoan[#Headers])-1)="",INDEX(tblSubjectToLoan[Date],ROW()-ROW(tblSubjectToLoan[#Headers])-1)&gt;=subjectMortgageEndDate),"",EDATE(INDEX(tblSubjectToLoan[Date],ROW()-ROW(tblSubjectToLoan[#Headers])-1),1)))</f>
        <v>46235</v>
      </c>
      <c r="B32" s="276">
        <f>IF(tblSubjectToLoan[[#This Row],[Date]]="",0,IF(ROW()=ROW(tblSubjectToLoan[#Headers])+1,subjectKnownBalance,MAX(0,INDEX(tblSubjectToLoan[Ending Balance],ROW()-ROW(tblSubjectToLoan[#Headers])-1))))</f>
        <v>93297.23</v>
      </c>
      <c r="C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2" s="14">
        <f>IF(tblSubjectToLoan[[#This Row],[Payment]]=0,0,MAX(0,MIN(tblSubjectToLoan[[#This Row],[Beginning Balance]],tblSubjectToLoan[[#This Row],[Payment]]-tblSubjectToLoan[[#This Row],[Int]])))</f>
        <v>334.25999999999993</v>
      </c>
      <c r="E32" s="14">
        <f>IF(tblSubjectToLoan[[#This Row],[Date]]="",0,ROUND(tblSubjectToLoan[[#This Row],[Beginning Balance]]*(subjectInterestRate/12),2))</f>
        <v>291.55</v>
      </c>
      <c r="H32" s="14">
        <f>SUM(tblSubjectToLoan[[#This Row],[Princ]],tblSubjectToLoan[[#This Row],[Int]],tblSubjectToLoan[[#This Row],[Ins]],tblSubjectToLoan[[#This Row],[Taxes]])</f>
        <v>625.80999999999995</v>
      </c>
      <c r="I32" s="276">
        <f>IF(tblSubjectToLoan[[#This Row],[Date]]="",IF(ROW()=ROW(tblSubjectToLoan[#Headers])+1,0,INDEX(tblSubjectToLoan[Principal],ROW()-ROW(tblSubjectToLoan[#Headers])-1)),tblSubjectToLoan[[#This Row],[Princ]]+IF(ROW()=ROW(tblSubjectToLoan[#Headers])+1,0,INDEX(tblSubjectToLoan[Principal],ROW()-ROW(tblSubjectToLoan[#Headers])-1)))</f>
        <v>4265.03</v>
      </c>
      <c r="J32" s="276">
        <f>IF(tblSubjectToLoan[[#This Row],[Date]]="",IF(ROW()=ROW(tblSubjectToLoan[#Headers])+1,0,INDEX(tblSubjectToLoan[Interest],ROW()-ROW(tblSubjectToLoan[#Headers])-1)),tblSubjectToLoan[[#This Row],[Int]]+IF(ROW()=ROW(tblSubjectToLoan[#Headers])+1,0,INDEX(tblSubjectToLoan[Interest],ROW()-ROW(tblSubjectToLoan[#Headers])-1)))</f>
        <v>3870.5</v>
      </c>
      <c r="K32" s="969">
        <f>IF(tblSubjectToLoan[[#This Row],[Date]]="",0,MAX(0,tblSubjectToLoan[[#This Row],[Beginning Balance]]-tblSubjectToLoan[[#This Row],[Princ]]))</f>
        <v>92962.97</v>
      </c>
      <c r="L32" s="394">
        <f t="shared" si="1"/>
        <v>1</v>
      </c>
      <c r="M32" s="394">
        <f t="shared" si="2"/>
        <v>12</v>
      </c>
      <c r="N32" s="613">
        <f>INDEX(tblSubjectToLoan[Date],ROW()-ROW(tblContractForDeed[#Headers]))</f>
        <v>46235</v>
      </c>
      <c r="O32" s="276">
        <f>IF(ROW()=ROW(tblContractForDeed[#Headers])+1,$O$6,IF(INDEX(tblContractForDeed[End Bal],ROW()-ROW(tblContractForDeed[#Headers])-1)&lt;0,0,INDEX(tblContractForDeed[End Bal],ROW()-ROW(tblContractForDeed[#Headers])-1)))</f>
        <v>75004.69</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67">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38.940000000000055</v>
      </c>
      <c r="AD32" s="276">
        <f>IF(INDEX(tblContractForDeed[End Bal],ROW()-ROW(tblBuyerOutputs[#Headers]))&lt;=0,0,($O$6+IF(ROW()=ROW(tblBuyerOutputs[#Headers])+1,0,INDEX(tblBuyerOutputs[Cumul Appr],ROW()-ROW(tblBuyerOutputs[#Headers])-1)))*$O$2/12)</f>
        <v>0</v>
      </c>
      <c r="AE32" s="276">
        <f>IF(INDEX(tblContractForDeed[End Bal],ROW()-ROW(tblBuyerOutputs[#Headers]))&lt;=0,0,IF(ROW()=ROW(tblBuyerOutputs[#Headers])+1,0,INDEX(tblBuyerOutputs[Cumul Appr],ROW()-ROW(tblBuyerOutputs[#Headers])-1))+tblBuyerOutputs[[#This Row],[Monthly Appr]])</f>
        <v>0</v>
      </c>
      <c r="AF32" s="22"/>
      <c r="AG32" s="14"/>
      <c r="AL32"/>
      <c r="AM32" s="14"/>
      <c r="AO32" s="276"/>
      <c r="AQ32" s="14"/>
      <c r="AR32"/>
    </row>
    <row r="33" spans="1:44" x14ac:dyDescent="0.25">
      <c r="A33" s="613">
        <f>IF(ROW()=ROW(tblSubjectToLoan[#Headers])+1,subjectKnownBalanceDate,IF(OR(INDEX(tblSubjectToLoan[Date],ROW()-ROW(tblSubjectToLoan[#Headers])-1)="",INDEX(tblSubjectToLoan[Date],ROW()-ROW(tblSubjectToLoan[#Headers])-1)&gt;=subjectMortgageEndDate),"",EDATE(INDEX(tblSubjectToLoan[Date],ROW()-ROW(tblSubjectToLoan[#Headers])-1),1)))</f>
        <v>46266</v>
      </c>
      <c r="B33" s="276">
        <f>IF(tblSubjectToLoan[[#This Row],[Date]]="",0,IF(ROW()=ROW(tblSubjectToLoan[#Headers])+1,subjectKnownBalance,MAX(0,INDEX(tblSubjectToLoan[Ending Balance],ROW()-ROW(tblSubjectToLoan[#Headers])-1))))</f>
        <v>92962.97</v>
      </c>
      <c r="C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3" s="14">
        <f>IF(tblSubjectToLoan[[#This Row],[Payment]]=0,0,MAX(0,MIN(tblSubjectToLoan[[#This Row],[Beginning Balance]],tblSubjectToLoan[[#This Row],[Payment]]-tblSubjectToLoan[[#This Row],[Int]])))</f>
        <v>335.29999999999995</v>
      </c>
      <c r="E33" s="14">
        <f>IF(tblSubjectToLoan[[#This Row],[Date]]="",0,ROUND(tblSubjectToLoan[[#This Row],[Beginning Balance]]*(subjectInterestRate/12),2))</f>
        <v>290.51</v>
      </c>
      <c r="H33" s="14">
        <f>SUM(tblSubjectToLoan[[#This Row],[Princ]],tblSubjectToLoan[[#This Row],[Int]],tblSubjectToLoan[[#This Row],[Ins]],tblSubjectToLoan[[#This Row],[Taxes]])</f>
        <v>625.80999999999995</v>
      </c>
      <c r="I33" s="276">
        <f>IF(tblSubjectToLoan[[#This Row],[Date]]="",IF(ROW()=ROW(tblSubjectToLoan[#Headers])+1,0,INDEX(tblSubjectToLoan[Principal],ROW()-ROW(tblSubjectToLoan[#Headers])-1)),tblSubjectToLoan[[#This Row],[Princ]]+IF(ROW()=ROW(tblSubjectToLoan[#Headers])+1,0,INDEX(tblSubjectToLoan[Principal],ROW()-ROW(tblSubjectToLoan[#Headers])-1)))</f>
        <v>4600.33</v>
      </c>
      <c r="J33" s="276">
        <f>IF(tblSubjectToLoan[[#This Row],[Date]]="",IF(ROW()=ROW(tblSubjectToLoan[#Headers])+1,0,INDEX(tblSubjectToLoan[Interest],ROW()-ROW(tblSubjectToLoan[#Headers])-1)),tblSubjectToLoan[[#This Row],[Int]]+IF(ROW()=ROW(tblSubjectToLoan[#Headers])+1,0,INDEX(tblSubjectToLoan[Interest],ROW()-ROW(tblSubjectToLoan[#Headers])-1)))</f>
        <v>4161.01</v>
      </c>
      <c r="K33" s="969">
        <f>IF(tblSubjectToLoan[[#This Row],[Date]]="",0,MAX(0,tblSubjectToLoan[[#This Row],[Beginning Balance]]-tblSubjectToLoan[[#This Row],[Princ]]))</f>
        <v>92627.67</v>
      </c>
      <c r="L33" s="394">
        <f t="shared" si="1"/>
        <v>1</v>
      </c>
      <c r="M33" s="394">
        <f t="shared" si="2"/>
        <v>13</v>
      </c>
      <c r="N33" s="613">
        <f>INDEX(tblSubjectToLoan[Date],ROW()-ROW(tblContractForDeed[#Headers]))</f>
        <v>46266</v>
      </c>
      <c r="O33" s="276">
        <f>IF(ROW()=ROW(tblContractForDeed[#Headers])+1,$O$6,IF(INDEX(tblContractForDeed[End Bal],ROW()-ROW(tblContractForDeed[#Headers])-1)&lt;0,0,INDEX(tblContractForDeed[End Bal],ROW()-ROW(tblContractForDeed[#Headers])-1)))</f>
        <v>74750.06</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67">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58.410000000000082</v>
      </c>
      <c r="AD33" s="276">
        <f>IF(INDEX(tblContractForDeed[End Bal],ROW()-ROW(tblBuyerOutputs[#Headers]))&lt;=0,0,($O$6+IF(ROW()=ROW(tblBuyerOutputs[#Headers])+1,0,INDEX(tblBuyerOutputs[Cumul Appr],ROW()-ROW(tblBuyerOutputs[#Headers])-1)))*$O$2/12)</f>
        <v>0</v>
      </c>
      <c r="AE33" s="276">
        <f>IF(INDEX(tblContractForDeed[End Bal],ROW()-ROW(tblBuyerOutputs[#Headers]))&lt;=0,0,IF(ROW()=ROW(tblBuyerOutputs[#Headers])+1,0,INDEX(tblBuyerOutputs[Cumul Appr],ROW()-ROW(tblBuyerOutputs[#Headers])-1))+tblBuyerOutputs[[#This Row],[Monthly Appr]])</f>
        <v>0</v>
      </c>
      <c r="AF33" s="22"/>
      <c r="AG33" s="14"/>
      <c r="AL33"/>
      <c r="AM33" s="14"/>
      <c r="AO33" s="276"/>
      <c r="AQ33" s="14"/>
      <c r="AR33"/>
    </row>
    <row r="34" spans="1:44" x14ac:dyDescent="0.25">
      <c r="A34" s="613">
        <f>IF(ROW()=ROW(tblSubjectToLoan[#Headers])+1,subjectKnownBalanceDate,IF(OR(INDEX(tblSubjectToLoan[Date],ROW()-ROW(tblSubjectToLoan[#Headers])-1)="",INDEX(tblSubjectToLoan[Date],ROW()-ROW(tblSubjectToLoan[#Headers])-1)&gt;=subjectMortgageEndDate),"",EDATE(INDEX(tblSubjectToLoan[Date],ROW()-ROW(tblSubjectToLoan[#Headers])-1),1)))</f>
        <v>46296</v>
      </c>
      <c r="B34" s="276">
        <f>IF(tblSubjectToLoan[[#This Row],[Date]]="",0,IF(ROW()=ROW(tblSubjectToLoan[#Headers])+1,subjectKnownBalance,MAX(0,INDEX(tblSubjectToLoan[Ending Balance],ROW()-ROW(tblSubjectToLoan[#Headers])-1))))</f>
        <v>92627.67</v>
      </c>
      <c r="C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4" s="14">
        <f>IF(tblSubjectToLoan[[#This Row],[Payment]]=0,0,MAX(0,MIN(tblSubjectToLoan[[#This Row],[Beginning Balance]],tblSubjectToLoan[[#This Row],[Payment]]-tblSubjectToLoan[[#This Row],[Int]])))</f>
        <v>336.34999999999997</v>
      </c>
      <c r="E34" s="14">
        <f>IF(tblSubjectToLoan[[#This Row],[Date]]="",0,ROUND(tblSubjectToLoan[[#This Row],[Beginning Balance]]*(subjectInterestRate/12),2))</f>
        <v>289.45999999999998</v>
      </c>
      <c r="H34" s="14">
        <f>SUM(tblSubjectToLoan[[#This Row],[Princ]],tblSubjectToLoan[[#This Row],[Int]],tblSubjectToLoan[[#This Row],[Ins]],tblSubjectToLoan[[#This Row],[Taxes]])</f>
        <v>625.80999999999995</v>
      </c>
      <c r="I34" s="276">
        <f>IF(tblSubjectToLoan[[#This Row],[Date]]="",IF(ROW()=ROW(tblSubjectToLoan[#Headers])+1,0,INDEX(tblSubjectToLoan[Principal],ROW()-ROW(tblSubjectToLoan[#Headers])-1)),tblSubjectToLoan[[#This Row],[Princ]]+IF(ROW()=ROW(tblSubjectToLoan[#Headers])+1,0,INDEX(tblSubjectToLoan[Principal],ROW()-ROW(tblSubjectToLoan[#Headers])-1)))</f>
        <v>4936.68</v>
      </c>
      <c r="J34" s="276">
        <f>IF(tblSubjectToLoan[[#This Row],[Date]]="",IF(ROW()=ROW(tblSubjectToLoan[#Headers])+1,0,INDEX(tblSubjectToLoan[Interest],ROW()-ROW(tblSubjectToLoan[#Headers])-1)),tblSubjectToLoan[[#This Row],[Int]]+IF(ROW()=ROW(tblSubjectToLoan[#Headers])+1,0,INDEX(tblSubjectToLoan[Interest],ROW()-ROW(tblSubjectToLoan[#Headers])-1)))</f>
        <v>4450.47</v>
      </c>
      <c r="K34" s="969">
        <f>IF(tblSubjectToLoan[[#This Row],[Date]]="",0,MAX(0,tblSubjectToLoan[[#This Row],[Beginning Balance]]-tblSubjectToLoan[[#This Row],[Princ]]))</f>
        <v>92291.319999999992</v>
      </c>
      <c r="L34" s="394">
        <f t="shared" si="1"/>
        <v>1</v>
      </c>
      <c r="M34" s="394">
        <f t="shared" si="2"/>
        <v>14</v>
      </c>
      <c r="N34" s="613">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67">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77.880000000000109</v>
      </c>
      <c r="AD34" s="276">
        <f>IF(INDEX(tblContractForDeed[End Bal],ROW()-ROW(tblBuyerOutputs[#Headers]))&lt;=0,0,($O$6+IF(ROW()=ROW(tblBuyerOutputs[#Headers])+1,0,INDEX(tblBuyerOutputs[Cumul Appr],ROW()-ROW(tblBuyerOutputs[#Headers])-1)))*$O$2/12)</f>
        <v>0</v>
      </c>
      <c r="AE34" s="276">
        <f>IF(INDEX(tblContractForDeed[End Bal],ROW()-ROW(tblBuyerOutputs[#Headers]))&lt;=0,0,IF(ROW()=ROW(tblBuyerOutputs[#Headers])+1,0,INDEX(tblBuyerOutputs[Cumul Appr],ROW()-ROW(tblBuyerOutputs[#Headers])-1))+tblBuyerOutputs[[#This Row],[Monthly Appr]])</f>
        <v>0</v>
      </c>
      <c r="AF34" s="22"/>
      <c r="AG34" s="14"/>
      <c r="AL34"/>
      <c r="AM34" s="14"/>
      <c r="AO34" s="276"/>
      <c r="AQ34" s="14"/>
      <c r="AR34"/>
    </row>
    <row r="35" spans="1:44" x14ac:dyDescent="0.25">
      <c r="A35" s="613">
        <f>IF(ROW()=ROW(tblSubjectToLoan[#Headers])+1,subjectKnownBalanceDate,IF(OR(INDEX(tblSubjectToLoan[Date],ROW()-ROW(tblSubjectToLoan[#Headers])-1)="",INDEX(tblSubjectToLoan[Date],ROW()-ROW(tblSubjectToLoan[#Headers])-1)&gt;=subjectMortgageEndDate),"",EDATE(INDEX(tblSubjectToLoan[Date],ROW()-ROW(tblSubjectToLoan[#Headers])-1),1)))</f>
        <v>46327</v>
      </c>
      <c r="B35" s="276">
        <f>IF(tblSubjectToLoan[[#This Row],[Date]]="",0,IF(ROW()=ROW(tblSubjectToLoan[#Headers])+1,subjectKnownBalance,MAX(0,INDEX(tblSubjectToLoan[Ending Balance],ROW()-ROW(tblSubjectToLoan[#Headers])-1))))</f>
        <v>92291.319999999992</v>
      </c>
      <c r="C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5" s="14">
        <f>IF(tblSubjectToLoan[[#This Row],[Payment]]=0,0,MAX(0,MIN(tblSubjectToLoan[[#This Row],[Beginning Balance]],tblSubjectToLoan[[#This Row],[Payment]]-tblSubjectToLoan[[#This Row],[Int]])))</f>
        <v>337.39999999999992</v>
      </c>
      <c r="E35" s="14">
        <f>IF(tblSubjectToLoan[[#This Row],[Date]]="",0,ROUND(tblSubjectToLoan[[#This Row],[Beginning Balance]]*(subjectInterestRate/12),2))</f>
        <v>288.41000000000003</v>
      </c>
      <c r="H35" s="14">
        <f>SUM(tblSubjectToLoan[[#This Row],[Princ]],tblSubjectToLoan[[#This Row],[Int]],tblSubjectToLoan[[#This Row],[Ins]],tblSubjectToLoan[[#This Row],[Taxes]])</f>
        <v>625.80999999999995</v>
      </c>
      <c r="I35" s="276">
        <f>IF(tblSubjectToLoan[[#This Row],[Date]]="",IF(ROW()=ROW(tblSubjectToLoan[#Headers])+1,0,INDEX(tblSubjectToLoan[Principal],ROW()-ROW(tblSubjectToLoan[#Headers])-1)),tblSubjectToLoan[[#This Row],[Princ]]+IF(ROW()=ROW(tblSubjectToLoan[#Headers])+1,0,INDEX(tblSubjectToLoan[Principal],ROW()-ROW(tblSubjectToLoan[#Headers])-1)))</f>
        <v>5274.08</v>
      </c>
      <c r="J35" s="276">
        <f>IF(tblSubjectToLoan[[#This Row],[Date]]="",IF(ROW()=ROW(tblSubjectToLoan[#Headers])+1,0,INDEX(tblSubjectToLoan[Interest],ROW()-ROW(tblSubjectToLoan[#Headers])-1)),tblSubjectToLoan[[#This Row],[Int]]+IF(ROW()=ROW(tblSubjectToLoan[#Headers])+1,0,INDEX(tblSubjectToLoan[Interest],ROW()-ROW(tblSubjectToLoan[#Headers])-1)))</f>
        <v>4738.88</v>
      </c>
      <c r="K35" s="969">
        <f>IF(tblSubjectToLoan[[#This Row],[Date]]="",0,MAX(0,tblSubjectToLoan[[#This Row],[Beginning Balance]]-tblSubjectToLoan[[#This Row],[Princ]]))</f>
        <v>91953.919999999998</v>
      </c>
      <c r="L35" s="394">
        <f t="shared" si="1"/>
        <v>1</v>
      </c>
      <c r="M35" s="394">
        <f t="shared" si="2"/>
        <v>15</v>
      </c>
      <c r="N35" s="613">
        <f>INDEX(tblSubjectToLoan[Date],ROW()-ROW(tblContractForDeed[#Headers]))</f>
        <v>46327</v>
      </c>
      <c r="O35" s="276">
        <f>IF(ROW()=ROW(tblContractForDeed[#Headers])+1,$O$6,IF(INDEX(tblContractForDeed[End Bal],ROW()-ROW(tblContractForDeed[#Headers])-1)&lt;0,0,INDEX(tblContractForDeed[End Bal],ROW()-ROW(tblContractForDeed[#Headers])-1)))</f>
        <v>74236.81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67">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97.350000000000136</v>
      </c>
      <c r="AD35" s="276">
        <f>IF(INDEX(tblContractForDeed[End Bal],ROW()-ROW(tblBuyerOutputs[#Headers]))&lt;=0,0,($O$6+IF(ROW()=ROW(tblBuyerOutputs[#Headers])+1,0,INDEX(tblBuyerOutputs[Cumul Appr],ROW()-ROW(tblBuyerOutputs[#Headers])-1)))*$O$2/12)</f>
        <v>0</v>
      </c>
      <c r="AE35" s="276">
        <f>IF(INDEX(tblContractForDeed[End Bal],ROW()-ROW(tblBuyerOutputs[#Headers]))&lt;=0,0,IF(ROW()=ROW(tblBuyerOutputs[#Headers])+1,0,INDEX(tblBuyerOutputs[Cumul Appr],ROW()-ROW(tblBuyerOutputs[#Headers])-1))+tblBuyerOutputs[[#This Row],[Monthly Appr]])</f>
        <v>0</v>
      </c>
      <c r="AF35" s="22"/>
      <c r="AG35" s="14"/>
      <c r="AL35"/>
      <c r="AM35" s="14"/>
      <c r="AO35" s="276"/>
      <c r="AQ35" s="14"/>
      <c r="AR35"/>
    </row>
    <row r="36" spans="1:44" x14ac:dyDescent="0.25">
      <c r="A36" s="613">
        <f>IF(ROW()=ROW(tblSubjectToLoan[#Headers])+1,subjectKnownBalanceDate,IF(OR(INDEX(tblSubjectToLoan[Date],ROW()-ROW(tblSubjectToLoan[#Headers])-1)="",INDEX(tblSubjectToLoan[Date],ROW()-ROW(tblSubjectToLoan[#Headers])-1)&gt;=subjectMortgageEndDate),"",EDATE(INDEX(tblSubjectToLoan[Date],ROW()-ROW(tblSubjectToLoan[#Headers])-1),1)))</f>
        <v>46357</v>
      </c>
      <c r="B36" s="276">
        <f>IF(tblSubjectToLoan[[#This Row],[Date]]="",0,IF(ROW()=ROW(tblSubjectToLoan[#Headers])+1,subjectKnownBalance,MAX(0,INDEX(tblSubjectToLoan[Ending Balance],ROW()-ROW(tblSubjectToLoan[#Headers])-1))))</f>
        <v>91953.919999999998</v>
      </c>
      <c r="C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6" s="14">
        <f>IF(tblSubjectToLoan[[#This Row],[Payment]]=0,0,MAX(0,MIN(tblSubjectToLoan[[#This Row],[Beginning Balance]],tblSubjectToLoan[[#This Row],[Payment]]-tblSubjectToLoan[[#This Row],[Int]])))</f>
        <v>338.44999999999993</v>
      </c>
      <c r="E36" s="14">
        <f>IF(tblSubjectToLoan[[#This Row],[Date]]="",0,ROUND(tblSubjectToLoan[[#This Row],[Beginning Balance]]*(subjectInterestRate/12),2))</f>
        <v>287.36</v>
      </c>
      <c r="H36" s="14">
        <f>SUM(tblSubjectToLoan[[#This Row],[Princ]],tblSubjectToLoan[[#This Row],[Int]],tblSubjectToLoan[[#This Row],[Ins]],tblSubjectToLoan[[#This Row],[Taxes]])</f>
        <v>625.80999999999995</v>
      </c>
      <c r="I36" s="276">
        <f>IF(tblSubjectToLoan[[#This Row],[Date]]="",IF(ROW()=ROW(tblSubjectToLoan[#Headers])+1,0,INDEX(tblSubjectToLoan[Principal],ROW()-ROW(tblSubjectToLoan[#Headers])-1)),tblSubjectToLoan[[#This Row],[Princ]]+IF(ROW()=ROW(tblSubjectToLoan[#Headers])+1,0,INDEX(tblSubjectToLoan[Principal],ROW()-ROW(tblSubjectToLoan[#Headers])-1)))</f>
        <v>5612.53</v>
      </c>
      <c r="J36" s="276">
        <f>IF(tblSubjectToLoan[[#This Row],[Date]]="",IF(ROW()=ROW(tblSubjectToLoan[#Headers])+1,0,INDEX(tblSubjectToLoan[Interest],ROW()-ROW(tblSubjectToLoan[#Headers])-1)),tblSubjectToLoan[[#This Row],[Int]]+IF(ROW()=ROW(tblSubjectToLoan[#Headers])+1,0,INDEX(tblSubjectToLoan[Interest],ROW()-ROW(tblSubjectToLoan[#Headers])-1)))</f>
        <v>5026.24</v>
      </c>
      <c r="K36" s="969">
        <f>IF(tblSubjectToLoan[[#This Row],[Date]]="",0,MAX(0,tblSubjectToLoan[[#This Row],[Beginning Balance]]-tblSubjectToLoan[[#This Row],[Princ]]))</f>
        <v>91615.47</v>
      </c>
      <c r="L36" s="394">
        <f t="shared" si="1"/>
        <v>1</v>
      </c>
      <c r="M36" s="394">
        <f t="shared" si="2"/>
        <v>16</v>
      </c>
      <c r="N36" s="613">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67">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116.82000000000016</v>
      </c>
      <c r="AD36" s="276">
        <f>IF(INDEX(tblContractForDeed[End Bal],ROW()-ROW(tblBuyerOutputs[#Headers]))&lt;=0,0,($O$6+IF(ROW()=ROW(tblBuyerOutputs[#Headers])+1,0,INDEX(tblBuyerOutputs[Cumul Appr],ROW()-ROW(tblBuyerOutputs[#Headers])-1)))*$O$2/12)</f>
        <v>0</v>
      </c>
      <c r="AE36" s="276">
        <f>IF(INDEX(tblContractForDeed[End Bal],ROW()-ROW(tblBuyerOutputs[#Headers]))&lt;=0,0,IF(ROW()=ROW(tblBuyerOutputs[#Headers])+1,0,INDEX(tblBuyerOutputs[Cumul Appr],ROW()-ROW(tblBuyerOutputs[#Headers])-1))+tblBuyerOutputs[[#This Row],[Monthly Appr]])</f>
        <v>0</v>
      </c>
      <c r="AF36" s="22"/>
      <c r="AG36" s="14"/>
      <c r="AL36"/>
      <c r="AM36" s="14"/>
      <c r="AO36" s="276"/>
      <c r="AQ36" s="14"/>
      <c r="AR36"/>
    </row>
    <row r="37" spans="1:44" x14ac:dyDescent="0.25">
      <c r="A37" s="613">
        <f>IF(ROW()=ROW(tblSubjectToLoan[#Headers])+1,subjectKnownBalanceDate,IF(OR(INDEX(tblSubjectToLoan[Date],ROW()-ROW(tblSubjectToLoan[#Headers])-1)="",INDEX(tblSubjectToLoan[Date],ROW()-ROW(tblSubjectToLoan[#Headers])-1)&gt;=subjectMortgageEndDate),"",EDATE(INDEX(tblSubjectToLoan[Date],ROW()-ROW(tblSubjectToLoan[#Headers])-1),1)))</f>
        <v>46388</v>
      </c>
      <c r="B37" s="276">
        <f>IF(tblSubjectToLoan[[#This Row],[Date]]="",0,IF(ROW()=ROW(tblSubjectToLoan[#Headers])+1,subjectKnownBalance,MAX(0,INDEX(tblSubjectToLoan[Ending Balance],ROW()-ROW(tblSubjectToLoan[#Headers])-1))))</f>
        <v>91615.47</v>
      </c>
      <c r="C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7" s="14">
        <f>IF(tblSubjectToLoan[[#This Row],[Payment]]=0,0,MAX(0,MIN(tblSubjectToLoan[[#This Row],[Beginning Balance]],tblSubjectToLoan[[#This Row],[Payment]]-tblSubjectToLoan[[#This Row],[Int]])))</f>
        <v>339.50999999999993</v>
      </c>
      <c r="E37" s="14">
        <f>IF(tblSubjectToLoan[[#This Row],[Date]]="",0,ROUND(tblSubjectToLoan[[#This Row],[Beginning Balance]]*(subjectInterestRate/12),2))</f>
        <v>286.3</v>
      </c>
      <c r="H37" s="14">
        <f>SUM(tblSubjectToLoan[[#This Row],[Princ]],tblSubjectToLoan[[#This Row],[Int]],tblSubjectToLoan[[#This Row],[Ins]],tblSubjectToLoan[[#This Row],[Taxes]])</f>
        <v>625.80999999999995</v>
      </c>
      <c r="I37" s="276">
        <f>IF(tblSubjectToLoan[[#This Row],[Date]]="",IF(ROW()=ROW(tblSubjectToLoan[#Headers])+1,0,INDEX(tblSubjectToLoan[Principal],ROW()-ROW(tblSubjectToLoan[#Headers])-1)),tblSubjectToLoan[[#This Row],[Princ]]+IF(ROW()=ROW(tblSubjectToLoan[#Headers])+1,0,INDEX(tblSubjectToLoan[Principal],ROW()-ROW(tblSubjectToLoan[#Headers])-1)))</f>
        <v>5952.04</v>
      </c>
      <c r="J37" s="276">
        <f>IF(tblSubjectToLoan[[#This Row],[Date]]="",IF(ROW()=ROW(tblSubjectToLoan[#Headers])+1,0,INDEX(tblSubjectToLoan[Interest],ROW()-ROW(tblSubjectToLoan[#Headers])-1)),tblSubjectToLoan[[#This Row],[Int]]+IF(ROW()=ROW(tblSubjectToLoan[#Headers])+1,0,INDEX(tblSubjectToLoan[Interest],ROW()-ROW(tblSubjectToLoan[#Headers])-1)))</f>
        <v>5312.54</v>
      </c>
      <c r="K37" s="969">
        <f>IF(tblSubjectToLoan[[#This Row],[Date]]="",0,MAX(0,tblSubjectToLoan[[#This Row],[Beginning Balance]]-tblSubjectToLoan[[#This Row],[Princ]]))</f>
        <v>91275.96</v>
      </c>
      <c r="L37" s="394">
        <f t="shared" si="1"/>
        <v>1</v>
      </c>
      <c r="M37" s="394">
        <f t="shared" si="2"/>
        <v>17</v>
      </c>
      <c r="N37" s="613">
        <f>INDEX(tblSubjectToLoan[Date],ROW()-ROW(tblContractForDeed[#Headers]))</f>
        <v>46388</v>
      </c>
      <c r="O37" s="276">
        <f>IF(ROW()=ROW(tblContractForDeed[#Headers])+1,$O$6,IF(INDEX(tblContractForDeed[End Bal],ROW()-ROW(tblContractForDeed[#Headers])-1)&lt;0,0,INDEX(tblContractForDeed[End Bal],ROW()-ROW(tblContractForDeed[#Headers])-1)))</f>
        <v>73718.2</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67">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136.29000000000019</v>
      </c>
      <c r="AD37" s="276">
        <f>IF(INDEX(tblContractForDeed[End Bal],ROW()-ROW(tblBuyerOutputs[#Headers]))&lt;=0,0,($O$6+IF(ROW()=ROW(tblBuyerOutputs[#Headers])+1,0,INDEX(tblBuyerOutputs[Cumul Appr],ROW()-ROW(tblBuyerOutputs[#Headers])-1)))*$O$2/12)</f>
        <v>0</v>
      </c>
      <c r="AE37" s="276">
        <f>IF(INDEX(tblContractForDeed[End Bal],ROW()-ROW(tblBuyerOutputs[#Headers]))&lt;=0,0,IF(ROW()=ROW(tblBuyerOutputs[#Headers])+1,0,INDEX(tblBuyerOutputs[Cumul Appr],ROW()-ROW(tblBuyerOutputs[#Headers])-1))+tblBuyerOutputs[[#This Row],[Monthly Appr]])</f>
        <v>0</v>
      </c>
      <c r="AF37" s="22"/>
      <c r="AG37" s="14"/>
      <c r="AL37"/>
      <c r="AM37" s="14"/>
      <c r="AO37" s="276"/>
      <c r="AQ37" s="14"/>
      <c r="AR37"/>
    </row>
    <row r="38" spans="1:44" x14ac:dyDescent="0.25">
      <c r="A38" s="613">
        <f>IF(ROW()=ROW(tblSubjectToLoan[#Headers])+1,subjectKnownBalanceDate,IF(OR(INDEX(tblSubjectToLoan[Date],ROW()-ROW(tblSubjectToLoan[#Headers])-1)="",INDEX(tblSubjectToLoan[Date],ROW()-ROW(tblSubjectToLoan[#Headers])-1)&gt;=subjectMortgageEndDate),"",EDATE(INDEX(tblSubjectToLoan[Date],ROW()-ROW(tblSubjectToLoan[#Headers])-1),1)))</f>
        <v>46419</v>
      </c>
      <c r="B38" s="276">
        <f>IF(tblSubjectToLoan[[#This Row],[Date]]="",0,IF(ROW()=ROW(tblSubjectToLoan[#Headers])+1,subjectKnownBalance,MAX(0,INDEX(tblSubjectToLoan[Ending Balance],ROW()-ROW(tblSubjectToLoan[#Headers])-1))))</f>
        <v>91275.96</v>
      </c>
      <c r="C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8" s="14">
        <f>IF(tblSubjectToLoan[[#This Row],[Payment]]=0,0,MAX(0,MIN(tblSubjectToLoan[[#This Row],[Beginning Balance]],tblSubjectToLoan[[#This Row],[Payment]]-tblSubjectToLoan[[#This Row],[Int]])))</f>
        <v>340.56999999999994</v>
      </c>
      <c r="E38" s="14">
        <f>IF(tblSubjectToLoan[[#This Row],[Date]]="",0,ROUND(tblSubjectToLoan[[#This Row],[Beginning Balance]]*(subjectInterestRate/12),2))</f>
        <v>285.24</v>
      </c>
      <c r="H38" s="14">
        <f>SUM(tblSubjectToLoan[[#This Row],[Princ]],tblSubjectToLoan[[#This Row],[Int]],tblSubjectToLoan[[#This Row],[Ins]],tblSubjectToLoan[[#This Row],[Taxes]])</f>
        <v>625.80999999999995</v>
      </c>
      <c r="I38" s="276">
        <f>IF(tblSubjectToLoan[[#This Row],[Date]]="",IF(ROW()=ROW(tblSubjectToLoan[#Headers])+1,0,INDEX(tblSubjectToLoan[Principal],ROW()-ROW(tblSubjectToLoan[#Headers])-1)),tblSubjectToLoan[[#This Row],[Princ]]+IF(ROW()=ROW(tblSubjectToLoan[#Headers])+1,0,INDEX(tblSubjectToLoan[Principal],ROW()-ROW(tblSubjectToLoan[#Headers])-1)))</f>
        <v>6292.61</v>
      </c>
      <c r="J38" s="276">
        <f>IF(tblSubjectToLoan[[#This Row],[Date]]="",IF(ROW()=ROW(tblSubjectToLoan[#Headers])+1,0,INDEX(tblSubjectToLoan[Interest],ROW()-ROW(tblSubjectToLoan[#Headers])-1)),tblSubjectToLoan[[#This Row],[Int]]+IF(ROW()=ROW(tblSubjectToLoan[#Headers])+1,0,INDEX(tblSubjectToLoan[Interest],ROW()-ROW(tblSubjectToLoan[#Headers])-1)))</f>
        <v>5597.78</v>
      </c>
      <c r="K38" s="969">
        <f>IF(tblSubjectToLoan[[#This Row],[Date]]="",0,MAX(0,tblSubjectToLoan[[#This Row],[Beginning Balance]]-tblSubjectToLoan[[#This Row],[Princ]]))</f>
        <v>90935.39</v>
      </c>
      <c r="L38" s="394">
        <f t="shared" si="1"/>
        <v>1</v>
      </c>
      <c r="M38" s="394">
        <f t="shared" si="2"/>
        <v>18</v>
      </c>
      <c r="N38" s="613">
        <f>INDEX(tblSubjectToLoan[Date],ROW()-ROW(tblContractForDeed[#Headers]))</f>
        <v>46419</v>
      </c>
      <c r="O38" s="276">
        <f>IF(ROW()=ROW(tblContractForDeed[#Headers])+1,$O$6,IF(INDEX(tblContractForDeed[End Bal],ROW()-ROW(tblContractForDeed[#Headers])-1)&lt;0,0,INDEX(tblContractForDeed[End Bal],ROW()-ROW(tblContractForDeed[#Headers])-1)))</f>
        <v>73456.87</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67">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155.76000000000022</v>
      </c>
      <c r="AD38" s="276">
        <f>IF(INDEX(tblContractForDeed[End Bal],ROW()-ROW(tblBuyerOutputs[#Headers]))&lt;=0,0,($O$6+IF(ROW()=ROW(tblBuyerOutputs[#Headers])+1,0,INDEX(tblBuyerOutputs[Cumul Appr],ROW()-ROW(tblBuyerOutputs[#Headers])-1)))*$O$2/12)</f>
        <v>0</v>
      </c>
      <c r="AE38" s="276">
        <f>IF(INDEX(tblContractForDeed[End Bal],ROW()-ROW(tblBuyerOutputs[#Headers]))&lt;=0,0,IF(ROW()=ROW(tblBuyerOutputs[#Headers])+1,0,INDEX(tblBuyerOutputs[Cumul Appr],ROW()-ROW(tblBuyerOutputs[#Headers])-1))+tblBuyerOutputs[[#This Row],[Monthly Appr]])</f>
        <v>0</v>
      </c>
      <c r="AF38" s="22"/>
      <c r="AG38" s="14"/>
      <c r="AL38"/>
      <c r="AM38" s="14"/>
      <c r="AO38" s="276"/>
      <c r="AQ38" s="14"/>
      <c r="AR38"/>
    </row>
    <row r="39" spans="1:44" x14ac:dyDescent="0.25">
      <c r="A39" s="613">
        <f>IF(ROW()=ROW(tblSubjectToLoan[#Headers])+1,subjectKnownBalanceDate,IF(OR(INDEX(tblSubjectToLoan[Date],ROW()-ROW(tblSubjectToLoan[#Headers])-1)="",INDEX(tblSubjectToLoan[Date],ROW()-ROW(tblSubjectToLoan[#Headers])-1)&gt;=subjectMortgageEndDate),"",EDATE(INDEX(tblSubjectToLoan[Date],ROW()-ROW(tblSubjectToLoan[#Headers])-1),1)))</f>
        <v>46447</v>
      </c>
      <c r="B39" s="276">
        <f>IF(tblSubjectToLoan[[#This Row],[Date]]="",0,IF(ROW()=ROW(tblSubjectToLoan[#Headers])+1,subjectKnownBalance,MAX(0,INDEX(tblSubjectToLoan[Ending Balance],ROW()-ROW(tblSubjectToLoan[#Headers])-1))))</f>
        <v>90935.39</v>
      </c>
      <c r="C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9" s="14">
        <f>IF(tblSubjectToLoan[[#This Row],[Payment]]=0,0,MAX(0,MIN(tblSubjectToLoan[[#This Row],[Beginning Balance]],tblSubjectToLoan[[#This Row],[Payment]]-tblSubjectToLoan[[#This Row],[Int]])))</f>
        <v>341.63999999999993</v>
      </c>
      <c r="E39" s="14">
        <f>IF(tblSubjectToLoan[[#This Row],[Date]]="",0,ROUND(tblSubjectToLoan[[#This Row],[Beginning Balance]]*(subjectInterestRate/12),2))</f>
        <v>284.17</v>
      </c>
      <c r="H39" s="14">
        <f>SUM(tblSubjectToLoan[[#This Row],[Princ]],tblSubjectToLoan[[#This Row],[Int]],tblSubjectToLoan[[#This Row],[Ins]],tblSubjectToLoan[[#This Row],[Taxes]])</f>
        <v>625.80999999999995</v>
      </c>
      <c r="I39" s="276">
        <f>IF(tblSubjectToLoan[[#This Row],[Date]]="",IF(ROW()=ROW(tblSubjectToLoan[#Headers])+1,0,INDEX(tblSubjectToLoan[Principal],ROW()-ROW(tblSubjectToLoan[#Headers])-1)),tblSubjectToLoan[[#This Row],[Princ]]+IF(ROW()=ROW(tblSubjectToLoan[#Headers])+1,0,INDEX(tblSubjectToLoan[Principal],ROW()-ROW(tblSubjectToLoan[#Headers])-1)))</f>
        <v>6634.25</v>
      </c>
      <c r="J39" s="276">
        <f>IF(tblSubjectToLoan[[#This Row],[Date]]="",IF(ROW()=ROW(tblSubjectToLoan[#Headers])+1,0,INDEX(tblSubjectToLoan[Interest],ROW()-ROW(tblSubjectToLoan[#Headers])-1)),tblSubjectToLoan[[#This Row],[Int]]+IF(ROW()=ROW(tblSubjectToLoan[#Headers])+1,0,INDEX(tblSubjectToLoan[Interest],ROW()-ROW(tblSubjectToLoan[#Headers])-1)))</f>
        <v>5881.95</v>
      </c>
      <c r="K39" s="969">
        <f>IF(tblSubjectToLoan[[#This Row],[Date]]="",0,MAX(0,tblSubjectToLoan[[#This Row],[Beginning Balance]]-tblSubjectToLoan[[#This Row],[Princ]]))</f>
        <v>90593.75</v>
      </c>
      <c r="L39" s="394">
        <f t="shared" si="1"/>
        <v>1</v>
      </c>
      <c r="M39" s="394">
        <f t="shared" si="2"/>
        <v>19</v>
      </c>
      <c r="N39" s="613">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67">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175.23000000000025</v>
      </c>
      <c r="AD39" s="276">
        <f>IF(INDEX(tblContractForDeed[End Bal],ROW()-ROW(tblBuyerOutputs[#Headers]))&lt;=0,0,($O$6+IF(ROW()=ROW(tblBuyerOutputs[#Headers])+1,0,INDEX(tblBuyerOutputs[Cumul Appr],ROW()-ROW(tblBuyerOutputs[#Headers])-1)))*$O$2/12)</f>
        <v>0</v>
      </c>
      <c r="AE39" s="276">
        <f>IF(INDEX(tblContractForDeed[End Bal],ROW()-ROW(tblBuyerOutputs[#Headers]))&lt;=0,0,IF(ROW()=ROW(tblBuyerOutputs[#Headers])+1,0,INDEX(tblBuyerOutputs[Cumul Appr],ROW()-ROW(tblBuyerOutputs[#Headers])-1))+tblBuyerOutputs[[#This Row],[Monthly Appr]])</f>
        <v>0</v>
      </c>
      <c r="AF39" s="22"/>
      <c r="AG39" s="14"/>
      <c r="AL39"/>
      <c r="AM39" s="14"/>
      <c r="AO39" s="276"/>
      <c r="AQ39" s="14"/>
      <c r="AR39"/>
    </row>
    <row r="40" spans="1:44" x14ac:dyDescent="0.25">
      <c r="A40" s="613">
        <f>IF(ROW()=ROW(tblSubjectToLoan[#Headers])+1,subjectKnownBalanceDate,IF(OR(INDEX(tblSubjectToLoan[Date],ROW()-ROW(tblSubjectToLoan[#Headers])-1)="",INDEX(tblSubjectToLoan[Date],ROW()-ROW(tblSubjectToLoan[#Headers])-1)&gt;=subjectMortgageEndDate),"",EDATE(INDEX(tblSubjectToLoan[Date],ROW()-ROW(tblSubjectToLoan[#Headers])-1),1)))</f>
        <v>46478</v>
      </c>
      <c r="B40" s="276">
        <f>IF(tblSubjectToLoan[[#This Row],[Date]]="",0,IF(ROW()=ROW(tblSubjectToLoan[#Headers])+1,subjectKnownBalance,MAX(0,INDEX(tblSubjectToLoan[Ending Balance],ROW()-ROW(tblSubjectToLoan[#Headers])-1))))</f>
        <v>90593.75</v>
      </c>
      <c r="C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0" s="14">
        <f>IF(tblSubjectToLoan[[#This Row],[Payment]]=0,0,MAX(0,MIN(tblSubjectToLoan[[#This Row],[Beginning Balance]],tblSubjectToLoan[[#This Row],[Payment]]-tblSubjectToLoan[[#This Row],[Int]])))</f>
        <v>342.69999999999993</v>
      </c>
      <c r="E40" s="14">
        <f>IF(tblSubjectToLoan[[#This Row],[Date]]="",0,ROUND(tblSubjectToLoan[[#This Row],[Beginning Balance]]*(subjectInterestRate/12),2))</f>
        <v>283.11</v>
      </c>
      <c r="H40" s="14">
        <f>SUM(tblSubjectToLoan[[#This Row],[Princ]],tblSubjectToLoan[[#This Row],[Int]],tblSubjectToLoan[[#This Row],[Ins]],tblSubjectToLoan[[#This Row],[Taxes]])</f>
        <v>625.80999999999995</v>
      </c>
      <c r="I40" s="276">
        <f>IF(tblSubjectToLoan[[#This Row],[Date]]="",IF(ROW()=ROW(tblSubjectToLoan[#Headers])+1,0,INDEX(tblSubjectToLoan[Principal],ROW()-ROW(tblSubjectToLoan[#Headers])-1)),tblSubjectToLoan[[#This Row],[Princ]]+IF(ROW()=ROW(tblSubjectToLoan[#Headers])+1,0,INDEX(tblSubjectToLoan[Principal],ROW()-ROW(tblSubjectToLoan[#Headers])-1)))</f>
        <v>6976.95</v>
      </c>
      <c r="J40" s="276">
        <f>IF(tblSubjectToLoan[[#This Row],[Date]]="",IF(ROW()=ROW(tblSubjectToLoan[#Headers])+1,0,INDEX(tblSubjectToLoan[Interest],ROW()-ROW(tblSubjectToLoan[#Headers])-1)),tblSubjectToLoan[[#This Row],[Int]]+IF(ROW()=ROW(tblSubjectToLoan[#Headers])+1,0,INDEX(tblSubjectToLoan[Interest],ROW()-ROW(tblSubjectToLoan[#Headers])-1)))</f>
        <v>6165.0599999999995</v>
      </c>
      <c r="K40" s="969">
        <f>IF(tblSubjectToLoan[[#This Row],[Date]]="",0,MAX(0,tblSubjectToLoan[[#This Row],[Beginning Balance]]-tblSubjectToLoan[[#This Row],[Princ]]))</f>
        <v>90251.05</v>
      </c>
      <c r="L40" s="394">
        <f t="shared" si="1"/>
        <v>1</v>
      </c>
      <c r="M40" s="394">
        <f t="shared" si="2"/>
        <v>20</v>
      </c>
      <c r="N40" s="613">
        <f>INDEX(tblSubjectToLoan[Date],ROW()-ROW(tblContractForDeed[#Headers]))</f>
        <v>46478</v>
      </c>
      <c r="O40" s="276">
        <f>IF(ROW()=ROW(tblContractForDeed[#Headers])+1,$O$6,IF(INDEX(tblContractForDeed[End Bal],ROW()-ROW(tblContractForDeed[#Headers])-1)&lt;0,0,INDEX(tblContractForDeed[End Bal],ROW()-ROW(tblContractForDeed[#Headers])-1)))</f>
        <v>72930.12</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67">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194.70000000000027</v>
      </c>
      <c r="AD40" s="276">
        <f>IF(INDEX(tblContractForDeed[End Bal],ROW()-ROW(tblBuyerOutputs[#Headers]))&lt;=0,0,($O$6+IF(ROW()=ROW(tblBuyerOutputs[#Headers])+1,0,INDEX(tblBuyerOutputs[Cumul Appr],ROW()-ROW(tblBuyerOutputs[#Headers])-1)))*$O$2/12)</f>
        <v>0</v>
      </c>
      <c r="AE40" s="276">
        <f>IF(INDEX(tblContractForDeed[End Bal],ROW()-ROW(tblBuyerOutputs[#Headers]))&lt;=0,0,IF(ROW()=ROW(tblBuyerOutputs[#Headers])+1,0,INDEX(tblBuyerOutputs[Cumul Appr],ROW()-ROW(tblBuyerOutputs[#Headers])-1))+tblBuyerOutputs[[#This Row],[Monthly Appr]])</f>
        <v>0</v>
      </c>
      <c r="AF40" s="22"/>
      <c r="AG40" s="14"/>
      <c r="AL40"/>
      <c r="AM40" s="14"/>
      <c r="AO40" s="276"/>
      <c r="AQ40" s="14"/>
      <c r="AR40"/>
    </row>
    <row r="41" spans="1:44" x14ac:dyDescent="0.25">
      <c r="A41" s="613">
        <f>IF(ROW()=ROW(tblSubjectToLoan[#Headers])+1,subjectKnownBalanceDate,IF(OR(INDEX(tblSubjectToLoan[Date],ROW()-ROW(tblSubjectToLoan[#Headers])-1)="",INDEX(tblSubjectToLoan[Date],ROW()-ROW(tblSubjectToLoan[#Headers])-1)&gt;=subjectMortgageEndDate),"",EDATE(INDEX(tblSubjectToLoan[Date],ROW()-ROW(tblSubjectToLoan[#Headers])-1),1)))</f>
        <v>46508</v>
      </c>
      <c r="B41" s="276">
        <f>IF(tblSubjectToLoan[[#This Row],[Date]]="",0,IF(ROW()=ROW(tblSubjectToLoan[#Headers])+1,subjectKnownBalance,MAX(0,INDEX(tblSubjectToLoan[Ending Balance],ROW()-ROW(tblSubjectToLoan[#Headers])-1))))</f>
        <v>90251.05</v>
      </c>
      <c r="C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1" s="14">
        <f>IF(tblSubjectToLoan[[#This Row],[Payment]]=0,0,MAX(0,MIN(tblSubjectToLoan[[#This Row],[Beginning Balance]],tblSubjectToLoan[[#This Row],[Payment]]-tblSubjectToLoan[[#This Row],[Int]])))</f>
        <v>343.78</v>
      </c>
      <c r="E41" s="14">
        <f>IF(tblSubjectToLoan[[#This Row],[Date]]="",0,ROUND(tblSubjectToLoan[[#This Row],[Beginning Balance]]*(subjectInterestRate/12),2))</f>
        <v>282.02999999999997</v>
      </c>
      <c r="H41" s="14">
        <f>SUM(tblSubjectToLoan[[#This Row],[Princ]],tblSubjectToLoan[[#This Row],[Int]],tblSubjectToLoan[[#This Row],[Ins]],tblSubjectToLoan[[#This Row],[Taxes]])</f>
        <v>625.80999999999995</v>
      </c>
      <c r="I41" s="276">
        <f>IF(tblSubjectToLoan[[#This Row],[Date]]="",IF(ROW()=ROW(tblSubjectToLoan[#Headers])+1,0,INDEX(tblSubjectToLoan[Principal],ROW()-ROW(tblSubjectToLoan[#Headers])-1)),tblSubjectToLoan[[#This Row],[Princ]]+IF(ROW()=ROW(tblSubjectToLoan[#Headers])+1,0,INDEX(tblSubjectToLoan[Principal],ROW()-ROW(tblSubjectToLoan[#Headers])-1)))</f>
        <v>7320.73</v>
      </c>
      <c r="J41" s="276">
        <f>IF(tblSubjectToLoan[[#This Row],[Date]]="",IF(ROW()=ROW(tblSubjectToLoan[#Headers])+1,0,INDEX(tblSubjectToLoan[Interest],ROW()-ROW(tblSubjectToLoan[#Headers])-1)),tblSubjectToLoan[[#This Row],[Int]]+IF(ROW()=ROW(tblSubjectToLoan[#Headers])+1,0,INDEX(tblSubjectToLoan[Interest],ROW()-ROW(tblSubjectToLoan[#Headers])-1)))</f>
        <v>6447.0899999999992</v>
      </c>
      <c r="K41" s="969">
        <f>IF(tblSubjectToLoan[[#This Row],[Date]]="",0,MAX(0,tblSubjectToLoan[[#This Row],[Beginning Balance]]-tblSubjectToLoan[[#This Row],[Princ]]))</f>
        <v>89907.27</v>
      </c>
      <c r="L41" s="394">
        <f t="shared" si="1"/>
        <v>1</v>
      </c>
      <c r="M41" s="394">
        <f t="shared" si="2"/>
        <v>21</v>
      </c>
      <c r="N41" s="613">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67">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214.1700000000003</v>
      </c>
      <c r="AD41" s="276">
        <f>IF(INDEX(tblContractForDeed[End Bal],ROW()-ROW(tblBuyerOutputs[#Headers]))&lt;=0,0,($O$6+IF(ROW()=ROW(tblBuyerOutputs[#Headers])+1,0,INDEX(tblBuyerOutputs[Cumul Appr],ROW()-ROW(tblBuyerOutputs[#Headers])-1)))*$O$2/12)</f>
        <v>0</v>
      </c>
      <c r="AE41" s="276">
        <f>IF(INDEX(tblContractForDeed[End Bal],ROW()-ROW(tblBuyerOutputs[#Headers]))&lt;=0,0,IF(ROW()=ROW(tblBuyerOutputs[#Headers])+1,0,INDEX(tblBuyerOutputs[Cumul Appr],ROW()-ROW(tblBuyerOutputs[#Headers])-1))+tblBuyerOutputs[[#This Row],[Monthly Appr]])</f>
        <v>0</v>
      </c>
      <c r="AF41" s="22"/>
      <c r="AG41" s="14"/>
      <c r="AL41"/>
      <c r="AM41" s="14"/>
      <c r="AO41" s="276"/>
      <c r="AQ41" s="14"/>
      <c r="AR41"/>
    </row>
    <row r="42" spans="1:44" x14ac:dyDescent="0.25">
      <c r="A42" s="613">
        <f>IF(ROW()=ROW(tblSubjectToLoan[#Headers])+1,subjectKnownBalanceDate,IF(OR(INDEX(tblSubjectToLoan[Date],ROW()-ROW(tblSubjectToLoan[#Headers])-1)="",INDEX(tblSubjectToLoan[Date],ROW()-ROW(tblSubjectToLoan[#Headers])-1)&gt;=subjectMortgageEndDate),"",EDATE(INDEX(tblSubjectToLoan[Date],ROW()-ROW(tblSubjectToLoan[#Headers])-1),1)))</f>
        <v>46539</v>
      </c>
      <c r="B42" s="276">
        <f>IF(tblSubjectToLoan[[#This Row],[Date]]="",0,IF(ROW()=ROW(tblSubjectToLoan[#Headers])+1,subjectKnownBalance,MAX(0,INDEX(tblSubjectToLoan[Ending Balance],ROW()-ROW(tblSubjectToLoan[#Headers])-1))))</f>
        <v>89907.27</v>
      </c>
      <c r="C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2" s="14">
        <f>IF(tblSubjectToLoan[[#This Row],[Payment]]=0,0,MAX(0,MIN(tblSubjectToLoan[[#This Row],[Beginning Balance]],tblSubjectToLoan[[#This Row],[Payment]]-tblSubjectToLoan[[#This Row],[Int]])))</f>
        <v>344.84999999999997</v>
      </c>
      <c r="E42" s="14">
        <f>IF(tblSubjectToLoan[[#This Row],[Date]]="",0,ROUND(tblSubjectToLoan[[#This Row],[Beginning Balance]]*(subjectInterestRate/12),2))</f>
        <v>280.95999999999998</v>
      </c>
      <c r="H42" s="14">
        <f>SUM(tblSubjectToLoan[[#This Row],[Princ]],tblSubjectToLoan[[#This Row],[Int]],tblSubjectToLoan[[#This Row],[Ins]],tblSubjectToLoan[[#This Row],[Taxes]])</f>
        <v>625.80999999999995</v>
      </c>
      <c r="I42" s="276">
        <f>IF(tblSubjectToLoan[[#This Row],[Date]]="",IF(ROW()=ROW(tblSubjectToLoan[#Headers])+1,0,INDEX(tblSubjectToLoan[Principal],ROW()-ROW(tblSubjectToLoan[#Headers])-1)),tblSubjectToLoan[[#This Row],[Princ]]+IF(ROW()=ROW(tblSubjectToLoan[#Headers])+1,0,INDEX(tblSubjectToLoan[Principal],ROW()-ROW(tblSubjectToLoan[#Headers])-1)))</f>
        <v>7665.58</v>
      </c>
      <c r="J42" s="276">
        <f>IF(tblSubjectToLoan[[#This Row],[Date]]="",IF(ROW()=ROW(tblSubjectToLoan[#Headers])+1,0,INDEX(tblSubjectToLoan[Interest],ROW()-ROW(tblSubjectToLoan[#Headers])-1)),tblSubjectToLoan[[#This Row],[Int]]+IF(ROW()=ROW(tblSubjectToLoan[#Headers])+1,0,INDEX(tblSubjectToLoan[Interest],ROW()-ROW(tblSubjectToLoan[#Headers])-1)))</f>
        <v>6728.0499999999993</v>
      </c>
      <c r="K42" s="969">
        <f>IF(tblSubjectToLoan[[#This Row],[Date]]="",0,MAX(0,tblSubjectToLoan[[#This Row],[Beginning Balance]]-tblSubjectToLoan[[#This Row],[Princ]]))</f>
        <v>89562.42</v>
      </c>
      <c r="L42" s="394">
        <f t="shared" si="1"/>
        <v>1</v>
      </c>
      <c r="M42" s="394">
        <f t="shared" si="2"/>
        <v>22</v>
      </c>
      <c r="N42" s="613">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67">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233.64000000000033</v>
      </c>
      <c r="AD42" s="276">
        <f>IF(INDEX(tblContractForDeed[End Bal],ROW()-ROW(tblBuyerOutputs[#Headers]))&lt;=0,0,($O$6+IF(ROW()=ROW(tblBuyerOutputs[#Headers])+1,0,INDEX(tblBuyerOutputs[Cumul Appr],ROW()-ROW(tblBuyerOutputs[#Headers])-1)))*$O$2/12)</f>
        <v>0</v>
      </c>
      <c r="AE42" s="276">
        <f>IF(INDEX(tblContractForDeed[End Bal],ROW()-ROW(tblBuyerOutputs[#Headers]))&lt;=0,0,IF(ROW()=ROW(tblBuyerOutputs[#Headers])+1,0,INDEX(tblBuyerOutputs[Cumul Appr],ROW()-ROW(tblBuyerOutputs[#Headers])-1))+tblBuyerOutputs[[#This Row],[Monthly Appr]])</f>
        <v>0</v>
      </c>
      <c r="AF42" s="22"/>
      <c r="AG42" s="14"/>
      <c r="AL42"/>
      <c r="AM42" s="14"/>
      <c r="AO42" s="276"/>
      <c r="AQ42" s="14"/>
      <c r="AR42"/>
    </row>
    <row r="43" spans="1:44" ht="15.75" thickBot="1" x14ac:dyDescent="0.3">
      <c r="A43" s="614">
        <f>IF(ROW()=ROW(tblSubjectToLoan[#Headers])+1,subjectKnownBalanceDate,IF(OR(INDEX(tblSubjectToLoan[Date],ROW()-ROW(tblSubjectToLoan[#Headers])-1)="",INDEX(tblSubjectToLoan[Date],ROW()-ROW(tblSubjectToLoan[#Headers])-1)&gt;=subjectMortgageEndDate),"",EDATE(INDEX(tblSubjectToLoan[Date],ROW()-ROW(tblSubjectToLoan[#Headers])-1),1)))</f>
        <v>46569</v>
      </c>
      <c r="B43" s="332">
        <f>IF(tblSubjectToLoan[[#This Row],[Date]]="",0,IF(ROW()=ROW(tblSubjectToLoan[#Headers])+1,subjectKnownBalance,MAX(0,INDEX(tblSubjectToLoan[Ending Balance],ROW()-ROW(tblSubjectToLoan[#Headers])-1))))</f>
        <v>89562.42</v>
      </c>
      <c r="C4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3" s="21">
        <f>IF(tblSubjectToLoan[[#This Row],[Payment]]=0,0,MAX(0,MIN(tblSubjectToLoan[[#This Row],[Beginning Balance]],tblSubjectToLoan[[#This Row],[Payment]]-tblSubjectToLoan[[#This Row],[Int]])))</f>
        <v>345.92999999999995</v>
      </c>
      <c r="E43" s="21">
        <f>IF(tblSubjectToLoan[[#This Row],[Date]]="",0,ROUND(tblSubjectToLoan[[#This Row],[Beginning Balance]]*(subjectInterestRate/12),2))</f>
        <v>279.88</v>
      </c>
      <c r="F43" s="21"/>
      <c r="G43" s="21"/>
      <c r="H43" s="21">
        <f>SUM(tblSubjectToLoan[[#This Row],[Princ]],tblSubjectToLoan[[#This Row],[Int]],tblSubjectToLoan[[#This Row],[Ins]],tblSubjectToLoan[[#This Row],[Taxes]])</f>
        <v>625.80999999999995</v>
      </c>
      <c r="I43" s="332">
        <f>IF(tblSubjectToLoan[[#This Row],[Date]]="",IF(ROW()=ROW(tblSubjectToLoan[#Headers])+1,0,INDEX(tblSubjectToLoan[Principal],ROW()-ROW(tblSubjectToLoan[#Headers])-1)),tblSubjectToLoan[[#This Row],[Princ]]+IF(ROW()=ROW(tblSubjectToLoan[#Headers])+1,0,INDEX(tblSubjectToLoan[Principal],ROW()-ROW(tblSubjectToLoan[#Headers])-1)))</f>
        <v>8011.51</v>
      </c>
      <c r="J43" s="332">
        <f>IF(tblSubjectToLoan[[#This Row],[Date]]="",IF(ROW()=ROW(tblSubjectToLoan[#Headers])+1,0,INDEX(tblSubjectToLoan[Interest],ROW()-ROW(tblSubjectToLoan[#Headers])-1)),tblSubjectToLoan[[#This Row],[Int]]+IF(ROW()=ROW(tblSubjectToLoan[#Headers])+1,0,INDEX(tblSubjectToLoan[Interest],ROW()-ROW(tblSubjectToLoan[#Headers])-1)))</f>
        <v>7007.9299999999994</v>
      </c>
      <c r="K43" s="970">
        <f>IF(tblSubjectToLoan[[#This Row],[Date]]="",0,MAX(0,tblSubjectToLoan[[#This Row],[Beginning Balance]]-tblSubjectToLoan[[#This Row],[Princ]]))</f>
        <v>89216.49</v>
      </c>
      <c r="L43" s="395">
        <f t="shared" si="1"/>
        <v>1</v>
      </c>
      <c r="M43" s="395">
        <f t="shared" si="2"/>
        <v>23</v>
      </c>
      <c r="N43" s="614">
        <f>INDEX(tblSubjectToLoan[Date],ROW()-ROW(tblContractForDeed[#Headers]))</f>
        <v>46569</v>
      </c>
      <c r="O43" s="332">
        <f>IF(ROW()=ROW(tblContractForDeed[#Headers])+1,$O$6,IF(INDEX(tblContractForDeed[End Bal],ROW()-ROW(tblContractForDeed[#Headers])-1)&lt;0,0,INDEX(tblContractForDeed[End Bal],ROW()-ROW(tblContractForDeed[#Headers])-1)))</f>
        <v>72129.64999999998</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269.59999999999997</v>
      </c>
      <c r="S43" s="332">
        <f>IF(OR(tblContractForDeed[[#This Row],[Date]]&lt;cfdContractDate,tblContractForDeed[[#This Row],[Date]]&gt;cfdEndDate),0,ROUND(tblContractForDeed[[#This Row],[Beg]]*(tblContractForDeed[[#This Row],[Int Rate]]/12),2))</f>
        <v>375.68</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3397.95</v>
      </c>
      <c r="X43" s="332">
        <f>IF(tblContractForDeed[[#This Row],[Beg]]&lt;=0,0,tblContractForDeed[[#This Row],[Beg]]-tblContractForDeed[[#This Row],[Princ]])</f>
        <v>71860.049999999974</v>
      </c>
      <c r="Y4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68">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253.11000000000035</v>
      </c>
      <c r="AD43" s="332">
        <f>IF(INDEX(tblContractForDeed[End Bal],ROW()-ROW(tblBuyerOutputs[#Headers]))&lt;=0,0,($O$6+IF(ROW()=ROW(tblBuyerOutputs[#Headers])+1,0,INDEX(tblBuyerOutputs[Cumul Appr],ROW()-ROW(tblBuyerOutputs[#Headers])-1)))*$O$2/12)</f>
        <v>0</v>
      </c>
      <c r="AE43" s="332">
        <f>IF(INDEX(tblContractForDeed[End Bal],ROW()-ROW(tblBuyerOutputs[#Headers]))&lt;=0,0,IF(ROW()=ROW(tblBuyerOutputs[#Headers])+1,0,INDEX(tblBuyerOutputs[Cumul Appr],ROW()-ROW(tblBuyerOutputs[#Headers])-1))+tblBuyerOutputs[[#This Row],[Monthly Appr]])</f>
        <v>0</v>
      </c>
      <c r="AF43" s="22"/>
      <c r="AG43" s="14"/>
      <c r="AL43"/>
      <c r="AM43" s="14"/>
      <c r="AO43" s="276"/>
      <c r="AQ43" s="14"/>
      <c r="AR43"/>
    </row>
    <row r="44" spans="1:44" x14ac:dyDescent="0.25">
      <c r="A44" s="613">
        <f>IF(ROW()=ROW(tblSubjectToLoan[#Headers])+1,subjectKnownBalanceDate,IF(OR(INDEX(tblSubjectToLoan[Date],ROW()-ROW(tblSubjectToLoan[#Headers])-1)="",INDEX(tblSubjectToLoan[Date],ROW()-ROW(tblSubjectToLoan[#Headers])-1)&gt;=subjectMortgageEndDate),"",EDATE(INDEX(tblSubjectToLoan[Date],ROW()-ROW(tblSubjectToLoan[#Headers])-1),1)))</f>
        <v>46600</v>
      </c>
      <c r="B44" s="276">
        <f>IF(tblSubjectToLoan[[#This Row],[Date]]="",0,IF(ROW()=ROW(tblSubjectToLoan[#Headers])+1,subjectKnownBalance,MAX(0,INDEX(tblSubjectToLoan[Ending Balance],ROW()-ROW(tblSubjectToLoan[#Headers])-1))))</f>
        <v>89216.49</v>
      </c>
      <c r="C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4" s="14">
        <f>IF(tblSubjectToLoan[[#This Row],[Payment]]=0,0,MAX(0,MIN(tblSubjectToLoan[[#This Row],[Beginning Balance]],tblSubjectToLoan[[#This Row],[Payment]]-tblSubjectToLoan[[#This Row],[Int]])))</f>
        <v>347.00999999999993</v>
      </c>
      <c r="E44" s="14">
        <f>IF(tblSubjectToLoan[[#This Row],[Date]]="",0,ROUND(tblSubjectToLoan[[#This Row],[Beginning Balance]]*(subjectInterestRate/12),2))</f>
        <v>278.8</v>
      </c>
      <c r="H44" s="14">
        <f>SUM(tblSubjectToLoan[[#This Row],[Princ]],tblSubjectToLoan[[#This Row],[Int]],tblSubjectToLoan[[#This Row],[Ins]],tblSubjectToLoan[[#This Row],[Taxes]])</f>
        <v>625.80999999999995</v>
      </c>
      <c r="I44" s="276">
        <f>IF(tblSubjectToLoan[[#This Row],[Date]]="",IF(ROW()=ROW(tblSubjectToLoan[#Headers])+1,0,INDEX(tblSubjectToLoan[Principal],ROW()-ROW(tblSubjectToLoan[#Headers])-1)),tblSubjectToLoan[[#This Row],[Princ]]+IF(ROW()=ROW(tblSubjectToLoan[#Headers])+1,0,INDEX(tblSubjectToLoan[Principal],ROW()-ROW(tblSubjectToLoan[#Headers])-1)))</f>
        <v>8358.52</v>
      </c>
      <c r="J44" s="276">
        <f>IF(tblSubjectToLoan[[#This Row],[Date]]="",IF(ROW()=ROW(tblSubjectToLoan[#Headers])+1,0,INDEX(tblSubjectToLoan[Interest],ROW()-ROW(tblSubjectToLoan[#Headers])-1)),tblSubjectToLoan[[#This Row],[Int]]+IF(ROW()=ROW(tblSubjectToLoan[#Headers])+1,0,INDEX(tblSubjectToLoan[Interest],ROW()-ROW(tblSubjectToLoan[#Headers])-1)))</f>
        <v>7286.73</v>
      </c>
      <c r="K44" s="969">
        <f>IF(tblSubjectToLoan[[#This Row],[Date]]="",0,MAX(0,tblSubjectToLoan[[#This Row],[Beginning Balance]]-tblSubjectToLoan[[#This Row],[Princ]]))</f>
        <v>88869.48000000001</v>
      </c>
      <c r="L44" s="394">
        <f t="shared" si="1"/>
        <v>2</v>
      </c>
      <c r="M44" s="394">
        <f t="shared" si="2"/>
        <v>24</v>
      </c>
      <c r="N44" s="613">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67">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272.58000000000038</v>
      </c>
      <c r="AD44" s="276">
        <f>IF(INDEX(tblContractForDeed[End Bal],ROW()-ROW(tblBuyerOutputs[#Headers]))&lt;=0,0,($O$6+IF(ROW()=ROW(tblBuyerOutputs[#Headers])+1,0,INDEX(tblBuyerOutputs[Cumul Appr],ROW()-ROW(tblBuyerOutputs[#Headers])-1)))*$O$2/12)</f>
        <v>0</v>
      </c>
      <c r="AE44" s="276">
        <f>IF(INDEX(tblContractForDeed[End Bal],ROW()-ROW(tblBuyerOutputs[#Headers]))&lt;=0,0,IF(ROW()=ROW(tblBuyerOutputs[#Headers])+1,0,INDEX(tblBuyerOutputs[Cumul Appr],ROW()-ROW(tblBuyerOutputs[#Headers])-1))+tblBuyerOutputs[[#This Row],[Monthly Appr]])</f>
        <v>0</v>
      </c>
      <c r="AF44" s="22"/>
      <c r="AG44" s="14"/>
      <c r="AL44"/>
      <c r="AM44" s="14"/>
      <c r="AO44" s="276"/>
      <c r="AQ44" s="14"/>
      <c r="AR44"/>
    </row>
    <row r="45" spans="1:44" x14ac:dyDescent="0.25">
      <c r="A45" s="613">
        <f>IF(ROW()=ROW(tblSubjectToLoan[#Headers])+1,subjectKnownBalanceDate,IF(OR(INDEX(tblSubjectToLoan[Date],ROW()-ROW(tblSubjectToLoan[#Headers])-1)="",INDEX(tblSubjectToLoan[Date],ROW()-ROW(tblSubjectToLoan[#Headers])-1)&gt;=subjectMortgageEndDate),"",EDATE(INDEX(tblSubjectToLoan[Date],ROW()-ROW(tblSubjectToLoan[#Headers])-1),1)))</f>
        <v>46631</v>
      </c>
      <c r="B45" s="276">
        <f>IF(tblSubjectToLoan[[#This Row],[Date]]="",0,IF(ROW()=ROW(tblSubjectToLoan[#Headers])+1,subjectKnownBalance,MAX(0,INDEX(tblSubjectToLoan[Ending Balance],ROW()-ROW(tblSubjectToLoan[#Headers])-1))))</f>
        <v>88869.48000000001</v>
      </c>
      <c r="C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5" s="14">
        <f>IF(tblSubjectToLoan[[#This Row],[Payment]]=0,0,MAX(0,MIN(tblSubjectToLoan[[#This Row],[Beginning Balance]],tblSubjectToLoan[[#This Row],[Payment]]-tblSubjectToLoan[[#This Row],[Int]])))</f>
        <v>348.08999999999992</v>
      </c>
      <c r="E45" s="14">
        <f>IF(tblSubjectToLoan[[#This Row],[Date]]="",0,ROUND(tblSubjectToLoan[[#This Row],[Beginning Balance]]*(subjectInterestRate/12),2))</f>
        <v>277.72000000000003</v>
      </c>
      <c r="H45" s="14">
        <f>SUM(tblSubjectToLoan[[#This Row],[Princ]],tblSubjectToLoan[[#This Row],[Int]],tblSubjectToLoan[[#This Row],[Ins]],tblSubjectToLoan[[#This Row],[Taxes]])</f>
        <v>625.80999999999995</v>
      </c>
      <c r="I45" s="276">
        <f>IF(tblSubjectToLoan[[#This Row],[Date]]="",IF(ROW()=ROW(tblSubjectToLoan[#Headers])+1,0,INDEX(tblSubjectToLoan[Principal],ROW()-ROW(tblSubjectToLoan[#Headers])-1)),tblSubjectToLoan[[#This Row],[Princ]]+IF(ROW()=ROW(tblSubjectToLoan[#Headers])+1,0,INDEX(tblSubjectToLoan[Principal],ROW()-ROW(tblSubjectToLoan[#Headers])-1)))</f>
        <v>8706.61</v>
      </c>
      <c r="J45" s="276">
        <f>IF(tblSubjectToLoan[[#This Row],[Date]]="",IF(ROW()=ROW(tblSubjectToLoan[#Headers])+1,0,INDEX(tblSubjectToLoan[Interest],ROW()-ROW(tblSubjectToLoan[#Headers])-1)),tblSubjectToLoan[[#This Row],[Int]]+IF(ROW()=ROW(tblSubjectToLoan[#Headers])+1,0,INDEX(tblSubjectToLoan[Interest],ROW()-ROW(tblSubjectToLoan[#Headers])-1)))</f>
        <v>7564.45</v>
      </c>
      <c r="K45" s="969">
        <f>IF(tblSubjectToLoan[[#This Row],[Date]]="",0,MAX(0,tblSubjectToLoan[[#This Row],[Beginning Balance]]-tblSubjectToLoan[[#This Row],[Princ]]))</f>
        <v>88521.390000000014</v>
      </c>
      <c r="L45" s="394">
        <f t="shared" si="1"/>
        <v>2</v>
      </c>
      <c r="M45" s="394">
        <f t="shared" si="2"/>
        <v>25</v>
      </c>
      <c r="N45" s="613">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67">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292.05000000000041</v>
      </c>
      <c r="AD45" s="276">
        <f>IF(INDEX(tblContractForDeed[End Bal],ROW()-ROW(tblBuyerOutputs[#Headers]))&lt;=0,0,($O$6+IF(ROW()=ROW(tblBuyerOutputs[#Headers])+1,0,INDEX(tblBuyerOutputs[Cumul Appr],ROW()-ROW(tblBuyerOutputs[#Headers])-1)))*$O$2/12)</f>
        <v>0</v>
      </c>
      <c r="AE45" s="276">
        <f>IF(INDEX(tblContractForDeed[End Bal],ROW()-ROW(tblBuyerOutputs[#Headers]))&lt;=0,0,IF(ROW()=ROW(tblBuyerOutputs[#Headers])+1,0,INDEX(tblBuyerOutputs[Cumul Appr],ROW()-ROW(tblBuyerOutputs[#Headers])-1))+tblBuyerOutputs[[#This Row],[Monthly Appr]])</f>
        <v>0</v>
      </c>
      <c r="AF45" s="22"/>
      <c r="AG45" s="14"/>
      <c r="AL45"/>
      <c r="AM45" s="14"/>
      <c r="AO45" s="276"/>
      <c r="AQ45" s="14"/>
      <c r="AR45"/>
    </row>
    <row r="46" spans="1:44" x14ac:dyDescent="0.25">
      <c r="A46" s="613">
        <f>IF(ROW()=ROW(tblSubjectToLoan[#Headers])+1,subjectKnownBalanceDate,IF(OR(INDEX(tblSubjectToLoan[Date],ROW()-ROW(tblSubjectToLoan[#Headers])-1)="",INDEX(tblSubjectToLoan[Date],ROW()-ROW(tblSubjectToLoan[#Headers])-1)&gt;=subjectMortgageEndDate),"",EDATE(INDEX(tblSubjectToLoan[Date],ROW()-ROW(tblSubjectToLoan[#Headers])-1),1)))</f>
        <v>46661</v>
      </c>
      <c r="B46" s="276">
        <f>IF(tblSubjectToLoan[[#This Row],[Date]]="",0,IF(ROW()=ROW(tblSubjectToLoan[#Headers])+1,subjectKnownBalance,MAX(0,INDEX(tblSubjectToLoan[Ending Balance],ROW()-ROW(tblSubjectToLoan[#Headers])-1))))</f>
        <v>88521.390000000014</v>
      </c>
      <c r="C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6" s="14">
        <f>IF(tblSubjectToLoan[[#This Row],[Payment]]=0,0,MAX(0,MIN(tblSubjectToLoan[[#This Row],[Beginning Balance]],tblSubjectToLoan[[#This Row],[Payment]]-tblSubjectToLoan[[#This Row],[Int]])))</f>
        <v>349.17999999999995</v>
      </c>
      <c r="E46" s="14">
        <f>IF(tblSubjectToLoan[[#This Row],[Date]]="",0,ROUND(tblSubjectToLoan[[#This Row],[Beginning Balance]]*(subjectInterestRate/12),2))</f>
        <v>276.63</v>
      </c>
      <c r="H46" s="14">
        <f>SUM(tblSubjectToLoan[[#This Row],[Princ]],tblSubjectToLoan[[#This Row],[Int]],tblSubjectToLoan[[#This Row],[Ins]],tblSubjectToLoan[[#This Row],[Taxes]])</f>
        <v>625.80999999999995</v>
      </c>
      <c r="I46" s="276">
        <f>IF(tblSubjectToLoan[[#This Row],[Date]]="",IF(ROW()=ROW(tblSubjectToLoan[#Headers])+1,0,INDEX(tblSubjectToLoan[Principal],ROW()-ROW(tblSubjectToLoan[#Headers])-1)),tblSubjectToLoan[[#This Row],[Princ]]+IF(ROW()=ROW(tblSubjectToLoan[#Headers])+1,0,INDEX(tblSubjectToLoan[Principal],ROW()-ROW(tblSubjectToLoan[#Headers])-1)))</f>
        <v>9055.7900000000009</v>
      </c>
      <c r="J46" s="276">
        <f>IF(tblSubjectToLoan[[#This Row],[Date]]="",IF(ROW()=ROW(tblSubjectToLoan[#Headers])+1,0,INDEX(tblSubjectToLoan[Interest],ROW()-ROW(tblSubjectToLoan[#Headers])-1)),tblSubjectToLoan[[#This Row],[Int]]+IF(ROW()=ROW(tblSubjectToLoan[#Headers])+1,0,INDEX(tblSubjectToLoan[Interest],ROW()-ROW(tblSubjectToLoan[#Headers])-1)))</f>
        <v>7841.08</v>
      </c>
      <c r="K46" s="969">
        <f>IF(tblSubjectToLoan[[#This Row],[Date]]="",0,MAX(0,tblSubjectToLoan[[#This Row],[Beginning Balance]]-tblSubjectToLoan[[#This Row],[Princ]]))</f>
        <v>88172.210000000021</v>
      </c>
      <c r="L46" s="394">
        <f t="shared" si="1"/>
        <v>2</v>
      </c>
      <c r="M46" s="394">
        <f t="shared" si="2"/>
        <v>26</v>
      </c>
      <c r="N46" s="613">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67">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311.52000000000044</v>
      </c>
      <c r="AD46" s="276">
        <f>IF(INDEX(tblContractForDeed[End Bal],ROW()-ROW(tblBuyerOutputs[#Headers]))&lt;=0,0,($O$6+IF(ROW()=ROW(tblBuyerOutputs[#Headers])+1,0,INDEX(tblBuyerOutputs[Cumul Appr],ROW()-ROW(tblBuyerOutputs[#Headers])-1)))*$O$2/12)</f>
        <v>0</v>
      </c>
      <c r="AE46" s="276">
        <f>IF(INDEX(tblContractForDeed[End Bal],ROW()-ROW(tblBuyerOutputs[#Headers]))&lt;=0,0,IF(ROW()=ROW(tblBuyerOutputs[#Headers])+1,0,INDEX(tblBuyerOutputs[Cumul Appr],ROW()-ROW(tblBuyerOutputs[#Headers])-1))+tblBuyerOutputs[[#This Row],[Monthly Appr]])</f>
        <v>0</v>
      </c>
      <c r="AF46" s="22"/>
      <c r="AG46" s="14"/>
      <c r="AL46"/>
      <c r="AM46" s="14"/>
      <c r="AO46" s="276"/>
      <c r="AQ46" s="14"/>
      <c r="AR46"/>
    </row>
    <row r="47" spans="1:44" x14ac:dyDescent="0.25">
      <c r="A47" s="613">
        <f>IF(ROW()=ROW(tblSubjectToLoan[#Headers])+1,subjectKnownBalanceDate,IF(OR(INDEX(tblSubjectToLoan[Date],ROW()-ROW(tblSubjectToLoan[#Headers])-1)="",INDEX(tblSubjectToLoan[Date],ROW()-ROW(tblSubjectToLoan[#Headers])-1)&gt;=subjectMortgageEndDate),"",EDATE(INDEX(tblSubjectToLoan[Date],ROW()-ROW(tblSubjectToLoan[#Headers])-1),1)))</f>
        <v>46692</v>
      </c>
      <c r="B47" s="276">
        <f>IF(tblSubjectToLoan[[#This Row],[Date]]="",0,IF(ROW()=ROW(tblSubjectToLoan[#Headers])+1,subjectKnownBalance,MAX(0,INDEX(tblSubjectToLoan[Ending Balance],ROW()-ROW(tblSubjectToLoan[#Headers])-1))))</f>
        <v>88172.210000000021</v>
      </c>
      <c r="C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7" s="14">
        <f>IF(tblSubjectToLoan[[#This Row],[Payment]]=0,0,MAX(0,MIN(tblSubjectToLoan[[#This Row],[Beginning Balance]],tblSubjectToLoan[[#This Row],[Payment]]-tblSubjectToLoan[[#This Row],[Int]])))</f>
        <v>350.26999999999992</v>
      </c>
      <c r="E47" s="14">
        <f>IF(tblSubjectToLoan[[#This Row],[Date]]="",0,ROUND(tblSubjectToLoan[[#This Row],[Beginning Balance]]*(subjectInterestRate/12),2))</f>
        <v>275.54000000000002</v>
      </c>
      <c r="H47" s="14">
        <f>SUM(tblSubjectToLoan[[#This Row],[Princ]],tblSubjectToLoan[[#This Row],[Int]],tblSubjectToLoan[[#This Row],[Ins]],tblSubjectToLoan[[#This Row],[Taxes]])</f>
        <v>625.80999999999995</v>
      </c>
      <c r="I47" s="276">
        <f>IF(tblSubjectToLoan[[#This Row],[Date]]="",IF(ROW()=ROW(tblSubjectToLoan[#Headers])+1,0,INDEX(tblSubjectToLoan[Principal],ROW()-ROW(tblSubjectToLoan[#Headers])-1)),tblSubjectToLoan[[#This Row],[Princ]]+IF(ROW()=ROW(tblSubjectToLoan[#Headers])+1,0,INDEX(tblSubjectToLoan[Principal],ROW()-ROW(tblSubjectToLoan[#Headers])-1)))</f>
        <v>9406.0600000000013</v>
      </c>
      <c r="J47" s="276">
        <f>IF(tblSubjectToLoan[[#This Row],[Date]]="",IF(ROW()=ROW(tblSubjectToLoan[#Headers])+1,0,INDEX(tblSubjectToLoan[Interest],ROW()-ROW(tblSubjectToLoan[#Headers])-1)),tblSubjectToLoan[[#This Row],[Int]]+IF(ROW()=ROW(tblSubjectToLoan[#Headers])+1,0,INDEX(tblSubjectToLoan[Interest],ROW()-ROW(tblSubjectToLoan[#Headers])-1)))</f>
        <v>8116.62</v>
      </c>
      <c r="K47" s="969">
        <f>IF(tblSubjectToLoan[[#This Row],[Date]]="",0,MAX(0,tblSubjectToLoan[[#This Row],[Beginning Balance]]-tblSubjectToLoan[[#This Row],[Princ]]))</f>
        <v>87821.940000000017</v>
      </c>
      <c r="L47" s="394">
        <f t="shared" si="1"/>
        <v>2</v>
      </c>
      <c r="M47" s="394">
        <f t="shared" si="2"/>
        <v>27</v>
      </c>
      <c r="N47" s="613">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67">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330.99000000000046</v>
      </c>
      <c r="AD47" s="276">
        <f>IF(INDEX(tblContractForDeed[End Bal],ROW()-ROW(tblBuyerOutputs[#Headers]))&lt;=0,0,($O$6+IF(ROW()=ROW(tblBuyerOutputs[#Headers])+1,0,INDEX(tblBuyerOutputs[Cumul Appr],ROW()-ROW(tblBuyerOutputs[#Headers])-1)))*$O$2/12)</f>
        <v>0</v>
      </c>
      <c r="AE47" s="276">
        <f>IF(INDEX(tblContractForDeed[End Bal],ROW()-ROW(tblBuyerOutputs[#Headers]))&lt;=0,0,IF(ROW()=ROW(tblBuyerOutputs[#Headers])+1,0,INDEX(tblBuyerOutputs[Cumul Appr],ROW()-ROW(tblBuyerOutputs[#Headers])-1))+tblBuyerOutputs[[#This Row],[Monthly Appr]])</f>
        <v>0</v>
      </c>
      <c r="AF47" s="22"/>
      <c r="AG47" s="14"/>
      <c r="AL47"/>
      <c r="AM47" s="14"/>
      <c r="AO47" s="276"/>
      <c r="AQ47" s="14"/>
      <c r="AR47"/>
    </row>
    <row r="48" spans="1:44" x14ac:dyDescent="0.25">
      <c r="A48" s="613">
        <f>IF(ROW()=ROW(tblSubjectToLoan[#Headers])+1,subjectKnownBalanceDate,IF(OR(INDEX(tblSubjectToLoan[Date],ROW()-ROW(tblSubjectToLoan[#Headers])-1)="",INDEX(tblSubjectToLoan[Date],ROW()-ROW(tblSubjectToLoan[#Headers])-1)&gt;=subjectMortgageEndDate),"",EDATE(INDEX(tblSubjectToLoan[Date],ROW()-ROW(tblSubjectToLoan[#Headers])-1),1)))</f>
        <v>46722</v>
      </c>
      <c r="B48" s="276">
        <f>IF(tblSubjectToLoan[[#This Row],[Date]]="",0,IF(ROW()=ROW(tblSubjectToLoan[#Headers])+1,subjectKnownBalance,MAX(0,INDEX(tblSubjectToLoan[Ending Balance],ROW()-ROW(tblSubjectToLoan[#Headers])-1))))</f>
        <v>87821.940000000017</v>
      </c>
      <c r="C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8" s="14">
        <f>IF(tblSubjectToLoan[[#This Row],[Payment]]=0,0,MAX(0,MIN(tblSubjectToLoan[[#This Row],[Beginning Balance]],tblSubjectToLoan[[#This Row],[Payment]]-tblSubjectToLoan[[#This Row],[Int]])))</f>
        <v>351.36999999999995</v>
      </c>
      <c r="E48" s="14">
        <f>IF(tblSubjectToLoan[[#This Row],[Date]]="",0,ROUND(tblSubjectToLoan[[#This Row],[Beginning Balance]]*(subjectInterestRate/12),2))</f>
        <v>274.44</v>
      </c>
      <c r="H48" s="14">
        <f>SUM(tblSubjectToLoan[[#This Row],[Princ]],tblSubjectToLoan[[#This Row],[Int]],tblSubjectToLoan[[#This Row],[Ins]],tblSubjectToLoan[[#This Row],[Taxes]])</f>
        <v>625.80999999999995</v>
      </c>
      <c r="I48" s="276">
        <f>IF(tblSubjectToLoan[[#This Row],[Date]]="",IF(ROW()=ROW(tblSubjectToLoan[#Headers])+1,0,INDEX(tblSubjectToLoan[Principal],ROW()-ROW(tblSubjectToLoan[#Headers])-1)),tblSubjectToLoan[[#This Row],[Princ]]+IF(ROW()=ROW(tblSubjectToLoan[#Headers])+1,0,INDEX(tblSubjectToLoan[Principal],ROW()-ROW(tblSubjectToLoan[#Headers])-1)))</f>
        <v>9757.4300000000021</v>
      </c>
      <c r="J48" s="276">
        <f>IF(tblSubjectToLoan[[#This Row],[Date]]="",IF(ROW()=ROW(tblSubjectToLoan[#Headers])+1,0,INDEX(tblSubjectToLoan[Interest],ROW()-ROW(tblSubjectToLoan[#Headers])-1)),tblSubjectToLoan[[#This Row],[Int]]+IF(ROW()=ROW(tblSubjectToLoan[#Headers])+1,0,INDEX(tblSubjectToLoan[Interest],ROW()-ROW(tblSubjectToLoan[#Headers])-1)))</f>
        <v>8391.06</v>
      </c>
      <c r="K48" s="969">
        <f>IF(tblSubjectToLoan[[#This Row],[Date]]="",0,MAX(0,tblSubjectToLoan[[#This Row],[Beginning Balance]]-tblSubjectToLoan[[#This Row],[Princ]]))</f>
        <v>87470.570000000022</v>
      </c>
      <c r="L48" s="394">
        <f t="shared" si="1"/>
        <v>2</v>
      </c>
      <c r="M48" s="394">
        <f t="shared" si="2"/>
        <v>28</v>
      </c>
      <c r="N48" s="613">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67">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350.46000000000049</v>
      </c>
      <c r="AD48" s="276">
        <f>IF(INDEX(tblContractForDeed[End Bal],ROW()-ROW(tblBuyerOutputs[#Headers]))&lt;=0,0,($O$6+IF(ROW()=ROW(tblBuyerOutputs[#Headers])+1,0,INDEX(tblBuyerOutputs[Cumul Appr],ROW()-ROW(tblBuyerOutputs[#Headers])-1)))*$O$2/12)</f>
        <v>0</v>
      </c>
      <c r="AE48" s="276">
        <f>IF(INDEX(tblContractForDeed[End Bal],ROW()-ROW(tblBuyerOutputs[#Headers]))&lt;=0,0,IF(ROW()=ROW(tblBuyerOutputs[#Headers])+1,0,INDEX(tblBuyerOutputs[Cumul Appr],ROW()-ROW(tblBuyerOutputs[#Headers])-1))+tblBuyerOutputs[[#This Row],[Monthly Appr]])</f>
        <v>0</v>
      </c>
      <c r="AF48" s="22"/>
      <c r="AG48" s="14"/>
      <c r="AL48"/>
      <c r="AM48" s="14"/>
      <c r="AO48" s="276"/>
      <c r="AQ48" s="14"/>
      <c r="AR48"/>
    </row>
    <row r="49" spans="1:44" x14ac:dyDescent="0.25">
      <c r="A49" s="613">
        <f>IF(ROW()=ROW(tblSubjectToLoan[#Headers])+1,subjectKnownBalanceDate,IF(OR(INDEX(tblSubjectToLoan[Date],ROW()-ROW(tblSubjectToLoan[#Headers])-1)="",INDEX(tblSubjectToLoan[Date],ROW()-ROW(tblSubjectToLoan[#Headers])-1)&gt;=subjectMortgageEndDate),"",EDATE(INDEX(tblSubjectToLoan[Date],ROW()-ROW(tblSubjectToLoan[#Headers])-1),1)))</f>
        <v>46753</v>
      </c>
      <c r="B49" s="276">
        <f>IF(tblSubjectToLoan[[#This Row],[Date]]="",0,IF(ROW()=ROW(tblSubjectToLoan[#Headers])+1,subjectKnownBalance,MAX(0,INDEX(tblSubjectToLoan[Ending Balance],ROW()-ROW(tblSubjectToLoan[#Headers])-1))))</f>
        <v>87470.570000000022</v>
      </c>
      <c r="C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9" s="14">
        <f>IF(tblSubjectToLoan[[#This Row],[Payment]]=0,0,MAX(0,MIN(tblSubjectToLoan[[#This Row],[Beginning Balance]],tblSubjectToLoan[[#This Row],[Payment]]-tblSubjectToLoan[[#This Row],[Int]])))</f>
        <v>352.45999999999992</v>
      </c>
      <c r="E49" s="14">
        <f>IF(tblSubjectToLoan[[#This Row],[Date]]="",0,ROUND(tblSubjectToLoan[[#This Row],[Beginning Balance]]*(subjectInterestRate/12),2))</f>
        <v>273.35000000000002</v>
      </c>
      <c r="H49" s="14">
        <f>SUM(tblSubjectToLoan[[#This Row],[Princ]],tblSubjectToLoan[[#This Row],[Int]],tblSubjectToLoan[[#This Row],[Ins]],tblSubjectToLoan[[#This Row],[Taxes]])</f>
        <v>625.80999999999995</v>
      </c>
      <c r="I49" s="276">
        <f>IF(tblSubjectToLoan[[#This Row],[Date]]="",IF(ROW()=ROW(tblSubjectToLoan[#Headers])+1,0,INDEX(tblSubjectToLoan[Principal],ROW()-ROW(tblSubjectToLoan[#Headers])-1)),tblSubjectToLoan[[#This Row],[Princ]]+IF(ROW()=ROW(tblSubjectToLoan[#Headers])+1,0,INDEX(tblSubjectToLoan[Principal],ROW()-ROW(tblSubjectToLoan[#Headers])-1)))</f>
        <v>10109.890000000001</v>
      </c>
      <c r="J49" s="276">
        <f>IF(tblSubjectToLoan[[#This Row],[Date]]="",IF(ROW()=ROW(tblSubjectToLoan[#Headers])+1,0,INDEX(tblSubjectToLoan[Interest],ROW()-ROW(tblSubjectToLoan[#Headers])-1)),tblSubjectToLoan[[#This Row],[Int]]+IF(ROW()=ROW(tblSubjectToLoan[#Headers])+1,0,INDEX(tblSubjectToLoan[Interest],ROW()-ROW(tblSubjectToLoan[#Headers])-1)))</f>
        <v>8664.41</v>
      </c>
      <c r="K49" s="969">
        <f>IF(tblSubjectToLoan[[#This Row],[Date]]="",0,MAX(0,tblSubjectToLoan[[#This Row],[Beginning Balance]]-tblSubjectToLoan[[#This Row],[Princ]]))</f>
        <v>87118.110000000015</v>
      </c>
      <c r="L49" s="394">
        <f t="shared" si="1"/>
        <v>2</v>
      </c>
      <c r="M49" s="394">
        <f t="shared" si="2"/>
        <v>29</v>
      </c>
      <c r="N49" s="613">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67">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369.93000000000052</v>
      </c>
      <c r="AD49" s="276">
        <f>IF(INDEX(tblContractForDeed[End Bal],ROW()-ROW(tblBuyerOutputs[#Headers]))&lt;=0,0,($O$6+IF(ROW()=ROW(tblBuyerOutputs[#Headers])+1,0,INDEX(tblBuyerOutputs[Cumul Appr],ROW()-ROW(tblBuyerOutputs[#Headers])-1)))*$O$2/12)</f>
        <v>0</v>
      </c>
      <c r="AE49" s="276">
        <f>IF(INDEX(tblContractForDeed[End Bal],ROW()-ROW(tblBuyerOutputs[#Headers]))&lt;=0,0,IF(ROW()=ROW(tblBuyerOutputs[#Headers])+1,0,INDEX(tblBuyerOutputs[Cumul Appr],ROW()-ROW(tblBuyerOutputs[#Headers])-1))+tblBuyerOutputs[[#This Row],[Monthly Appr]])</f>
        <v>0</v>
      </c>
      <c r="AF49" s="22"/>
      <c r="AG49" s="14"/>
      <c r="AL49"/>
      <c r="AM49" s="14"/>
      <c r="AO49" s="276"/>
      <c r="AQ49" s="14"/>
      <c r="AR49"/>
    </row>
    <row r="50" spans="1:44" x14ac:dyDescent="0.25">
      <c r="A50" s="613">
        <f>IF(ROW()=ROW(tblSubjectToLoan[#Headers])+1,subjectKnownBalanceDate,IF(OR(INDEX(tblSubjectToLoan[Date],ROW()-ROW(tblSubjectToLoan[#Headers])-1)="",INDEX(tblSubjectToLoan[Date],ROW()-ROW(tblSubjectToLoan[#Headers])-1)&gt;=subjectMortgageEndDate),"",EDATE(INDEX(tblSubjectToLoan[Date],ROW()-ROW(tblSubjectToLoan[#Headers])-1),1)))</f>
        <v>46784</v>
      </c>
      <c r="B50" s="276">
        <f>IF(tblSubjectToLoan[[#This Row],[Date]]="",0,IF(ROW()=ROW(tblSubjectToLoan[#Headers])+1,subjectKnownBalance,MAX(0,INDEX(tblSubjectToLoan[Ending Balance],ROW()-ROW(tblSubjectToLoan[#Headers])-1))))</f>
        <v>87118.110000000015</v>
      </c>
      <c r="C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0" s="14">
        <f>IF(tblSubjectToLoan[[#This Row],[Payment]]=0,0,MAX(0,MIN(tblSubjectToLoan[[#This Row],[Beginning Balance]],tblSubjectToLoan[[#This Row],[Payment]]-tblSubjectToLoan[[#This Row],[Int]])))</f>
        <v>353.56999999999994</v>
      </c>
      <c r="E50" s="14">
        <f>IF(tblSubjectToLoan[[#This Row],[Date]]="",0,ROUND(tblSubjectToLoan[[#This Row],[Beginning Balance]]*(subjectInterestRate/12),2))</f>
        <v>272.24</v>
      </c>
      <c r="H50" s="14">
        <f>SUM(tblSubjectToLoan[[#This Row],[Princ]],tblSubjectToLoan[[#This Row],[Int]],tblSubjectToLoan[[#This Row],[Ins]],tblSubjectToLoan[[#This Row],[Taxes]])</f>
        <v>625.80999999999995</v>
      </c>
      <c r="I50" s="276">
        <f>IF(tblSubjectToLoan[[#This Row],[Date]]="",IF(ROW()=ROW(tblSubjectToLoan[#Headers])+1,0,INDEX(tblSubjectToLoan[Principal],ROW()-ROW(tblSubjectToLoan[#Headers])-1)),tblSubjectToLoan[[#This Row],[Princ]]+IF(ROW()=ROW(tblSubjectToLoan[#Headers])+1,0,INDEX(tblSubjectToLoan[Principal],ROW()-ROW(tblSubjectToLoan[#Headers])-1)))</f>
        <v>10463.460000000001</v>
      </c>
      <c r="J50" s="276">
        <f>IF(tblSubjectToLoan[[#This Row],[Date]]="",IF(ROW()=ROW(tblSubjectToLoan[#Headers])+1,0,INDEX(tblSubjectToLoan[Interest],ROW()-ROW(tblSubjectToLoan[#Headers])-1)),tblSubjectToLoan[[#This Row],[Int]]+IF(ROW()=ROW(tblSubjectToLoan[#Headers])+1,0,INDEX(tblSubjectToLoan[Interest],ROW()-ROW(tblSubjectToLoan[#Headers])-1)))</f>
        <v>8936.65</v>
      </c>
      <c r="K50" s="969">
        <f>IF(tblSubjectToLoan[[#This Row],[Date]]="",0,MAX(0,tblSubjectToLoan[[#This Row],[Beginning Balance]]-tblSubjectToLoan[[#This Row],[Princ]]))</f>
        <v>86764.540000000008</v>
      </c>
      <c r="L50" s="394">
        <f t="shared" si="1"/>
        <v>2</v>
      </c>
      <c r="M50" s="394">
        <f t="shared" si="2"/>
        <v>30</v>
      </c>
      <c r="N50" s="613">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67">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389.40000000000055</v>
      </c>
      <c r="AD50" s="276">
        <f>IF(INDEX(tblContractForDeed[End Bal],ROW()-ROW(tblBuyerOutputs[#Headers]))&lt;=0,0,($O$6+IF(ROW()=ROW(tblBuyerOutputs[#Headers])+1,0,INDEX(tblBuyerOutputs[Cumul Appr],ROW()-ROW(tblBuyerOutputs[#Headers])-1)))*$O$2/12)</f>
        <v>0</v>
      </c>
      <c r="AE50" s="276">
        <f>IF(INDEX(tblContractForDeed[End Bal],ROW()-ROW(tblBuyerOutputs[#Headers]))&lt;=0,0,IF(ROW()=ROW(tblBuyerOutputs[#Headers])+1,0,INDEX(tblBuyerOutputs[Cumul Appr],ROW()-ROW(tblBuyerOutputs[#Headers])-1))+tblBuyerOutputs[[#This Row],[Monthly Appr]])</f>
        <v>0</v>
      </c>
      <c r="AF50" s="22"/>
      <c r="AG50" s="14"/>
      <c r="AL50"/>
      <c r="AM50" s="14"/>
      <c r="AO50" s="276"/>
      <c r="AQ50" s="14"/>
      <c r="AR50"/>
    </row>
    <row r="51" spans="1:44" x14ac:dyDescent="0.25">
      <c r="A51" s="613">
        <f>IF(ROW()=ROW(tblSubjectToLoan[#Headers])+1,subjectKnownBalanceDate,IF(OR(INDEX(tblSubjectToLoan[Date],ROW()-ROW(tblSubjectToLoan[#Headers])-1)="",INDEX(tblSubjectToLoan[Date],ROW()-ROW(tblSubjectToLoan[#Headers])-1)&gt;=subjectMortgageEndDate),"",EDATE(INDEX(tblSubjectToLoan[Date],ROW()-ROW(tblSubjectToLoan[#Headers])-1),1)))</f>
        <v>46813</v>
      </c>
      <c r="B51" s="276">
        <f>IF(tblSubjectToLoan[[#This Row],[Date]]="",0,IF(ROW()=ROW(tblSubjectToLoan[#Headers])+1,subjectKnownBalance,MAX(0,INDEX(tblSubjectToLoan[Ending Balance],ROW()-ROW(tblSubjectToLoan[#Headers])-1))))</f>
        <v>86764.540000000008</v>
      </c>
      <c r="C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1" s="14">
        <f>IF(tblSubjectToLoan[[#This Row],[Payment]]=0,0,MAX(0,MIN(tblSubjectToLoan[[#This Row],[Beginning Balance]],tblSubjectToLoan[[#This Row],[Payment]]-tblSubjectToLoan[[#This Row],[Int]])))</f>
        <v>354.66999999999996</v>
      </c>
      <c r="E51" s="14">
        <f>IF(tblSubjectToLoan[[#This Row],[Date]]="",0,ROUND(tblSubjectToLoan[[#This Row],[Beginning Balance]]*(subjectInterestRate/12),2))</f>
        <v>271.14</v>
      </c>
      <c r="H51" s="14">
        <f>SUM(tblSubjectToLoan[[#This Row],[Princ]],tblSubjectToLoan[[#This Row],[Int]],tblSubjectToLoan[[#This Row],[Ins]],tblSubjectToLoan[[#This Row],[Taxes]])</f>
        <v>625.80999999999995</v>
      </c>
      <c r="I51" s="276">
        <f>IF(tblSubjectToLoan[[#This Row],[Date]]="",IF(ROW()=ROW(tblSubjectToLoan[#Headers])+1,0,INDEX(tblSubjectToLoan[Principal],ROW()-ROW(tblSubjectToLoan[#Headers])-1)),tblSubjectToLoan[[#This Row],[Princ]]+IF(ROW()=ROW(tblSubjectToLoan[#Headers])+1,0,INDEX(tblSubjectToLoan[Principal],ROW()-ROW(tblSubjectToLoan[#Headers])-1)))</f>
        <v>10818.130000000001</v>
      </c>
      <c r="J51" s="276">
        <f>IF(tblSubjectToLoan[[#This Row],[Date]]="",IF(ROW()=ROW(tblSubjectToLoan[#Headers])+1,0,INDEX(tblSubjectToLoan[Interest],ROW()-ROW(tblSubjectToLoan[#Headers])-1)),tblSubjectToLoan[[#This Row],[Int]]+IF(ROW()=ROW(tblSubjectToLoan[#Headers])+1,0,INDEX(tblSubjectToLoan[Interest],ROW()-ROW(tblSubjectToLoan[#Headers])-1)))</f>
        <v>9207.7899999999991</v>
      </c>
      <c r="K51" s="969">
        <f>IF(tblSubjectToLoan[[#This Row],[Date]]="",0,MAX(0,tblSubjectToLoan[[#This Row],[Beginning Balance]]-tblSubjectToLoan[[#This Row],[Princ]]))</f>
        <v>86409.87000000001</v>
      </c>
      <c r="L51" s="394">
        <f t="shared" si="1"/>
        <v>2</v>
      </c>
      <c r="M51" s="394">
        <f t="shared" si="2"/>
        <v>31</v>
      </c>
      <c r="N51" s="613">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67">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408.87000000000057</v>
      </c>
      <c r="AD51" s="276">
        <f>IF(INDEX(tblContractForDeed[End Bal],ROW()-ROW(tblBuyerOutputs[#Headers]))&lt;=0,0,($O$6+IF(ROW()=ROW(tblBuyerOutputs[#Headers])+1,0,INDEX(tblBuyerOutputs[Cumul Appr],ROW()-ROW(tblBuyerOutputs[#Headers])-1)))*$O$2/12)</f>
        <v>0</v>
      </c>
      <c r="AE51" s="276">
        <f>IF(INDEX(tblContractForDeed[End Bal],ROW()-ROW(tblBuyerOutputs[#Headers]))&lt;=0,0,IF(ROW()=ROW(tblBuyerOutputs[#Headers])+1,0,INDEX(tblBuyerOutputs[Cumul Appr],ROW()-ROW(tblBuyerOutputs[#Headers])-1))+tblBuyerOutputs[[#This Row],[Monthly Appr]])</f>
        <v>0</v>
      </c>
      <c r="AF51" s="22"/>
      <c r="AG51" s="14"/>
      <c r="AL51"/>
      <c r="AM51" s="14"/>
      <c r="AO51" s="276"/>
      <c r="AQ51" s="14"/>
      <c r="AR51"/>
    </row>
    <row r="52" spans="1:44" x14ac:dyDescent="0.25">
      <c r="A52" s="613">
        <f>IF(ROW()=ROW(tblSubjectToLoan[#Headers])+1,subjectKnownBalanceDate,IF(OR(INDEX(tblSubjectToLoan[Date],ROW()-ROW(tblSubjectToLoan[#Headers])-1)="",INDEX(tblSubjectToLoan[Date],ROW()-ROW(tblSubjectToLoan[#Headers])-1)&gt;=subjectMortgageEndDate),"",EDATE(INDEX(tblSubjectToLoan[Date],ROW()-ROW(tblSubjectToLoan[#Headers])-1),1)))</f>
        <v>46844</v>
      </c>
      <c r="B52" s="276">
        <f>IF(tblSubjectToLoan[[#This Row],[Date]]="",0,IF(ROW()=ROW(tblSubjectToLoan[#Headers])+1,subjectKnownBalance,MAX(0,INDEX(tblSubjectToLoan[Ending Balance],ROW()-ROW(tblSubjectToLoan[#Headers])-1))))</f>
        <v>86409.87000000001</v>
      </c>
      <c r="C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2" s="14">
        <f>IF(tblSubjectToLoan[[#This Row],[Payment]]=0,0,MAX(0,MIN(tblSubjectToLoan[[#This Row],[Beginning Balance]],tblSubjectToLoan[[#This Row],[Payment]]-tblSubjectToLoan[[#This Row],[Int]])))</f>
        <v>355.78</v>
      </c>
      <c r="E52" s="14">
        <f>IF(tblSubjectToLoan[[#This Row],[Date]]="",0,ROUND(tblSubjectToLoan[[#This Row],[Beginning Balance]]*(subjectInterestRate/12),2))</f>
        <v>270.02999999999997</v>
      </c>
      <c r="H52" s="14">
        <f>SUM(tblSubjectToLoan[[#This Row],[Princ]],tblSubjectToLoan[[#This Row],[Int]],tblSubjectToLoan[[#This Row],[Ins]],tblSubjectToLoan[[#This Row],[Taxes]])</f>
        <v>625.80999999999995</v>
      </c>
      <c r="I52" s="276">
        <f>IF(tblSubjectToLoan[[#This Row],[Date]]="",IF(ROW()=ROW(tblSubjectToLoan[#Headers])+1,0,INDEX(tblSubjectToLoan[Principal],ROW()-ROW(tblSubjectToLoan[#Headers])-1)),tblSubjectToLoan[[#This Row],[Princ]]+IF(ROW()=ROW(tblSubjectToLoan[#Headers])+1,0,INDEX(tblSubjectToLoan[Principal],ROW()-ROW(tblSubjectToLoan[#Headers])-1)))</f>
        <v>11173.910000000002</v>
      </c>
      <c r="J52" s="276">
        <f>IF(tblSubjectToLoan[[#This Row],[Date]]="",IF(ROW()=ROW(tblSubjectToLoan[#Headers])+1,0,INDEX(tblSubjectToLoan[Interest],ROW()-ROW(tblSubjectToLoan[#Headers])-1)),tblSubjectToLoan[[#This Row],[Int]]+IF(ROW()=ROW(tblSubjectToLoan[#Headers])+1,0,INDEX(tblSubjectToLoan[Interest],ROW()-ROW(tblSubjectToLoan[#Headers])-1)))</f>
        <v>9477.82</v>
      </c>
      <c r="K52" s="969">
        <f>IF(tblSubjectToLoan[[#This Row],[Date]]="",0,MAX(0,tblSubjectToLoan[[#This Row],[Beginning Balance]]-tblSubjectToLoan[[#This Row],[Princ]]))</f>
        <v>86054.090000000011</v>
      </c>
      <c r="L52" s="394">
        <f t="shared" si="1"/>
        <v>2</v>
      </c>
      <c r="M52" s="394">
        <f t="shared" si="2"/>
        <v>32</v>
      </c>
      <c r="N52" s="613">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67">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428.3400000000006</v>
      </c>
      <c r="AD52" s="276">
        <f>IF(INDEX(tblContractForDeed[End Bal],ROW()-ROW(tblBuyerOutputs[#Headers]))&lt;=0,0,($O$6+IF(ROW()=ROW(tblBuyerOutputs[#Headers])+1,0,INDEX(tblBuyerOutputs[Cumul Appr],ROW()-ROW(tblBuyerOutputs[#Headers])-1)))*$O$2/12)</f>
        <v>0</v>
      </c>
      <c r="AE52" s="276">
        <f>IF(INDEX(tblContractForDeed[End Bal],ROW()-ROW(tblBuyerOutputs[#Headers]))&lt;=0,0,IF(ROW()=ROW(tblBuyerOutputs[#Headers])+1,0,INDEX(tblBuyerOutputs[Cumul Appr],ROW()-ROW(tblBuyerOutputs[#Headers])-1))+tblBuyerOutputs[[#This Row],[Monthly Appr]])</f>
        <v>0</v>
      </c>
      <c r="AF52" s="22"/>
      <c r="AG52" s="14"/>
      <c r="AL52"/>
      <c r="AM52" s="14"/>
      <c r="AO52" s="276"/>
      <c r="AQ52" s="14"/>
      <c r="AR52"/>
    </row>
    <row r="53" spans="1:44" x14ac:dyDescent="0.25">
      <c r="A53" s="613">
        <f>IF(ROW()=ROW(tblSubjectToLoan[#Headers])+1,subjectKnownBalanceDate,IF(OR(INDEX(tblSubjectToLoan[Date],ROW()-ROW(tblSubjectToLoan[#Headers])-1)="",INDEX(tblSubjectToLoan[Date],ROW()-ROW(tblSubjectToLoan[#Headers])-1)&gt;=subjectMortgageEndDate),"",EDATE(INDEX(tblSubjectToLoan[Date],ROW()-ROW(tblSubjectToLoan[#Headers])-1),1)))</f>
        <v>46874</v>
      </c>
      <c r="B53" s="276">
        <f>IF(tblSubjectToLoan[[#This Row],[Date]]="",0,IF(ROW()=ROW(tblSubjectToLoan[#Headers])+1,subjectKnownBalance,MAX(0,INDEX(tblSubjectToLoan[Ending Balance],ROW()-ROW(tblSubjectToLoan[#Headers])-1))))</f>
        <v>86054.090000000011</v>
      </c>
      <c r="C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3" s="14">
        <f>IF(tblSubjectToLoan[[#This Row],[Payment]]=0,0,MAX(0,MIN(tblSubjectToLoan[[#This Row],[Beginning Balance]],tblSubjectToLoan[[#This Row],[Payment]]-tblSubjectToLoan[[#This Row],[Int]])))</f>
        <v>356.88999999999993</v>
      </c>
      <c r="E53" s="14">
        <f>IF(tblSubjectToLoan[[#This Row],[Date]]="",0,ROUND(tblSubjectToLoan[[#This Row],[Beginning Balance]]*(subjectInterestRate/12),2))</f>
        <v>268.92</v>
      </c>
      <c r="H53" s="14">
        <f>SUM(tblSubjectToLoan[[#This Row],[Princ]],tblSubjectToLoan[[#This Row],[Int]],tblSubjectToLoan[[#This Row],[Ins]],tblSubjectToLoan[[#This Row],[Taxes]])</f>
        <v>625.80999999999995</v>
      </c>
      <c r="I53" s="276">
        <f>IF(tblSubjectToLoan[[#This Row],[Date]]="",IF(ROW()=ROW(tblSubjectToLoan[#Headers])+1,0,INDEX(tblSubjectToLoan[Principal],ROW()-ROW(tblSubjectToLoan[#Headers])-1)),tblSubjectToLoan[[#This Row],[Princ]]+IF(ROW()=ROW(tblSubjectToLoan[#Headers])+1,0,INDEX(tblSubjectToLoan[Principal],ROW()-ROW(tblSubjectToLoan[#Headers])-1)))</f>
        <v>11530.800000000001</v>
      </c>
      <c r="J53" s="276">
        <f>IF(tblSubjectToLoan[[#This Row],[Date]]="",IF(ROW()=ROW(tblSubjectToLoan[#Headers])+1,0,INDEX(tblSubjectToLoan[Interest],ROW()-ROW(tblSubjectToLoan[#Headers])-1)),tblSubjectToLoan[[#This Row],[Int]]+IF(ROW()=ROW(tblSubjectToLoan[#Headers])+1,0,INDEX(tblSubjectToLoan[Interest],ROW()-ROW(tblSubjectToLoan[#Headers])-1)))</f>
        <v>9746.74</v>
      </c>
      <c r="K53" s="969">
        <f>IF(tblSubjectToLoan[[#This Row],[Date]]="",0,MAX(0,tblSubjectToLoan[[#This Row],[Beginning Balance]]-tblSubjectToLoan[[#This Row],[Princ]]))</f>
        <v>85697.200000000012</v>
      </c>
      <c r="L53" s="394">
        <f t="shared" si="1"/>
        <v>2</v>
      </c>
      <c r="M53" s="394">
        <f t="shared" si="2"/>
        <v>33</v>
      </c>
      <c r="N53" s="613">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67">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447.81000000000063</v>
      </c>
      <c r="AD53" s="276">
        <f>IF(INDEX(tblContractForDeed[End Bal],ROW()-ROW(tblBuyerOutputs[#Headers]))&lt;=0,0,($O$6+IF(ROW()=ROW(tblBuyerOutputs[#Headers])+1,0,INDEX(tblBuyerOutputs[Cumul Appr],ROW()-ROW(tblBuyerOutputs[#Headers])-1)))*$O$2/12)</f>
        <v>0</v>
      </c>
      <c r="AE53" s="276">
        <f>IF(INDEX(tblContractForDeed[End Bal],ROW()-ROW(tblBuyerOutputs[#Headers]))&lt;=0,0,IF(ROW()=ROW(tblBuyerOutputs[#Headers])+1,0,INDEX(tblBuyerOutputs[Cumul Appr],ROW()-ROW(tblBuyerOutputs[#Headers])-1))+tblBuyerOutputs[[#This Row],[Monthly Appr]])</f>
        <v>0</v>
      </c>
      <c r="AF53" s="22"/>
      <c r="AG53" s="14"/>
      <c r="AL53"/>
      <c r="AM53" s="14"/>
      <c r="AO53" s="276"/>
      <c r="AQ53" s="14"/>
      <c r="AR53"/>
    </row>
    <row r="54" spans="1:44" x14ac:dyDescent="0.25">
      <c r="A54" s="613">
        <f>IF(ROW()=ROW(tblSubjectToLoan[#Headers])+1,subjectKnownBalanceDate,IF(OR(INDEX(tblSubjectToLoan[Date],ROW()-ROW(tblSubjectToLoan[#Headers])-1)="",INDEX(tblSubjectToLoan[Date],ROW()-ROW(tblSubjectToLoan[#Headers])-1)&gt;=subjectMortgageEndDate),"",EDATE(INDEX(tblSubjectToLoan[Date],ROW()-ROW(tblSubjectToLoan[#Headers])-1),1)))</f>
        <v>46905</v>
      </c>
      <c r="B54" s="276">
        <f>IF(tblSubjectToLoan[[#This Row],[Date]]="",0,IF(ROW()=ROW(tblSubjectToLoan[#Headers])+1,subjectKnownBalance,MAX(0,INDEX(tblSubjectToLoan[Ending Balance],ROW()-ROW(tblSubjectToLoan[#Headers])-1))))</f>
        <v>85697.200000000012</v>
      </c>
      <c r="C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4" s="14">
        <f>IF(tblSubjectToLoan[[#This Row],[Payment]]=0,0,MAX(0,MIN(tblSubjectToLoan[[#This Row],[Beginning Balance]],tblSubjectToLoan[[#This Row],[Payment]]-tblSubjectToLoan[[#This Row],[Int]])))</f>
        <v>358.00999999999993</v>
      </c>
      <c r="E54" s="14">
        <f>IF(tblSubjectToLoan[[#This Row],[Date]]="",0,ROUND(tblSubjectToLoan[[#This Row],[Beginning Balance]]*(subjectInterestRate/12),2))</f>
        <v>267.8</v>
      </c>
      <c r="H54" s="14">
        <f>SUM(tblSubjectToLoan[[#This Row],[Princ]],tblSubjectToLoan[[#This Row],[Int]],tblSubjectToLoan[[#This Row],[Ins]],tblSubjectToLoan[[#This Row],[Taxes]])</f>
        <v>625.80999999999995</v>
      </c>
      <c r="I54" s="276">
        <f>IF(tblSubjectToLoan[[#This Row],[Date]]="",IF(ROW()=ROW(tblSubjectToLoan[#Headers])+1,0,INDEX(tblSubjectToLoan[Principal],ROW()-ROW(tblSubjectToLoan[#Headers])-1)),tblSubjectToLoan[[#This Row],[Princ]]+IF(ROW()=ROW(tblSubjectToLoan[#Headers])+1,0,INDEX(tblSubjectToLoan[Principal],ROW()-ROW(tblSubjectToLoan[#Headers])-1)))</f>
        <v>11888.810000000001</v>
      </c>
      <c r="J54" s="276">
        <f>IF(tblSubjectToLoan[[#This Row],[Date]]="",IF(ROW()=ROW(tblSubjectToLoan[#Headers])+1,0,INDEX(tblSubjectToLoan[Interest],ROW()-ROW(tblSubjectToLoan[#Headers])-1)),tblSubjectToLoan[[#This Row],[Int]]+IF(ROW()=ROW(tblSubjectToLoan[#Headers])+1,0,INDEX(tblSubjectToLoan[Interest],ROW()-ROW(tblSubjectToLoan[#Headers])-1)))</f>
        <v>10014.539999999999</v>
      </c>
      <c r="K54" s="969">
        <f>IF(tblSubjectToLoan[[#This Row],[Date]]="",0,MAX(0,tblSubjectToLoan[[#This Row],[Beginning Balance]]-tblSubjectToLoan[[#This Row],[Princ]]))</f>
        <v>85339.190000000017</v>
      </c>
      <c r="L54" s="394">
        <f t="shared" si="1"/>
        <v>2</v>
      </c>
      <c r="M54" s="394">
        <f t="shared" si="2"/>
        <v>34</v>
      </c>
      <c r="N54" s="613">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67">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467.28000000000065</v>
      </c>
      <c r="AD54" s="276">
        <f>IF(INDEX(tblContractForDeed[End Bal],ROW()-ROW(tblBuyerOutputs[#Headers]))&lt;=0,0,($O$6+IF(ROW()=ROW(tblBuyerOutputs[#Headers])+1,0,INDEX(tblBuyerOutputs[Cumul Appr],ROW()-ROW(tblBuyerOutputs[#Headers])-1)))*$O$2/12)</f>
        <v>0</v>
      </c>
      <c r="AE54" s="276">
        <f>IF(INDEX(tblContractForDeed[End Bal],ROW()-ROW(tblBuyerOutputs[#Headers]))&lt;=0,0,IF(ROW()=ROW(tblBuyerOutputs[#Headers])+1,0,INDEX(tblBuyerOutputs[Cumul Appr],ROW()-ROW(tblBuyerOutputs[#Headers])-1))+tblBuyerOutputs[[#This Row],[Monthly Appr]])</f>
        <v>0</v>
      </c>
      <c r="AF54" s="22"/>
      <c r="AG54" s="14"/>
      <c r="AL54"/>
      <c r="AM54" s="14"/>
      <c r="AO54" s="276"/>
      <c r="AQ54" s="14"/>
      <c r="AR54"/>
    </row>
    <row r="55" spans="1:44" ht="15.75" thickBot="1" x14ac:dyDescent="0.3">
      <c r="A55" s="614">
        <f>IF(ROW()=ROW(tblSubjectToLoan[#Headers])+1,subjectKnownBalanceDate,IF(OR(INDEX(tblSubjectToLoan[Date],ROW()-ROW(tblSubjectToLoan[#Headers])-1)="",INDEX(tblSubjectToLoan[Date],ROW()-ROW(tblSubjectToLoan[#Headers])-1)&gt;=subjectMortgageEndDate),"",EDATE(INDEX(tblSubjectToLoan[Date],ROW()-ROW(tblSubjectToLoan[#Headers])-1),1)))</f>
        <v>46935</v>
      </c>
      <c r="B55" s="332">
        <f>IF(tblSubjectToLoan[[#This Row],[Date]]="",0,IF(ROW()=ROW(tblSubjectToLoan[#Headers])+1,subjectKnownBalance,MAX(0,INDEX(tblSubjectToLoan[Ending Balance],ROW()-ROW(tblSubjectToLoan[#Headers])-1))))</f>
        <v>85339.190000000017</v>
      </c>
      <c r="C5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5" s="21">
        <f>IF(tblSubjectToLoan[[#This Row],[Payment]]=0,0,MAX(0,MIN(tblSubjectToLoan[[#This Row],[Beginning Balance]],tblSubjectToLoan[[#This Row],[Payment]]-tblSubjectToLoan[[#This Row],[Int]])))</f>
        <v>359.12999999999994</v>
      </c>
      <c r="E55" s="21">
        <f>IF(tblSubjectToLoan[[#This Row],[Date]]="",0,ROUND(tblSubjectToLoan[[#This Row],[Beginning Balance]]*(subjectInterestRate/12),2))</f>
        <v>266.68</v>
      </c>
      <c r="F55" s="21"/>
      <c r="G55" s="21"/>
      <c r="H55" s="21">
        <f>SUM(tblSubjectToLoan[[#This Row],[Princ]],tblSubjectToLoan[[#This Row],[Int]],tblSubjectToLoan[[#This Row],[Ins]],tblSubjectToLoan[[#This Row],[Taxes]])</f>
        <v>625.80999999999995</v>
      </c>
      <c r="I55" s="332">
        <f>IF(tblSubjectToLoan[[#This Row],[Date]]="",IF(ROW()=ROW(tblSubjectToLoan[#Headers])+1,0,INDEX(tblSubjectToLoan[Principal],ROW()-ROW(tblSubjectToLoan[#Headers])-1)),tblSubjectToLoan[[#This Row],[Princ]]+IF(ROW()=ROW(tblSubjectToLoan[#Headers])+1,0,INDEX(tblSubjectToLoan[Principal],ROW()-ROW(tblSubjectToLoan[#Headers])-1)))</f>
        <v>12247.94</v>
      </c>
      <c r="J55" s="332">
        <f>IF(tblSubjectToLoan[[#This Row],[Date]]="",IF(ROW()=ROW(tblSubjectToLoan[#Headers])+1,0,INDEX(tblSubjectToLoan[Interest],ROW()-ROW(tblSubjectToLoan[#Headers])-1)),tblSubjectToLoan[[#This Row],[Int]]+IF(ROW()=ROW(tblSubjectToLoan[#Headers])+1,0,INDEX(tblSubjectToLoan[Interest],ROW()-ROW(tblSubjectToLoan[#Headers])-1)))</f>
        <v>10281.219999999999</v>
      </c>
      <c r="K55" s="970">
        <f>IF(tblSubjectToLoan[[#This Row],[Date]]="",0,MAX(0,tblSubjectToLoan[[#This Row],[Beginning Balance]]-tblSubjectToLoan[[#This Row],[Princ]]))</f>
        <v>84980.060000000012</v>
      </c>
      <c r="L55" s="395">
        <f t="shared" si="1"/>
        <v>2</v>
      </c>
      <c r="M55" s="395">
        <f t="shared" si="2"/>
        <v>35</v>
      </c>
      <c r="N55" s="614">
        <f>INDEX(tblSubjectToLoan[Date],ROW()-ROW(tblContractForDeed[#Headers]))</f>
        <v>46935</v>
      </c>
      <c r="O55" s="332">
        <f>IF(ROW()=ROW(tblContractForDeed[#Headers])+1,$O$6,IF(INDEX(tblContractForDeed[End Bal],ROW()-ROW(tblContractForDeed[#Headers])-1)&lt;0,0,INDEX(tblContractForDeed[End Bal],ROW()-ROW(tblContractForDeed[#Headers])-1)))</f>
        <v>68800.079999999987</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286.95</v>
      </c>
      <c r="S55" s="332">
        <f>IF(OR(tblContractForDeed[[#This Row],[Date]]&lt;cfdContractDate,tblContractForDeed[[#This Row],[Date]]&gt;cfdEndDate),0,ROUND(tblContractForDeed[[#This Row],[Beg]]*(tblContractForDeed[[#This Row],[Int Rate]]/12),2))</f>
        <v>358.33</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6744.87</v>
      </c>
      <c r="X55" s="332">
        <f>IF(tblContractForDeed[[#This Row],[Beg]]&lt;=0,0,tblContractForDeed[[#This Row],[Beg]]-tblContractForDeed[[#This Row],[Princ]])</f>
        <v>68513.12999999999</v>
      </c>
      <c r="Y5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68">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486.75000000000068</v>
      </c>
      <c r="AD55" s="332">
        <f>IF(INDEX(tblContractForDeed[End Bal],ROW()-ROW(tblBuyerOutputs[#Headers]))&lt;=0,0,($O$6+IF(ROW()=ROW(tblBuyerOutputs[#Headers])+1,0,INDEX(tblBuyerOutputs[Cumul Appr],ROW()-ROW(tblBuyerOutputs[#Headers])-1)))*$O$2/12)</f>
        <v>0</v>
      </c>
      <c r="AE55" s="332">
        <f>IF(INDEX(tblContractForDeed[End Bal],ROW()-ROW(tblBuyerOutputs[#Headers]))&lt;=0,0,IF(ROW()=ROW(tblBuyerOutputs[#Headers])+1,0,INDEX(tblBuyerOutputs[Cumul Appr],ROW()-ROW(tblBuyerOutputs[#Headers])-1))+tblBuyerOutputs[[#This Row],[Monthly Appr]])</f>
        <v>0</v>
      </c>
      <c r="AF55" s="22"/>
      <c r="AG55" s="14"/>
      <c r="AL55"/>
      <c r="AM55" s="14"/>
      <c r="AO55" s="276"/>
      <c r="AQ55" s="14"/>
      <c r="AR55"/>
    </row>
    <row r="56" spans="1:44" x14ac:dyDescent="0.25">
      <c r="A56" s="613">
        <f>IF(ROW()=ROW(tblSubjectToLoan[#Headers])+1,subjectKnownBalanceDate,IF(OR(INDEX(tblSubjectToLoan[Date],ROW()-ROW(tblSubjectToLoan[#Headers])-1)="",INDEX(tblSubjectToLoan[Date],ROW()-ROW(tblSubjectToLoan[#Headers])-1)&gt;=subjectMortgageEndDate),"",EDATE(INDEX(tblSubjectToLoan[Date],ROW()-ROW(tblSubjectToLoan[#Headers])-1),1)))</f>
        <v>46966</v>
      </c>
      <c r="B56" s="276">
        <f>IF(tblSubjectToLoan[[#This Row],[Date]]="",0,IF(ROW()=ROW(tblSubjectToLoan[#Headers])+1,subjectKnownBalance,MAX(0,INDEX(tblSubjectToLoan[Ending Balance],ROW()-ROW(tblSubjectToLoan[#Headers])-1))))</f>
        <v>84980.060000000012</v>
      </c>
      <c r="C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6" s="14">
        <f>IF(tblSubjectToLoan[[#This Row],[Payment]]=0,0,MAX(0,MIN(tblSubjectToLoan[[#This Row],[Beginning Balance]],tblSubjectToLoan[[#This Row],[Payment]]-tblSubjectToLoan[[#This Row],[Int]])))</f>
        <v>360.24999999999994</v>
      </c>
      <c r="E56" s="14">
        <f>IF(tblSubjectToLoan[[#This Row],[Date]]="",0,ROUND(tblSubjectToLoan[[#This Row],[Beginning Balance]]*(subjectInterestRate/12),2))</f>
        <v>265.56</v>
      </c>
      <c r="H56" s="14">
        <f>SUM(tblSubjectToLoan[[#This Row],[Princ]],tblSubjectToLoan[[#This Row],[Int]],tblSubjectToLoan[[#This Row],[Ins]],tblSubjectToLoan[[#This Row],[Taxes]])</f>
        <v>625.80999999999995</v>
      </c>
      <c r="I56" s="276">
        <f>IF(tblSubjectToLoan[[#This Row],[Date]]="",IF(ROW()=ROW(tblSubjectToLoan[#Headers])+1,0,INDEX(tblSubjectToLoan[Principal],ROW()-ROW(tblSubjectToLoan[#Headers])-1)),tblSubjectToLoan[[#This Row],[Princ]]+IF(ROW()=ROW(tblSubjectToLoan[#Headers])+1,0,INDEX(tblSubjectToLoan[Principal],ROW()-ROW(tblSubjectToLoan[#Headers])-1)))</f>
        <v>12608.19</v>
      </c>
      <c r="J56" s="276">
        <f>IF(tblSubjectToLoan[[#This Row],[Date]]="",IF(ROW()=ROW(tblSubjectToLoan[#Headers])+1,0,INDEX(tblSubjectToLoan[Interest],ROW()-ROW(tblSubjectToLoan[#Headers])-1)),tblSubjectToLoan[[#This Row],[Int]]+IF(ROW()=ROW(tblSubjectToLoan[#Headers])+1,0,INDEX(tblSubjectToLoan[Interest],ROW()-ROW(tblSubjectToLoan[#Headers])-1)))</f>
        <v>10546.779999999999</v>
      </c>
      <c r="K56" s="969">
        <f>IF(tblSubjectToLoan[[#This Row],[Date]]="",0,MAX(0,tblSubjectToLoan[[#This Row],[Beginning Balance]]-tblSubjectToLoan[[#This Row],[Princ]]))</f>
        <v>84619.810000000012</v>
      </c>
      <c r="L56" s="394">
        <f t="shared" si="1"/>
        <v>3</v>
      </c>
      <c r="M56" s="394">
        <f t="shared" si="2"/>
        <v>36</v>
      </c>
      <c r="N56" s="613">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67">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506.22000000000071</v>
      </c>
      <c r="AD56" s="276">
        <f>IF(INDEX(tblContractForDeed[End Bal],ROW()-ROW(tblBuyerOutputs[#Headers]))&lt;=0,0,($O$6+IF(ROW()=ROW(tblBuyerOutputs[#Headers])+1,0,INDEX(tblBuyerOutputs[Cumul Appr],ROW()-ROW(tblBuyerOutputs[#Headers])-1)))*$O$2/12)</f>
        <v>0</v>
      </c>
      <c r="AE56" s="276">
        <f>IF(INDEX(tblContractForDeed[End Bal],ROW()-ROW(tblBuyerOutputs[#Headers]))&lt;=0,0,IF(ROW()=ROW(tblBuyerOutputs[#Headers])+1,0,INDEX(tblBuyerOutputs[Cumul Appr],ROW()-ROW(tblBuyerOutputs[#Headers])-1))+tblBuyerOutputs[[#This Row],[Monthly Appr]])</f>
        <v>0</v>
      </c>
      <c r="AF56" s="22"/>
      <c r="AG56" s="14"/>
      <c r="AL56"/>
      <c r="AM56" s="14"/>
      <c r="AO56" s="276"/>
      <c r="AQ56" s="14"/>
      <c r="AR56"/>
    </row>
    <row r="57" spans="1:44" x14ac:dyDescent="0.25">
      <c r="A57" s="613">
        <f>IF(ROW()=ROW(tblSubjectToLoan[#Headers])+1,subjectKnownBalanceDate,IF(OR(INDEX(tblSubjectToLoan[Date],ROW()-ROW(tblSubjectToLoan[#Headers])-1)="",INDEX(tblSubjectToLoan[Date],ROW()-ROW(tblSubjectToLoan[#Headers])-1)&gt;=subjectMortgageEndDate),"",EDATE(INDEX(tblSubjectToLoan[Date],ROW()-ROW(tblSubjectToLoan[#Headers])-1),1)))</f>
        <v>46997</v>
      </c>
      <c r="B57" s="276">
        <f>IF(tblSubjectToLoan[[#This Row],[Date]]="",0,IF(ROW()=ROW(tblSubjectToLoan[#Headers])+1,subjectKnownBalance,MAX(0,INDEX(tblSubjectToLoan[Ending Balance],ROW()-ROW(tblSubjectToLoan[#Headers])-1))))</f>
        <v>84619.810000000012</v>
      </c>
      <c r="C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7" s="14">
        <f>IF(tblSubjectToLoan[[#This Row],[Payment]]=0,0,MAX(0,MIN(tblSubjectToLoan[[#This Row],[Beginning Balance]],tblSubjectToLoan[[#This Row],[Payment]]-tblSubjectToLoan[[#This Row],[Int]])))</f>
        <v>361.36999999999995</v>
      </c>
      <c r="E57" s="14">
        <f>IF(tblSubjectToLoan[[#This Row],[Date]]="",0,ROUND(tblSubjectToLoan[[#This Row],[Beginning Balance]]*(subjectInterestRate/12),2))</f>
        <v>264.44</v>
      </c>
      <c r="H57" s="14">
        <f>SUM(tblSubjectToLoan[[#This Row],[Princ]],tblSubjectToLoan[[#This Row],[Int]],tblSubjectToLoan[[#This Row],[Ins]],tblSubjectToLoan[[#This Row],[Taxes]])</f>
        <v>625.80999999999995</v>
      </c>
      <c r="I57" s="276">
        <f>IF(tblSubjectToLoan[[#This Row],[Date]]="",IF(ROW()=ROW(tblSubjectToLoan[#Headers])+1,0,INDEX(tblSubjectToLoan[Principal],ROW()-ROW(tblSubjectToLoan[#Headers])-1)),tblSubjectToLoan[[#This Row],[Princ]]+IF(ROW()=ROW(tblSubjectToLoan[#Headers])+1,0,INDEX(tblSubjectToLoan[Principal],ROW()-ROW(tblSubjectToLoan[#Headers])-1)))</f>
        <v>12969.560000000001</v>
      </c>
      <c r="J57" s="276">
        <f>IF(tblSubjectToLoan[[#This Row],[Date]]="",IF(ROW()=ROW(tblSubjectToLoan[#Headers])+1,0,INDEX(tblSubjectToLoan[Interest],ROW()-ROW(tblSubjectToLoan[#Headers])-1)),tblSubjectToLoan[[#This Row],[Int]]+IF(ROW()=ROW(tblSubjectToLoan[#Headers])+1,0,INDEX(tblSubjectToLoan[Interest],ROW()-ROW(tblSubjectToLoan[#Headers])-1)))</f>
        <v>10811.22</v>
      </c>
      <c r="K57" s="969">
        <f>IF(tblSubjectToLoan[[#This Row],[Date]]="",0,MAX(0,tblSubjectToLoan[[#This Row],[Beginning Balance]]-tblSubjectToLoan[[#This Row],[Princ]]))</f>
        <v>84258.440000000017</v>
      </c>
      <c r="L57" s="394">
        <f t="shared" si="1"/>
        <v>3</v>
      </c>
      <c r="M57" s="394">
        <f t="shared" si="2"/>
        <v>37</v>
      </c>
      <c r="N57" s="613">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67">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525.69000000000074</v>
      </c>
      <c r="AD57" s="276">
        <f>IF(INDEX(tblContractForDeed[End Bal],ROW()-ROW(tblBuyerOutputs[#Headers]))&lt;=0,0,($O$6+IF(ROW()=ROW(tblBuyerOutputs[#Headers])+1,0,INDEX(tblBuyerOutputs[Cumul Appr],ROW()-ROW(tblBuyerOutputs[#Headers])-1)))*$O$2/12)</f>
        <v>0</v>
      </c>
      <c r="AE57" s="276">
        <f>IF(INDEX(tblContractForDeed[End Bal],ROW()-ROW(tblBuyerOutputs[#Headers]))&lt;=0,0,IF(ROW()=ROW(tblBuyerOutputs[#Headers])+1,0,INDEX(tblBuyerOutputs[Cumul Appr],ROW()-ROW(tblBuyerOutputs[#Headers])-1))+tblBuyerOutputs[[#This Row],[Monthly Appr]])</f>
        <v>0</v>
      </c>
      <c r="AF57" s="22"/>
      <c r="AG57" s="14"/>
      <c r="AL57"/>
      <c r="AM57" s="14"/>
      <c r="AO57" s="276"/>
      <c r="AQ57" s="14"/>
      <c r="AR57"/>
    </row>
    <row r="58" spans="1:44" x14ac:dyDescent="0.25">
      <c r="A58" s="613">
        <f>IF(ROW()=ROW(tblSubjectToLoan[#Headers])+1,subjectKnownBalanceDate,IF(OR(INDEX(tblSubjectToLoan[Date],ROW()-ROW(tblSubjectToLoan[#Headers])-1)="",INDEX(tblSubjectToLoan[Date],ROW()-ROW(tblSubjectToLoan[#Headers])-1)&gt;=subjectMortgageEndDate),"",EDATE(INDEX(tblSubjectToLoan[Date],ROW()-ROW(tblSubjectToLoan[#Headers])-1),1)))</f>
        <v>47027</v>
      </c>
      <c r="B58" s="276">
        <f>IF(tblSubjectToLoan[[#This Row],[Date]]="",0,IF(ROW()=ROW(tblSubjectToLoan[#Headers])+1,subjectKnownBalance,MAX(0,INDEX(tblSubjectToLoan[Ending Balance],ROW()-ROW(tblSubjectToLoan[#Headers])-1))))</f>
        <v>84258.440000000017</v>
      </c>
      <c r="C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8" s="14">
        <f>IF(tblSubjectToLoan[[#This Row],[Payment]]=0,0,MAX(0,MIN(tblSubjectToLoan[[#This Row],[Beginning Balance]],tblSubjectToLoan[[#This Row],[Payment]]-tblSubjectToLoan[[#This Row],[Int]])))</f>
        <v>362.49999999999994</v>
      </c>
      <c r="E58" s="14">
        <f>IF(tblSubjectToLoan[[#This Row],[Date]]="",0,ROUND(tblSubjectToLoan[[#This Row],[Beginning Balance]]*(subjectInterestRate/12),2))</f>
        <v>263.31</v>
      </c>
      <c r="H58" s="14">
        <f>SUM(tblSubjectToLoan[[#This Row],[Princ]],tblSubjectToLoan[[#This Row],[Int]],tblSubjectToLoan[[#This Row],[Ins]],tblSubjectToLoan[[#This Row],[Taxes]])</f>
        <v>625.80999999999995</v>
      </c>
      <c r="I58" s="276">
        <f>IF(tblSubjectToLoan[[#This Row],[Date]]="",IF(ROW()=ROW(tblSubjectToLoan[#Headers])+1,0,INDEX(tblSubjectToLoan[Principal],ROW()-ROW(tblSubjectToLoan[#Headers])-1)),tblSubjectToLoan[[#This Row],[Princ]]+IF(ROW()=ROW(tblSubjectToLoan[#Headers])+1,0,INDEX(tblSubjectToLoan[Principal],ROW()-ROW(tblSubjectToLoan[#Headers])-1)))</f>
        <v>13332.060000000001</v>
      </c>
      <c r="J58" s="276">
        <f>IF(tblSubjectToLoan[[#This Row],[Date]]="",IF(ROW()=ROW(tblSubjectToLoan[#Headers])+1,0,INDEX(tblSubjectToLoan[Interest],ROW()-ROW(tblSubjectToLoan[#Headers])-1)),tblSubjectToLoan[[#This Row],[Int]]+IF(ROW()=ROW(tblSubjectToLoan[#Headers])+1,0,INDEX(tblSubjectToLoan[Interest],ROW()-ROW(tblSubjectToLoan[#Headers])-1)))</f>
        <v>11074.529999999999</v>
      </c>
      <c r="K58" s="969">
        <f>IF(tblSubjectToLoan[[#This Row],[Date]]="",0,MAX(0,tblSubjectToLoan[[#This Row],[Beginning Balance]]-tblSubjectToLoan[[#This Row],[Princ]]))</f>
        <v>83895.940000000017</v>
      </c>
      <c r="L58" s="394">
        <f t="shared" si="1"/>
        <v>3</v>
      </c>
      <c r="M58" s="394">
        <f t="shared" si="2"/>
        <v>38</v>
      </c>
      <c r="N58" s="613">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67">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545.16000000000076</v>
      </c>
      <c r="AD58" s="276">
        <f>IF(INDEX(tblContractForDeed[End Bal],ROW()-ROW(tblBuyerOutputs[#Headers]))&lt;=0,0,($O$6+IF(ROW()=ROW(tblBuyerOutputs[#Headers])+1,0,INDEX(tblBuyerOutputs[Cumul Appr],ROW()-ROW(tblBuyerOutputs[#Headers])-1)))*$O$2/12)</f>
        <v>0</v>
      </c>
      <c r="AE58" s="276">
        <f>IF(INDEX(tblContractForDeed[End Bal],ROW()-ROW(tblBuyerOutputs[#Headers]))&lt;=0,0,IF(ROW()=ROW(tblBuyerOutputs[#Headers])+1,0,INDEX(tblBuyerOutputs[Cumul Appr],ROW()-ROW(tblBuyerOutputs[#Headers])-1))+tblBuyerOutputs[[#This Row],[Monthly Appr]])</f>
        <v>0</v>
      </c>
      <c r="AF58" s="22"/>
      <c r="AG58" s="14"/>
      <c r="AL58"/>
      <c r="AM58" s="14"/>
      <c r="AO58" s="276"/>
      <c r="AQ58" s="14"/>
      <c r="AR58"/>
    </row>
    <row r="59" spans="1:44" x14ac:dyDescent="0.25">
      <c r="A59" s="613">
        <f>IF(ROW()=ROW(tblSubjectToLoan[#Headers])+1,subjectKnownBalanceDate,IF(OR(INDEX(tblSubjectToLoan[Date],ROW()-ROW(tblSubjectToLoan[#Headers])-1)="",INDEX(tblSubjectToLoan[Date],ROW()-ROW(tblSubjectToLoan[#Headers])-1)&gt;=subjectMortgageEndDate),"",EDATE(INDEX(tblSubjectToLoan[Date],ROW()-ROW(tblSubjectToLoan[#Headers])-1),1)))</f>
        <v>47058</v>
      </c>
      <c r="B59" s="276">
        <f>IF(tblSubjectToLoan[[#This Row],[Date]]="",0,IF(ROW()=ROW(tblSubjectToLoan[#Headers])+1,subjectKnownBalance,MAX(0,INDEX(tblSubjectToLoan[Ending Balance],ROW()-ROW(tblSubjectToLoan[#Headers])-1))))</f>
        <v>83895.940000000017</v>
      </c>
      <c r="C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9" s="14">
        <f>IF(tblSubjectToLoan[[#This Row],[Payment]]=0,0,MAX(0,MIN(tblSubjectToLoan[[#This Row],[Beginning Balance]],tblSubjectToLoan[[#This Row],[Payment]]-tblSubjectToLoan[[#This Row],[Int]])))</f>
        <v>363.63999999999993</v>
      </c>
      <c r="E59" s="14">
        <f>IF(tblSubjectToLoan[[#This Row],[Date]]="",0,ROUND(tblSubjectToLoan[[#This Row],[Beginning Balance]]*(subjectInterestRate/12),2))</f>
        <v>262.17</v>
      </c>
      <c r="H59" s="14">
        <f>SUM(tblSubjectToLoan[[#This Row],[Princ]],tblSubjectToLoan[[#This Row],[Int]],tblSubjectToLoan[[#This Row],[Ins]],tblSubjectToLoan[[#This Row],[Taxes]])</f>
        <v>625.80999999999995</v>
      </c>
      <c r="I59" s="276">
        <f>IF(tblSubjectToLoan[[#This Row],[Date]]="",IF(ROW()=ROW(tblSubjectToLoan[#Headers])+1,0,INDEX(tblSubjectToLoan[Principal],ROW()-ROW(tblSubjectToLoan[#Headers])-1)),tblSubjectToLoan[[#This Row],[Princ]]+IF(ROW()=ROW(tblSubjectToLoan[#Headers])+1,0,INDEX(tblSubjectToLoan[Principal],ROW()-ROW(tblSubjectToLoan[#Headers])-1)))</f>
        <v>13695.7</v>
      </c>
      <c r="J59" s="276">
        <f>IF(tblSubjectToLoan[[#This Row],[Date]]="",IF(ROW()=ROW(tblSubjectToLoan[#Headers])+1,0,INDEX(tblSubjectToLoan[Interest],ROW()-ROW(tblSubjectToLoan[#Headers])-1)),tblSubjectToLoan[[#This Row],[Int]]+IF(ROW()=ROW(tblSubjectToLoan[#Headers])+1,0,INDEX(tblSubjectToLoan[Interest],ROW()-ROW(tblSubjectToLoan[#Headers])-1)))</f>
        <v>11336.699999999999</v>
      </c>
      <c r="K59" s="969">
        <f>IF(tblSubjectToLoan[[#This Row],[Date]]="",0,MAX(0,tblSubjectToLoan[[#This Row],[Beginning Balance]]-tblSubjectToLoan[[#This Row],[Princ]]))</f>
        <v>83532.300000000017</v>
      </c>
      <c r="L59" s="394">
        <f t="shared" si="1"/>
        <v>3</v>
      </c>
      <c r="M59" s="394">
        <f t="shared" si="2"/>
        <v>39</v>
      </c>
      <c r="N59" s="613">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67">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564.63000000000079</v>
      </c>
      <c r="AD59" s="276">
        <f>IF(INDEX(tblContractForDeed[End Bal],ROW()-ROW(tblBuyerOutputs[#Headers]))&lt;=0,0,($O$6+IF(ROW()=ROW(tblBuyerOutputs[#Headers])+1,0,INDEX(tblBuyerOutputs[Cumul Appr],ROW()-ROW(tblBuyerOutputs[#Headers])-1)))*$O$2/12)</f>
        <v>0</v>
      </c>
      <c r="AE59" s="276">
        <f>IF(INDEX(tblContractForDeed[End Bal],ROW()-ROW(tblBuyerOutputs[#Headers]))&lt;=0,0,IF(ROW()=ROW(tblBuyerOutputs[#Headers])+1,0,INDEX(tblBuyerOutputs[Cumul Appr],ROW()-ROW(tblBuyerOutputs[#Headers])-1))+tblBuyerOutputs[[#This Row],[Monthly Appr]])</f>
        <v>0</v>
      </c>
      <c r="AF59" s="22"/>
      <c r="AG59" s="14"/>
      <c r="AL59"/>
      <c r="AM59" s="14"/>
      <c r="AO59" s="276"/>
      <c r="AQ59" s="14"/>
      <c r="AR59"/>
    </row>
    <row r="60" spans="1:44" x14ac:dyDescent="0.25">
      <c r="A60" s="613">
        <f>IF(ROW()=ROW(tblSubjectToLoan[#Headers])+1,subjectKnownBalanceDate,IF(OR(INDEX(tblSubjectToLoan[Date],ROW()-ROW(tblSubjectToLoan[#Headers])-1)="",INDEX(tblSubjectToLoan[Date],ROW()-ROW(tblSubjectToLoan[#Headers])-1)&gt;=subjectMortgageEndDate),"",EDATE(INDEX(tblSubjectToLoan[Date],ROW()-ROW(tblSubjectToLoan[#Headers])-1),1)))</f>
        <v>47088</v>
      </c>
      <c r="B60" s="276">
        <f>IF(tblSubjectToLoan[[#This Row],[Date]]="",0,IF(ROW()=ROW(tblSubjectToLoan[#Headers])+1,subjectKnownBalance,MAX(0,INDEX(tblSubjectToLoan[Ending Balance],ROW()-ROW(tblSubjectToLoan[#Headers])-1))))</f>
        <v>83532.300000000017</v>
      </c>
      <c r="C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0" s="14">
        <f>IF(tblSubjectToLoan[[#This Row],[Payment]]=0,0,MAX(0,MIN(tblSubjectToLoan[[#This Row],[Beginning Balance]],tblSubjectToLoan[[#This Row],[Payment]]-tblSubjectToLoan[[#This Row],[Int]])))</f>
        <v>364.76999999999992</v>
      </c>
      <c r="E60" s="14">
        <f>IF(tblSubjectToLoan[[#This Row],[Date]]="",0,ROUND(tblSubjectToLoan[[#This Row],[Beginning Balance]]*(subjectInterestRate/12),2))</f>
        <v>261.04000000000002</v>
      </c>
      <c r="H60" s="14">
        <f>SUM(tblSubjectToLoan[[#This Row],[Princ]],tblSubjectToLoan[[#This Row],[Int]],tblSubjectToLoan[[#This Row],[Ins]],tblSubjectToLoan[[#This Row],[Taxes]])</f>
        <v>625.80999999999995</v>
      </c>
      <c r="I60" s="276">
        <f>IF(tblSubjectToLoan[[#This Row],[Date]]="",IF(ROW()=ROW(tblSubjectToLoan[#Headers])+1,0,INDEX(tblSubjectToLoan[Principal],ROW()-ROW(tblSubjectToLoan[#Headers])-1)),tblSubjectToLoan[[#This Row],[Princ]]+IF(ROW()=ROW(tblSubjectToLoan[#Headers])+1,0,INDEX(tblSubjectToLoan[Principal],ROW()-ROW(tblSubjectToLoan[#Headers])-1)))</f>
        <v>14060.470000000001</v>
      </c>
      <c r="J60" s="276">
        <f>IF(tblSubjectToLoan[[#This Row],[Date]]="",IF(ROW()=ROW(tblSubjectToLoan[#Headers])+1,0,INDEX(tblSubjectToLoan[Interest],ROW()-ROW(tblSubjectToLoan[#Headers])-1)),tblSubjectToLoan[[#This Row],[Int]]+IF(ROW()=ROW(tblSubjectToLoan[#Headers])+1,0,INDEX(tblSubjectToLoan[Interest],ROW()-ROW(tblSubjectToLoan[#Headers])-1)))</f>
        <v>11597.74</v>
      </c>
      <c r="K60" s="969">
        <f>IF(tblSubjectToLoan[[#This Row],[Date]]="",0,MAX(0,tblSubjectToLoan[[#This Row],[Beginning Balance]]-tblSubjectToLoan[[#This Row],[Princ]]))</f>
        <v>83167.530000000013</v>
      </c>
      <c r="L60" s="394">
        <f t="shared" si="1"/>
        <v>3</v>
      </c>
      <c r="M60" s="394">
        <f t="shared" si="2"/>
        <v>40</v>
      </c>
      <c r="N60" s="613">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67">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584.10000000000082</v>
      </c>
      <c r="AD60" s="276">
        <f>IF(INDEX(tblContractForDeed[End Bal],ROW()-ROW(tblBuyerOutputs[#Headers]))&lt;=0,0,($O$6+IF(ROW()=ROW(tblBuyerOutputs[#Headers])+1,0,INDEX(tblBuyerOutputs[Cumul Appr],ROW()-ROW(tblBuyerOutputs[#Headers])-1)))*$O$2/12)</f>
        <v>0</v>
      </c>
      <c r="AE60" s="276">
        <f>IF(INDEX(tblContractForDeed[End Bal],ROW()-ROW(tblBuyerOutputs[#Headers]))&lt;=0,0,IF(ROW()=ROW(tblBuyerOutputs[#Headers])+1,0,INDEX(tblBuyerOutputs[Cumul Appr],ROW()-ROW(tblBuyerOutputs[#Headers])-1))+tblBuyerOutputs[[#This Row],[Monthly Appr]])</f>
        <v>0</v>
      </c>
      <c r="AF60" s="22"/>
      <c r="AG60" s="14"/>
      <c r="AL60"/>
      <c r="AM60" s="14"/>
      <c r="AO60" s="276"/>
      <c r="AQ60" s="14"/>
      <c r="AR60"/>
    </row>
    <row r="61" spans="1:44" x14ac:dyDescent="0.25">
      <c r="A61" s="613">
        <f>IF(ROW()=ROW(tblSubjectToLoan[#Headers])+1,subjectKnownBalanceDate,IF(OR(INDEX(tblSubjectToLoan[Date],ROW()-ROW(tblSubjectToLoan[#Headers])-1)="",INDEX(tblSubjectToLoan[Date],ROW()-ROW(tblSubjectToLoan[#Headers])-1)&gt;=subjectMortgageEndDate),"",EDATE(INDEX(tblSubjectToLoan[Date],ROW()-ROW(tblSubjectToLoan[#Headers])-1),1)))</f>
        <v>47119</v>
      </c>
      <c r="B61" s="276">
        <f>IF(tblSubjectToLoan[[#This Row],[Date]]="",0,IF(ROW()=ROW(tblSubjectToLoan[#Headers])+1,subjectKnownBalance,MAX(0,INDEX(tblSubjectToLoan[Ending Balance],ROW()-ROW(tblSubjectToLoan[#Headers])-1))))</f>
        <v>83167.530000000013</v>
      </c>
      <c r="C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1" s="14">
        <f>IF(tblSubjectToLoan[[#This Row],[Payment]]=0,0,MAX(0,MIN(tblSubjectToLoan[[#This Row],[Beginning Balance]],tblSubjectToLoan[[#This Row],[Payment]]-tblSubjectToLoan[[#This Row],[Int]])))</f>
        <v>365.90999999999997</v>
      </c>
      <c r="E61" s="14">
        <f>IF(tblSubjectToLoan[[#This Row],[Date]]="",0,ROUND(tblSubjectToLoan[[#This Row],[Beginning Balance]]*(subjectInterestRate/12),2))</f>
        <v>259.89999999999998</v>
      </c>
      <c r="H61" s="14">
        <f>SUM(tblSubjectToLoan[[#This Row],[Princ]],tblSubjectToLoan[[#This Row],[Int]],tblSubjectToLoan[[#This Row],[Ins]],tblSubjectToLoan[[#This Row],[Taxes]])</f>
        <v>625.80999999999995</v>
      </c>
      <c r="I61" s="276">
        <f>IF(tblSubjectToLoan[[#This Row],[Date]]="",IF(ROW()=ROW(tblSubjectToLoan[#Headers])+1,0,INDEX(tblSubjectToLoan[Principal],ROW()-ROW(tblSubjectToLoan[#Headers])-1)),tblSubjectToLoan[[#This Row],[Princ]]+IF(ROW()=ROW(tblSubjectToLoan[#Headers])+1,0,INDEX(tblSubjectToLoan[Principal],ROW()-ROW(tblSubjectToLoan[#Headers])-1)))</f>
        <v>14426.380000000001</v>
      </c>
      <c r="J61" s="276">
        <f>IF(tblSubjectToLoan[[#This Row],[Date]]="",IF(ROW()=ROW(tblSubjectToLoan[#Headers])+1,0,INDEX(tblSubjectToLoan[Interest],ROW()-ROW(tblSubjectToLoan[#Headers])-1)),tblSubjectToLoan[[#This Row],[Int]]+IF(ROW()=ROW(tblSubjectToLoan[#Headers])+1,0,INDEX(tblSubjectToLoan[Interest],ROW()-ROW(tblSubjectToLoan[#Headers])-1)))</f>
        <v>11857.64</v>
      </c>
      <c r="K61" s="969">
        <f>IF(tblSubjectToLoan[[#This Row],[Date]]="",0,MAX(0,tblSubjectToLoan[[#This Row],[Beginning Balance]]-tblSubjectToLoan[[#This Row],[Princ]]))</f>
        <v>82801.62000000001</v>
      </c>
      <c r="L61" s="394">
        <f t="shared" si="1"/>
        <v>3</v>
      </c>
      <c r="M61" s="394">
        <f t="shared" si="2"/>
        <v>41</v>
      </c>
      <c r="N61" s="613">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67">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603.57000000000085</v>
      </c>
      <c r="AD61" s="276">
        <f>IF(INDEX(tblContractForDeed[End Bal],ROW()-ROW(tblBuyerOutputs[#Headers]))&lt;=0,0,($O$6+IF(ROW()=ROW(tblBuyerOutputs[#Headers])+1,0,INDEX(tblBuyerOutputs[Cumul Appr],ROW()-ROW(tblBuyerOutputs[#Headers])-1)))*$O$2/12)</f>
        <v>0</v>
      </c>
      <c r="AE61" s="276">
        <f>IF(INDEX(tblContractForDeed[End Bal],ROW()-ROW(tblBuyerOutputs[#Headers]))&lt;=0,0,IF(ROW()=ROW(tblBuyerOutputs[#Headers])+1,0,INDEX(tblBuyerOutputs[Cumul Appr],ROW()-ROW(tblBuyerOutputs[#Headers])-1))+tblBuyerOutputs[[#This Row],[Monthly Appr]])</f>
        <v>0</v>
      </c>
      <c r="AF61" s="22"/>
      <c r="AG61" s="14"/>
      <c r="AL61"/>
      <c r="AM61" s="14"/>
      <c r="AO61" s="276"/>
      <c r="AQ61" s="14"/>
      <c r="AR61"/>
    </row>
    <row r="62" spans="1:44" x14ac:dyDescent="0.25">
      <c r="A62" s="613">
        <f>IF(ROW()=ROW(tblSubjectToLoan[#Headers])+1,subjectKnownBalanceDate,IF(OR(INDEX(tblSubjectToLoan[Date],ROW()-ROW(tblSubjectToLoan[#Headers])-1)="",INDEX(tblSubjectToLoan[Date],ROW()-ROW(tblSubjectToLoan[#Headers])-1)&gt;=subjectMortgageEndDate),"",EDATE(INDEX(tblSubjectToLoan[Date],ROW()-ROW(tblSubjectToLoan[#Headers])-1),1)))</f>
        <v>47150</v>
      </c>
      <c r="B62" s="276">
        <f>IF(tblSubjectToLoan[[#This Row],[Date]]="",0,IF(ROW()=ROW(tblSubjectToLoan[#Headers])+1,subjectKnownBalance,MAX(0,INDEX(tblSubjectToLoan[Ending Balance],ROW()-ROW(tblSubjectToLoan[#Headers])-1))))</f>
        <v>82801.62000000001</v>
      </c>
      <c r="C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2" s="14">
        <f>IF(tblSubjectToLoan[[#This Row],[Payment]]=0,0,MAX(0,MIN(tblSubjectToLoan[[#This Row],[Beginning Balance]],tblSubjectToLoan[[#This Row],[Payment]]-tblSubjectToLoan[[#This Row],[Int]])))</f>
        <v>367.04999999999995</v>
      </c>
      <c r="E62" s="14">
        <f>IF(tblSubjectToLoan[[#This Row],[Date]]="",0,ROUND(tblSubjectToLoan[[#This Row],[Beginning Balance]]*(subjectInterestRate/12),2))</f>
        <v>258.76</v>
      </c>
      <c r="F62" s="14">
        <f>IF(C62=0,0,$W$2)</f>
        <v>134.16999999999999</v>
      </c>
      <c r="G62" s="14">
        <f>IF(D62=0,0,$W$3)</f>
        <v>188.55</v>
      </c>
      <c r="H62" s="14">
        <f>SUM(tblSubjectToLoan[[#This Row],[Princ]],tblSubjectToLoan[[#This Row],[Int]],tblSubjectToLoan[[#This Row],[Ins]],tblSubjectToLoan[[#This Row],[Taxes]])</f>
        <v>948.53</v>
      </c>
      <c r="I62" s="276">
        <f>IF(tblSubjectToLoan[[#This Row],[Date]]="",IF(ROW()=ROW(tblSubjectToLoan[#Headers])+1,0,INDEX(tblSubjectToLoan[Principal],ROW()-ROW(tblSubjectToLoan[#Headers])-1)),tblSubjectToLoan[[#This Row],[Princ]]+IF(ROW()=ROW(tblSubjectToLoan[#Headers])+1,0,INDEX(tblSubjectToLoan[Principal],ROW()-ROW(tblSubjectToLoan[#Headers])-1)))</f>
        <v>14793.43</v>
      </c>
      <c r="J62" s="276">
        <f>IF(tblSubjectToLoan[[#This Row],[Date]]="",IF(ROW()=ROW(tblSubjectToLoan[#Headers])+1,0,INDEX(tblSubjectToLoan[Interest],ROW()-ROW(tblSubjectToLoan[#Headers])-1)),tblSubjectToLoan[[#This Row],[Int]]+IF(ROW()=ROW(tblSubjectToLoan[#Headers])+1,0,INDEX(tblSubjectToLoan[Interest],ROW()-ROW(tblSubjectToLoan[#Headers])-1)))</f>
        <v>12116.4</v>
      </c>
      <c r="K62" s="969">
        <f>IF(tblSubjectToLoan[[#This Row],[Date]]="",0,MAX(0,tblSubjectToLoan[[#This Row],[Beginning Balance]]-tblSubjectToLoan[[#This Row],[Princ]]))</f>
        <v>82434.570000000007</v>
      </c>
      <c r="L62" s="394">
        <f t="shared" si="1"/>
        <v>3</v>
      </c>
      <c r="M62" s="394">
        <f t="shared" si="2"/>
        <v>42</v>
      </c>
      <c r="N62" s="613">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67">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623.04000000000087</v>
      </c>
      <c r="AD62" s="276">
        <f>IF(INDEX(tblContractForDeed[End Bal],ROW()-ROW(tblBuyerOutputs[#Headers]))&lt;=0,0,($O$6+IF(ROW()=ROW(tblBuyerOutputs[#Headers])+1,0,INDEX(tblBuyerOutputs[Cumul Appr],ROW()-ROW(tblBuyerOutputs[#Headers])-1)))*$O$2/12)</f>
        <v>0</v>
      </c>
      <c r="AE62" s="276">
        <f>IF(INDEX(tblContractForDeed[End Bal],ROW()-ROW(tblBuyerOutputs[#Headers]))&lt;=0,0,IF(ROW()=ROW(tblBuyerOutputs[#Headers])+1,0,INDEX(tblBuyerOutputs[Cumul Appr],ROW()-ROW(tblBuyerOutputs[#Headers])-1))+tblBuyerOutputs[[#This Row],[Monthly Appr]])</f>
        <v>0</v>
      </c>
      <c r="AF62" s="22"/>
      <c r="AG62" s="14"/>
      <c r="AL62"/>
      <c r="AM62" s="14"/>
      <c r="AO62" s="276"/>
      <c r="AQ62" s="14"/>
      <c r="AR62"/>
    </row>
    <row r="63" spans="1:44" x14ac:dyDescent="0.25">
      <c r="A63" s="613">
        <f>IF(ROW()=ROW(tblSubjectToLoan[#Headers])+1,subjectKnownBalanceDate,IF(OR(INDEX(tblSubjectToLoan[Date],ROW()-ROW(tblSubjectToLoan[#Headers])-1)="",INDEX(tblSubjectToLoan[Date],ROW()-ROW(tblSubjectToLoan[#Headers])-1)&gt;=subjectMortgageEndDate),"",EDATE(INDEX(tblSubjectToLoan[Date],ROW()-ROW(tblSubjectToLoan[#Headers])-1),1)))</f>
        <v>47178</v>
      </c>
      <c r="B63" s="276">
        <f>IF(tblSubjectToLoan[[#This Row],[Date]]="",0,IF(ROW()=ROW(tblSubjectToLoan[#Headers])+1,subjectKnownBalance,MAX(0,INDEX(tblSubjectToLoan[Ending Balance],ROW()-ROW(tblSubjectToLoan[#Headers])-1))))</f>
        <v>82434.570000000007</v>
      </c>
      <c r="C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3" s="14">
        <f>IF(tblSubjectToLoan[[#This Row],[Payment]]=0,0,MAX(0,MIN(tblSubjectToLoan[[#This Row],[Beginning Balance]],tblSubjectToLoan[[#This Row],[Payment]]-tblSubjectToLoan[[#This Row],[Int]])))</f>
        <v>368.19999999999993</v>
      </c>
      <c r="E63" s="14">
        <f>IF(tblSubjectToLoan[[#This Row],[Date]]="",0,ROUND(tblSubjectToLoan[[#This Row],[Beginning Balance]]*(subjectInterestRate/12),2))</f>
        <v>257.61</v>
      </c>
      <c r="F63" s="14">
        <f t="shared" ref="F63:G78" si="3">+F62</f>
        <v>134.16999999999999</v>
      </c>
      <c r="G63" s="14">
        <f t="shared" si="3"/>
        <v>188.55</v>
      </c>
      <c r="H63" s="14">
        <f>SUM(tblSubjectToLoan[[#This Row],[Princ]],tblSubjectToLoan[[#This Row],[Int]],tblSubjectToLoan[[#This Row],[Ins]],tblSubjectToLoan[[#This Row],[Taxes]])</f>
        <v>948.53</v>
      </c>
      <c r="I63" s="276">
        <f>IF(tblSubjectToLoan[[#This Row],[Date]]="",IF(ROW()=ROW(tblSubjectToLoan[#Headers])+1,0,INDEX(tblSubjectToLoan[Principal],ROW()-ROW(tblSubjectToLoan[#Headers])-1)),tblSubjectToLoan[[#This Row],[Princ]]+IF(ROW()=ROW(tblSubjectToLoan[#Headers])+1,0,INDEX(tblSubjectToLoan[Principal],ROW()-ROW(tblSubjectToLoan[#Headers])-1)))</f>
        <v>15161.630000000001</v>
      </c>
      <c r="J63" s="276">
        <f>IF(tblSubjectToLoan[[#This Row],[Date]]="",IF(ROW()=ROW(tblSubjectToLoan[#Headers])+1,0,INDEX(tblSubjectToLoan[Interest],ROW()-ROW(tblSubjectToLoan[#Headers])-1)),tblSubjectToLoan[[#This Row],[Int]]+IF(ROW()=ROW(tblSubjectToLoan[#Headers])+1,0,INDEX(tblSubjectToLoan[Interest],ROW()-ROW(tblSubjectToLoan[#Headers])-1)))</f>
        <v>12374.01</v>
      </c>
      <c r="K63" s="969">
        <f>IF(tblSubjectToLoan[[#This Row],[Date]]="",0,MAX(0,tblSubjectToLoan[[#This Row],[Beginning Balance]]-tblSubjectToLoan[[#This Row],[Princ]]))</f>
        <v>82066.37000000001</v>
      </c>
      <c r="L63" s="394">
        <f t="shared" si="1"/>
        <v>3</v>
      </c>
      <c r="M63" s="394">
        <f t="shared" si="2"/>
        <v>43</v>
      </c>
      <c r="N63" s="613">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67">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642.5100000000009</v>
      </c>
      <c r="AD63" s="276">
        <f>IF(INDEX(tblContractForDeed[End Bal],ROW()-ROW(tblBuyerOutputs[#Headers]))&lt;=0,0,($O$6+IF(ROW()=ROW(tblBuyerOutputs[#Headers])+1,0,INDEX(tblBuyerOutputs[Cumul Appr],ROW()-ROW(tblBuyerOutputs[#Headers])-1)))*$O$2/12)</f>
        <v>0</v>
      </c>
      <c r="AE63" s="276">
        <f>IF(INDEX(tblContractForDeed[End Bal],ROW()-ROW(tblBuyerOutputs[#Headers]))&lt;=0,0,IF(ROW()=ROW(tblBuyerOutputs[#Headers])+1,0,INDEX(tblBuyerOutputs[Cumul Appr],ROW()-ROW(tblBuyerOutputs[#Headers])-1))+tblBuyerOutputs[[#This Row],[Monthly Appr]])</f>
        <v>0</v>
      </c>
      <c r="AF63" s="22"/>
      <c r="AG63" s="14"/>
      <c r="AL63"/>
      <c r="AM63" s="14"/>
      <c r="AO63" s="276"/>
      <c r="AQ63" s="14"/>
      <c r="AR63"/>
    </row>
    <row r="64" spans="1:44" x14ac:dyDescent="0.25">
      <c r="A64" s="613">
        <f>IF(ROW()=ROW(tblSubjectToLoan[#Headers])+1,subjectKnownBalanceDate,IF(OR(INDEX(tblSubjectToLoan[Date],ROW()-ROW(tblSubjectToLoan[#Headers])-1)="",INDEX(tblSubjectToLoan[Date],ROW()-ROW(tblSubjectToLoan[#Headers])-1)&gt;=subjectMortgageEndDate),"",EDATE(INDEX(tblSubjectToLoan[Date],ROW()-ROW(tblSubjectToLoan[#Headers])-1),1)))</f>
        <v>47209</v>
      </c>
      <c r="B64" s="276">
        <f>IF(tblSubjectToLoan[[#This Row],[Date]]="",0,IF(ROW()=ROW(tblSubjectToLoan[#Headers])+1,subjectKnownBalance,MAX(0,INDEX(tblSubjectToLoan[Ending Balance],ROW()-ROW(tblSubjectToLoan[#Headers])-1))))</f>
        <v>82066.37000000001</v>
      </c>
      <c r="C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4" s="14">
        <f>IF(tblSubjectToLoan[[#This Row],[Payment]]=0,0,MAX(0,MIN(tblSubjectToLoan[[#This Row],[Beginning Balance]],tblSubjectToLoan[[#This Row],[Payment]]-tblSubjectToLoan[[#This Row],[Int]])))</f>
        <v>369.34999999999997</v>
      </c>
      <c r="E64" s="14">
        <f>IF(tblSubjectToLoan[[#This Row],[Date]]="",0,ROUND(tblSubjectToLoan[[#This Row],[Beginning Balance]]*(subjectInterestRate/12),2))</f>
        <v>256.45999999999998</v>
      </c>
      <c r="F64" s="14">
        <f t="shared" si="3"/>
        <v>134.16999999999999</v>
      </c>
      <c r="G64" s="14">
        <f t="shared" si="3"/>
        <v>188.55</v>
      </c>
      <c r="H64" s="14">
        <f>SUM(tblSubjectToLoan[[#This Row],[Princ]],tblSubjectToLoan[[#This Row],[Int]],tblSubjectToLoan[[#This Row],[Ins]],tblSubjectToLoan[[#This Row],[Taxes]])</f>
        <v>948.53</v>
      </c>
      <c r="I64" s="276">
        <f>IF(tblSubjectToLoan[[#This Row],[Date]]="",IF(ROW()=ROW(tblSubjectToLoan[#Headers])+1,0,INDEX(tblSubjectToLoan[Principal],ROW()-ROW(tblSubjectToLoan[#Headers])-1)),tblSubjectToLoan[[#This Row],[Princ]]+IF(ROW()=ROW(tblSubjectToLoan[#Headers])+1,0,INDEX(tblSubjectToLoan[Principal],ROW()-ROW(tblSubjectToLoan[#Headers])-1)))</f>
        <v>15530.980000000001</v>
      </c>
      <c r="J64" s="276">
        <f>IF(tblSubjectToLoan[[#This Row],[Date]]="",IF(ROW()=ROW(tblSubjectToLoan[#Headers])+1,0,INDEX(tblSubjectToLoan[Interest],ROW()-ROW(tblSubjectToLoan[#Headers])-1)),tblSubjectToLoan[[#This Row],[Int]]+IF(ROW()=ROW(tblSubjectToLoan[#Headers])+1,0,INDEX(tblSubjectToLoan[Interest],ROW()-ROW(tblSubjectToLoan[#Headers])-1)))</f>
        <v>12630.47</v>
      </c>
      <c r="K64" s="969">
        <f>IF(tblSubjectToLoan[[#This Row],[Date]]="",0,MAX(0,tblSubjectToLoan[[#This Row],[Beginning Balance]]-tblSubjectToLoan[[#This Row],[Princ]]))</f>
        <v>81697.02</v>
      </c>
      <c r="L64" s="394">
        <f t="shared" si="1"/>
        <v>3</v>
      </c>
      <c r="M64" s="394">
        <f t="shared" si="2"/>
        <v>44</v>
      </c>
      <c r="N64" s="613">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67">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541.84000000000094</v>
      </c>
      <c r="AD64" s="276">
        <f>IF(INDEX(tblContractForDeed[End Bal],ROW()-ROW(tblBuyerOutputs[#Headers]))&lt;=0,0,($O$6+IF(ROW()=ROW(tblBuyerOutputs[#Headers])+1,0,INDEX(tblBuyerOutputs[Cumul Appr],ROW()-ROW(tblBuyerOutputs[#Headers])-1)))*$O$2/12)</f>
        <v>0</v>
      </c>
      <c r="AE64" s="276">
        <f>IF(INDEX(tblContractForDeed[End Bal],ROW()-ROW(tblBuyerOutputs[#Headers]))&lt;=0,0,IF(ROW()=ROW(tblBuyerOutputs[#Headers])+1,0,INDEX(tblBuyerOutputs[Cumul Appr],ROW()-ROW(tblBuyerOutputs[#Headers])-1))+tblBuyerOutputs[[#This Row],[Monthly Appr]])</f>
        <v>0</v>
      </c>
      <c r="AF64" s="22"/>
      <c r="AG64" s="14"/>
      <c r="AL64"/>
      <c r="AM64" s="14"/>
      <c r="AO64" s="276"/>
      <c r="AQ64" s="14"/>
      <c r="AR64"/>
    </row>
    <row r="65" spans="1:44" x14ac:dyDescent="0.25">
      <c r="A65" s="613">
        <f>IF(ROW()=ROW(tblSubjectToLoan[#Headers])+1,subjectKnownBalanceDate,IF(OR(INDEX(tblSubjectToLoan[Date],ROW()-ROW(tblSubjectToLoan[#Headers])-1)="",INDEX(tblSubjectToLoan[Date],ROW()-ROW(tblSubjectToLoan[#Headers])-1)&gt;=subjectMortgageEndDate),"",EDATE(INDEX(tblSubjectToLoan[Date],ROW()-ROW(tblSubjectToLoan[#Headers])-1),1)))</f>
        <v>47239</v>
      </c>
      <c r="B65" s="276">
        <f>IF(tblSubjectToLoan[[#This Row],[Date]]="",0,IF(ROW()=ROW(tblSubjectToLoan[#Headers])+1,subjectKnownBalance,MAX(0,INDEX(tblSubjectToLoan[Ending Balance],ROW()-ROW(tblSubjectToLoan[#Headers])-1))))</f>
        <v>81697.02</v>
      </c>
      <c r="C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5" s="14">
        <f>IF(tblSubjectToLoan[[#This Row],[Payment]]=0,0,MAX(0,MIN(tblSubjectToLoan[[#This Row],[Beginning Balance]],tblSubjectToLoan[[#This Row],[Payment]]-tblSubjectToLoan[[#This Row],[Int]])))</f>
        <v>370.50999999999993</v>
      </c>
      <c r="E65" s="14">
        <f>IF(tblSubjectToLoan[[#This Row],[Date]]="",0,ROUND(tblSubjectToLoan[[#This Row],[Beginning Balance]]*(subjectInterestRate/12),2))</f>
        <v>255.3</v>
      </c>
      <c r="F65" s="14">
        <f t="shared" si="3"/>
        <v>134.16999999999999</v>
      </c>
      <c r="G65" s="14">
        <f t="shared" si="3"/>
        <v>188.55</v>
      </c>
      <c r="H65" s="14">
        <f>SUM(tblSubjectToLoan[[#This Row],[Princ]],tblSubjectToLoan[[#This Row],[Int]],tblSubjectToLoan[[#This Row],[Ins]],tblSubjectToLoan[[#This Row],[Taxes]])</f>
        <v>948.53</v>
      </c>
      <c r="I65" s="276">
        <f>IF(tblSubjectToLoan[[#This Row],[Date]]="",IF(ROW()=ROW(tblSubjectToLoan[#Headers])+1,0,INDEX(tblSubjectToLoan[Principal],ROW()-ROW(tblSubjectToLoan[#Headers])-1)),tblSubjectToLoan[[#This Row],[Princ]]+IF(ROW()=ROW(tblSubjectToLoan[#Headers])+1,0,INDEX(tblSubjectToLoan[Principal],ROW()-ROW(tblSubjectToLoan[#Headers])-1)))</f>
        <v>15901.490000000002</v>
      </c>
      <c r="J65" s="276">
        <f>IF(tblSubjectToLoan[[#This Row],[Date]]="",IF(ROW()=ROW(tblSubjectToLoan[#Headers])+1,0,INDEX(tblSubjectToLoan[Interest],ROW()-ROW(tblSubjectToLoan[#Headers])-1)),tblSubjectToLoan[[#This Row],[Int]]+IF(ROW()=ROW(tblSubjectToLoan[#Headers])+1,0,INDEX(tblSubjectToLoan[Interest],ROW()-ROW(tblSubjectToLoan[#Headers])-1)))</f>
        <v>12885.769999999999</v>
      </c>
      <c r="K65" s="969">
        <f>IF(tblSubjectToLoan[[#This Row],[Date]]="",0,MAX(0,tblSubjectToLoan[[#This Row],[Beginning Balance]]-tblSubjectToLoan[[#This Row],[Princ]]))</f>
        <v>81326.510000000009</v>
      </c>
      <c r="L65" s="394">
        <f t="shared" si="1"/>
        <v>3</v>
      </c>
      <c r="M65" s="394">
        <f t="shared" si="2"/>
        <v>45</v>
      </c>
      <c r="N65" s="613">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67">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441.17000000000098</v>
      </c>
      <c r="AD65" s="276">
        <f>IF(INDEX(tblContractForDeed[End Bal],ROW()-ROW(tblBuyerOutputs[#Headers]))&lt;=0,0,($O$6+IF(ROW()=ROW(tblBuyerOutputs[#Headers])+1,0,INDEX(tblBuyerOutputs[Cumul Appr],ROW()-ROW(tblBuyerOutputs[#Headers])-1)))*$O$2/12)</f>
        <v>0</v>
      </c>
      <c r="AE65" s="276">
        <f>IF(INDEX(tblContractForDeed[End Bal],ROW()-ROW(tblBuyerOutputs[#Headers]))&lt;=0,0,IF(ROW()=ROW(tblBuyerOutputs[#Headers])+1,0,INDEX(tblBuyerOutputs[Cumul Appr],ROW()-ROW(tblBuyerOutputs[#Headers])-1))+tblBuyerOutputs[[#This Row],[Monthly Appr]])</f>
        <v>0</v>
      </c>
      <c r="AF65" s="22"/>
      <c r="AG65" s="14"/>
      <c r="AL65"/>
      <c r="AM65" s="14"/>
      <c r="AO65" s="276"/>
      <c r="AQ65" s="14"/>
      <c r="AR65"/>
    </row>
    <row r="66" spans="1:44" x14ac:dyDescent="0.25">
      <c r="A66" s="613">
        <f>IF(ROW()=ROW(tblSubjectToLoan[#Headers])+1,subjectKnownBalanceDate,IF(OR(INDEX(tblSubjectToLoan[Date],ROW()-ROW(tblSubjectToLoan[#Headers])-1)="",INDEX(tblSubjectToLoan[Date],ROW()-ROW(tblSubjectToLoan[#Headers])-1)&gt;=subjectMortgageEndDate),"",EDATE(INDEX(tblSubjectToLoan[Date],ROW()-ROW(tblSubjectToLoan[#Headers])-1),1)))</f>
        <v>47270</v>
      </c>
      <c r="B66" s="276">
        <f>IF(tblSubjectToLoan[[#This Row],[Date]]="",0,IF(ROW()=ROW(tblSubjectToLoan[#Headers])+1,subjectKnownBalance,MAX(0,INDEX(tblSubjectToLoan[Ending Balance],ROW()-ROW(tblSubjectToLoan[#Headers])-1))))</f>
        <v>81326.510000000009</v>
      </c>
      <c r="C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6" s="14">
        <f>IF(tblSubjectToLoan[[#This Row],[Payment]]=0,0,MAX(0,MIN(tblSubjectToLoan[[#This Row],[Beginning Balance]],tblSubjectToLoan[[#This Row],[Payment]]-tblSubjectToLoan[[#This Row],[Int]])))</f>
        <v>371.65999999999997</v>
      </c>
      <c r="E66" s="14">
        <f>IF(tblSubjectToLoan[[#This Row],[Date]]="",0,ROUND(tblSubjectToLoan[[#This Row],[Beginning Balance]]*(subjectInterestRate/12),2))</f>
        <v>254.15</v>
      </c>
      <c r="F66" s="14">
        <f t="shared" si="3"/>
        <v>134.16999999999999</v>
      </c>
      <c r="G66" s="14">
        <f t="shared" si="3"/>
        <v>188.55</v>
      </c>
      <c r="H66" s="14">
        <f>SUM(tblSubjectToLoan[[#This Row],[Princ]],tblSubjectToLoan[[#This Row],[Int]],tblSubjectToLoan[[#This Row],[Ins]],tblSubjectToLoan[[#This Row],[Taxes]])</f>
        <v>948.53</v>
      </c>
      <c r="I66" s="276">
        <f>IF(tblSubjectToLoan[[#This Row],[Date]]="",IF(ROW()=ROW(tblSubjectToLoan[#Headers])+1,0,INDEX(tblSubjectToLoan[Principal],ROW()-ROW(tblSubjectToLoan[#Headers])-1)),tblSubjectToLoan[[#This Row],[Princ]]+IF(ROW()=ROW(tblSubjectToLoan[#Headers])+1,0,INDEX(tblSubjectToLoan[Principal],ROW()-ROW(tblSubjectToLoan[#Headers])-1)))</f>
        <v>16273.150000000001</v>
      </c>
      <c r="J66" s="276">
        <f>IF(tblSubjectToLoan[[#This Row],[Date]]="",IF(ROW()=ROW(tblSubjectToLoan[#Headers])+1,0,INDEX(tblSubjectToLoan[Interest],ROW()-ROW(tblSubjectToLoan[#Headers])-1)),tblSubjectToLoan[[#This Row],[Int]]+IF(ROW()=ROW(tblSubjectToLoan[#Headers])+1,0,INDEX(tblSubjectToLoan[Interest],ROW()-ROW(tblSubjectToLoan[#Headers])-1)))</f>
        <v>13139.919999999998</v>
      </c>
      <c r="K66" s="969">
        <f>IF(tblSubjectToLoan[[#This Row],[Date]]="",0,MAX(0,tblSubjectToLoan[[#This Row],[Beginning Balance]]-tblSubjectToLoan[[#This Row],[Princ]]))</f>
        <v>80954.850000000006</v>
      </c>
      <c r="L66" s="394">
        <f t="shared" si="1"/>
        <v>3</v>
      </c>
      <c r="M66" s="394">
        <f t="shared" si="2"/>
        <v>46</v>
      </c>
      <c r="N66" s="613">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67">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340.50000000000102</v>
      </c>
      <c r="AD66" s="276">
        <f>IF(INDEX(tblContractForDeed[End Bal],ROW()-ROW(tblBuyerOutputs[#Headers]))&lt;=0,0,($O$6+IF(ROW()=ROW(tblBuyerOutputs[#Headers])+1,0,INDEX(tblBuyerOutputs[Cumul Appr],ROW()-ROW(tblBuyerOutputs[#Headers])-1)))*$O$2/12)</f>
        <v>0</v>
      </c>
      <c r="AE66" s="276">
        <f>IF(INDEX(tblContractForDeed[End Bal],ROW()-ROW(tblBuyerOutputs[#Headers]))&lt;=0,0,IF(ROW()=ROW(tblBuyerOutputs[#Headers])+1,0,INDEX(tblBuyerOutputs[Cumul Appr],ROW()-ROW(tblBuyerOutputs[#Headers])-1))+tblBuyerOutputs[[#This Row],[Monthly Appr]])</f>
        <v>0</v>
      </c>
      <c r="AF66" s="22"/>
      <c r="AG66" s="14"/>
      <c r="AL66"/>
      <c r="AM66" s="14"/>
      <c r="AO66" s="276"/>
      <c r="AQ66" s="14"/>
      <c r="AR66"/>
    </row>
    <row r="67" spans="1:44" ht="15.75" thickBot="1" x14ac:dyDescent="0.3">
      <c r="A67" s="614">
        <f>IF(ROW()=ROW(tblSubjectToLoan[#Headers])+1,subjectKnownBalanceDate,IF(OR(INDEX(tblSubjectToLoan[Date],ROW()-ROW(tblSubjectToLoan[#Headers])-1)="",INDEX(tblSubjectToLoan[Date],ROW()-ROW(tblSubjectToLoan[#Headers])-1)&gt;=subjectMortgageEndDate),"",EDATE(INDEX(tblSubjectToLoan[Date],ROW()-ROW(tblSubjectToLoan[#Headers])-1),1)))</f>
        <v>47300</v>
      </c>
      <c r="B67" s="332">
        <f>IF(tblSubjectToLoan[[#This Row],[Date]]="",0,IF(ROW()=ROW(tblSubjectToLoan[#Headers])+1,subjectKnownBalance,MAX(0,INDEX(tblSubjectToLoan[Ending Balance],ROW()-ROW(tblSubjectToLoan[#Headers])-1))))</f>
        <v>80954.850000000006</v>
      </c>
      <c r="C6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7" s="21">
        <f>IF(tblSubjectToLoan[[#This Row],[Payment]]=0,0,MAX(0,MIN(tblSubjectToLoan[[#This Row],[Beginning Balance]],tblSubjectToLoan[[#This Row],[Payment]]-tblSubjectToLoan[[#This Row],[Int]])))</f>
        <v>372.82999999999993</v>
      </c>
      <c r="E67" s="21">
        <f>IF(tblSubjectToLoan[[#This Row],[Date]]="",0,ROUND(tblSubjectToLoan[[#This Row],[Beginning Balance]]*(subjectInterestRate/12),2))</f>
        <v>252.98</v>
      </c>
      <c r="F67" s="21">
        <f t="shared" si="3"/>
        <v>134.16999999999999</v>
      </c>
      <c r="G67" s="21">
        <f t="shared" si="3"/>
        <v>188.55</v>
      </c>
      <c r="H67" s="21">
        <f>SUM(tblSubjectToLoan[[#This Row],[Princ]],tblSubjectToLoan[[#This Row],[Int]],tblSubjectToLoan[[#This Row],[Ins]],tblSubjectToLoan[[#This Row],[Taxes]])</f>
        <v>948.53</v>
      </c>
      <c r="I67" s="332">
        <f>IF(tblSubjectToLoan[[#This Row],[Date]]="",IF(ROW()=ROW(tblSubjectToLoan[#Headers])+1,0,INDEX(tblSubjectToLoan[Principal],ROW()-ROW(tblSubjectToLoan[#Headers])-1)),tblSubjectToLoan[[#This Row],[Princ]]+IF(ROW()=ROW(tblSubjectToLoan[#Headers])+1,0,INDEX(tblSubjectToLoan[Principal],ROW()-ROW(tblSubjectToLoan[#Headers])-1)))</f>
        <v>16645.980000000003</v>
      </c>
      <c r="J67" s="332">
        <f>IF(tblSubjectToLoan[[#This Row],[Date]]="",IF(ROW()=ROW(tblSubjectToLoan[#Headers])+1,0,INDEX(tblSubjectToLoan[Interest],ROW()-ROW(tblSubjectToLoan[#Headers])-1)),tblSubjectToLoan[[#This Row],[Int]]+IF(ROW()=ROW(tblSubjectToLoan[#Headers])+1,0,INDEX(tblSubjectToLoan[Interest],ROW()-ROW(tblSubjectToLoan[#Headers])-1)))</f>
        <v>13392.899999999998</v>
      </c>
      <c r="K67" s="970">
        <f>IF(tblSubjectToLoan[[#This Row],[Date]]="",0,MAX(0,tblSubjectToLoan[[#This Row],[Beginning Balance]]-tblSubjectToLoan[[#This Row],[Princ]]))</f>
        <v>80582.02</v>
      </c>
      <c r="L67" s="395">
        <f t="shared" si="1"/>
        <v>3</v>
      </c>
      <c r="M67" s="395">
        <f t="shared" si="2"/>
        <v>47</v>
      </c>
      <c r="N67" s="614">
        <f>INDEX(tblSubjectToLoan[Date],ROW()-ROW(tblContractForDeed[#Headers]))</f>
        <v>47300</v>
      </c>
      <c r="O67" s="332">
        <f>IF(ROW()=ROW(tblContractForDeed[#Headers])+1,$O$6,IF(INDEX(tblContractForDeed[End Bal],ROW()-ROW(tblContractForDeed[#Headers])-1)&lt;0,0,INDEX(tblContractForDeed[End Bal],ROW()-ROW(tblContractForDeed[#Headers])-1)))</f>
        <v>65256.359999999993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305.39999999999998</v>
      </c>
      <c r="S67" s="332">
        <f>IF(OR(tblContractForDeed[[#This Row],[Date]]&lt;cfdContractDate,tblContractForDeed[[#This Row],[Date]]&gt;cfdEndDate),0,ROUND(tblContractForDeed[[#This Row],[Beg]]*(tblContractForDeed[[#This Row],[Int Rate]]/12),2))</f>
        <v>339.88</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10307.039999999999</v>
      </c>
      <c r="X67" s="332">
        <f>IF(tblContractForDeed[[#This Row],[Beg]]&lt;=0,0,tblContractForDeed[[#This Row],[Beg]]-tblContractForDeed[[#This Row],[Princ]])</f>
        <v>64950.959999999992</v>
      </c>
      <c r="Y6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68">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239.83000000000106</v>
      </c>
      <c r="AD67" s="332">
        <f>IF(INDEX(tblContractForDeed[End Bal],ROW()-ROW(tblBuyerOutputs[#Headers]))&lt;=0,0,($O$6+IF(ROW()=ROW(tblBuyerOutputs[#Headers])+1,0,INDEX(tblBuyerOutputs[Cumul Appr],ROW()-ROW(tblBuyerOutputs[#Headers])-1)))*$O$2/12)</f>
        <v>0</v>
      </c>
      <c r="AE67" s="332">
        <f>IF(INDEX(tblContractForDeed[End Bal],ROW()-ROW(tblBuyerOutputs[#Headers]))&lt;=0,0,IF(ROW()=ROW(tblBuyerOutputs[#Headers])+1,0,INDEX(tblBuyerOutputs[Cumul Appr],ROW()-ROW(tblBuyerOutputs[#Headers])-1))+tblBuyerOutputs[[#This Row],[Monthly Appr]])</f>
        <v>0</v>
      </c>
      <c r="AF67" s="22"/>
      <c r="AG67" s="14"/>
      <c r="AL67"/>
      <c r="AM67" s="14"/>
      <c r="AO67" s="276"/>
      <c r="AQ67" s="14"/>
      <c r="AR67"/>
    </row>
    <row r="68" spans="1:44" x14ac:dyDescent="0.25">
      <c r="A68" s="613">
        <f>IF(ROW()=ROW(tblSubjectToLoan[#Headers])+1,subjectKnownBalanceDate,IF(OR(INDEX(tblSubjectToLoan[Date],ROW()-ROW(tblSubjectToLoan[#Headers])-1)="",INDEX(tblSubjectToLoan[Date],ROW()-ROW(tblSubjectToLoan[#Headers])-1)&gt;=subjectMortgageEndDate),"",EDATE(INDEX(tblSubjectToLoan[Date],ROW()-ROW(tblSubjectToLoan[#Headers])-1),1)))</f>
        <v>47331</v>
      </c>
      <c r="B68" s="276">
        <f>IF(tblSubjectToLoan[[#This Row],[Date]]="",0,IF(ROW()=ROW(tblSubjectToLoan[#Headers])+1,subjectKnownBalance,MAX(0,INDEX(tblSubjectToLoan[Ending Balance],ROW()-ROW(tblSubjectToLoan[#Headers])-1))))</f>
        <v>80582.02</v>
      </c>
      <c r="C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8" s="14">
        <f>IF(tblSubjectToLoan[[#This Row],[Payment]]=0,0,MAX(0,MIN(tblSubjectToLoan[[#This Row],[Beginning Balance]],tblSubjectToLoan[[#This Row],[Payment]]-tblSubjectToLoan[[#This Row],[Int]])))</f>
        <v>373.98999999999995</v>
      </c>
      <c r="E68" s="14">
        <f>IF(tblSubjectToLoan[[#This Row],[Date]]="",0,ROUND(tblSubjectToLoan[[#This Row],[Beginning Balance]]*(subjectInterestRate/12),2))</f>
        <v>251.82</v>
      </c>
      <c r="F68" s="14">
        <f t="shared" si="3"/>
        <v>134.16999999999999</v>
      </c>
      <c r="G68" s="14">
        <f t="shared" si="3"/>
        <v>188.55</v>
      </c>
      <c r="H68" s="14">
        <f>SUM(tblSubjectToLoan[[#This Row],[Princ]],tblSubjectToLoan[[#This Row],[Int]],tblSubjectToLoan[[#This Row],[Ins]],tblSubjectToLoan[[#This Row],[Taxes]])</f>
        <v>948.53</v>
      </c>
      <c r="I68" s="276">
        <f>IF(tblSubjectToLoan[[#This Row],[Date]]="",IF(ROW()=ROW(tblSubjectToLoan[#Headers])+1,0,INDEX(tblSubjectToLoan[Principal],ROW()-ROW(tblSubjectToLoan[#Headers])-1)),tblSubjectToLoan[[#This Row],[Princ]]+IF(ROW()=ROW(tblSubjectToLoan[#Headers])+1,0,INDEX(tblSubjectToLoan[Principal],ROW()-ROW(tblSubjectToLoan[#Headers])-1)))</f>
        <v>17019.970000000005</v>
      </c>
      <c r="J68" s="276">
        <f>IF(tblSubjectToLoan[[#This Row],[Date]]="",IF(ROW()=ROW(tblSubjectToLoan[#Headers])+1,0,INDEX(tblSubjectToLoan[Interest],ROW()-ROW(tblSubjectToLoan[#Headers])-1)),tblSubjectToLoan[[#This Row],[Int]]+IF(ROW()=ROW(tblSubjectToLoan[#Headers])+1,0,INDEX(tblSubjectToLoan[Interest],ROW()-ROW(tblSubjectToLoan[#Headers])-1)))</f>
        <v>13644.719999999998</v>
      </c>
      <c r="K68" s="969">
        <f>IF(tblSubjectToLoan[[#This Row],[Date]]="",0,MAX(0,tblSubjectToLoan[[#This Row],[Beginning Balance]]-tblSubjectToLoan[[#This Row],[Princ]]))</f>
        <v>80208.03</v>
      </c>
      <c r="L68" s="394">
        <f t="shared" si="1"/>
        <v>4</v>
      </c>
      <c r="M68" s="394">
        <f t="shared" si="2"/>
        <v>48</v>
      </c>
      <c r="N68" s="613">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67">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259.30000000000109</v>
      </c>
      <c r="AD68" s="276">
        <f>IF(INDEX(tblContractForDeed[End Bal],ROW()-ROW(tblBuyerOutputs[#Headers]))&lt;=0,0,($O$6+IF(ROW()=ROW(tblBuyerOutputs[#Headers])+1,0,INDEX(tblBuyerOutputs[Cumul Appr],ROW()-ROW(tblBuyerOutputs[#Headers])-1)))*$O$2/12)</f>
        <v>0</v>
      </c>
      <c r="AE68" s="276">
        <f>IF(INDEX(tblContractForDeed[End Bal],ROW()-ROW(tblBuyerOutputs[#Headers]))&lt;=0,0,IF(ROW()=ROW(tblBuyerOutputs[#Headers])+1,0,INDEX(tblBuyerOutputs[Cumul Appr],ROW()-ROW(tblBuyerOutputs[#Headers])-1))+tblBuyerOutputs[[#This Row],[Monthly Appr]])</f>
        <v>0</v>
      </c>
      <c r="AF68" s="22"/>
      <c r="AG68" s="14"/>
      <c r="AL68"/>
      <c r="AM68" s="14"/>
      <c r="AO68" s="276"/>
      <c r="AQ68" s="14"/>
      <c r="AR68"/>
    </row>
    <row r="69" spans="1:44" x14ac:dyDescent="0.25">
      <c r="A69" s="613">
        <f>IF(ROW()=ROW(tblSubjectToLoan[#Headers])+1,subjectKnownBalanceDate,IF(OR(INDEX(tblSubjectToLoan[Date],ROW()-ROW(tblSubjectToLoan[#Headers])-1)="",INDEX(tblSubjectToLoan[Date],ROW()-ROW(tblSubjectToLoan[#Headers])-1)&gt;=subjectMortgageEndDate),"",EDATE(INDEX(tblSubjectToLoan[Date],ROW()-ROW(tblSubjectToLoan[#Headers])-1),1)))</f>
        <v>47362</v>
      </c>
      <c r="B69" s="276">
        <f>IF(tblSubjectToLoan[[#This Row],[Date]]="",0,IF(ROW()=ROW(tblSubjectToLoan[#Headers])+1,subjectKnownBalance,MAX(0,INDEX(tblSubjectToLoan[Ending Balance],ROW()-ROW(tblSubjectToLoan[#Headers])-1))))</f>
        <v>80208.03</v>
      </c>
      <c r="C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9" s="14">
        <f>IF(tblSubjectToLoan[[#This Row],[Payment]]=0,0,MAX(0,MIN(tblSubjectToLoan[[#This Row],[Beginning Balance]],tblSubjectToLoan[[#This Row],[Payment]]-tblSubjectToLoan[[#This Row],[Int]])))</f>
        <v>375.15999999999997</v>
      </c>
      <c r="E69" s="14">
        <f>IF(tblSubjectToLoan[[#This Row],[Date]]="",0,ROUND(tblSubjectToLoan[[#This Row],[Beginning Balance]]*(subjectInterestRate/12),2))</f>
        <v>250.65</v>
      </c>
      <c r="F69" s="14">
        <f t="shared" si="3"/>
        <v>134.16999999999999</v>
      </c>
      <c r="G69" s="14">
        <f t="shared" si="3"/>
        <v>188.55</v>
      </c>
      <c r="H69" s="14">
        <f>SUM(tblSubjectToLoan[[#This Row],[Princ]],tblSubjectToLoan[[#This Row],[Int]],tblSubjectToLoan[[#This Row],[Ins]],tblSubjectToLoan[[#This Row],[Taxes]])</f>
        <v>948.53</v>
      </c>
      <c r="I69" s="276">
        <f>IF(tblSubjectToLoan[[#This Row],[Date]]="",IF(ROW()=ROW(tblSubjectToLoan[#Headers])+1,0,INDEX(tblSubjectToLoan[Principal],ROW()-ROW(tblSubjectToLoan[#Headers])-1)),tblSubjectToLoan[[#This Row],[Princ]]+IF(ROW()=ROW(tblSubjectToLoan[#Headers])+1,0,INDEX(tblSubjectToLoan[Principal],ROW()-ROW(tblSubjectToLoan[#Headers])-1)))</f>
        <v>17395.130000000005</v>
      </c>
      <c r="J69" s="276">
        <f>IF(tblSubjectToLoan[[#This Row],[Date]]="",IF(ROW()=ROW(tblSubjectToLoan[#Headers])+1,0,INDEX(tblSubjectToLoan[Interest],ROW()-ROW(tblSubjectToLoan[#Headers])-1)),tblSubjectToLoan[[#This Row],[Int]]+IF(ROW()=ROW(tblSubjectToLoan[#Headers])+1,0,INDEX(tblSubjectToLoan[Interest],ROW()-ROW(tblSubjectToLoan[#Headers])-1)))</f>
        <v>13895.369999999997</v>
      </c>
      <c r="K69" s="969">
        <f>IF(tblSubjectToLoan[[#This Row],[Date]]="",0,MAX(0,tblSubjectToLoan[[#This Row],[Beginning Balance]]-tblSubjectToLoan[[#This Row],[Princ]]))</f>
        <v>79832.87</v>
      </c>
      <c r="L69" s="394">
        <f t="shared" si="1"/>
        <v>4</v>
      </c>
      <c r="M69" s="394">
        <f t="shared" si="2"/>
        <v>49</v>
      </c>
      <c r="N69" s="613">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67">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278.77000000000112</v>
      </c>
      <c r="AD69" s="276">
        <f>IF(INDEX(tblContractForDeed[End Bal],ROW()-ROW(tblBuyerOutputs[#Headers]))&lt;=0,0,($O$6+IF(ROW()=ROW(tblBuyerOutputs[#Headers])+1,0,INDEX(tblBuyerOutputs[Cumul Appr],ROW()-ROW(tblBuyerOutputs[#Headers])-1)))*$O$2/12)</f>
        <v>0</v>
      </c>
      <c r="AE69" s="276">
        <f>IF(INDEX(tblContractForDeed[End Bal],ROW()-ROW(tblBuyerOutputs[#Headers]))&lt;=0,0,IF(ROW()=ROW(tblBuyerOutputs[#Headers])+1,0,INDEX(tblBuyerOutputs[Cumul Appr],ROW()-ROW(tblBuyerOutputs[#Headers])-1))+tblBuyerOutputs[[#This Row],[Monthly Appr]])</f>
        <v>0</v>
      </c>
      <c r="AF69" s="22"/>
      <c r="AG69" s="14"/>
      <c r="AL69"/>
      <c r="AM69" s="14"/>
      <c r="AO69" s="276"/>
      <c r="AQ69" s="14"/>
      <c r="AR69"/>
    </row>
    <row r="70" spans="1:44" x14ac:dyDescent="0.25">
      <c r="A70" s="613">
        <f>IF(ROW()=ROW(tblSubjectToLoan[#Headers])+1,subjectKnownBalanceDate,IF(OR(INDEX(tblSubjectToLoan[Date],ROW()-ROW(tblSubjectToLoan[#Headers])-1)="",INDEX(tblSubjectToLoan[Date],ROW()-ROW(tblSubjectToLoan[#Headers])-1)&gt;=subjectMortgageEndDate),"",EDATE(INDEX(tblSubjectToLoan[Date],ROW()-ROW(tblSubjectToLoan[#Headers])-1),1)))</f>
        <v>47392</v>
      </c>
      <c r="B70" s="276">
        <f>IF(tblSubjectToLoan[[#This Row],[Date]]="",0,IF(ROW()=ROW(tblSubjectToLoan[#Headers])+1,subjectKnownBalance,MAX(0,INDEX(tblSubjectToLoan[Ending Balance],ROW()-ROW(tblSubjectToLoan[#Headers])-1))))</f>
        <v>79832.87</v>
      </c>
      <c r="C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0" s="14">
        <f>IF(tblSubjectToLoan[[#This Row],[Payment]]=0,0,MAX(0,MIN(tblSubjectToLoan[[#This Row],[Beginning Balance]],tblSubjectToLoan[[#This Row],[Payment]]-tblSubjectToLoan[[#This Row],[Int]])))</f>
        <v>376.32999999999993</v>
      </c>
      <c r="E70" s="14">
        <f>IF(tblSubjectToLoan[[#This Row],[Date]]="",0,ROUND(tblSubjectToLoan[[#This Row],[Beginning Balance]]*(subjectInterestRate/12),2))</f>
        <v>249.48</v>
      </c>
      <c r="F70" s="14">
        <f t="shared" si="3"/>
        <v>134.16999999999999</v>
      </c>
      <c r="G70" s="14">
        <f t="shared" si="3"/>
        <v>188.55</v>
      </c>
      <c r="H70" s="14">
        <f>SUM(tblSubjectToLoan[[#This Row],[Princ]],tblSubjectToLoan[[#This Row],[Int]],tblSubjectToLoan[[#This Row],[Ins]],tblSubjectToLoan[[#This Row],[Taxes]])</f>
        <v>948.53</v>
      </c>
      <c r="I70" s="276">
        <f>IF(tblSubjectToLoan[[#This Row],[Date]]="",IF(ROW()=ROW(tblSubjectToLoan[#Headers])+1,0,INDEX(tblSubjectToLoan[Principal],ROW()-ROW(tblSubjectToLoan[#Headers])-1)),tblSubjectToLoan[[#This Row],[Princ]]+IF(ROW()=ROW(tblSubjectToLoan[#Headers])+1,0,INDEX(tblSubjectToLoan[Principal],ROW()-ROW(tblSubjectToLoan[#Headers])-1)))</f>
        <v>17771.460000000006</v>
      </c>
      <c r="J70" s="276">
        <f>IF(tblSubjectToLoan[[#This Row],[Date]]="",IF(ROW()=ROW(tblSubjectToLoan[#Headers])+1,0,INDEX(tblSubjectToLoan[Interest],ROW()-ROW(tblSubjectToLoan[#Headers])-1)),tblSubjectToLoan[[#This Row],[Int]]+IF(ROW()=ROW(tblSubjectToLoan[#Headers])+1,0,INDEX(tblSubjectToLoan[Interest],ROW()-ROW(tblSubjectToLoan[#Headers])-1)))</f>
        <v>14144.849999999997</v>
      </c>
      <c r="K70" s="969">
        <f>IF(tblSubjectToLoan[[#This Row],[Date]]="",0,MAX(0,tblSubjectToLoan[[#This Row],[Beginning Balance]]-tblSubjectToLoan[[#This Row],[Princ]]))</f>
        <v>79456.539999999994</v>
      </c>
      <c r="L70" s="394">
        <f t="shared" si="1"/>
        <v>4</v>
      </c>
      <c r="M70" s="394">
        <f t="shared" si="2"/>
        <v>50</v>
      </c>
      <c r="N70" s="613">
        <f>INDEX(tblSubjectToLoan[Date],ROW()-ROW(tblContractForDeed[#Headers]))</f>
        <v>47392</v>
      </c>
      <c r="O70" s="276">
        <f>IF(ROW()=ROW(tblContractForDeed[#Headers])+1,$O$6,IF(INDEX(tblContractForDeed[End Bal],ROW()-ROW(tblContractForDeed[#Headers])-1)&lt;0,0,INDEX(tblContractForDeed[End Bal],ROW()-ROW(tblContractForDeed[#Headers])-1)))</f>
        <v>64335.38</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67">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298.24000000000115</v>
      </c>
      <c r="AD70" s="276">
        <f>IF(INDEX(tblContractForDeed[End Bal],ROW()-ROW(tblBuyerOutputs[#Headers]))&lt;=0,0,($O$6+IF(ROW()=ROW(tblBuyerOutputs[#Headers])+1,0,INDEX(tblBuyerOutputs[Cumul Appr],ROW()-ROW(tblBuyerOutputs[#Headers])-1)))*$O$2/12)</f>
        <v>0</v>
      </c>
      <c r="AE70" s="276">
        <f>IF(INDEX(tblContractForDeed[End Bal],ROW()-ROW(tblBuyerOutputs[#Headers]))&lt;=0,0,IF(ROW()=ROW(tblBuyerOutputs[#Headers])+1,0,INDEX(tblBuyerOutputs[Cumul Appr],ROW()-ROW(tblBuyerOutputs[#Headers])-1))+tblBuyerOutputs[[#This Row],[Monthly Appr]])</f>
        <v>0</v>
      </c>
      <c r="AF70" s="22"/>
      <c r="AG70" s="14"/>
      <c r="AL70"/>
      <c r="AM70" s="14"/>
      <c r="AO70" s="276"/>
      <c r="AQ70" s="14"/>
      <c r="AR70"/>
    </row>
    <row r="71" spans="1:44" x14ac:dyDescent="0.25">
      <c r="A71" s="613">
        <f>IF(ROW()=ROW(tblSubjectToLoan[#Headers])+1,subjectKnownBalanceDate,IF(OR(INDEX(tblSubjectToLoan[Date],ROW()-ROW(tblSubjectToLoan[#Headers])-1)="",INDEX(tblSubjectToLoan[Date],ROW()-ROW(tblSubjectToLoan[#Headers])-1)&gt;=subjectMortgageEndDate),"",EDATE(INDEX(tblSubjectToLoan[Date],ROW()-ROW(tblSubjectToLoan[#Headers])-1),1)))</f>
        <v>47423</v>
      </c>
      <c r="B71" s="276">
        <f>IF(tblSubjectToLoan[[#This Row],[Date]]="",0,IF(ROW()=ROW(tblSubjectToLoan[#Headers])+1,subjectKnownBalance,MAX(0,INDEX(tblSubjectToLoan[Ending Balance],ROW()-ROW(tblSubjectToLoan[#Headers])-1))))</f>
        <v>79456.539999999994</v>
      </c>
      <c r="C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1" s="14">
        <f>IF(tblSubjectToLoan[[#This Row],[Payment]]=0,0,MAX(0,MIN(tblSubjectToLoan[[#This Row],[Beginning Balance]],tblSubjectToLoan[[#This Row],[Payment]]-tblSubjectToLoan[[#This Row],[Int]])))</f>
        <v>377.50999999999993</v>
      </c>
      <c r="E71" s="14">
        <f>IF(tblSubjectToLoan[[#This Row],[Date]]="",0,ROUND(tblSubjectToLoan[[#This Row],[Beginning Balance]]*(subjectInterestRate/12),2))</f>
        <v>248.3</v>
      </c>
      <c r="F71" s="14">
        <f t="shared" si="3"/>
        <v>134.16999999999999</v>
      </c>
      <c r="G71" s="14">
        <f t="shared" si="3"/>
        <v>188.55</v>
      </c>
      <c r="H71" s="14">
        <f>SUM(tblSubjectToLoan[[#This Row],[Princ]],tblSubjectToLoan[[#This Row],[Int]],tblSubjectToLoan[[#This Row],[Ins]],tblSubjectToLoan[[#This Row],[Taxes]])</f>
        <v>948.53</v>
      </c>
      <c r="I71" s="276">
        <f>IF(tblSubjectToLoan[[#This Row],[Date]]="",IF(ROW()=ROW(tblSubjectToLoan[#Headers])+1,0,INDEX(tblSubjectToLoan[Principal],ROW()-ROW(tblSubjectToLoan[#Headers])-1)),tblSubjectToLoan[[#This Row],[Princ]]+IF(ROW()=ROW(tblSubjectToLoan[#Headers])+1,0,INDEX(tblSubjectToLoan[Principal],ROW()-ROW(tblSubjectToLoan[#Headers])-1)))</f>
        <v>18148.970000000005</v>
      </c>
      <c r="J71" s="276">
        <f>IF(tblSubjectToLoan[[#This Row],[Date]]="",IF(ROW()=ROW(tblSubjectToLoan[#Headers])+1,0,INDEX(tblSubjectToLoan[Interest],ROW()-ROW(tblSubjectToLoan[#Headers])-1)),tblSubjectToLoan[[#This Row],[Int]]+IF(ROW()=ROW(tblSubjectToLoan[#Headers])+1,0,INDEX(tblSubjectToLoan[Interest],ROW()-ROW(tblSubjectToLoan[#Headers])-1)))</f>
        <v>14393.149999999996</v>
      </c>
      <c r="K71" s="969">
        <f>IF(tblSubjectToLoan[[#This Row],[Date]]="",0,MAX(0,tblSubjectToLoan[[#This Row],[Beginning Balance]]-tblSubjectToLoan[[#This Row],[Princ]]))</f>
        <v>79079.03</v>
      </c>
      <c r="L71" s="394">
        <f t="shared" si="1"/>
        <v>4</v>
      </c>
      <c r="M71" s="394">
        <f t="shared" si="2"/>
        <v>51</v>
      </c>
      <c r="N71" s="613">
        <f>INDEX(tblSubjectToLoan[Date],ROW()-ROW(tblContractForDeed[#Headers]))</f>
        <v>47423</v>
      </c>
      <c r="O71" s="276">
        <f>IF(ROW()=ROW(tblContractForDeed[#Headers])+1,$O$6,IF(INDEX(tblContractForDeed[End Bal],ROW()-ROW(tblContractForDeed[#Headers])-1)&lt;0,0,INDEX(tblContractForDeed[End Bal],ROW()-ROW(tblContractForDeed[#Headers])-1)))</f>
        <v>64025.18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67">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317.71000000000117</v>
      </c>
      <c r="AD71" s="276">
        <f>IF(INDEX(tblContractForDeed[End Bal],ROW()-ROW(tblBuyerOutputs[#Headers]))&lt;=0,0,($O$6+IF(ROW()=ROW(tblBuyerOutputs[#Headers])+1,0,INDEX(tblBuyerOutputs[Cumul Appr],ROW()-ROW(tblBuyerOutputs[#Headers])-1)))*$O$2/12)</f>
        <v>0</v>
      </c>
      <c r="AE71" s="276">
        <f>IF(INDEX(tblContractForDeed[End Bal],ROW()-ROW(tblBuyerOutputs[#Headers]))&lt;=0,0,IF(ROW()=ROW(tblBuyerOutputs[#Headers])+1,0,INDEX(tblBuyerOutputs[Cumul Appr],ROW()-ROW(tblBuyerOutputs[#Headers])-1))+tblBuyerOutputs[[#This Row],[Monthly Appr]])</f>
        <v>0</v>
      </c>
      <c r="AF71" s="22"/>
      <c r="AG71" s="14"/>
      <c r="AL71"/>
      <c r="AM71" s="14"/>
      <c r="AO71" s="276"/>
      <c r="AQ71" s="14"/>
      <c r="AR71"/>
    </row>
    <row r="72" spans="1:44" x14ac:dyDescent="0.25">
      <c r="A72" s="613">
        <f>IF(ROW()=ROW(tblSubjectToLoan[#Headers])+1,subjectKnownBalanceDate,IF(OR(INDEX(tblSubjectToLoan[Date],ROW()-ROW(tblSubjectToLoan[#Headers])-1)="",INDEX(tblSubjectToLoan[Date],ROW()-ROW(tblSubjectToLoan[#Headers])-1)&gt;=subjectMortgageEndDate),"",EDATE(INDEX(tblSubjectToLoan[Date],ROW()-ROW(tblSubjectToLoan[#Headers])-1),1)))</f>
        <v>47453</v>
      </c>
      <c r="B72" s="276">
        <f>IF(tblSubjectToLoan[[#This Row],[Date]]="",0,IF(ROW()=ROW(tblSubjectToLoan[#Headers])+1,subjectKnownBalance,MAX(0,INDEX(tblSubjectToLoan[Ending Balance],ROW()-ROW(tblSubjectToLoan[#Headers])-1))))</f>
        <v>79079.03</v>
      </c>
      <c r="C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2" s="14">
        <f>IF(tblSubjectToLoan[[#This Row],[Payment]]=0,0,MAX(0,MIN(tblSubjectToLoan[[#This Row],[Beginning Balance]],tblSubjectToLoan[[#This Row],[Payment]]-tblSubjectToLoan[[#This Row],[Int]])))</f>
        <v>378.68999999999994</v>
      </c>
      <c r="E72" s="14">
        <f>IF(tblSubjectToLoan[[#This Row],[Date]]="",0,ROUND(tblSubjectToLoan[[#This Row],[Beginning Balance]]*(subjectInterestRate/12),2))</f>
        <v>247.12</v>
      </c>
      <c r="F72" s="14">
        <f t="shared" si="3"/>
        <v>134.16999999999999</v>
      </c>
      <c r="G72" s="14">
        <f t="shared" si="3"/>
        <v>188.55</v>
      </c>
      <c r="H72" s="14">
        <f>SUM(tblSubjectToLoan[[#This Row],[Princ]],tblSubjectToLoan[[#This Row],[Int]],tblSubjectToLoan[[#This Row],[Ins]],tblSubjectToLoan[[#This Row],[Taxes]])</f>
        <v>948.53</v>
      </c>
      <c r="I72" s="276">
        <f>IF(tblSubjectToLoan[[#This Row],[Date]]="",IF(ROW()=ROW(tblSubjectToLoan[#Headers])+1,0,INDEX(tblSubjectToLoan[Principal],ROW()-ROW(tblSubjectToLoan[#Headers])-1)),tblSubjectToLoan[[#This Row],[Princ]]+IF(ROW()=ROW(tblSubjectToLoan[#Headers])+1,0,INDEX(tblSubjectToLoan[Principal],ROW()-ROW(tblSubjectToLoan[#Headers])-1)))</f>
        <v>18527.660000000003</v>
      </c>
      <c r="J72" s="276">
        <f>IF(tblSubjectToLoan[[#This Row],[Date]]="",IF(ROW()=ROW(tblSubjectToLoan[#Headers])+1,0,INDEX(tblSubjectToLoan[Interest],ROW()-ROW(tblSubjectToLoan[#Headers])-1)),tblSubjectToLoan[[#This Row],[Int]]+IF(ROW()=ROW(tblSubjectToLoan[#Headers])+1,0,INDEX(tblSubjectToLoan[Interest],ROW()-ROW(tblSubjectToLoan[#Headers])-1)))</f>
        <v>14640.269999999997</v>
      </c>
      <c r="K72" s="969">
        <f>IF(tblSubjectToLoan[[#This Row],[Date]]="",0,MAX(0,tblSubjectToLoan[[#This Row],[Beginning Balance]]-tblSubjectToLoan[[#This Row],[Princ]]))</f>
        <v>78700.34</v>
      </c>
      <c r="L72" s="394">
        <f t="shared" si="1"/>
        <v>4</v>
      </c>
      <c r="M72" s="394">
        <f t="shared" si="2"/>
        <v>52</v>
      </c>
      <c r="N72" s="613">
        <f>INDEX(tblSubjectToLoan[Date],ROW()-ROW(tblContractForDeed[#Headers]))</f>
        <v>47453</v>
      </c>
      <c r="O72" s="276">
        <f>IF(ROW()=ROW(tblContractForDeed[#Headers])+1,$O$6,IF(INDEX(tblContractForDeed[End Bal],ROW()-ROW(tblContractForDeed[#Headers])-1)&lt;0,0,INDEX(tblContractForDeed[End Bal],ROW()-ROW(tblContractForDeed[#Headers])-1)))</f>
        <v>63713.36</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67">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337.1800000000012</v>
      </c>
      <c r="AD72" s="276">
        <f>IF(INDEX(tblContractForDeed[End Bal],ROW()-ROW(tblBuyerOutputs[#Headers]))&lt;=0,0,($O$6+IF(ROW()=ROW(tblBuyerOutputs[#Headers])+1,0,INDEX(tblBuyerOutputs[Cumul Appr],ROW()-ROW(tblBuyerOutputs[#Headers])-1)))*$O$2/12)</f>
        <v>0</v>
      </c>
      <c r="AE72" s="276">
        <f>IF(INDEX(tblContractForDeed[End Bal],ROW()-ROW(tblBuyerOutputs[#Headers]))&lt;=0,0,IF(ROW()=ROW(tblBuyerOutputs[#Headers])+1,0,INDEX(tblBuyerOutputs[Cumul Appr],ROW()-ROW(tblBuyerOutputs[#Headers])-1))+tblBuyerOutputs[[#This Row],[Monthly Appr]])</f>
        <v>0</v>
      </c>
      <c r="AF72" s="22"/>
      <c r="AG72" s="14"/>
      <c r="AL72"/>
      <c r="AM72" s="14"/>
      <c r="AO72" s="276"/>
      <c r="AQ72" s="14"/>
      <c r="AR72"/>
    </row>
    <row r="73" spans="1:44" x14ac:dyDescent="0.25">
      <c r="A73" s="613">
        <f>IF(ROW()=ROW(tblSubjectToLoan[#Headers])+1,subjectKnownBalanceDate,IF(OR(INDEX(tblSubjectToLoan[Date],ROW()-ROW(tblSubjectToLoan[#Headers])-1)="",INDEX(tblSubjectToLoan[Date],ROW()-ROW(tblSubjectToLoan[#Headers])-1)&gt;=subjectMortgageEndDate),"",EDATE(INDEX(tblSubjectToLoan[Date],ROW()-ROW(tblSubjectToLoan[#Headers])-1),1)))</f>
        <v>47484</v>
      </c>
      <c r="B73" s="276">
        <f>IF(tblSubjectToLoan[[#This Row],[Date]]="",0,IF(ROW()=ROW(tblSubjectToLoan[#Headers])+1,subjectKnownBalance,MAX(0,INDEX(tblSubjectToLoan[Ending Balance],ROW()-ROW(tblSubjectToLoan[#Headers])-1))))</f>
        <v>78700.34</v>
      </c>
      <c r="C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3" s="14">
        <f>IF(tblSubjectToLoan[[#This Row],[Payment]]=0,0,MAX(0,MIN(tblSubjectToLoan[[#This Row],[Beginning Balance]],tblSubjectToLoan[[#This Row],[Payment]]-tblSubjectToLoan[[#This Row],[Int]])))</f>
        <v>379.86999999999995</v>
      </c>
      <c r="E73" s="14">
        <f>IF(tblSubjectToLoan[[#This Row],[Date]]="",0,ROUND(tblSubjectToLoan[[#This Row],[Beginning Balance]]*(subjectInterestRate/12),2))</f>
        <v>245.94</v>
      </c>
      <c r="F73" s="14">
        <f t="shared" si="3"/>
        <v>134.16999999999999</v>
      </c>
      <c r="G73" s="14">
        <f t="shared" si="3"/>
        <v>188.55</v>
      </c>
      <c r="H73" s="14">
        <f>SUM(tblSubjectToLoan[[#This Row],[Princ]],tblSubjectToLoan[[#This Row],[Int]],tblSubjectToLoan[[#This Row],[Ins]],tblSubjectToLoan[[#This Row],[Taxes]])</f>
        <v>948.53</v>
      </c>
      <c r="I73" s="276">
        <f>IF(tblSubjectToLoan[[#This Row],[Date]]="",IF(ROW()=ROW(tblSubjectToLoan[#Headers])+1,0,INDEX(tblSubjectToLoan[Principal],ROW()-ROW(tblSubjectToLoan[#Headers])-1)),tblSubjectToLoan[[#This Row],[Princ]]+IF(ROW()=ROW(tblSubjectToLoan[#Headers])+1,0,INDEX(tblSubjectToLoan[Principal],ROW()-ROW(tblSubjectToLoan[#Headers])-1)))</f>
        <v>18907.530000000002</v>
      </c>
      <c r="J73" s="276">
        <f>IF(tblSubjectToLoan[[#This Row],[Date]]="",IF(ROW()=ROW(tblSubjectToLoan[#Headers])+1,0,INDEX(tblSubjectToLoan[Interest],ROW()-ROW(tblSubjectToLoan[#Headers])-1)),tblSubjectToLoan[[#This Row],[Int]]+IF(ROW()=ROW(tblSubjectToLoan[#Headers])+1,0,INDEX(tblSubjectToLoan[Interest],ROW()-ROW(tblSubjectToLoan[#Headers])-1)))</f>
        <v>14886.209999999997</v>
      </c>
      <c r="K73" s="969">
        <f>IF(tblSubjectToLoan[[#This Row],[Date]]="",0,MAX(0,tblSubjectToLoan[[#This Row],[Beginning Balance]]-tblSubjectToLoan[[#This Row],[Princ]]))</f>
        <v>78320.47</v>
      </c>
      <c r="L73" s="394">
        <f t="shared" si="1"/>
        <v>4</v>
      </c>
      <c r="M73" s="394">
        <f t="shared" si="2"/>
        <v>53</v>
      </c>
      <c r="N73" s="613">
        <f>INDEX(tblSubjectToLoan[Date],ROW()-ROW(tblContractForDeed[#Headers]))</f>
        <v>47484</v>
      </c>
      <c r="O73" s="276">
        <f>IF(ROW()=ROW(tblContractForDeed[#Headers])+1,$O$6,IF(INDEX(tblContractForDeed[End Bal],ROW()-ROW(tblContractForDeed[#Headers])-1)&lt;0,0,INDEX(tblContractForDeed[End Bal],ROW()-ROW(tblContractForDeed[#Headers])-1)))</f>
        <v>63399.92</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67">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356.65000000000123</v>
      </c>
      <c r="AD73" s="276">
        <f>IF(INDEX(tblContractForDeed[End Bal],ROW()-ROW(tblBuyerOutputs[#Headers]))&lt;=0,0,($O$6+IF(ROW()=ROW(tblBuyerOutputs[#Headers])+1,0,INDEX(tblBuyerOutputs[Cumul Appr],ROW()-ROW(tblBuyerOutputs[#Headers])-1)))*$O$2/12)</f>
        <v>0</v>
      </c>
      <c r="AE73" s="276">
        <f>IF(INDEX(tblContractForDeed[End Bal],ROW()-ROW(tblBuyerOutputs[#Headers]))&lt;=0,0,IF(ROW()=ROW(tblBuyerOutputs[#Headers])+1,0,INDEX(tblBuyerOutputs[Cumul Appr],ROW()-ROW(tblBuyerOutputs[#Headers])-1))+tblBuyerOutputs[[#This Row],[Monthly Appr]])</f>
        <v>0</v>
      </c>
      <c r="AF73" s="22"/>
      <c r="AG73" s="14"/>
      <c r="AL73"/>
      <c r="AM73" s="14"/>
      <c r="AO73" s="276"/>
      <c r="AQ73" s="14"/>
      <c r="AR73"/>
    </row>
    <row r="74" spans="1:44" x14ac:dyDescent="0.25">
      <c r="A74" s="613">
        <f>IF(ROW()=ROW(tblSubjectToLoan[#Headers])+1,subjectKnownBalanceDate,IF(OR(INDEX(tblSubjectToLoan[Date],ROW()-ROW(tblSubjectToLoan[#Headers])-1)="",INDEX(tblSubjectToLoan[Date],ROW()-ROW(tblSubjectToLoan[#Headers])-1)&gt;=subjectMortgageEndDate),"",EDATE(INDEX(tblSubjectToLoan[Date],ROW()-ROW(tblSubjectToLoan[#Headers])-1),1)))</f>
        <v>47515</v>
      </c>
      <c r="B74" s="276">
        <f>IF(tblSubjectToLoan[[#This Row],[Date]]="",0,IF(ROW()=ROW(tblSubjectToLoan[#Headers])+1,subjectKnownBalance,MAX(0,INDEX(tblSubjectToLoan[Ending Balance],ROW()-ROW(tblSubjectToLoan[#Headers])-1))))</f>
        <v>78320.47</v>
      </c>
      <c r="C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4" s="14">
        <f>IF(tblSubjectToLoan[[#This Row],[Payment]]=0,0,MAX(0,MIN(tblSubjectToLoan[[#This Row],[Beginning Balance]],tblSubjectToLoan[[#This Row],[Payment]]-tblSubjectToLoan[[#This Row],[Int]])))</f>
        <v>381.05999999999995</v>
      </c>
      <c r="E74" s="14">
        <f>IF(tblSubjectToLoan[[#This Row],[Date]]="",0,ROUND(tblSubjectToLoan[[#This Row],[Beginning Balance]]*(subjectInterestRate/12),2))</f>
        <v>244.75</v>
      </c>
      <c r="F74" s="14">
        <f t="shared" si="3"/>
        <v>134.16999999999999</v>
      </c>
      <c r="G74" s="14">
        <f t="shared" si="3"/>
        <v>188.55</v>
      </c>
      <c r="H74" s="14">
        <f>SUM(tblSubjectToLoan[[#This Row],[Princ]],tblSubjectToLoan[[#This Row],[Int]],tblSubjectToLoan[[#This Row],[Ins]],tblSubjectToLoan[[#This Row],[Taxes]])</f>
        <v>948.53</v>
      </c>
      <c r="I74" s="276">
        <f>IF(tblSubjectToLoan[[#This Row],[Date]]="",IF(ROW()=ROW(tblSubjectToLoan[#Headers])+1,0,INDEX(tblSubjectToLoan[Principal],ROW()-ROW(tblSubjectToLoan[#Headers])-1)),tblSubjectToLoan[[#This Row],[Princ]]+IF(ROW()=ROW(tblSubjectToLoan[#Headers])+1,0,INDEX(tblSubjectToLoan[Principal],ROW()-ROW(tblSubjectToLoan[#Headers])-1)))</f>
        <v>19288.590000000004</v>
      </c>
      <c r="J74" s="276">
        <f>IF(tblSubjectToLoan[[#This Row],[Date]]="",IF(ROW()=ROW(tblSubjectToLoan[#Headers])+1,0,INDEX(tblSubjectToLoan[Interest],ROW()-ROW(tblSubjectToLoan[#Headers])-1)),tblSubjectToLoan[[#This Row],[Int]]+IF(ROW()=ROW(tblSubjectToLoan[#Headers])+1,0,INDEX(tblSubjectToLoan[Interest],ROW()-ROW(tblSubjectToLoan[#Headers])-1)))</f>
        <v>15130.959999999997</v>
      </c>
      <c r="K74" s="969">
        <f>IF(tblSubjectToLoan[[#This Row],[Date]]="",0,MAX(0,tblSubjectToLoan[[#This Row],[Beginning Balance]]-tblSubjectToLoan[[#This Row],[Princ]]))</f>
        <v>77939.41</v>
      </c>
      <c r="L74" s="394">
        <f t="shared" si="1"/>
        <v>4</v>
      </c>
      <c r="M74" s="394">
        <f t="shared" si="2"/>
        <v>54</v>
      </c>
      <c r="N74" s="613">
        <f>INDEX(tblSubjectToLoan[Date],ROW()-ROW(tblContractForDeed[#Headers]))</f>
        <v>47515</v>
      </c>
      <c r="O74" s="276">
        <f>IF(ROW()=ROW(tblContractForDeed[#Headers])+1,$O$6,IF(INDEX(tblContractForDeed[End Bal],ROW()-ROW(tblContractForDeed[#Headers])-1)&lt;0,0,INDEX(tblContractForDeed[End Bal],ROW()-ROW(tblContractForDeed[#Headers])-1)))</f>
        <v>63084.85</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67">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376.12000000000126</v>
      </c>
      <c r="AD74" s="276">
        <f>IF(INDEX(tblContractForDeed[End Bal],ROW()-ROW(tblBuyerOutputs[#Headers]))&lt;=0,0,($O$6+IF(ROW()=ROW(tblBuyerOutputs[#Headers])+1,0,INDEX(tblBuyerOutputs[Cumul Appr],ROW()-ROW(tblBuyerOutputs[#Headers])-1)))*$O$2/12)</f>
        <v>0</v>
      </c>
      <c r="AE74" s="276">
        <f>IF(INDEX(tblContractForDeed[End Bal],ROW()-ROW(tblBuyerOutputs[#Headers]))&lt;=0,0,IF(ROW()=ROW(tblBuyerOutputs[#Headers])+1,0,INDEX(tblBuyerOutputs[Cumul Appr],ROW()-ROW(tblBuyerOutputs[#Headers])-1))+tblBuyerOutputs[[#This Row],[Monthly Appr]])</f>
        <v>0</v>
      </c>
      <c r="AF74" s="22"/>
      <c r="AG74" s="14"/>
      <c r="AL74"/>
      <c r="AM74" s="14"/>
      <c r="AO74" s="276"/>
      <c r="AQ74" s="14"/>
      <c r="AR74"/>
    </row>
    <row r="75" spans="1:44" x14ac:dyDescent="0.25">
      <c r="A75" s="613">
        <f>IF(ROW()=ROW(tblSubjectToLoan[#Headers])+1,subjectKnownBalanceDate,IF(OR(INDEX(tblSubjectToLoan[Date],ROW()-ROW(tblSubjectToLoan[#Headers])-1)="",INDEX(tblSubjectToLoan[Date],ROW()-ROW(tblSubjectToLoan[#Headers])-1)&gt;=subjectMortgageEndDate),"",EDATE(INDEX(tblSubjectToLoan[Date],ROW()-ROW(tblSubjectToLoan[#Headers])-1),1)))</f>
        <v>47543</v>
      </c>
      <c r="B75" s="276">
        <f>IF(tblSubjectToLoan[[#This Row],[Date]]="",0,IF(ROW()=ROW(tblSubjectToLoan[#Headers])+1,subjectKnownBalance,MAX(0,INDEX(tblSubjectToLoan[Ending Balance],ROW()-ROW(tblSubjectToLoan[#Headers])-1))))</f>
        <v>77939.41</v>
      </c>
      <c r="C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5" s="14">
        <f>IF(tblSubjectToLoan[[#This Row],[Payment]]=0,0,MAX(0,MIN(tblSubjectToLoan[[#This Row],[Beginning Balance]],tblSubjectToLoan[[#This Row],[Payment]]-tblSubjectToLoan[[#This Row],[Int]])))</f>
        <v>382.24999999999994</v>
      </c>
      <c r="E75" s="14">
        <f>IF(tblSubjectToLoan[[#This Row],[Date]]="",0,ROUND(tblSubjectToLoan[[#This Row],[Beginning Balance]]*(subjectInterestRate/12),2))</f>
        <v>243.56</v>
      </c>
      <c r="F75" s="14">
        <f t="shared" si="3"/>
        <v>134.16999999999999</v>
      </c>
      <c r="G75" s="14">
        <f t="shared" si="3"/>
        <v>188.55</v>
      </c>
      <c r="H75" s="14">
        <f>SUM(tblSubjectToLoan[[#This Row],[Princ]],tblSubjectToLoan[[#This Row],[Int]],tblSubjectToLoan[[#This Row],[Ins]],tblSubjectToLoan[[#This Row],[Taxes]])</f>
        <v>948.53</v>
      </c>
      <c r="I75" s="276">
        <f>IF(tblSubjectToLoan[[#This Row],[Date]]="",IF(ROW()=ROW(tblSubjectToLoan[#Headers])+1,0,INDEX(tblSubjectToLoan[Principal],ROW()-ROW(tblSubjectToLoan[#Headers])-1)),tblSubjectToLoan[[#This Row],[Princ]]+IF(ROW()=ROW(tblSubjectToLoan[#Headers])+1,0,INDEX(tblSubjectToLoan[Principal],ROW()-ROW(tblSubjectToLoan[#Headers])-1)))</f>
        <v>19670.840000000004</v>
      </c>
      <c r="J75" s="276">
        <f>IF(tblSubjectToLoan[[#This Row],[Date]]="",IF(ROW()=ROW(tblSubjectToLoan[#Headers])+1,0,INDEX(tblSubjectToLoan[Interest],ROW()-ROW(tblSubjectToLoan[#Headers])-1)),tblSubjectToLoan[[#This Row],[Int]]+IF(ROW()=ROW(tblSubjectToLoan[#Headers])+1,0,INDEX(tblSubjectToLoan[Interest],ROW()-ROW(tblSubjectToLoan[#Headers])-1)))</f>
        <v>15374.519999999997</v>
      </c>
      <c r="K75" s="969">
        <f>IF(tblSubjectToLoan[[#This Row],[Date]]="",0,MAX(0,tblSubjectToLoan[[#This Row],[Beginning Balance]]-tblSubjectToLoan[[#This Row],[Princ]]))</f>
        <v>77557.16</v>
      </c>
      <c r="L75" s="394">
        <f t="shared" si="1"/>
        <v>4</v>
      </c>
      <c r="M75" s="394">
        <f t="shared" si="2"/>
        <v>55</v>
      </c>
      <c r="N75" s="613">
        <f>INDEX(tblSubjectToLoan[Date],ROW()-ROW(tblContractForDeed[#Headers]))</f>
        <v>47543</v>
      </c>
      <c r="O75" s="276">
        <f>IF(ROW()=ROW(tblContractForDeed[#Headers])+1,$O$6,IF(INDEX(tblContractForDeed[End Bal],ROW()-ROW(tblContractForDeed[#Headers])-1)&lt;0,0,INDEX(tblContractForDeed[End Bal],ROW()-ROW(tblContractForDeed[#Headers])-1)))</f>
        <v>62768.14</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67">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395.59000000000128</v>
      </c>
      <c r="AD75" s="276">
        <f>IF(INDEX(tblContractForDeed[End Bal],ROW()-ROW(tblBuyerOutputs[#Headers]))&lt;=0,0,($O$6+IF(ROW()=ROW(tblBuyerOutputs[#Headers])+1,0,INDEX(tblBuyerOutputs[Cumul Appr],ROW()-ROW(tblBuyerOutputs[#Headers])-1)))*$O$2/12)</f>
        <v>0</v>
      </c>
      <c r="AE75" s="276">
        <f>IF(INDEX(tblContractForDeed[End Bal],ROW()-ROW(tblBuyerOutputs[#Headers]))&lt;=0,0,IF(ROW()=ROW(tblBuyerOutputs[#Headers])+1,0,INDEX(tblBuyerOutputs[Cumul Appr],ROW()-ROW(tblBuyerOutputs[#Headers])-1))+tblBuyerOutputs[[#This Row],[Monthly Appr]])</f>
        <v>0</v>
      </c>
      <c r="AF75" s="22"/>
      <c r="AG75" s="14"/>
      <c r="AL75"/>
      <c r="AM75" s="14"/>
      <c r="AO75" s="276"/>
      <c r="AQ75" s="14"/>
      <c r="AR75"/>
    </row>
    <row r="76" spans="1:44" x14ac:dyDescent="0.25">
      <c r="A76" s="613">
        <f>IF(ROW()=ROW(tblSubjectToLoan[#Headers])+1,subjectKnownBalanceDate,IF(OR(INDEX(tblSubjectToLoan[Date],ROW()-ROW(tblSubjectToLoan[#Headers])-1)="",INDEX(tblSubjectToLoan[Date],ROW()-ROW(tblSubjectToLoan[#Headers])-1)&gt;=subjectMortgageEndDate),"",EDATE(INDEX(tblSubjectToLoan[Date],ROW()-ROW(tblSubjectToLoan[#Headers])-1),1)))</f>
        <v>47574</v>
      </c>
      <c r="B76" s="276">
        <f>IF(tblSubjectToLoan[[#This Row],[Date]]="",0,IF(ROW()=ROW(tblSubjectToLoan[#Headers])+1,subjectKnownBalance,MAX(0,INDEX(tblSubjectToLoan[Ending Balance],ROW()-ROW(tblSubjectToLoan[#Headers])-1))))</f>
        <v>77557.16</v>
      </c>
      <c r="C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6" s="14">
        <f>IF(tblSubjectToLoan[[#This Row],[Payment]]=0,0,MAX(0,MIN(tblSubjectToLoan[[#This Row],[Beginning Balance]],tblSubjectToLoan[[#This Row],[Payment]]-tblSubjectToLoan[[#This Row],[Int]])))</f>
        <v>383.43999999999994</v>
      </c>
      <c r="E76" s="14">
        <f>IF(tblSubjectToLoan[[#This Row],[Date]]="",0,ROUND(tblSubjectToLoan[[#This Row],[Beginning Balance]]*(subjectInterestRate/12),2))</f>
        <v>242.37</v>
      </c>
      <c r="F76" s="14">
        <f t="shared" si="3"/>
        <v>134.16999999999999</v>
      </c>
      <c r="G76" s="14">
        <f t="shared" si="3"/>
        <v>188.55</v>
      </c>
      <c r="H76" s="14">
        <f>SUM(tblSubjectToLoan[[#This Row],[Princ]],tblSubjectToLoan[[#This Row],[Int]],tblSubjectToLoan[[#This Row],[Ins]],tblSubjectToLoan[[#This Row],[Taxes]])</f>
        <v>948.53</v>
      </c>
      <c r="I76" s="276">
        <f>IF(tblSubjectToLoan[[#This Row],[Date]]="",IF(ROW()=ROW(tblSubjectToLoan[#Headers])+1,0,INDEX(tblSubjectToLoan[Principal],ROW()-ROW(tblSubjectToLoan[#Headers])-1)),tblSubjectToLoan[[#This Row],[Princ]]+IF(ROW()=ROW(tblSubjectToLoan[#Headers])+1,0,INDEX(tblSubjectToLoan[Principal],ROW()-ROW(tblSubjectToLoan[#Headers])-1)))</f>
        <v>20054.280000000002</v>
      </c>
      <c r="J76" s="276">
        <f>IF(tblSubjectToLoan[[#This Row],[Date]]="",IF(ROW()=ROW(tblSubjectToLoan[#Headers])+1,0,INDEX(tblSubjectToLoan[Interest],ROW()-ROW(tblSubjectToLoan[#Headers])-1)),tblSubjectToLoan[[#This Row],[Int]]+IF(ROW()=ROW(tblSubjectToLoan[#Headers])+1,0,INDEX(tblSubjectToLoan[Interest],ROW()-ROW(tblSubjectToLoan[#Headers])-1)))</f>
        <v>15616.889999999998</v>
      </c>
      <c r="K76" s="969">
        <f>IF(tblSubjectToLoan[[#This Row],[Date]]="",0,MAX(0,tblSubjectToLoan[[#This Row],[Beginning Balance]]-tblSubjectToLoan[[#This Row],[Princ]]))</f>
        <v>77173.72</v>
      </c>
      <c r="L76" s="394">
        <f t="shared" si="1"/>
        <v>4</v>
      </c>
      <c r="M76" s="394">
        <f t="shared" si="2"/>
        <v>56</v>
      </c>
      <c r="N76" s="613">
        <f>INDEX(tblSubjectToLoan[Date],ROW()-ROW(tblContractForDeed[#Headers]))</f>
        <v>47574</v>
      </c>
      <c r="O76" s="276">
        <f>IF(ROW()=ROW(tblContractForDeed[#Headers])+1,$O$6,IF(INDEX(tblContractForDeed[End Bal],ROW()-ROW(tblContractForDeed[#Headers])-1)&lt;0,0,INDEX(tblContractForDeed[End Bal],ROW()-ROW(tblContractForDeed[#Headers])-1)))</f>
        <v>62449.78</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67">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415.06000000000131</v>
      </c>
      <c r="AD76" s="276">
        <f>IF(INDEX(tblContractForDeed[End Bal],ROW()-ROW(tblBuyerOutputs[#Headers]))&lt;=0,0,($O$6+IF(ROW()=ROW(tblBuyerOutputs[#Headers])+1,0,INDEX(tblBuyerOutputs[Cumul Appr],ROW()-ROW(tblBuyerOutputs[#Headers])-1)))*$O$2/12)</f>
        <v>0</v>
      </c>
      <c r="AE76" s="276">
        <f>IF(INDEX(tblContractForDeed[End Bal],ROW()-ROW(tblBuyerOutputs[#Headers]))&lt;=0,0,IF(ROW()=ROW(tblBuyerOutputs[#Headers])+1,0,INDEX(tblBuyerOutputs[Cumul Appr],ROW()-ROW(tblBuyerOutputs[#Headers])-1))+tblBuyerOutputs[[#This Row],[Monthly Appr]])</f>
        <v>0</v>
      </c>
      <c r="AF76" s="22"/>
      <c r="AG76" s="14"/>
      <c r="AL76"/>
      <c r="AM76" s="14"/>
      <c r="AO76" s="276"/>
      <c r="AQ76" s="14"/>
      <c r="AR76"/>
    </row>
    <row r="77" spans="1:44" x14ac:dyDescent="0.25">
      <c r="A77" s="613">
        <f>IF(ROW()=ROW(tblSubjectToLoan[#Headers])+1,subjectKnownBalanceDate,IF(OR(INDEX(tblSubjectToLoan[Date],ROW()-ROW(tblSubjectToLoan[#Headers])-1)="",INDEX(tblSubjectToLoan[Date],ROW()-ROW(tblSubjectToLoan[#Headers])-1)&gt;=subjectMortgageEndDate),"",EDATE(INDEX(tblSubjectToLoan[Date],ROW()-ROW(tblSubjectToLoan[#Headers])-1),1)))</f>
        <v>47604</v>
      </c>
      <c r="B77" s="276">
        <f>IF(tblSubjectToLoan[[#This Row],[Date]]="",0,IF(ROW()=ROW(tblSubjectToLoan[#Headers])+1,subjectKnownBalance,MAX(0,INDEX(tblSubjectToLoan[Ending Balance],ROW()-ROW(tblSubjectToLoan[#Headers])-1))))</f>
        <v>77173.72</v>
      </c>
      <c r="C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7" s="14">
        <f>IF(tblSubjectToLoan[[#This Row],[Payment]]=0,0,MAX(0,MIN(tblSubjectToLoan[[#This Row],[Beginning Balance]],tblSubjectToLoan[[#This Row],[Payment]]-tblSubjectToLoan[[#This Row],[Int]])))</f>
        <v>384.64</v>
      </c>
      <c r="E77" s="14">
        <f>IF(tblSubjectToLoan[[#This Row],[Date]]="",0,ROUND(tblSubjectToLoan[[#This Row],[Beginning Balance]]*(subjectInterestRate/12),2))</f>
        <v>241.17</v>
      </c>
      <c r="F77" s="14">
        <f t="shared" si="3"/>
        <v>134.16999999999999</v>
      </c>
      <c r="G77" s="14">
        <f t="shared" si="3"/>
        <v>188.55</v>
      </c>
      <c r="H77" s="14">
        <f>SUM(tblSubjectToLoan[[#This Row],[Princ]],tblSubjectToLoan[[#This Row],[Int]],tblSubjectToLoan[[#This Row],[Ins]],tblSubjectToLoan[[#This Row],[Taxes]])</f>
        <v>948.53</v>
      </c>
      <c r="I77" s="276">
        <f>IF(tblSubjectToLoan[[#This Row],[Date]]="",IF(ROW()=ROW(tblSubjectToLoan[#Headers])+1,0,INDEX(tblSubjectToLoan[Principal],ROW()-ROW(tblSubjectToLoan[#Headers])-1)),tblSubjectToLoan[[#This Row],[Princ]]+IF(ROW()=ROW(tblSubjectToLoan[#Headers])+1,0,INDEX(tblSubjectToLoan[Principal],ROW()-ROW(tblSubjectToLoan[#Headers])-1)))</f>
        <v>20438.920000000002</v>
      </c>
      <c r="J77" s="276">
        <f>IF(tblSubjectToLoan[[#This Row],[Date]]="",IF(ROW()=ROW(tblSubjectToLoan[#Headers])+1,0,INDEX(tblSubjectToLoan[Interest],ROW()-ROW(tblSubjectToLoan[#Headers])-1)),tblSubjectToLoan[[#This Row],[Int]]+IF(ROW()=ROW(tblSubjectToLoan[#Headers])+1,0,INDEX(tblSubjectToLoan[Interest],ROW()-ROW(tblSubjectToLoan[#Headers])-1)))</f>
        <v>15858.059999999998</v>
      </c>
      <c r="K77" s="969">
        <f>IF(tblSubjectToLoan[[#This Row],[Date]]="",0,MAX(0,tblSubjectToLoan[[#This Row],[Beginning Balance]]-tblSubjectToLoan[[#This Row],[Princ]]))</f>
        <v>76789.08</v>
      </c>
      <c r="L77" s="394">
        <f t="shared" si="1"/>
        <v>4</v>
      </c>
      <c r="M77" s="394">
        <f t="shared" si="2"/>
        <v>57</v>
      </c>
      <c r="N77" s="613">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67">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434.53000000000134</v>
      </c>
      <c r="AD77" s="276">
        <f>IF(INDEX(tblContractForDeed[End Bal],ROW()-ROW(tblBuyerOutputs[#Headers]))&lt;=0,0,($O$6+IF(ROW()=ROW(tblBuyerOutputs[#Headers])+1,0,INDEX(tblBuyerOutputs[Cumul Appr],ROW()-ROW(tblBuyerOutputs[#Headers])-1)))*$O$2/12)</f>
        <v>0</v>
      </c>
      <c r="AE77" s="276">
        <f>IF(INDEX(tblContractForDeed[End Bal],ROW()-ROW(tblBuyerOutputs[#Headers]))&lt;=0,0,IF(ROW()=ROW(tblBuyerOutputs[#Headers])+1,0,INDEX(tblBuyerOutputs[Cumul Appr],ROW()-ROW(tblBuyerOutputs[#Headers])-1))+tblBuyerOutputs[[#This Row],[Monthly Appr]])</f>
        <v>0</v>
      </c>
      <c r="AF77" s="22"/>
      <c r="AG77" s="14"/>
      <c r="AL77"/>
      <c r="AM77" s="14"/>
      <c r="AO77" s="276"/>
      <c r="AQ77" s="14"/>
      <c r="AR77"/>
    </row>
    <row r="78" spans="1:44" x14ac:dyDescent="0.25">
      <c r="A78" s="613">
        <f>IF(ROW()=ROW(tblSubjectToLoan[#Headers])+1,subjectKnownBalanceDate,IF(OR(INDEX(tblSubjectToLoan[Date],ROW()-ROW(tblSubjectToLoan[#Headers])-1)="",INDEX(tblSubjectToLoan[Date],ROW()-ROW(tblSubjectToLoan[#Headers])-1)&gt;=subjectMortgageEndDate),"",EDATE(INDEX(tblSubjectToLoan[Date],ROW()-ROW(tblSubjectToLoan[#Headers])-1),1)))</f>
        <v>47635</v>
      </c>
      <c r="B78" s="276">
        <f>IF(tblSubjectToLoan[[#This Row],[Date]]="",0,IF(ROW()=ROW(tblSubjectToLoan[#Headers])+1,subjectKnownBalance,MAX(0,INDEX(tblSubjectToLoan[Ending Balance],ROW()-ROW(tblSubjectToLoan[#Headers])-1))))</f>
        <v>76789.08</v>
      </c>
      <c r="C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8" s="14">
        <f>IF(tblSubjectToLoan[[#This Row],[Payment]]=0,0,MAX(0,MIN(tblSubjectToLoan[[#This Row],[Beginning Balance]],tblSubjectToLoan[[#This Row],[Payment]]-tblSubjectToLoan[[#This Row],[Int]])))</f>
        <v>385.83999999999992</v>
      </c>
      <c r="E78" s="14">
        <f>IF(tblSubjectToLoan[[#This Row],[Date]]="",0,ROUND(tblSubjectToLoan[[#This Row],[Beginning Balance]]*(subjectInterestRate/12),2))</f>
        <v>239.97</v>
      </c>
      <c r="F78" s="14">
        <f t="shared" si="3"/>
        <v>134.16999999999999</v>
      </c>
      <c r="G78" s="14">
        <f t="shared" si="3"/>
        <v>188.55</v>
      </c>
      <c r="H78" s="14">
        <f>SUM(tblSubjectToLoan[[#This Row],[Princ]],tblSubjectToLoan[[#This Row],[Int]],tblSubjectToLoan[[#This Row],[Ins]],tblSubjectToLoan[[#This Row],[Taxes]])</f>
        <v>948.53</v>
      </c>
      <c r="I78" s="276">
        <f>IF(tblSubjectToLoan[[#This Row],[Date]]="",IF(ROW()=ROW(tblSubjectToLoan[#Headers])+1,0,INDEX(tblSubjectToLoan[Principal],ROW()-ROW(tblSubjectToLoan[#Headers])-1)),tblSubjectToLoan[[#This Row],[Princ]]+IF(ROW()=ROW(tblSubjectToLoan[#Headers])+1,0,INDEX(tblSubjectToLoan[Principal],ROW()-ROW(tblSubjectToLoan[#Headers])-1)))</f>
        <v>20824.760000000002</v>
      </c>
      <c r="J78" s="276">
        <f>IF(tblSubjectToLoan[[#This Row],[Date]]="",IF(ROW()=ROW(tblSubjectToLoan[#Headers])+1,0,INDEX(tblSubjectToLoan[Interest],ROW()-ROW(tblSubjectToLoan[#Headers])-1)),tblSubjectToLoan[[#This Row],[Int]]+IF(ROW()=ROW(tblSubjectToLoan[#Headers])+1,0,INDEX(tblSubjectToLoan[Interest],ROW()-ROW(tblSubjectToLoan[#Headers])-1)))</f>
        <v>16098.029999999997</v>
      </c>
      <c r="K78" s="969">
        <f>IF(tblSubjectToLoan[[#This Row],[Date]]="",0,MAX(0,tblSubjectToLoan[[#This Row],[Beginning Balance]]-tblSubjectToLoan[[#This Row],[Princ]]))</f>
        <v>76403.240000000005</v>
      </c>
      <c r="L78" s="394">
        <f t="shared" si="1"/>
        <v>4</v>
      </c>
      <c r="M78" s="394">
        <f t="shared" si="2"/>
        <v>58</v>
      </c>
      <c r="N78" s="613">
        <f>INDEX(tblSubjectToLoan[Date],ROW()-ROW(tblContractForDeed[#Headers]))</f>
        <v>47635</v>
      </c>
      <c r="O78" s="276">
        <f>IF(ROW()=ROW(tblContractForDeed[#Headers])+1,$O$6,IF(INDEX(tblContractForDeed[End Bal],ROW()-ROW(tblContractForDeed[#Headers])-1)&lt;0,0,INDEX(tblContractForDeed[End Bal],ROW()-ROW(tblContractForDeed[#Headers])-1)))</f>
        <v>61808.07</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67">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454.00000000000136</v>
      </c>
      <c r="AD78" s="276">
        <f>IF(INDEX(tblContractForDeed[End Bal],ROW()-ROW(tblBuyerOutputs[#Headers]))&lt;=0,0,($O$6+IF(ROW()=ROW(tblBuyerOutputs[#Headers])+1,0,INDEX(tblBuyerOutputs[Cumul Appr],ROW()-ROW(tblBuyerOutputs[#Headers])-1)))*$O$2/12)</f>
        <v>0</v>
      </c>
      <c r="AE78" s="276">
        <f>IF(INDEX(tblContractForDeed[End Bal],ROW()-ROW(tblBuyerOutputs[#Headers]))&lt;=0,0,IF(ROW()=ROW(tblBuyerOutputs[#Headers])+1,0,INDEX(tblBuyerOutputs[Cumul Appr],ROW()-ROW(tblBuyerOutputs[#Headers])-1))+tblBuyerOutputs[[#This Row],[Monthly Appr]])</f>
        <v>0</v>
      </c>
      <c r="AF78" s="22"/>
      <c r="AG78" s="14"/>
      <c r="AL78"/>
      <c r="AM78" s="14"/>
      <c r="AO78" s="276"/>
      <c r="AQ78" s="14"/>
      <c r="AR78"/>
    </row>
    <row r="79" spans="1:44" ht="15.75" thickBot="1" x14ac:dyDescent="0.3">
      <c r="A79" s="614">
        <f>IF(ROW()=ROW(tblSubjectToLoan[#Headers])+1,subjectKnownBalanceDate,IF(OR(INDEX(tblSubjectToLoan[Date],ROW()-ROW(tblSubjectToLoan[#Headers])-1)="",INDEX(tblSubjectToLoan[Date],ROW()-ROW(tblSubjectToLoan[#Headers])-1)&gt;=subjectMortgageEndDate),"",EDATE(INDEX(tblSubjectToLoan[Date],ROW()-ROW(tblSubjectToLoan[#Headers])-1),1)))</f>
        <v>47665</v>
      </c>
      <c r="B79" s="332">
        <f>IF(tblSubjectToLoan[[#This Row],[Date]]="",0,IF(ROW()=ROW(tblSubjectToLoan[#Headers])+1,subjectKnownBalance,MAX(0,INDEX(tblSubjectToLoan[Ending Balance],ROW()-ROW(tblSubjectToLoan[#Headers])-1))))</f>
        <v>76403.240000000005</v>
      </c>
      <c r="C7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9" s="21">
        <f>IF(tblSubjectToLoan[[#This Row],[Payment]]=0,0,MAX(0,MIN(tblSubjectToLoan[[#This Row],[Beginning Balance]],tblSubjectToLoan[[#This Row],[Payment]]-tblSubjectToLoan[[#This Row],[Int]])))</f>
        <v>387.04999999999995</v>
      </c>
      <c r="E79" s="21">
        <f>IF(tblSubjectToLoan[[#This Row],[Date]]="",0,ROUND(tblSubjectToLoan[[#This Row],[Beginning Balance]]*(subjectInterestRate/12),2))</f>
        <v>238.76</v>
      </c>
      <c r="F79" s="21">
        <f t="shared" ref="F79:G94" si="4">+F78</f>
        <v>134.16999999999999</v>
      </c>
      <c r="G79" s="21">
        <f t="shared" si="4"/>
        <v>188.55</v>
      </c>
      <c r="H79" s="21">
        <f>SUM(tblSubjectToLoan[[#This Row],[Princ]],tblSubjectToLoan[[#This Row],[Int]],tblSubjectToLoan[[#This Row],[Ins]],tblSubjectToLoan[[#This Row],[Taxes]])</f>
        <v>948.53</v>
      </c>
      <c r="I79" s="332">
        <f>IF(tblSubjectToLoan[[#This Row],[Date]]="",IF(ROW()=ROW(tblSubjectToLoan[#Headers])+1,0,INDEX(tblSubjectToLoan[Principal],ROW()-ROW(tblSubjectToLoan[#Headers])-1)),tblSubjectToLoan[[#This Row],[Princ]]+IF(ROW()=ROW(tblSubjectToLoan[#Headers])+1,0,INDEX(tblSubjectToLoan[Principal],ROW()-ROW(tblSubjectToLoan[#Headers])-1)))</f>
        <v>21211.81</v>
      </c>
      <c r="J79" s="332">
        <f>IF(tblSubjectToLoan[[#This Row],[Date]]="",IF(ROW()=ROW(tblSubjectToLoan[#Headers])+1,0,INDEX(tblSubjectToLoan[Interest],ROW()-ROW(tblSubjectToLoan[#Headers])-1)),tblSubjectToLoan[[#This Row],[Int]]+IF(ROW()=ROW(tblSubjectToLoan[#Headers])+1,0,INDEX(tblSubjectToLoan[Interest],ROW()-ROW(tblSubjectToLoan[#Headers])-1)))</f>
        <v>16336.789999999997</v>
      </c>
      <c r="K79" s="970">
        <f>IF(tblSubjectToLoan[[#This Row],[Date]]="",0,MAX(0,tblSubjectToLoan[[#This Row],[Beginning Balance]]-tblSubjectToLoan[[#This Row],[Princ]]))</f>
        <v>76016.19</v>
      </c>
      <c r="L79" s="395">
        <f t="shared" si="1"/>
        <v>4</v>
      </c>
      <c r="M79" s="395">
        <f t="shared" si="2"/>
        <v>59</v>
      </c>
      <c r="N79" s="614">
        <f>INDEX(tblSubjectToLoan[Date],ROW()-ROW(tblContractForDeed[#Headers]))</f>
        <v>47665</v>
      </c>
      <c r="O79" s="332">
        <f>IF(ROW()=ROW(tblContractForDeed[#Headers])+1,$O$6,IF(INDEX(tblContractForDeed[End Bal],ROW()-ROW(tblContractForDeed[#Headers])-1)&lt;0,0,INDEX(tblContractForDeed[End Bal],ROW()-ROW(tblContractForDeed[#Headers])-1)))</f>
        <v>61484.71</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325.04999999999995</v>
      </c>
      <c r="S79" s="332">
        <f>IF(OR(tblContractForDeed[[#This Row],[Date]]&lt;cfdContractDate,tblContractForDeed[[#This Row],[Date]]&gt;cfdEndDate),0,ROUND(tblContractForDeed[[#This Row],[Beg]]*(tblContractForDeed[[#This Row],[Int Rate]]/12),2))</f>
        <v>320.23</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14098.34</v>
      </c>
      <c r="X79" s="332">
        <f>IF(tblContractForDeed[[#This Row],[Beg]]&lt;=0,0,tblContractForDeed[[#This Row],[Beg]]-tblContractForDeed[[#This Row],[Princ]])</f>
        <v>61159.659999999996</v>
      </c>
      <c r="Y7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68">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473.47000000000139</v>
      </c>
      <c r="AD79" s="332">
        <f>IF(INDEX(tblContractForDeed[End Bal],ROW()-ROW(tblBuyerOutputs[#Headers]))&lt;=0,0,($O$6+IF(ROW()=ROW(tblBuyerOutputs[#Headers])+1,0,INDEX(tblBuyerOutputs[Cumul Appr],ROW()-ROW(tblBuyerOutputs[#Headers])-1)))*$O$2/12)</f>
        <v>0</v>
      </c>
      <c r="AE79" s="332">
        <f>IF(INDEX(tblContractForDeed[End Bal],ROW()-ROW(tblBuyerOutputs[#Headers]))&lt;=0,0,IF(ROW()=ROW(tblBuyerOutputs[#Headers])+1,0,INDEX(tblBuyerOutputs[Cumul Appr],ROW()-ROW(tblBuyerOutputs[#Headers])-1))+tblBuyerOutputs[[#This Row],[Monthly Appr]])</f>
        <v>0</v>
      </c>
      <c r="AF79" s="22"/>
      <c r="AG79" s="14"/>
      <c r="AL79"/>
      <c r="AM79" s="14"/>
      <c r="AO79" s="276"/>
      <c r="AQ79" s="14"/>
      <c r="AR79"/>
    </row>
    <row r="80" spans="1:44" x14ac:dyDescent="0.25">
      <c r="A80" s="613">
        <f>IF(ROW()=ROW(tblSubjectToLoan[#Headers])+1,subjectKnownBalanceDate,IF(OR(INDEX(tblSubjectToLoan[Date],ROW()-ROW(tblSubjectToLoan[#Headers])-1)="",INDEX(tblSubjectToLoan[Date],ROW()-ROW(tblSubjectToLoan[#Headers])-1)&gt;=subjectMortgageEndDate),"",EDATE(INDEX(tblSubjectToLoan[Date],ROW()-ROW(tblSubjectToLoan[#Headers])-1),1)))</f>
        <v>47696</v>
      </c>
      <c r="B80" s="276">
        <f>IF(tblSubjectToLoan[[#This Row],[Date]]="",0,IF(ROW()=ROW(tblSubjectToLoan[#Headers])+1,subjectKnownBalance,MAX(0,INDEX(tblSubjectToLoan[Ending Balance],ROW()-ROW(tblSubjectToLoan[#Headers])-1))))</f>
        <v>76016.19</v>
      </c>
      <c r="C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0" s="14">
        <f>IF(tblSubjectToLoan[[#This Row],[Payment]]=0,0,MAX(0,MIN(tblSubjectToLoan[[#This Row],[Beginning Balance]],tblSubjectToLoan[[#This Row],[Payment]]-tblSubjectToLoan[[#This Row],[Int]])))</f>
        <v>388.25999999999993</v>
      </c>
      <c r="E80" s="14">
        <f>IF(tblSubjectToLoan[[#This Row],[Date]]="",0,ROUND(tblSubjectToLoan[[#This Row],[Beginning Balance]]*(subjectInterestRate/12),2))</f>
        <v>237.55</v>
      </c>
      <c r="F80" s="14">
        <f t="shared" si="4"/>
        <v>134.16999999999999</v>
      </c>
      <c r="G80" s="14">
        <f t="shared" si="4"/>
        <v>188.55</v>
      </c>
      <c r="H80" s="14">
        <f>SUM(tblSubjectToLoan[[#This Row],[Princ]],tblSubjectToLoan[[#This Row],[Int]],tblSubjectToLoan[[#This Row],[Ins]],tblSubjectToLoan[[#This Row],[Taxes]])</f>
        <v>948.53</v>
      </c>
      <c r="I80" s="276">
        <f>IF(tblSubjectToLoan[[#This Row],[Date]]="",IF(ROW()=ROW(tblSubjectToLoan[#Headers])+1,0,INDEX(tblSubjectToLoan[Principal],ROW()-ROW(tblSubjectToLoan[#Headers])-1)),tblSubjectToLoan[[#This Row],[Princ]]+IF(ROW()=ROW(tblSubjectToLoan[#Headers])+1,0,INDEX(tblSubjectToLoan[Principal],ROW()-ROW(tblSubjectToLoan[#Headers])-1)))</f>
        <v>21600.07</v>
      </c>
      <c r="J80" s="276">
        <f>IF(tblSubjectToLoan[[#This Row],[Date]]="",IF(ROW()=ROW(tblSubjectToLoan[#Headers])+1,0,INDEX(tblSubjectToLoan[Interest],ROW()-ROW(tblSubjectToLoan[#Headers])-1)),tblSubjectToLoan[[#This Row],[Int]]+IF(ROW()=ROW(tblSubjectToLoan[#Headers])+1,0,INDEX(tblSubjectToLoan[Interest],ROW()-ROW(tblSubjectToLoan[#Headers])-1)))</f>
        <v>16574.339999999997</v>
      </c>
      <c r="K80" s="969">
        <f>IF(tblSubjectToLoan[[#This Row],[Date]]="",0,MAX(0,tblSubjectToLoan[[#This Row],[Beginning Balance]]-tblSubjectToLoan[[#This Row],[Princ]]))</f>
        <v>75627.930000000008</v>
      </c>
      <c r="L80" s="394">
        <f t="shared" si="1"/>
        <v>5</v>
      </c>
      <c r="M80" s="394">
        <f t="shared" si="2"/>
        <v>60</v>
      </c>
      <c r="N80" s="613">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67">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492.94000000000142</v>
      </c>
      <c r="AD80" s="276">
        <f>IF(INDEX(tblContractForDeed[End Bal],ROW()-ROW(tblBuyerOutputs[#Headers]))&lt;=0,0,($O$6+IF(ROW()=ROW(tblBuyerOutputs[#Headers])+1,0,INDEX(tblBuyerOutputs[Cumul Appr],ROW()-ROW(tblBuyerOutputs[#Headers])-1)))*$O$2/12)</f>
        <v>0</v>
      </c>
      <c r="AE80" s="276">
        <f>IF(INDEX(tblContractForDeed[End Bal],ROW()-ROW(tblBuyerOutputs[#Headers]))&lt;=0,0,IF(ROW()=ROW(tblBuyerOutputs[#Headers])+1,0,INDEX(tblBuyerOutputs[Cumul Appr],ROW()-ROW(tblBuyerOutputs[#Headers])-1))+tblBuyerOutputs[[#This Row],[Monthly Appr]])</f>
        <v>0</v>
      </c>
      <c r="AF80" s="22"/>
      <c r="AG80" s="14"/>
      <c r="AL80"/>
      <c r="AM80" s="14"/>
      <c r="AO80" s="276"/>
      <c r="AQ80" s="14"/>
      <c r="AR80"/>
    </row>
    <row r="81" spans="1:44" x14ac:dyDescent="0.25">
      <c r="A81" s="613">
        <f>IF(ROW()=ROW(tblSubjectToLoan[#Headers])+1,subjectKnownBalanceDate,IF(OR(INDEX(tblSubjectToLoan[Date],ROW()-ROW(tblSubjectToLoan[#Headers])-1)="",INDEX(tblSubjectToLoan[Date],ROW()-ROW(tblSubjectToLoan[#Headers])-1)&gt;=subjectMortgageEndDate),"",EDATE(INDEX(tblSubjectToLoan[Date],ROW()-ROW(tblSubjectToLoan[#Headers])-1),1)))</f>
        <v>47727</v>
      </c>
      <c r="B81" s="276">
        <f>IF(tblSubjectToLoan[[#This Row],[Date]]="",0,IF(ROW()=ROW(tblSubjectToLoan[#Headers])+1,subjectKnownBalance,MAX(0,INDEX(tblSubjectToLoan[Ending Balance],ROW()-ROW(tblSubjectToLoan[#Headers])-1))))</f>
        <v>75627.930000000008</v>
      </c>
      <c r="C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1" s="14">
        <f>IF(tblSubjectToLoan[[#This Row],[Payment]]=0,0,MAX(0,MIN(tblSubjectToLoan[[#This Row],[Beginning Balance]],tblSubjectToLoan[[#This Row],[Payment]]-tblSubjectToLoan[[#This Row],[Int]])))</f>
        <v>389.46999999999991</v>
      </c>
      <c r="E81" s="14">
        <f>IF(tblSubjectToLoan[[#This Row],[Date]]="",0,ROUND(tblSubjectToLoan[[#This Row],[Beginning Balance]]*(subjectInterestRate/12),2))</f>
        <v>236.34</v>
      </c>
      <c r="F81" s="14">
        <f t="shared" si="4"/>
        <v>134.16999999999999</v>
      </c>
      <c r="G81" s="14">
        <f t="shared" si="4"/>
        <v>188.55</v>
      </c>
      <c r="H81" s="14">
        <f>SUM(tblSubjectToLoan[[#This Row],[Princ]],tblSubjectToLoan[[#This Row],[Int]],tblSubjectToLoan[[#This Row],[Ins]],tblSubjectToLoan[[#This Row],[Taxes]])</f>
        <v>948.53</v>
      </c>
      <c r="I81" s="276">
        <f>IF(tblSubjectToLoan[[#This Row],[Date]]="",IF(ROW()=ROW(tblSubjectToLoan[#Headers])+1,0,INDEX(tblSubjectToLoan[Principal],ROW()-ROW(tblSubjectToLoan[#Headers])-1)),tblSubjectToLoan[[#This Row],[Princ]]+IF(ROW()=ROW(tblSubjectToLoan[#Headers])+1,0,INDEX(tblSubjectToLoan[Principal],ROW()-ROW(tblSubjectToLoan[#Headers])-1)))</f>
        <v>21989.54</v>
      </c>
      <c r="J81" s="276">
        <f>IF(tblSubjectToLoan[[#This Row],[Date]]="",IF(ROW()=ROW(tblSubjectToLoan[#Headers])+1,0,INDEX(tblSubjectToLoan[Interest],ROW()-ROW(tblSubjectToLoan[#Headers])-1)),tblSubjectToLoan[[#This Row],[Int]]+IF(ROW()=ROW(tblSubjectToLoan[#Headers])+1,0,INDEX(tblSubjectToLoan[Interest],ROW()-ROW(tblSubjectToLoan[#Headers])-1)))</f>
        <v>16810.679999999997</v>
      </c>
      <c r="K81" s="969">
        <f>IF(tblSubjectToLoan[[#This Row],[Date]]="",0,MAX(0,tblSubjectToLoan[[#This Row],[Beginning Balance]]-tblSubjectToLoan[[#This Row],[Princ]]))</f>
        <v>75238.460000000006</v>
      </c>
      <c r="L81" s="394">
        <f t="shared" si="1"/>
        <v>5</v>
      </c>
      <c r="M81" s="394">
        <f t="shared" si="2"/>
        <v>61</v>
      </c>
      <c r="N81" s="613">
        <f>INDEX(tblSubjectToLoan[Date],ROW()-ROW(tblContractForDeed[#Headers]))</f>
        <v>47727</v>
      </c>
      <c r="O81" s="276">
        <f>IF(ROW()=ROW(tblContractForDeed[#Headers])+1,$O$6,IF(INDEX(tblContractForDeed[End Bal],ROW()-ROW(tblContractForDeed[#Headers])-1)&lt;0,0,INDEX(tblContractForDeed[End Bal],ROW()-ROW(tblContractForDeed[#Headers])-1)))</f>
        <v>60832.92</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67">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512.41000000000145</v>
      </c>
      <c r="AD81" s="276">
        <f>IF(INDEX(tblContractForDeed[End Bal],ROW()-ROW(tblBuyerOutputs[#Headers]))&lt;=0,0,($O$6+IF(ROW()=ROW(tblBuyerOutputs[#Headers])+1,0,INDEX(tblBuyerOutputs[Cumul Appr],ROW()-ROW(tblBuyerOutputs[#Headers])-1)))*$O$2/12)</f>
        <v>0</v>
      </c>
      <c r="AE81" s="276">
        <f>IF(INDEX(tblContractForDeed[End Bal],ROW()-ROW(tblBuyerOutputs[#Headers]))&lt;=0,0,IF(ROW()=ROW(tblBuyerOutputs[#Headers])+1,0,INDEX(tblBuyerOutputs[Cumul Appr],ROW()-ROW(tblBuyerOutputs[#Headers])-1))+tblBuyerOutputs[[#This Row],[Monthly Appr]])</f>
        <v>0</v>
      </c>
      <c r="AF81" s="22"/>
      <c r="AG81" s="14"/>
      <c r="AL81"/>
      <c r="AM81" s="14"/>
      <c r="AO81" s="276"/>
      <c r="AQ81" s="14"/>
      <c r="AR81"/>
    </row>
    <row r="82" spans="1:44" x14ac:dyDescent="0.25">
      <c r="A82" s="613">
        <f>IF(ROW()=ROW(tblSubjectToLoan[#Headers])+1,subjectKnownBalanceDate,IF(OR(INDEX(tblSubjectToLoan[Date],ROW()-ROW(tblSubjectToLoan[#Headers])-1)="",INDEX(tblSubjectToLoan[Date],ROW()-ROW(tblSubjectToLoan[#Headers])-1)&gt;=subjectMortgageEndDate),"",EDATE(INDEX(tblSubjectToLoan[Date],ROW()-ROW(tblSubjectToLoan[#Headers])-1),1)))</f>
        <v>47757</v>
      </c>
      <c r="B82" s="276">
        <f>IF(tblSubjectToLoan[[#This Row],[Date]]="",0,IF(ROW()=ROW(tblSubjectToLoan[#Headers])+1,subjectKnownBalance,MAX(0,INDEX(tblSubjectToLoan[Ending Balance],ROW()-ROW(tblSubjectToLoan[#Headers])-1))))</f>
        <v>75238.460000000006</v>
      </c>
      <c r="C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2" s="14">
        <f>IF(tblSubjectToLoan[[#This Row],[Payment]]=0,0,MAX(0,MIN(tblSubjectToLoan[[#This Row],[Beginning Balance]],tblSubjectToLoan[[#This Row],[Payment]]-tblSubjectToLoan[[#This Row],[Int]])))</f>
        <v>390.68999999999994</v>
      </c>
      <c r="E82" s="14">
        <f>IF(tblSubjectToLoan[[#This Row],[Date]]="",0,ROUND(tblSubjectToLoan[[#This Row],[Beginning Balance]]*(subjectInterestRate/12),2))</f>
        <v>235.12</v>
      </c>
      <c r="F82" s="14">
        <f t="shared" si="4"/>
        <v>134.16999999999999</v>
      </c>
      <c r="G82" s="14">
        <f t="shared" si="4"/>
        <v>188.55</v>
      </c>
      <c r="H82" s="14">
        <f>SUM(tblSubjectToLoan[[#This Row],[Princ]],tblSubjectToLoan[[#This Row],[Int]],tblSubjectToLoan[[#This Row],[Ins]],tblSubjectToLoan[[#This Row],[Taxes]])</f>
        <v>948.53</v>
      </c>
      <c r="I82" s="276">
        <f>IF(tblSubjectToLoan[[#This Row],[Date]]="",IF(ROW()=ROW(tblSubjectToLoan[#Headers])+1,0,INDEX(tblSubjectToLoan[Principal],ROW()-ROW(tblSubjectToLoan[#Headers])-1)),tblSubjectToLoan[[#This Row],[Princ]]+IF(ROW()=ROW(tblSubjectToLoan[#Headers])+1,0,INDEX(tblSubjectToLoan[Principal],ROW()-ROW(tblSubjectToLoan[#Headers])-1)))</f>
        <v>22380.23</v>
      </c>
      <c r="J82" s="276">
        <f>IF(tblSubjectToLoan[[#This Row],[Date]]="",IF(ROW()=ROW(tblSubjectToLoan[#Headers])+1,0,INDEX(tblSubjectToLoan[Interest],ROW()-ROW(tblSubjectToLoan[#Headers])-1)),tblSubjectToLoan[[#This Row],[Int]]+IF(ROW()=ROW(tblSubjectToLoan[#Headers])+1,0,INDEX(tblSubjectToLoan[Interest],ROW()-ROW(tblSubjectToLoan[#Headers])-1)))</f>
        <v>17045.799999999996</v>
      </c>
      <c r="K82" s="969">
        <f>IF(tblSubjectToLoan[[#This Row],[Date]]="",0,MAX(0,tblSubjectToLoan[[#This Row],[Beginning Balance]]-tblSubjectToLoan[[#This Row],[Princ]]))</f>
        <v>74847.77</v>
      </c>
      <c r="L82" s="394">
        <f t="shared" si="1"/>
        <v>5</v>
      </c>
      <c r="M82" s="394">
        <f t="shared" si="2"/>
        <v>62</v>
      </c>
      <c r="N82" s="613">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67">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531.88000000000147</v>
      </c>
      <c r="AD82" s="276">
        <f>IF(INDEX(tblContractForDeed[End Bal],ROW()-ROW(tblBuyerOutputs[#Headers]))&lt;=0,0,($O$6+IF(ROW()=ROW(tblBuyerOutputs[#Headers])+1,0,INDEX(tblBuyerOutputs[Cumul Appr],ROW()-ROW(tblBuyerOutputs[#Headers])-1)))*$O$2/12)</f>
        <v>0</v>
      </c>
      <c r="AE82" s="276">
        <f>IF(INDEX(tblContractForDeed[End Bal],ROW()-ROW(tblBuyerOutputs[#Headers]))&lt;=0,0,IF(ROW()=ROW(tblBuyerOutputs[#Headers])+1,0,INDEX(tblBuyerOutputs[Cumul Appr],ROW()-ROW(tblBuyerOutputs[#Headers])-1))+tblBuyerOutputs[[#This Row],[Monthly Appr]])</f>
        <v>0</v>
      </c>
      <c r="AF82" s="22"/>
      <c r="AG82" s="14"/>
      <c r="AL82"/>
      <c r="AM82" s="14"/>
      <c r="AO82" s="276"/>
      <c r="AQ82" s="14"/>
      <c r="AR82"/>
    </row>
    <row r="83" spans="1:44" x14ac:dyDescent="0.25">
      <c r="A83" s="613">
        <f>IF(ROW()=ROW(tblSubjectToLoan[#Headers])+1,subjectKnownBalanceDate,IF(OR(INDEX(tblSubjectToLoan[Date],ROW()-ROW(tblSubjectToLoan[#Headers])-1)="",INDEX(tblSubjectToLoan[Date],ROW()-ROW(tblSubjectToLoan[#Headers])-1)&gt;=subjectMortgageEndDate),"",EDATE(INDEX(tblSubjectToLoan[Date],ROW()-ROW(tblSubjectToLoan[#Headers])-1),1)))</f>
        <v>47788</v>
      </c>
      <c r="B83" s="276">
        <f>IF(tblSubjectToLoan[[#This Row],[Date]]="",0,IF(ROW()=ROW(tblSubjectToLoan[#Headers])+1,subjectKnownBalance,MAX(0,INDEX(tblSubjectToLoan[Ending Balance],ROW()-ROW(tblSubjectToLoan[#Headers])-1))))</f>
        <v>74847.77</v>
      </c>
      <c r="C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3" s="14">
        <f>IF(tblSubjectToLoan[[#This Row],[Payment]]=0,0,MAX(0,MIN(tblSubjectToLoan[[#This Row],[Beginning Balance]],tblSubjectToLoan[[#This Row],[Payment]]-tblSubjectToLoan[[#This Row],[Int]])))</f>
        <v>391.90999999999997</v>
      </c>
      <c r="E83" s="14">
        <f>IF(tblSubjectToLoan[[#This Row],[Date]]="",0,ROUND(tblSubjectToLoan[[#This Row],[Beginning Balance]]*(subjectInterestRate/12),2))</f>
        <v>233.9</v>
      </c>
      <c r="F83" s="14">
        <f t="shared" si="4"/>
        <v>134.16999999999999</v>
      </c>
      <c r="G83" s="14">
        <f t="shared" si="4"/>
        <v>188.55</v>
      </c>
      <c r="H83" s="14">
        <f>SUM(tblSubjectToLoan[[#This Row],[Princ]],tblSubjectToLoan[[#This Row],[Int]],tblSubjectToLoan[[#This Row],[Ins]],tblSubjectToLoan[[#This Row],[Taxes]])</f>
        <v>948.53</v>
      </c>
      <c r="I83" s="276">
        <f>IF(tblSubjectToLoan[[#This Row],[Date]]="",IF(ROW()=ROW(tblSubjectToLoan[#Headers])+1,0,INDEX(tblSubjectToLoan[Principal],ROW()-ROW(tblSubjectToLoan[#Headers])-1)),tblSubjectToLoan[[#This Row],[Princ]]+IF(ROW()=ROW(tblSubjectToLoan[#Headers])+1,0,INDEX(tblSubjectToLoan[Principal],ROW()-ROW(tblSubjectToLoan[#Headers])-1)))</f>
        <v>22772.14</v>
      </c>
      <c r="J83" s="276">
        <f>IF(tblSubjectToLoan[[#This Row],[Date]]="",IF(ROW()=ROW(tblSubjectToLoan[#Headers])+1,0,INDEX(tblSubjectToLoan[Interest],ROW()-ROW(tblSubjectToLoan[#Headers])-1)),tblSubjectToLoan[[#This Row],[Int]]+IF(ROW()=ROW(tblSubjectToLoan[#Headers])+1,0,INDEX(tblSubjectToLoan[Interest],ROW()-ROW(tblSubjectToLoan[#Headers])-1)))</f>
        <v>17279.699999999997</v>
      </c>
      <c r="K83" s="969">
        <f>IF(tblSubjectToLoan[[#This Row],[Date]]="",0,MAX(0,tblSubjectToLoan[[#This Row],[Beginning Balance]]-tblSubjectToLoan[[#This Row],[Princ]]))</f>
        <v>74455.86</v>
      </c>
      <c r="L83" s="394">
        <f t="shared" si="1"/>
        <v>5</v>
      </c>
      <c r="M83" s="394">
        <f t="shared" si="2"/>
        <v>63</v>
      </c>
      <c r="N83" s="613">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67">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551.3500000000015</v>
      </c>
      <c r="AD83" s="276">
        <f>IF(INDEX(tblContractForDeed[End Bal],ROW()-ROW(tblBuyerOutputs[#Headers]))&lt;=0,0,($O$6+IF(ROW()=ROW(tblBuyerOutputs[#Headers])+1,0,INDEX(tblBuyerOutputs[Cumul Appr],ROW()-ROW(tblBuyerOutputs[#Headers])-1)))*$O$2/12)</f>
        <v>0</v>
      </c>
      <c r="AE83" s="276">
        <f>IF(INDEX(tblContractForDeed[End Bal],ROW()-ROW(tblBuyerOutputs[#Headers]))&lt;=0,0,IF(ROW()=ROW(tblBuyerOutputs[#Headers])+1,0,INDEX(tblBuyerOutputs[Cumul Appr],ROW()-ROW(tblBuyerOutputs[#Headers])-1))+tblBuyerOutputs[[#This Row],[Monthly Appr]])</f>
        <v>0</v>
      </c>
      <c r="AF83" s="22"/>
      <c r="AG83" s="14"/>
      <c r="AL83"/>
      <c r="AM83" s="14"/>
      <c r="AO83" s="276"/>
      <c r="AQ83" s="14"/>
      <c r="AR83"/>
    </row>
    <row r="84" spans="1:44" x14ac:dyDescent="0.25">
      <c r="A84" s="613">
        <f>IF(ROW()=ROW(tblSubjectToLoan[#Headers])+1,subjectKnownBalanceDate,IF(OR(INDEX(tblSubjectToLoan[Date],ROW()-ROW(tblSubjectToLoan[#Headers])-1)="",INDEX(tblSubjectToLoan[Date],ROW()-ROW(tblSubjectToLoan[#Headers])-1)&gt;=subjectMortgageEndDate),"",EDATE(INDEX(tblSubjectToLoan[Date],ROW()-ROW(tblSubjectToLoan[#Headers])-1),1)))</f>
        <v>47818</v>
      </c>
      <c r="B84" s="276">
        <f>IF(tblSubjectToLoan[[#This Row],[Date]]="",0,IF(ROW()=ROW(tblSubjectToLoan[#Headers])+1,subjectKnownBalance,MAX(0,INDEX(tblSubjectToLoan[Ending Balance],ROW()-ROW(tblSubjectToLoan[#Headers])-1))))</f>
        <v>74455.86</v>
      </c>
      <c r="C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4" s="14">
        <f>IF(tblSubjectToLoan[[#This Row],[Payment]]=0,0,MAX(0,MIN(tblSubjectToLoan[[#This Row],[Beginning Balance]],tblSubjectToLoan[[#This Row],[Payment]]-tblSubjectToLoan[[#This Row],[Int]])))</f>
        <v>393.14</v>
      </c>
      <c r="E84" s="14">
        <f>IF(tblSubjectToLoan[[#This Row],[Date]]="",0,ROUND(tblSubjectToLoan[[#This Row],[Beginning Balance]]*(subjectInterestRate/12),2))</f>
        <v>232.67</v>
      </c>
      <c r="F84" s="14">
        <f t="shared" si="4"/>
        <v>134.16999999999999</v>
      </c>
      <c r="G84" s="14">
        <f t="shared" si="4"/>
        <v>188.55</v>
      </c>
      <c r="H84" s="14">
        <f>SUM(tblSubjectToLoan[[#This Row],[Princ]],tblSubjectToLoan[[#This Row],[Int]],tblSubjectToLoan[[#This Row],[Ins]],tblSubjectToLoan[[#This Row],[Taxes]])</f>
        <v>948.53</v>
      </c>
      <c r="I84" s="276">
        <f>IF(tblSubjectToLoan[[#This Row],[Date]]="",IF(ROW()=ROW(tblSubjectToLoan[#Headers])+1,0,INDEX(tblSubjectToLoan[Principal],ROW()-ROW(tblSubjectToLoan[#Headers])-1)),tblSubjectToLoan[[#This Row],[Princ]]+IF(ROW()=ROW(tblSubjectToLoan[#Headers])+1,0,INDEX(tblSubjectToLoan[Principal],ROW()-ROW(tblSubjectToLoan[#Headers])-1)))</f>
        <v>23165.279999999999</v>
      </c>
      <c r="J84" s="276">
        <f>IF(tblSubjectToLoan[[#This Row],[Date]]="",IF(ROW()=ROW(tblSubjectToLoan[#Headers])+1,0,INDEX(tblSubjectToLoan[Interest],ROW()-ROW(tblSubjectToLoan[#Headers])-1)),tblSubjectToLoan[[#This Row],[Int]]+IF(ROW()=ROW(tblSubjectToLoan[#Headers])+1,0,INDEX(tblSubjectToLoan[Interest],ROW()-ROW(tblSubjectToLoan[#Headers])-1)))</f>
        <v>17512.369999999995</v>
      </c>
      <c r="K84" s="969">
        <f>IF(tblSubjectToLoan[[#This Row],[Date]]="",0,MAX(0,tblSubjectToLoan[[#This Row],[Beginning Balance]]-tblSubjectToLoan[[#This Row],[Princ]]))</f>
        <v>74062.720000000001</v>
      </c>
      <c r="L84" s="394">
        <f t="shared" ref="L84:L112" si="5">IF(MOD(M84,12)=0,M84/12,L83)</f>
        <v>5</v>
      </c>
      <c r="M84" s="394">
        <f t="shared" si="2"/>
        <v>64</v>
      </c>
      <c r="N84" s="613">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67">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570.82000000000153</v>
      </c>
      <c r="AD84" s="276">
        <f>IF(INDEX(tblContractForDeed[End Bal],ROW()-ROW(tblBuyerOutputs[#Headers]))&lt;=0,0,($O$6+IF(ROW()=ROW(tblBuyerOutputs[#Headers])+1,0,INDEX(tblBuyerOutputs[Cumul Appr],ROW()-ROW(tblBuyerOutputs[#Headers])-1)))*$O$2/12)</f>
        <v>0</v>
      </c>
      <c r="AE84" s="276">
        <f>IF(INDEX(tblContractForDeed[End Bal],ROW()-ROW(tblBuyerOutputs[#Headers]))&lt;=0,0,IF(ROW()=ROW(tblBuyerOutputs[#Headers])+1,0,INDEX(tblBuyerOutputs[Cumul Appr],ROW()-ROW(tblBuyerOutputs[#Headers])-1))+tblBuyerOutputs[[#This Row],[Monthly Appr]])</f>
        <v>0</v>
      </c>
      <c r="AF84" s="22"/>
      <c r="AG84" s="14"/>
      <c r="AL84"/>
      <c r="AM84" s="14"/>
      <c r="AO84" s="276"/>
      <c r="AQ84" s="14"/>
      <c r="AR84"/>
    </row>
    <row r="85" spans="1:44" x14ac:dyDescent="0.25">
      <c r="A85" s="613">
        <f>IF(ROW()=ROW(tblSubjectToLoan[#Headers])+1,subjectKnownBalanceDate,IF(OR(INDEX(tblSubjectToLoan[Date],ROW()-ROW(tblSubjectToLoan[#Headers])-1)="",INDEX(tblSubjectToLoan[Date],ROW()-ROW(tblSubjectToLoan[#Headers])-1)&gt;=subjectMortgageEndDate),"",EDATE(INDEX(tblSubjectToLoan[Date],ROW()-ROW(tblSubjectToLoan[#Headers])-1),1)))</f>
        <v>47849</v>
      </c>
      <c r="B85" s="276">
        <f>IF(tblSubjectToLoan[[#This Row],[Date]]="",0,IF(ROW()=ROW(tblSubjectToLoan[#Headers])+1,subjectKnownBalance,MAX(0,INDEX(tblSubjectToLoan[Ending Balance],ROW()-ROW(tblSubjectToLoan[#Headers])-1))))</f>
        <v>74062.720000000001</v>
      </c>
      <c r="C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5" s="14">
        <f>IF(tblSubjectToLoan[[#This Row],[Payment]]=0,0,MAX(0,MIN(tblSubjectToLoan[[#This Row],[Beginning Balance]],tblSubjectToLoan[[#This Row],[Payment]]-tblSubjectToLoan[[#This Row],[Int]])))</f>
        <v>394.35999999999996</v>
      </c>
      <c r="E85" s="14">
        <f>IF(tblSubjectToLoan[[#This Row],[Date]]="",0,ROUND(tblSubjectToLoan[[#This Row],[Beginning Balance]]*(subjectInterestRate/12),2))</f>
        <v>231.45</v>
      </c>
      <c r="F85" s="14">
        <f t="shared" si="4"/>
        <v>134.16999999999999</v>
      </c>
      <c r="G85" s="14">
        <f t="shared" si="4"/>
        <v>188.55</v>
      </c>
      <c r="H85" s="14">
        <f>SUM(tblSubjectToLoan[[#This Row],[Princ]],tblSubjectToLoan[[#This Row],[Int]],tblSubjectToLoan[[#This Row],[Ins]],tblSubjectToLoan[[#This Row],[Taxes]])</f>
        <v>948.53</v>
      </c>
      <c r="I85" s="276">
        <f>IF(tblSubjectToLoan[[#This Row],[Date]]="",IF(ROW()=ROW(tblSubjectToLoan[#Headers])+1,0,INDEX(tblSubjectToLoan[Principal],ROW()-ROW(tblSubjectToLoan[#Headers])-1)),tblSubjectToLoan[[#This Row],[Princ]]+IF(ROW()=ROW(tblSubjectToLoan[#Headers])+1,0,INDEX(tblSubjectToLoan[Principal],ROW()-ROW(tblSubjectToLoan[#Headers])-1)))</f>
        <v>23559.64</v>
      </c>
      <c r="J85" s="276">
        <f>IF(tblSubjectToLoan[[#This Row],[Date]]="",IF(ROW()=ROW(tblSubjectToLoan[#Headers])+1,0,INDEX(tblSubjectToLoan[Interest],ROW()-ROW(tblSubjectToLoan[#Headers])-1)),tblSubjectToLoan[[#This Row],[Int]]+IF(ROW()=ROW(tblSubjectToLoan[#Headers])+1,0,INDEX(tblSubjectToLoan[Interest],ROW()-ROW(tblSubjectToLoan[#Headers])-1)))</f>
        <v>17743.819999999996</v>
      </c>
      <c r="K85" s="969">
        <f>IF(tblSubjectToLoan[[#This Row],[Date]]="",0,MAX(0,tblSubjectToLoan[[#This Row],[Beginning Balance]]-tblSubjectToLoan[[#This Row],[Princ]]))</f>
        <v>73668.36</v>
      </c>
      <c r="L85" s="394">
        <f t="shared" si="5"/>
        <v>5</v>
      </c>
      <c r="M85" s="394">
        <f t="shared" ref="M85:M148" si="6">IF($A85&lt;&gt;"",M84+1,0)</f>
        <v>65</v>
      </c>
      <c r="N85" s="613">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67">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590.29000000000156</v>
      </c>
      <c r="AD85" s="276">
        <f>IF(INDEX(tblContractForDeed[End Bal],ROW()-ROW(tblBuyerOutputs[#Headers]))&lt;=0,0,($O$6+IF(ROW()=ROW(tblBuyerOutputs[#Headers])+1,0,INDEX(tblBuyerOutputs[Cumul Appr],ROW()-ROW(tblBuyerOutputs[#Headers])-1)))*$O$2/12)</f>
        <v>0</v>
      </c>
      <c r="AE85" s="276">
        <f>IF(INDEX(tblContractForDeed[End Bal],ROW()-ROW(tblBuyerOutputs[#Headers]))&lt;=0,0,IF(ROW()=ROW(tblBuyerOutputs[#Headers])+1,0,INDEX(tblBuyerOutputs[Cumul Appr],ROW()-ROW(tblBuyerOutputs[#Headers])-1))+tblBuyerOutputs[[#This Row],[Monthly Appr]])</f>
        <v>0</v>
      </c>
      <c r="AF85" s="22"/>
      <c r="AG85" s="14"/>
      <c r="AL85"/>
      <c r="AM85" s="14"/>
      <c r="AO85" s="276"/>
      <c r="AQ85" s="14"/>
      <c r="AR85"/>
    </row>
    <row r="86" spans="1:44" x14ac:dyDescent="0.25">
      <c r="A86" s="613">
        <f>IF(ROW()=ROW(tblSubjectToLoan[#Headers])+1,subjectKnownBalanceDate,IF(OR(INDEX(tblSubjectToLoan[Date],ROW()-ROW(tblSubjectToLoan[#Headers])-1)="",INDEX(tblSubjectToLoan[Date],ROW()-ROW(tblSubjectToLoan[#Headers])-1)&gt;=subjectMortgageEndDate),"",EDATE(INDEX(tblSubjectToLoan[Date],ROW()-ROW(tblSubjectToLoan[#Headers])-1),1)))</f>
        <v>47880</v>
      </c>
      <c r="B86" s="276">
        <f>IF(tblSubjectToLoan[[#This Row],[Date]]="",0,IF(ROW()=ROW(tblSubjectToLoan[#Headers])+1,subjectKnownBalance,MAX(0,INDEX(tblSubjectToLoan[Ending Balance],ROW()-ROW(tblSubjectToLoan[#Headers])-1))))</f>
        <v>73668.36</v>
      </c>
      <c r="C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6" s="14">
        <f>IF(tblSubjectToLoan[[#This Row],[Payment]]=0,0,MAX(0,MIN(tblSubjectToLoan[[#This Row],[Beginning Balance]],tblSubjectToLoan[[#This Row],[Payment]]-tblSubjectToLoan[[#This Row],[Int]])))</f>
        <v>395.59999999999991</v>
      </c>
      <c r="E86" s="14">
        <f>IF(tblSubjectToLoan[[#This Row],[Date]]="",0,ROUND(tblSubjectToLoan[[#This Row],[Beginning Balance]]*(subjectInterestRate/12),2))</f>
        <v>230.21</v>
      </c>
      <c r="F86" s="14">
        <f t="shared" si="4"/>
        <v>134.16999999999999</v>
      </c>
      <c r="G86" s="14">
        <f t="shared" si="4"/>
        <v>188.55</v>
      </c>
      <c r="H86" s="14">
        <f>SUM(tblSubjectToLoan[[#This Row],[Princ]],tblSubjectToLoan[[#This Row],[Int]],tblSubjectToLoan[[#This Row],[Ins]],tblSubjectToLoan[[#This Row],[Taxes]])</f>
        <v>948.53</v>
      </c>
      <c r="I86" s="276">
        <f>IF(tblSubjectToLoan[[#This Row],[Date]]="",IF(ROW()=ROW(tblSubjectToLoan[#Headers])+1,0,INDEX(tblSubjectToLoan[Principal],ROW()-ROW(tblSubjectToLoan[#Headers])-1)),tblSubjectToLoan[[#This Row],[Princ]]+IF(ROW()=ROW(tblSubjectToLoan[#Headers])+1,0,INDEX(tblSubjectToLoan[Principal],ROW()-ROW(tblSubjectToLoan[#Headers])-1)))</f>
        <v>23955.239999999998</v>
      </c>
      <c r="J86" s="276">
        <f>IF(tblSubjectToLoan[[#This Row],[Date]]="",IF(ROW()=ROW(tblSubjectToLoan[#Headers])+1,0,INDEX(tblSubjectToLoan[Interest],ROW()-ROW(tblSubjectToLoan[#Headers])-1)),tblSubjectToLoan[[#This Row],[Int]]+IF(ROW()=ROW(tblSubjectToLoan[#Headers])+1,0,INDEX(tblSubjectToLoan[Interest],ROW()-ROW(tblSubjectToLoan[#Headers])-1)))</f>
        <v>17974.029999999995</v>
      </c>
      <c r="K86" s="969">
        <f>IF(tblSubjectToLoan[[#This Row],[Date]]="",0,MAX(0,tblSubjectToLoan[[#This Row],[Beginning Balance]]-tblSubjectToLoan[[#This Row],[Princ]]))</f>
        <v>73272.759999999995</v>
      </c>
      <c r="L86" s="394">
        <f t="shared" si="5"/>
        <v>5</v>
      </c>
      <c r="M86" s="394">
        <f t="shared" si="6"/>
        <v>66</v>
      </c>
      <c r="N86" s="613">
        <f>INDEX(tblSubjectToLoan[Date],ROW()-ROW(tblContractForDeed[#Headers]))</f>
        <v>47880</v>
      </c>
      <c r="O86" s="276">
        <f>IF(ROW()=ROW(tblContractForDeed[#Headers])+1,$O$6,IF(INDEX(tblContractForDeed[End Bal],ROW()-ROW(tblContractForDeed[#Headers])-1)&lt;0,0,INDEX(tblContractForDeed[End Bal],ROW()-ROW(tblContractForDeed[#Headers])-1)))</f>
        <v>59173.52</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67">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609.76000000000158</v>
      </c>
      <c r="AD86" s="276">
        <f>IF(INDEX(tblContractForDeed[End Bal],ROW()-ROW(tblBuyerOutputs[#Headers]))&lt;=0,0,($O$6+IF(ROW()=ROW(tblBuyerOutputs[#Headers])+1,0,INDEX(tblBuyerOutputs[Cumul Appr],ROW()-ROW(tblBuyerOutputs[#Headers])-1)))*$O$2/12)</f>
        <v>0</v>
      </c>
      <c r="AE86" s="276">
        <f>IF(INDEX(tblContractForDeed[End Bal],ROW()-ROW(tblBuyerOutputs[#Headers]))&lt;=0,0,IF(ROW()=ROW(tblBuyerOutputs[#Headers])+1,0,INDEX(tblBuyerOutputs[Cumul Appr],ROW()-ROW(tblBuyerOutputs[#Headers])-1))+tblBuyerOutputs[[#This Row],[Monthly Appr]])</f>
        <v>0</v>
      </c>
      <c r="AF86" s="22"/>
      <c r="AG86" s="14"/>
      <c r="AL86"/>
      <c r="AM86" s="14"/>
      <c r="AO86" s="276"/>
      <c r="AQ86" s="14"/>
      <c r="AR86"/>
    </row>
    <row r="87" spans="1:44" x14ac:dyDescent="0.25">
      <c r="A87" s="613">
        <f>IF(ROW()=ROW(tblSubjectToLoan[#Headers])+1,subjectKnownBalanceDate,IF(OR(INDEX(tblSubjectToLoan[Date],ROW()-ROW(tblSubjectToLoan[#Headers])-1)="",INDEX(tblSubjectToLoan[Date],ROW()-ROW(tblSubjectToLoan[#Headers])-1)&gt;=subjectMortgageEndDate),"",EDATE(INDEX(tblSubjectToLoan[Date],ROW()-ROW(tblSubjectToLoan[#Headers])-1),1)))</f>
        <v>47908</v>
      </c>
      <c r="B87" s="276">
        <f>IF(tblSubjectToLoan[[#This Row],[Date]]="",0,IF(ROW()=ROW(tblSubjectToLoan[#Headers])+1,subjectKnownBalance,MAX(0,INDEX(tblSubjectToLoan[Ending Balance],ROW()-ROW(tblSubjectToLoan[#Headers])-1))))</f>
        <v>73272.759999999995</v>
      </c>
      <c r="C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7" s="14">
        <f>IF(tblSubjectToLoan[[#This Row],[Payment]]=0,0,MAX(0,MIN(tblSubjectToLoan[[#This Row],[Beginning Balance]],tblSubjectToLoan[[#This Row],[Payment]]-tblSubjectToLoan[[#This Row],[Int]])))</f>
        <v>396.82999999999993</v>
      </c>
      <c r="E87" s="14">
        <f>IF(tblSubjectToLoan[[#This Row],[Date]]="",0,ROUND(tblSubjectToLoan[[#This Row],[Beginning Balance]]*(subjectInterestRate/12),2))</f>
        <v>228.98</v>
      </c>
      <c r="F87" s="14">
        <f t="shared" si="4"/>
        <v>134.16999999999999</v>
      </c>
      <c r="G87" s="14">
        <f t="shared" si="4"/>
        <v>188.55</v>
      </c>
      <c r="H87" s="14">
        <f>SUM(tblSubjectToLoan[[#This Row],[Princ]],tblSubjectToLoan[[#This Row],[Int]],tblSubjectToLoan[[#This Row],[Ins]],tblSubjectToLoan[[#This Row],[Taxes]])</f>
        <v>948.53</v>
      </c>
      <c r="I87" s="276">
        <f>IF(tblSubjectToLoan[[#This Row],[Date]]="",IF(ROW()=ROW(tblSubjectToLoan[#Headers])+1,0,INDEX(tblSubjectToLoan[Principal],ROW()-ROW(tblSubjectToLoan[#Headers])-1)),tblSubjectToLoan[[#This Row],[Princ]]+IF(ROW()=ROW(tblSubjectToLoan[#Headers])+1,0,INDEX(tblSubjectToLoan[Principal],ROW()-ROW(tblSubjectToLoan[#Headers])-1)))</f>
        <v>24352.07</v>
      </c>
      <c r="J87" s="276">
        <f>IF(tblSubjectToLoan[[#This Row],[Date]]="",IF(ROW()=ROW(tblSubjectToLoan[#Headers])+1,0,INDEX(tblSubjectToLoan[Interest],ROW()-ROW(tblSubjectToLoan[#Headers])-1)),tblSubjectToLoan[[#This Row],[Int]]+IF(ROW()=ROW(tblSubjectToLoan[#Headers])+1,0,INDEX(tblSubjectToLoan[Interest],ROW()-ROW(tblSubjectToLoan[#Headers])-1)))</f>
        <v>18203.009999999995</v>
      </c>
      <c r="K87" s="969">
        <f>IF(tblSubjectToLoan[[#This Row],[Date]]="",0,MAX(0,tblSubjectToLoan[[#This Row],[Beginning Balance]]-tblSubjectToLoan[[#This Row],[Princ]]))</f>
        <v>72875.929999999993</v>
      </c>
      <c r="L87" s="394">
        <f t="shared" si="5"/>
        <v>5</v>
      </c>
      <c r="M87" s="394">
        <f t="shared" si="6"/>
        <v>67</v>
      </c>
      <c r="N87" s="613">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67">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629.23000000000161</v>
      </c>
      <c r="AD87" s="276">
        <f>IF(INDEX(tblContractForDeed[End Bal],ROW()-ROW(tblBuyerOutputs[#Headers]))&lt;=0,0,($O$6+IF(ROW()=ROW(tblBuyerOutputs[#Headers])+1,0,INDEX(tblBuyerOutputs[Cumul Appr],ROW()-ROW(tblBuyerOutputs[#Headers])-1)))*$O$2/12)</f>
        <v>0</v>
      </c>
      <c r="AE87" s="276">
        <f>IF(INDEX(tblContractForDeed[End Bal],ROW()-ROW(tblBuyerOutputs[#Headers]))&lt;=0,0,IF(ROW()=ROW(tblBuyerOutputs[#Headers])+1,0,INDEX(tblBuyerOutputs[Cumul Appr],ROW()-ROW(tblBuyerOutputs[#Headers])-1))+tblBuyerOutputs[[#This Row],[Monthly Appr]])</f>
        <v>0</v>
      </c>
      <c r="AF87" s="22"/>
      <c r="AG87" s="14"/>
      <c r="AL87"/>
      <c r="AM87" s="14"/>
      <c r="AO87" s="276"/>
      <c r="AQ87" s="14"/>
      <c r="AR87"/>
    </row>
    <row r="88" spans="1:44" x14ac:dyDescent="0.25">
      <c r="A88" s="613">
        <f>IF(ROW()=ROW(tblSubjectToLoan[#Headers])+1,subjectKnownBalanceDate,IF(OR(INDEX(tblSubjectToLoan[Date],ROW()-ROW(tblSubjectToLoan[#Headers])-1)="",INDEX(tblSubjectToLoan[Date],ROW()-ROW(tblSubjectToLoan[#Headers])-1)&gt;=subjectMortgageEndDate),"",EDATE(INDEX(tblSubjectToLoan[Date],ROW()-ROW(tblSubjectToLoan[#Headers])-1),1)))</f>
        <v>47939</v>
      </c>
      <c r="B88" s="276">
        <f>IF(tblSubjectToLoan[[#This Row],[Date]]="",0,IF(ROW()=ROW(tblSubjectToLoan[#Headers])+1,subjectKnownBalance,MAX(0,INDEX(tblSubjectToLoan[Ending Balance],ROW()-ROW(tblSubjectToLoan[#Headers])-1))))</f>
        <v>72875.929999999993</v>
      </c>
      <c r="C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8" s="14">
        <f>IF(tblSubjectToLoan[[#This Row],[Payment]]=0,0,MAX(0,MIN(tblSubjectToLoan[[#This Row],[Beginning Balance]],tblSubjectToLoan[[#This Row],[Payment]]-tblSubjectToLoan[[#This Row],[Int]])))</f>
        <v>398.06999999999994</v>
      </c>
      <c r="E88" s="14">
        <f>IF(tblSubjectToLoan[[#This Row],[Date]]="",0,ROUND(tblSubjectToLoan[[#This Row],[Beginning Balance]]*(subjectInterestRate/12),2))</f>
        <v>227.74</v>
      </c>
      <c r="F88" s="14">
        <f t="shared" si="4"/>
        <v>134.16999999999999</v>
      </c>
      <c r="G88" s="14">
        <f t="shared" si="4"/>
        <v>188.55</v>
      </c>
      <c r="H88" s="14">
        <f>SUM(tblSubjectToLoan[[#This Row],[Princ]],tblSubjectToLoan[[#This Row],[Int]],tblSubjectToLoan[[#This Row],[Ins]],tblSubjectToLoan[[#This Row],[Taxes]])</f>
        <v>948.53</v>
      </c>
      <c r="I88" s="276">
        <f>IF(tblSubjectToLoan[[#This Row],[Date]]="",IF(ROW()=ROW(tblSubjectToLoan[#Headers])+1,0,INDEX(tblSubjectToLoan[Principal],ROW()-ROW(tblSubjectToLoan[#Headers])-1)),tblSubjectToLoan[[#This Row],[Princ]]+IF(ROW()=ROW(tblSubjectToLoan[#Headers])+1,0,INDEX(tblSubjectToLoan[Principal],ROW()-ROW(tblSubjectToLoan[#Headers])-1)))</f>
        <v>24750.14</v>
      </c>
      <c r="J88" s="276">
        <f>IF(tblSubjectToLoan[[#This Row],[Date]]="",IF(ROW()=ROW(tblSubjectToLoan[#Headers])+1,0,INDEX(tblSubjectToLoan[Interest],ROW()-ROW(tblSubjectToLoan[#Headers])-1)),tblSubjectToLoan[[#This Row],[Int]]+IF(ROW()=ROW(tblSubjectToLoan[#Headers])+1,0,INDEX(tblSubjectToLoan[Interest],ROW()-ROW(tblSubjectToLoan[#Headers])-1)))</f>
        <v>18430.749999999996</v>
      </c>
      <c r="K88" s="969">
        <f>IF(tblSubjectToLoan[[#This Row],[Date]]="",0,MAX(0,tblSubjectToLoan[[#This Row],[Beginning Balance]]-tblSubjectToLoan[[#This Row],[Princ]]))</f>
        <v>72477.859999999986</v>
      </c>
      <c r="L88" s="394">
        <f t="shared" si="5"/>
        <v>5</v>
      </c>
      <c r="M88" s="394">
        <f t="shared" si="6"/>
        <v>68</v>
      </c>
      <c r="N88" s="613">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67">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648.70000000000164</v>
      </c>
      <c r="AD88" s="276">
        <f>IF(INDEX(tblContractForDeed[End Bal],ROW()-ROW(tblBuyerOutputs[#Headers]))&lt;=0,0,($O$6+IF(ROW()=ROW(tblBuyerOutputs[#Headers])+1,0,INDEX(tblBuyerOutputs[Cumul Appr],ROW()-ROW(tblBuyerOutputs[#Headers])-1)))*$O$2/12)</f>
        <v>0</v>
      </c>
      <c r="AE88" s="276">
        <f>IF(INDEX(tblContractForDeed[End Bal],ROW()-ROW(tblBuyerOutputs[#Headers]))&lt;=0,0,IF(ROW()=ROW(tblBuyerOutputs[#Headers])+1,0,INDEX(tblBuyerOutputs[Cumul Appr],ROW()-ROW(tblBuyerOutputs[#Headers])-1))+tblBuyerOutputs[[#This Row],[Monthly Appr]])</f>
        <v>0</v>
      </c>
      <c r="AF88" s="22"/>
      <c r="AG88" s="14"/>
      <c r="AL88"/>
      <c r="AM88" s="14"/>
      <c r="AO88" s="276"/>
      <c r="AQ88" s="14"/>
      <c r="AR88"/>
    </row>
    <row r="89" spans="1:44" x14ac:dyDescent="0.25">
      <c r="A89" s="613">
        <f>IF(ROW()=ROW(tblSubjectToLoan[#Headers])+1,subjectKnownBalanceDate,IF(OR(INDEX(tblSubjectToLoan[Date],ROW()-ROW(tblSubjectToLoan[#Headers])-1)="",INDEX(tblSubjectToLoan[Date],ROW()-ROW(tblSubjectToLoan[#Headers])-1)&gt;=subjectMortgageEndDate),"",EDATE(INDEX(tblSubjectToLoan[Date],ROW()-ROW(tblSubjectToLoan[#Headers])-1),1)))</f>
        <v>47969</v>
      </c>
      <c r="B89" s="276">
        <f>IF(tblSubjectToLoan[[#This Row],[Date]]="",0,IF(ROW()=ROW(tblSubjectToLoan[#Headers])+1,subjectKnownBalance,MAX(0,INDEX(tblSubjectToLoan[Ending Balance],ROW()-ROW(tblSubjectToLoan[#Headers])-1))))</f>
        <v>72477.859999999986</v>
      </c>
      <c r="C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9" s="14">
        <f>IF(tblSubjectToLoan[[#This Row],[Payment]]=0,0,MAX(0,MIN(tblSubjectToLoan[[#This Row],[Beginning Balance]],tblSubjectToLoan[[#This Row],[Payment]]-tblSubjectToLoan[[#This Row],[Int]])))</f>
        <v>399.31999999999994</v>
      </c>
      <c r="E89" s="14">
        <f>IF(tblSubjectToLoan[[#This Row],[Date]]="",0,ROUND(tblSubjectToLoan[[#This Row],[Beginning Balance]]*(subjectInterestRate/12),2))</f>
        <v>226.49</v>
      </c>
      <c r="F89" s="14">
        <f t="shared" si="4"/>
        <v>134.16999999999999</v>
      </c>
      <c r="G89" s="14">
        <f t="shared" si="4"/>
        <v>188.55</v>
      </c>
      <c r="H89" s="14">
        <f>SUM(tblSubjectToLoan[[#This Row],[Princ]],tblSubjectToLoan[[#This Row],[Int]],tblSubjectToLoan[[#This Row],[Ins]],tblSubjectToLoan[[#This Row],[Taxes]])</f>
        <v>948.53</v>
      </c>
      <c r="I89" s="276">
        <f>IF(tblSubjectToLoan[[#This Row],[Date]]="",IF(ROW()=ROW(tblSubjectToLoan[#Headers])+1,0,INDEX(tblSubjectToLoan[Principal],ROW()-ROW(tblSubjectToLoan[#Headers])-1)),tblSubjectToLoan[[#This Row],[Princ]]+IF(ROW()=ROW(tblSubjectToLoan[#Headers])+1,0,INDEX(tblSubjectToLoan[Principal],ROW()-ROW(tblSubjectToLoan[#Headers])-1)))</f>
        <v>25149.46</v>
      </c>
      <c r="J89" s="276">
        <f>IF(tblSubjectToLoan[[#This Row],[Date]]="",IF(ROW()=ROW(tblSubjectToLoan[#Headers])+1,0,INDEX(tblSubjectToLoan[Interest],ROW()-ROW(tblSubjectToLoan[#Headers])-1)),tblSubjectToLoan[[#This Row],[Int]]+IF(ROW()=ROW(tblSubjectToLoan[#Headers])+1,0,INDEX(tblSubjectToLoan[Interest],ROW()-ROW(tblSubjectToLoan[#Headers])-1)))</f>
        <v>18657.239999999998</v>
      </c>
      <c r="K89" s="969">
        <f>IF(tblSubjectToLoan[[#This Row],[Date]]="",0,MAX(0,tblSubjectToLoan[[#This Row],[Beginning Balance]]-tblSubjectToLoan[[#This Row],[Princ]]))</f>
        <v>72078.539999999979</v>
      </c>
      <c r="L89" s="394">
        <f t="shared" si="5"/>
        <v>5</v>
      </c>
      <c r="M89" s="394">
        <f t="shared" si="6"/>
        <v>69</v>
      </c>
      <c r="N89" s="613">
        <f>INDEX(tblSubjectToLoan[Date],ROW()-ROW(tblContractForDeed[#Headers]))</f>
        <v>47969</v>
      </c>
      <c r="O89" s="276">
        <f>IF(ROW()=ROW(tblContractForDeed[#Headers])+1,$O$6,IF(INDEX(tblContractForDeed[End Bal],ROW()-ROW(tblContractForDeed[#Headers])-1)&lt;0,0,INDEX(tblContractForDeed[End Bal],ROW()-ROW(tblContractForDeed[#Headers])-1)))</f>
        <v>58157</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67">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668.17000000000166</v>
      </c>
      <c r="AD89" s="276">
        <f>IF(INDEX(tblContractForDeed[End Bal],ROW()-ROW(tblBuyerOutputs[#Headers]))&lt;=0,0,($O$6+IF(ROW()=ROW(tblBuyerOutputs[#Headers])+1,0,INDEX(tblBuyerOutputs[Cumul Appr],ROW()-ROW(tblBuyerOutputs[#Headers])-1)))*$O$2/12)</f>
        <v>0</v>
      </c>
      <c r="AE89" s="276">
        <f>IF(INDEX(tblContractForDeed[End Bal],ROW()-ROW(tblBuyerOutputs[#Headers]))&lt;=0,0,IF(ROW()=ROW(tblBuyerOutputs[#Headers])+1,0,INDEX(tblBuyerOutputs[Cumul Appr],ROW()-ROW(tblBuyerOutputs[#Headers])-1))+tblBuyerOutputs[[#This Row],[Monthly Appr]])</f>
        <v>0</v>
      </c>
      <c r="AF89" s="22"/>
      <c r="AG89" s="14"/>
      <c r="AL89"/>
      <c r="AM89" s="14"/>
      <c r="AO89" s="276"/>
      <c r="AQ89" s="14"/>
      <c r="AR89"/>
    </row>
    <row r="90" spans="1:44" x14ac:dyDescent="0.25">
      <c r="A90" s="613">
        <f>IF(ROW()=ROW(tblSubjectToLoan[#Headers])+1,subjectKnownBalanceDate,IF(OR(INDEX(tblSubjectToLoan[Date],ROW()-ROW(tblSubjectToLoan[#Headers])-1)="",INDEX(tblSubjectToLoan[Date],ROW()-ROW(tblSubjectToLoan[#Headers])-1)&gt;=subjectMortgageEndDate),"",EDATE(INDEX(tblSubjectToLoan[Date],ROW()-ROW(tblSubjectToLoan[#Headers])-1),1)))</f>
        <v>48000</v>
      </c>
      <c r="B90" s="276">
        <f>IF(tblSubjectToLoan[[#This Row],[Date]]="",0,IF(ROW()=ROW(tblSubjectToLoan[#Headers])+1,subjectKnownBalance,MAX(0,INDEX(tblSubjectToLoan[Ending Balance],ROW()-ROW(tblSubjectToLoan[#Headers])-1))))</f>
        <v>72078.539999999979</v>
      </c>
      <c r="C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0" s="14">
        <f>IF(tblSubjectToLoan[[#This Row],[Payment]]=0,0,MAX(0,MIN(tblSubjectToLoan[[#This Row],[Beginning Balance]],tblSubjectToLoan[[#This Row],[Payment]]-tblSubjectToLoan[[#This Row],[Int]])))</f>
        <v>400.55999999999995</v>
      </c>
      <c r="E90" s="14">
        <f>IF(tblSubjectToLoan[[#This Row],[Date]]="",0,ROUND(tblSubjectToLoan[[#This Row],[Beginning Balance]]*(subjectInterestRate/12),2))</f>
        <v>225.25</v>
      </c>
      <c r="F90" s="14">
        <f t="shared" si="4"/>
        <v>134.16999999999999</v>
      </c>
      <c r="G90" s="14">
        <f t="shared" si="4"/>
        <v>188.55</v>
      </c>
      <c r="H90" s="14">
        <f>SUM(tblSubjectToLoan[[#This Row],[Princ]],tblSubjectToLoan[[#This Row],[Int]],tblSubjectToLoan[[#This Row],[Ins]],tblSubjectToLoan[[#This Row],[Taxes]])</f>
        <v>948.53</v>
      </c>
      <c r="I90" s="276">
        <f>IF(tblSubjectToLoan[[#This Row],[Date]]="",IF(ROW()=ROW(tblSubjectToLoan[#Headers])+1,0,INDEX(tblSubjectToLoan[Principal],ROW()-ROW(tblSubjectToLoan[#Headers])-1)),tblSubjectToLoan[[#This Row],[Princ]]+IF(ROW()=ROW(tblSubjectToLoan[#Headers])+1,0,INDEX(tblSubjectToLoan[Principal],ROW()-ROW(tblSubjectToLoan[#Headers])-1)))</f>
        <v>25550.02</v>
      </c>
      <c r="J90" s="276">
        <f>IF(tblSubjectToLoan[[#This Row],[Date]]="",IF(ROW()=ROW(tblSubjectToLoan[#Headers])+1,0,INDEX(tblSubjectToLoan[Interest],ROW()-ROW(tblSubjectToLoan[#Headers])-1)),tblSubjectToLoan[[#This Row],[Int]]+IF(ROW()=ROW(tblSubjectToLoan[#Headers])+1,0,INDEX(tblSubjectToLoan[Interest],ROW()-ROW(tblSubjectToLoan[#Headers])-1)))</f>
        <v>18882.489999999998</v>
      </c>
      <c r="K90" s="969">
        <f>IF(tblSubjectToLoan[[#This Row],[Date]]="",0,MAX(0,tblSubjectToLoan[[#This Row],[Beginning Balance]]-tblSubjectToLoan[[#This Row],[Princ]]))</f>
        <v>71677.979999999981</v>
      </c>
      <c r="L90" s="394">
        <f t="shared" si="5"/>
        <v>5</v>
      </c>
      <c r="M90" s="394">
        <f t="shared" si="6"/>
        <v>70</v>
      </c>
      <c r="N90" s="613">
        <f>INDEX(tblSubjectToLoan[Date],ROW()-ROW(tblContractForDeed[#Headers]))</f>
        <v>48000</v>
      </c>
      <c r="O90" s="276">
        <f>IF(ROW()=ROW(tblContractForDeed[#Headers])+1,$O$6,IF(INDEX(tblContractForDeed[End Bal],ROW()-ROW(tblContractForDeed[#Headers])-1)&lt;0,0,INDEX(tblContractForDeed[End Bal],ROW()-ROW(tblContractForDeed[#Headers])-1)))</f>
        <v>57814.62</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67">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687.64000000000169</v>
      </c>
      <c r="AD90" s="276">
        <f>IF(INDEX(tblContractForDeed[End Bal],ROW()-ROW(tblBuyerOutputs[#Headers]))&lt;=0,0,($O$6+IF(ROW()=ROW(tblBuyerOutputs[#Headers])+1,0,INDEX(tblBuyerOutputs[Cumul Appr],ROW()-ROW(tblBuyerOutputs[#Headers])-1)))*$O$2/12)</f>
        <v>0</v>
      </c>
      <c r="AE90" s="276">
        <f>IF(INDEX(tblContractForDeed[End Bal],ROW()-ROW(tblBuyerOutputs[#Headers]))&lt;=0,0,IF(ROW()=ROW(tblBuyerOutputs[#Headers])+1,0,INDEX(tblBuyerOutputs[Cumul Appr],ROW()-ROW(tblBuyerOutputs[#Headers])-1))+tblBuyerOutputs[[#This Row],[Monthly Appr]])</f>
        <v>0</v>
      </c>
      <c r="AF90" s="22"/>
      <c r="AG90" s="14"/>
      <c r="AL90"/>
      <c r="AM90" s="14"/>
      <c r="AO90" s="276"/>
      <c r="AQ90" s="14"/>
      <c r="AR90"/>
    </row>
    <row r="91" spans="1:44" ht="15.75" thickBot="1" x14ac:dyDescent="0.3">
      <c r="A91" s="614">
        <f>IF(ROW()=ROW(tblSubjectToLoan[#Headers])+1,subjectKnownBalanceDate,IF(OR(INDEX(tblSubjectToLoan[Date],ROW()-ROW(tblSubjectToLoan[#Headers])-1)="",INDEX(tblSubjectToLoan[Date],ROW()-ROW(tblSubjectToLoan[#Headers])-1)&gt;=subjectMortgageEndDate),"",EDATE(INDEX(tblSubjectToLoan[Date],ROW()-ROW(tblSubjectToLoan[#Headers])-1),1)))</f>
        <v>48030</v>
      </c>
      <c r="B91" s="332">
        <f>IF(tblSubjectToLoan[[#This Row],[Date]]="",0,IF(ROW()=ROW(tblSubjectToLoan[#Headers])+1,subjectKnownBalance,MAX(0,INDEX(tblSubjectToLoan[Ending Balance],ROW()-ROW(tblSubjectToLoan[#Headers])-1))))</f>
        <v>71677.979999999981</v>
      </c>
      <c r="C9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1" s="21">
        <f>IF(tblSubjectToLoan[[#This Row],[Payment]]=0,0,MAX(0,MIN(tblSubjectToLoan[[#This Row],[Beginning Balance]],tblSubjectToLoan[[#This Row],[Payment]]-tblSubjectToLoan[[#This Row],[Int]])))</f>
        <v>401.81999999999994</v>
      </c>
      <c r="E91" s="21">
        <f>IF(tblSubjectToLoan[[#This Row],[Date]]="",0,ROUND(tblSubjectToLoan[[#This Row],[Beginning Balance]]*(subjectInterestRate/12),2))</f>
        <v>223.99</v>
      </c>
      <c r="F91" s="21">
        <f t="shared" si="4"/>
        <v>134.16999999999999</v>
      </c>
      <c r="G91" s="21">
        <f t="shared" si="4"/>
        <v>188.55</v>
      </c>
      <c r="H91" s="21">
        <f>SUM(tblSubjectToLoan[[#This Row],[Princ]],tblSubjectToLoan[[#This Row],[Int]],tblSubjectToLoan[[#This Row],[Ins]],tblSubjectToLoan[[#This Row],[Taxes]])</f>
        <v>948.53</v>
      </c>
      <c r="I91" s="332">
        <f>IF(tblSubjectToLoan[[#This Row],[Date]]="",IF(ROW()=ROW(tblSubjectToLoan[#Headers])+1,0,INDEX(tblSubjectToLoan[Principal],ROW()-ROW(tblSubjectToLoan[#Headers])-1)),tblSubjectToLoan[[#This Row],[Princ]]+IF(ROW()=ROW(tblSubjectToLoan[#Headers])+1,0,INDEX(tblSubjectToLoan[Principal],ROW()-ROW(tblSubjectToLoan[#Headers])-1)))</f>
        <v>25951.84</v>
      </c>
      <c r="J91" s="332">
        <f>IF(tblSubjectToLoan[[#This Row],[Date]]="",IF(ROW()=ROW(tblSubjectToLoan[#Headers])+1,0,INDEX(tblSubjectToLoan[Interest],ROW()-ROW(tblSubjectToLoan[#Headers])-1)),tblSubjectToLoan[[#This Row],[Int]]+IF(ROW()=ROW(tblSubjectToLoan[#Headers])+1,0,INDEX(tblSubjectToLoan[Interest],ROW()-ROW(tblSubjectToLoan[#Headers])-1)))</f>
        <v>19106.48</v>
      </c>
      <c r="K91" s="970">
        <f>IF(tblSubjectToLoan[[#This Row],[Date]]="",0,MAX(0,tblSubjectToLoan[[#This Row],[Beginning Balance]]-tblSubjectToLoan[[#This Row],[Princ]]))</f>
        <v>71276.159999999974</v>
      </c>
      <c r="L91" s="395">
        <f t="shared" si="5"/>
        <v>5</v>
      </c>
      <c r="M91" s="395">
        <f t="shared" si="6"/>
        <v>71</v>
      </c>
      <c r="N91" s="614">
        <f>INDEX(tblSubjectToLoan[Date],ROW()-ROW(tblContractForDeed[#Headers]))</f>
        <v>48030</v>
      </c>
      <c r="O91" s="332">
        <f>IF(ROW()=ROW(tblContractForDeed[#Headers])+1,$O$6,IF(INDEX(tblContractForDeed[End Bal],ROW()-ROW(tblContractForDeed[#Headers])-1)&lt;0,0,INDEX(tblContractForDeed[End Bal],ROW()-ROW(tblContractForDeed[#Headers])-1)))</f>
        <v>57470.46</v>
      </c>
      <c r="P91" s="454">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32">
        <f>IF(tblContractForDeed[[#This Row],[Payment]]=0,0,MAX(0,MIN(tblContractForDeed[[#This Row],[Beg]],tblContractForDeed[[#This Row],[Payment]]-tblContractForDeed[[#This Row],[Int]])))</f>
        <v>336.63</v>
      </c>
      <c r="S91" s="332">
        <f>IF(OR(tblContractForDeed[[#This Row],[Date]]&lt;cfdContractDate,tblContractForDeed[[#This Row],[Date]]&gt;cfdEndDate),0,ROUND(tblContractForDeed[[#This Row],[Beg]]*(tblContractForDeed[[#This Row],[Int Rate]]/12),2))</f>
        <v>323.27</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982.61999999999989</v>
      </c>
      <c r="W91" s="332">
        <f>SUM(INDEX(tblContractForDeed[Princ],1):INDEX(tblContractForDeed[Princ],ROW()-ROW(tblContractForDeed[#Headers])))</f>
        <v>18124.170000000002</v>
      </c>
      <c r="X91" s="332">
        <f>IF(tblContractForDeed[[#This Row],[Beg]]&lt;=0,0,tblContractForDeed[[#This Row],[Beg]]-tblContractForDeed[[#This Row],[Princ]])</f>
        <v>57133.83</v>
      </c>
      <c r="Y9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68">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721.73000000000172</v>
      </c>
      <c r="AD91" s="332">
        <f>IF(INDEX(tblContractForDeed[End Bal],ROW()-ROW(tblBuyerOutputs[#Headers]))&lt;=0,0,($O$6+IF(ROW()=ROW(tblBuyerOutputs[#Headers])+1,0,INDEX(tblBuyerOutputs[Cumul Appr],ROW()-ROW(tblBuyerOutputs[#Headers])-1)))*$O$2/12)</f>
        <v>0</v>
      </c>
      <c r="AE91" s="332">
        <f>IF(INDEX(tblContractForDeed[End Bal],ROW()-ROW(tblBuyerOutputs[#Headers]))&lt;=0,0,IF(ROW()=ROW(tblBuyerOutputs[#Headers])+1,0,INDEX(tblBuyerOutputs[Cumul Appr],ROW()-ROW(tblBuyerOutputs[#Headers])-1))+tblBuyerOutputs[[#This Row],[Monthly Appr]])</f>
        <v>0</v>
      </c>
      <c r="AF91" s="22"/>
      <c r="AG91" s="14"/>
      <c r="AL91"/>
      <c r="AM91" s="14"/>
      <c r="AO91" s="276"/>
      <c r="AQ91" s="14"/>
      <c r="AR91"/>
    </row>
    <row r="92" spans="1:44" x14ac:dyDescent="0.25">
      <c r="A92" s="613">
        <f>IF(ROW()=ROW(tblSubjectToLoan[#Headers])+1,subjectKnownBalanceDate,IF(OR(INDEX(tblSubjectToLoan[Date],ROW()-ROW(tblSubjectToLoan[#Headers])-1)="",INDEX(tblSubjectToLoan[Date],ROW()-ROW(tblSubjectToLoan[#Headers])-1)&gt;=subjectMortgageEndDate),"",EDATE(INDEX(tblSubjectToLoan[Date],ROW()-ROW(tblSubjectToLoan[#Headers])-1),1)))</f>
        <v>48061</v>
      </c>
      <c r="B92" s="276">
        <f>IF(tblSubjectToLoan[[#This Row],[Date]]="",0,IF(ROW()=ROW(tblSubjectToLoan[#Headers])+1,subjectKnownBalance,MAX(0,INDEX(tblSubjectToLoan[Ending Balance],ROW()-ROW(tblSubjectToLoan[#Headers])-1))))</f>
        <v>71276.159999999974</v>
      </c>
      <c r="C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2" s="14">
        <f>IF(tblSubjectToLoan[[#This Row],[Payment]]=0,0,MAX(0,MIN(tblSubjectToLoan[[#This Row],[Beginning Balance]],tblSubjectToLoan[[#This Row],[Payment]]-tblSubjectToLoan[[#This Row],[Int]])))</f>
        <v>403.06999999999994</v>
      </c>
      <c r="E92" s="14">
        <f>IF(tblSubjectToLoan[[#This Row],[Date]]="",0,ROUND(tblSubjectToLoan[[#This Row],[Beginning Balance]]*(subjectInterestRate/12),2))</f>
        <v>222.74</v>
      </c>
      <c r="F92" s="14">
        <f t="shared" si="4"/>
        <v>134.16999999999999</v>
      </c>
      <c r="G92" s="14">
        <f t="shared" si="4"/>
        <v>188.55</v>
      </c>
      <c r="H92" s="14">
        <f>SUM(tblSubjectToLoan[[#This Row],[Princ]],tblSubjectToLoan[[#This Row],[Int]],tblSubjectToLoan[[#This Row],[Ins]],tblSubjectToLoan[[#This Row],[Taxes]])</f>
        <v>948.53</v>
      </c>
      <c r="I92" s="276">
        <f>IF(tblSubjectToLoan[[#This Row],[Date]]="",IF(ROW()=ROW(tblSubjectToLoan[#Headers])+1,0,INDEX(tblSubjectToLoan[Principal],ROW()-ROW(tblSubjectToLoan[#Headers])-1)),tblSubjectToLoan[[#This Row],[Princ]]+IF(ROW()=ROW(tblSubjectToLoan[#Headers])+1,0,INDEX(tblSubjectToLoan[Principal],ROW()-ROW(tblSubjectToLoan[#Headers])-1)))</f>
        <v>26354.91</v>
      </c>
      <c r="J92" s="276">
        <f>IF(tblSubjectToLoan[[#This Row],[Date]]="",IF(ROW()=ROW(tblSubjectToLoan[#Headers])+1,0,INDEX(tblSubjectToLoan[Interest],ROW()-ROW(tblSubjectToLoan[#Headers])-1)),tblSubjectToLoan[[#This Row],[Int]]+IF(ROW()=ROW(tblSubjectToLoan[#Headers])+1,0,INDEX(tblSubjectToLoan[Interest],ROW()-ROW(tblSubjectToLoan[#Headers])-1)))</f>
        <v>19329.22</v>
      </c>
      <c r="K92" s="969">
        <f>IF(tblSubjectToLoan[[#This Row],[Date]]="",0,MAX(0,tblSubjectToLoan[[#This Row],[Beginning Balance]]-tblSubjectToLoan[[#This Row],[Princ]]))</f>
        <v>70873.089999999967</v>
      </c>
      <c r="L92" s="394">
        <f t="shared" si="5"/>
        <v>6</v>
      </c>
      <c r="M92" s="394">
        <f t="shared" si="6"/>
        <v>72</v>
      </c>
      <c r="N92" s="613">
        <f>INDEX(tblSubjectToLoan[Date],ROW()-ROW(tblContractForDeed[#Headers]))</f>
        <v>48061</v>
      </c>
      <c r="O92" s="276">
        <f>IF(ROW()=ROW(tblContractForDeed[#Headers])+1,$O$6,IF(INDEX(tblContractForDeed[End Bal],ROW()-ROW(tblContractForDeed[#Headers])-1)&lt;0,0,INDEX(tblContractForDeed[End Bal],ROW()-ROW(tblContractForDeed[#Headers])-1)))</f>
        <v>57133.83</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67">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755.82000000000176</v>
      </c>
      <c r="AD92" s="276">
        <f>IF(INDEX(tblContractForDeed[End Bal],ROW()-ROW(tblBuyerOutputs[#Headers]))&lt;=0,0,($O$6+IF(ROW()=ROW(tblBuyerOutputs[#Headers])+1,0,INDEX(tblBuyerOutputs[Cumul Appr],ROW()-ROW(tblBuyerOutputs[#Headers])-1)))*$O$2/12)</f>
        <v>0</v>
      </c>
      <c r="AE92" s="276">
        <f>IF(INDEX(tblContractForDeed[End Bal],ROW()-ROW(tblBuyerOutputs[#Headers]))&lt;=0,0,IF(ROW()=ROW(tblBuyerOutputs[#Headers])+1,0,INDEX(tblBuyerOutputs[Cumul Appr],ROW()-ROW(tblBuyerOutputs[#Headers])-1))+tblBuyerOutputs[[#This Row],[Monthly Appr]])</f>
        <v>0</v>
      </c>
      <c r="AF92" s="22"/>
      <c r="AG92" s="14"/>
      <c r="AL92"/>
      <c r="AM92" s="14"/>
      <c r="AO92" s="276"/>
      <c r="AQ92" s="14"/>
      <c r="AR92"/>
    </row>
    <row r="93" spans="1:44" x14ac:dyDescent="0.25">
      <c r="A93" s="613">
        <f>IF(ROW()=ROW(tblSubjectToLoan[#Headers])+1,subjectKnownBalanceDate,IF(OR(INDEX(tblSubjectToLoan[Date],ROW()-ROW(tblSubjectToLoan[#Headers])-1)="",INDEX(tblSubjectToLoan[Date],ROW()-ROW(tblSubjectToLoan[#Headers])-1)&gt;=subjectMortgageEndDate),"",EDATE(INDEX(tblSubjectToLoan[Date],ROW()-ROW(tblSubjectToLoan[#Headers])-1),1)))</f>
        <v>48092</v>
      </c>
      <c r="B93" s="276">
        <f>IF(tblSubjectToLoan[[#This Row],[Date]]="",0,IF(ROW()=ROW(tblSubjectToLoan[#Headers])+1,subjectKnownBalance,MAX(0,INDEX(tblSubjectToLoan[Ending Balance],ROW()-ROW(tblSubjectToLoan[#Headers])-1))))</f>
        <v>70873.089999999967</v>
      </c>
      <c r="C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3" s="14">
        <f>IF(tblSubjectToLoan[[#This Row],[Payment]]=0,0,MAX(0,MIN(tblSubjectToLoan[[#This Row],[Beginning Balance]],tblSubjectToLoan[[#This Row],[Payment]]-tblSubjectToLoan[[#This Row],[Int]])))</f>
        <v>404.32999999999993</v>
      </c>
      <c r="E93" s="14">
        <f>IF(tblSubjectToLoan[[#This Row],[Date]]="",0,ROUND(tblSubjectToLoan[[#This Row],[Beginning Balance]]*(subjectInterestRate/12),2))</f>
        <v>221.48</v>
      </c>
      <c r="F93" s="14">
        <f t="shared" si="4"/>
        <v>134.16999999999999</v>
      </c>
      <c r="G93" s="14">
        <f t="shared" si="4"/>
        <v>188.55</v>
      </c>
      <c r="H93" s="14">
        <f>SUM(tblSubjectToLoan[[#This Row],[Princ]],tblSubjectToLoan[[#This Row],[Int]],tblSubjectToLoan[[#This Row],[Ins]],tblSubjectToLoan[[#This Row],[Taxes]])</f>
        <v>948.53</v>
      </c>
      <c r="I93" s="276">
        <f>IF(tblSubjectToLoan[[#This Row],[Date]]="",IF(ROW()=ROW(tblSubjectToLoan[#Headers])+1,0,INDEX(tblSubjectToLoan[Principal],ROW()-ROW(tblSubjectToLoan[#Headers])-1)),tblSubjectToLoan[[#This Row],[Princ]]+IF(ROW()=ROW(tblSubjectToLoan[#Headers])+1,0,INDEX(tblSubjectToLoan[Principal],ROW()-ROW(tblSubjectToLoan[#Headers])-1)))</f>
        <v>26759.239999999998</v>
      </c>
      <c r="J93" s="276">
        <f>IF(tblSubjectToLoan[[#This Row],[Date]]="",IF(ROW()=ROW(tblSubjectToLoan[#Headers])+1,0,INDEX(tblSubjectToLoan[Interest],ROW()-ROW(tblSubjectToLoan[#Headers])-1)),tblSubjectToLoan[[#This Row],[Int]]+IF(ROW()=ROW(tblSubjectToLoan[#Headers])+1,0,INDEX(tblSubjectToLoan[Interest],ROW()-ROW(tblSubjectToLoan[#Headers])-1)))</f>
        <v>19550.7</v>
      </c>
      <c r="K93" s="969">
        <f>IF(tblSubjectToLoan[[#This Row],[Date]]="",0,MAX(0,tblSubjectToLoan[[#This Row],[Beginning Balance]]-tblSubjectToLoan[[#This Row],[Princ]]))</f>
        <v>70468.759999999966</v>
      </c>
      <c r="L93" s="394">
        <f t="shared" si="5"/>
        <v>6</v>
      </c>
      <c r="M93" s="394">
        <f t="shared" si="6"/>
        <v>73</v>
      </c>
      <c r="N93" s="613">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67">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789.91000000000179</v>
      </c>
      <c r="AD93" s="276">
        <f>IF(INDEX(tblContractForDeed[End Bal],ROW()-ROW(tblBuyerOutputs[#Headers]))&lt;=0,0,($O$6+IF(ROW()=ROW(tblBuyerOutputs[#Headers])+1,0,INDEX(tblBuyerOutputs[Cumul Appr],ROW()-ROW(tblBuyerOutputs[#Headers])-1)))*$O$2/12)</f>
        <v>0</v>
      </c>
      <c r="AE93" s="276">
        <f>IF(INDEX(tblContractForDeed[End Bal],ROW()-ROW(tblBuyerOutputs[#Headers]))&lt;=0,0,IF(ROW()=ROW(tblBuyerOutputs[#Headers])+1,0,INDEX(tblBuyerOutputs[Cumul Appr],ROW()-ROW(tblBuyerOutputs[#Headers])-1))+tblBuyerOutputs[[#This Row],[Monthly Appr]])</f>
        <v>0</v>
      </c>
      <c r="AF93" s="22"/>
      <c r="AG93" s="14"/>
      <c r="AL93"/>
      <c r="AM93" s="14"/>
      <c r="AO93" s="276"/>
      <c r="AQ93" s="14"/>
      <c r="AR93"/>
    </row>
    <row r="94" spans="1:44" x14ac:dyDescent="0.25">
      <c r="A94" s="613">
        <f>IF(ROW()=ROW(tblSubjectToLoan[#Headers])+1,subjectKnownBalanceDate,IF(OR(INDEX(tblSubjectToLoan[Date],ROW()-ROW(tblSubjectToLoan[#Headers])-1)="",INDEX(tblSubjectToLoan[Date],ROW()-ROW(tblSubjectToLoan[#Headers])-1)&gt;=subjectMortgageEndDate),"",EDATE(INDEX(tblSubjectToLoan[Date],ROW()-ROW(tblSubjectToLoan[#Headers])-1),1)))</f>
        <v>48122</v>
      </c>
      <c r="B94" s="276">
        <f>IF(tblSubjectToLoan[[#This Row],[Date]]="",0,IF(ROW()=ROW(tblSubjectToLoan[#Headers])+1,subjectKnownBalance,MAX(0,INDEX(tblSubjectToLoan[Ending Balance],ROW()-ROW(tblSubjectToLoan[#Headers])-1))))</f>
        <v>70468.759999999966</v>
      </c>
      <c r="C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4" s="14">
        <f>IF(tblSubjectToLoan[[#This Row],[Payment]]=0,0,MAX(0,MIN(tblSubjectToLoan[[#This Row],[Beginning Balance]],tblSubjectToLoan[[#This Row],[Payment]]-tblSubjectToLoan[[#This Row],[Int]])))</f>
        <v>405.59999999999991</v>
      </c>
      <c r="E94" s="14">
        <f>IF(tblSubjectToLoan[[#This Row],[Date]]="",0,ROUND(tblSubjectToLoan[[#This Row],[Beginning Balance]]*(subjectInterestRate/12),2))</f>
        <v>220.21</v>
      </c>
      <c r="F94" s="14">
        <f t="shared" si="4"/>
        <v>134.16999999999999</v>
      </c>
      <c r="G94" s="14">
        <f t="shared" si="4"/>
        <v>188.55</v>
      </c>
      <c r="H94" s="14">
        <f>SUM(tblSubjectToLoan[[#This Row],[Princ]],tblSubjectToLoan[[#This Row],[Int]],tblSubjectToLoan[[#This Row],[Ins]],tblSubjectToLoan[[#This Row],[Taxes]])</f>
        <v>948.53</v>
      </c>
      <c r="I94" s="276">
        <f>IF(tblSubjectToLoan[[#This Row],[Date]]="",IF(ROW()=ROW(tblSubjectToLoan[#Headers])+1,0,INDEX(tblSubjectToLoan[Principal],ROW()-ROW(tblSubjectToLoan[#Headers])-1)),tblSubjectToLoan[[#This Row],[Princ]]+IF(ROW()=ROW(tblSubjectToLoan[#Headers])+1,0,INDEX(tblSubjectToLoan[Principal],ROW()-ROW(tblSubjectToLoan[#Headers])-1)))</f>
        <v>27164.839999999997</v>
      </c>
      <c r="J94" s="276">
        <f>IF(tblSubjectToLoan[[#This Row],[Date]]="",IF(ROW()=ROW(tblSubjectToLoan[#Headers])+1,0,INDEX(tblSubjectToLoan[Interest],ROW()-ROW(tblSubjectToLoan[#Headers])-1)),tblSubjectToLoan[[#This Row],[Int]]+IF(ROW()=ROW(tblSubjectToLoan[#Headers])+1,0,INDEX(tblSubjectToLoan[Interest],ROW()-ROW(tblSubjectToLoan[#Headers])-1)))</f>
        <v>19770.91</v>
      </c>
      <c r="K94" s="969">
        <f>IF(tblSubjectToLoan[[#This Row],[Date]]="",0,MAX(0,tblSubjectToLoan[[#This Row],[Beginning Balance]]-tblSubjectToLoan[[#This Row],[Princ]]))</f>
        <v>70063.15999999996</v>
      </c>
      <c r="L94" s="394">
        <f t="shared" si="5"/>
        <v>6</v>
      </c>
      <c r="M94" s="394">
        <f t="shared" si="6"/>
        <v>74</v>
      </c>
      <c r="N94" s="613">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67">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824.00000000000182</v>
      </c>
      <c r="AD94" s="276">
        <f>IF(INDEX(tblContractForDeed[End Bal],ROW()-ROW(tblBuyerOutputs[#Headers]))&lt;=0,0,($O$6+IF(ROW()=ROW(tblBuyerOutputs[#Headers])+1,0,INDEX(tblBuyerOutputs[Cumul Appr],ROW()-ROW(tblBuyerOutputs[#Headers])-1)))*$O$2/12)</f>
        <v>0</v>
      </c>
      <c r="AE94" s="276">
        <f>IF(INDEX(tblContractForDeed[End Bal],ROW()-ROW(tblBuyerOutputs[#Headers]))&lt;=0,0,IF(ROW()=ROW(tblBuyerOutputs[#Headers])+1,0,INDEX(tblBuyerOutputs[Cumul Appr],ROW()-ROW(tblBuyerOutputs[#Headers])-1))+tblBuyerOutputs[[#This Row],[Monthly Appr]])</f>
        <v>0</v>
      </c>
      <c r="AF94" s="22"/>
      <c r="AG94" s="14"/>
      <c r="AL94"/>
      <c r="AM94" s="14"/>
      <c r="AO94" s="276"/>
      <c r="AQ94" s="14"/>
      <c r="AR94"/>
    </row>
    <row r="95" spans="1:44" x14ac:dyDescent="0.25">
      <c r="A95" s="613">
        <f>IF(ROW()=ROW(tblSubjectToLoan[#Headers])+1,subjectKnownBalanceDate,IF(OR(INDEX(tblSubjectToLoan[Date],ROW()-ROW(tblSubjectToLoan[#Headers])-1)="",INDEX(tblSubjectToLoan[Date],ROW()-ROW(tblSubjectToLoan[#Headers])-1)&gt;=subjectMortgageEndDate),"",EDATE(INDEX(tblSubjectToLoan[Date],ROW()-ROW(tblSubjectToLoan[#Headers])-1),1)))</f>
        <v>48153</v>
      </c>
      <c r="B95" s="276">
        <f>IF(tblSubjectToLoan[[#This Row],[Date]]="",0,IF(ROW()=ROW(tblSubjectToLoan[#Headers])+1,subjectKnownBalance,MAX(0,INDEX(tblSubjectToLoan[Ending Balance],ROW()-ROW(tblSubjectToLoan[#Headers])-1))))</f>
        <v>70063.15999999996</v>
      </c>
      <c r="C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5" s="14">
        <f>IF(tblSubjectToLoan[[#This Row],[Payment]]=0,0,MAX(0,MIN(tblSubjectToLoan[[#This Row],[Beginning Balance]],tblSubjectToLoan[[#This Row],[Payment]]-tblSubjectToLoan[[#This Row],[Int]])))</f>
        <v>406.85999999999996</v>
      </c>
      <c r="E95" s="14">
        <f>IF(tblSubjectToLoan[[#This Row],[Date]]="",0,ROUND(tblSubjectToLoan[[#This Row],[Beginning Balance]]*(subjectInterestRate/12),2))</f>
        <v>218.95</v>
      </c>
      <c r="F95" s="14">
        <f t="shared" ref="F95:G110" si="7">+F94</f>
        <v>134.16999999999999</v>
      </c>
      <c r="G95" s="14">
        <f t="shared" si="7"/>
        <v>188.55</v>
      </c>
      <c r="H95" s="14">
        <f>SUM(tblSubjectToLoan[[#This Row],[Princ]],tblSubjectToLoan[[#This Row],[Int]],tblSubjectToLoan[[#This Row],[Ins]],tblSubjectToLoan[[#This Row],[Taxes]])</f>
        <v>948.53</v>
      </c>
      <c r="I95" s="276">
        <f>IF(tblSubjectToLoan[[#This Row],[Date]]="",IF(ROW()=ROW(tblSubjectToLoan[#Headers])+1,0,INDEX(tblSubjectToLoan[Principal],ROW()-ROW(tblSubjectToLoan[#Headers])-1)),tblSubjectToLoan[[#This Row],[Princ]]+IF(ROW()=ROW(tblSubjectToLoan[#Headers])+1,0,INDEX(tblSubjectToLoan[Principal],ROW()-ROW(tblSubjectToLoan[#Headers])-1)))</f>
        <v>27571.699999999997</v>
      </c>
      <c r="J95" s="276">
        <f>IF(tblSubjectToLoan[[#This Row],[Date]]="",IF(ROW()=ROW(tblSubjectToLoan[#Headers])+1,0,INDEX(tblSubjectToLoan[Interest],ROW()-ROW(tblSubjectToLoan[#Headers])-1)),tblSubjectToLoan[[#This Row],[Int]]+IF(ROW()=ROW(tblSubjectToLoan[#Headers])+1,0,INDEX(tblSubjectToLoan[Interest],ROW()-ROW(tblSubjectToLoan[#Headers])-1)))</f>
        <v>19989.86</v>
      </c>
      <c r="K95" s="969">
        <f>IF(tblSubjectToLoan[[#This Row],[Date]]="",0,MAX(0,tblSubjectToLoan[[#This Row],[Beginning Balance]]-tblSubjectToLoan[[#This Row],[Princ]]))</f>
        <v>69656.299999999959</v>
      </c>
      <c r="L95" s="394">
        <f t="shared" si="5"/>
        <v>6</v>
      </c>
      <c r="M95" s="394">
        <f t="shared" si="6"/>
        <v>75</v>
      </c>
      <c r="N95" s="613">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67">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858.09000000000185</v>
      </c>
      <c r="AD95" s="276">
        <f>IF(INDEX(tblContractForDeed[End Bal],ROW()-ROW(tblBuyerOutputs[#Headers]))&lt;=0,0,($O$6+IF(ROW()=ROW(tblBuyerOutputs[#Headers])+1,0,INDEX(tblBuyerOutputs[Cumul Appr],ROW()-ROW(tblBuyerOutputs[#Headers])-1)))*$O$2/12)</f>
        <v>0</v>
      </c>
      <c r="AE95" s="276">
        <f>IF(INDEX(tblContractForDeed[End Bal],ROW()-ROW(tblBuyerOutputs[#Headers]))&lt;=0,0,IF(ROW()=ROW(tblBuyerOutputs[#Headers])+1,0,INDEX(tblBuyerOutputs[Cumul Appr],ROW()-ROW(tblBuyerOutputs[#Headers])-1))+tblBuyerOutputs[[#This Row],[Monthly Appr]])</f>
        <v>0</v>
      </c>
      <c r="AF95" s="22"/>
      <c r="AG95" s="14"/>
      <c r="AL95"/>
      <c r="AM95" s="14"/>
      <c r="AO95" s="276"/>
      <c r="AQ95" s="14"/>
      <c r="AR95"/>
    </row>
    <row r="96" spans="1:44" x14ac:dyDescent="0.25">
      <c r="A96" s="613">
        <f>IF(ROW()=ROW(tblSubjectToLoan[#Headers])+1,subjectKnownBalanceDate,IF(OR(INDEX(tblSubjectToLoan[Date],ROW()-ROW(tblSubjectToLoan[#Headers])-1)="",INDEX(tblSubjectToLoan[Date],ROW()-ROW(tblSubjectToLoan[#Headers])-1)&gt;=subjectMortgageEndDate),"",EDATE(INDEX(tblSubjectToLoan[Date],ROW()-ROW(tblSubjectToLoan[#Headers])-1),1)))</f>
        <v>48183</v>
      </c>
      <c r="B96" s="276">
        <f>IF(tblSubjectToLoan[[#This Row],[Date]]="",0,IF(ROW()=ROW(tblSubjectToLoan[#Headers])+1,subjectKnownBalance,MAX(0,INDEX(tblSubjectToLoan[Ending Balance],ROW()-ROW(tblSubjectToLoan[#Headers])-1))))</f>
        <v>69656.299999999959</v>
      </c>
      <c r="C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6" s="14">
        <f>IF(tblSubjectToLoan[[#This Row],[Payment]]=0,0,MAX(0,MIN(tblSubjectToLoan[[#This Row],[Beginning Balance]],tblSubjectToLoan[[#This Row],[Payment]]-tblSubjectToLoan[[#This Row],[Int]])))</f>
        <v>408.12999999999994</v>
      </c>
      <c r="E96" s="14">
        <f>IF(tblSubjectToLoan[[#This Row],[Date]]="",0,ROUND(tblSubjectToLoan[[#This Row],[Beginning Balance]]*(subjectInterestRate/12),2))</f>
        <v>217.68</v>
      </c>
      <c r="F96" s="14">
        <f t="shared" si="7"/>
        <v>134.16999999999999</v>
      </c>
      <c r="G96" s="14">
        <f t="shared" si="7"/>
        <v>188.55</v>
      </c>
      <c r="H96" s="14">
        <f>SUM(tblSubjectToLoan[[#This Row],[Princ]],tblSubjectToLoan[[#This Row],[Int]],tblSubjectToLoan[[#This Row],[Ins]],tblSubjectToLoan[[#This Row],[Taxes]])</f>
        <v>948.53</v>
      </c>
      <c r="I96" s="276">
        <f>IF(tblSubjectToLoan[[#This Row],[Date]]="",IF(ROW()=ROW(tblSubjectToLoan[#Headers])+1,0,INDEX(tblSubjectToLoan[Principal],ROW()-ROW(tblSubjectToLoan[#Headers])-1)),tblSubjectToLoan[[#This Row],[Princ]]+IF(ROW()=ROW(tblSubjectToLoan[#Headers])+1,0,INDEX(tblSubjectToLoan[Principal],ROW()-ROW(tblSubjectToLoan[#Headers])-1)))</f>
        <v>27979.829999999998</v>
      </c>
      <c r="J96" s="276">
        <f>IF(tblSubjectToLoan[[#This Row],[Date]]="",IF(ROW()=ROW(tblSubjectToLoan[#Headers])+1,0,INDEX(tblSubjectToLoan[Interest],ROW()-ROW(tblSubjectToLoan[#Headers])-1)),tblSubjectToLoan[[#This Row],[Int]]+IF(ROW()=ROW(tblSubjectToLoan[#Headers])+1,0,INDEX(tblSubjectToLoan[Interest],ROW()-ROW(tblSubjectToLoan[#Headers])-1)))</f>
        <v>20207.54</v>
      </c>
      <c r="K96" s="969">
        <f>IF(tblSubjectToLoan[[#This Row],[Date]]="",0,MAX(0,tblSubjectToLoan[[#This Row],[Beginning Balance]]-tblSubjectToLoan[[#This Row],[Princ]]))</f>
        <v>69248.169999999955</v>
      </c>
      <c r="L96" s="394">
        <f t="shared" si="5"/>
        <v>6</v>
      </c>
      <c r="M96" s="394">
        <f t="shared" si="6"/>
        <v>76</v>
      </c>
      <c r="N96" s="613">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67">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892.18000000000188</v>
      </c>
      <c r="AD96" s="276">
        <f>IF(INDEX(tblContractForDeed[End Bal],ROW()-ROW(tblBuyerOutputs[#Headers]))&lt;=0,0,($O$6+IF(ROW()=ROW(tblBuyerOutputs[#Headers])+1,0,INDEX(tblBuyerOutputs[Cumul Appr],ROW()-ROW(tblBuyerOutputs[#Headers])-1)))*$O$2/12)</f>
        <v>0</v>
      </c>
      <c r="AE96" s="276">
        <f>IF(INDEX(tblContractForDeed[End Bal],ROW()-ROW(tblBuyerOutputs[#Headers]))&lt;=0,0,IF(ROW()=ROW(tblBuyerOutputs[#Headers])+1,0,INDEX(tblBuyerOutputs[Cumul Appr],ROW()-ROW(tblBuyerOutputs[#Headers])-1))+tblBuyerOutputs[[#This Row],[Monthly Appr]])</f>
        <v>0</v>
      </c>
      <c r="AF96" s="22"/>
      <c r="AG96" s="14"/>
      <c r="AL96"/>
      <c r="AM96" s="14"/>
      <c r="AO96" s="276"/>
      <c r="AQ96" s="14"/>
      <c r="AR96"/>
    </row>
    <row r="97" spans="1:44" x14ac:dyDescent="0.25">
      <c r="A97" s="613">
        <f>IF(ROW()=ROW(tblSubjectToLoan[#Headers])+1,subjectKnownBalanceDate,IF(OR(INDEX(tblSubjectToLoan[Date],ROW()-ROW(tblSubjectToLoan[#Headers])-1)="",INDEX(tblSubjectToLoan[Date],ROW()-ROW(tblSubjectToLoan[#Headers])-1)&gt;=subjectMortgageEndDate),"",EDATE(INDEX(tblSubjectToLoan[Date],ROW()-ROW(tblSubjectToLoan[#Headers])-1),1)))</f>
        <v>48214</v>
      </c>
      <c r="B97" s="276">
        <f>IF(tblSubjectToLoan[[#This Row],[Date]]="",0,IF(ROW()=ROW(tblSubjectToLoan[#Headers])+1,subjectKnownBalance,MAX(0,INDEX(tblSubjectToLoan[Ending Balance],ROW()-ROW(tblSubjectToLoan[#Headers])-1))))</f>
        <v>69248.169999999955</v>
      </c>
      <c r="C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7" s="14">
        <f>IF(tblSubjectToLoan[[#This Row],[Payment]]=0,0,MAX(0,MIN(tblSubjectToLoan[[#This Row],[Beginning Balance]],tblSubjectToLoan[[#This Row],[Payment]]-tblSubjectToLoan[[#This Row],[Int]])))</f>
        <v>409.40999999999997</v>
      </c>
      <c r="E97" s="14">
        <f>IF(tblSubjectToLoan[[#This Row],[Date]]="",0,ROUND(tblSubjectToLoan[[#This Row],[Beginning Balance]]*(subjectInterestRate/12),2))</f>
        <v>216.4</v>
      </c>
      <c r="F97" s="14">
        <f t="shared" si="7"/>
        <v>134.16999999999999</v>
      </c>
      <c r="G97" s="14">
        <f t="shared" si="7"/>
        <v>188.55</v>
      </c>
      <c r="H97" s="14">
        <f>SUM(tblSubjectToLoan[[#This Row],[Princ]],tblSubjectToLoan[[#This Row],[Int]],tblSubjectToLoan[[#This Row],[Ins]],tblSubjectToLoan[[#This Row],[Taxes]])</f>
        <v>948.53</v>
      </c>
      <c r="I97" s="276">
        <f>IF(tblSubjectToLoan[[#This Row],[Date]]="",IF(ROW()=ROW(tblSubjectToLoan[#Headers])+1,0,INDEX(tblSubjectToLoan[Principal],ROW()-ROW(tblSubjectToLoan[#Headers])-1)),tblSubjectToLoan[[#This Row],[Princ]]+IF(ROW()=ROW(tblSubjectToLoan[#Headers])+1,0,INDEX(tblSubjectToLoan[Principal],ROW()-ROW(tblSubjectToLoan[#Headers])-1)))</f>
        <v>28389.239999999998</v>
      </c>
      <c r="J97" s="276">
        <f>IF(tblSubjectToLoan[[#This Row],[Date]]="",IF(ROW()=ROW(tblSubjectToLoan[#Headers])+1,0,INDEX(tblSubjectToLoan[Interest],ROW()-ROW(tblSubjectToLoan[#Headers])-1)),tblSubjectToLoan[[#This Row],[Int]]+IF(ROW()=ROW(tblSubjectToLoan[#Headers])+1,0,INDEX(tblSubjectToLoan[Interest],ROW()-ROW(tblSubjectToLoan[#Headers])-1)))</f>
        <v>20423.940000000002</v>
      </c>
      <c r="K97" s="969">
        <f>IF(tblSubjectToLoan[[#This Row],[Date]]="",0,MAX(0,tblSubjectToLoan[[#This Row],[Beginning Balance]]-tblSubjectToLoan[[#This Row],[Princ]]))</f>
        <v>68838.759999999951</v>
      </c>
      <c r="L97" s="394">
        <f t="shared" si="5"/>
        <v>6</v>
      </c>
      <c r="M97" s="394">
        <f t="shared" si="6"/>
        <v>77</v>
      </c>
      <c r="N97" s="613">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67">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926.27000000000191</v>
      </c>
      <c r="AD97" s="276">
        <f>IF(INDEX(tblContractForDeed[End Bal],ROW()-ROW(tblBuyerOutputs[#Headers]))&lt;=0,0,($O$6+IF(ROW()=ROW(tblBuyerOutputs[#Headers])+1,0,INDEX(tblBuyerOutputs[Cumul Appr],ROW()-ROW(tblBuyerOutputs[#Headers])-1)))*$O$2/12)</f>
        <v>0</v>
      </c>
      <c r="AE97" s="276">
        <f>IF(INDEX(tblContractForDeed[End Bal],ROW()-ROW(tblBuyerOutputs[#Headers]))&lt;=0,0,IF(ROW()=ROW(tblBuyerOutputs[#Headers])+1,0,INDEX(tblBuyerOutputs[Cumul Appr],ROW()-ROW(tblBuyerOutputs[#Headers])-1))+tblBuyerOutputs[[#This Row],[Monthly Appr]])</f>
        <v>0</v>
      </c>
      <c r="AF97" s="22"/>
      <c r="AG97" s="14"/>
      <c r="AL97"/>
      <c r="AM97" s="14"/>
      <c r="AO97" s="276"/>
      <c r="AQ97" s="14"/>
      <c r="AR97"/>
    </row>
    <row r="98" spans="1:44" x14ac:dyDescent="0.25">
      <c r="A98" s="613">
        <f>IF(ROW()=ROW(tblSubjectToLoan[#Headers])+1,subjectKnownBalanceDate,IF(OR(INDEX(tblSubjectToLoan[Date],ROW()-ROW(tblSubjectToLoan[#Headers])-1)="",INDEX(tblSubjectToLoan[Date],ROW()-ROW(tblSubjectToLoan[#Headers])-1)&gt;=subjectMortgageEndDate),"",EDATE(INDEX(tblSubjectToLoan[Date],ROW()-ROW(tblSubjectToLoan[#Headers])-1),1)))</f>
        <v>48245</v>
      </c>
      <c r="B98" s="276">
        <f>IF(tblSubjectToLoan[[#This Row],[Date]]="",0,IF(ROW()=ROW(tblSubjectToLoan[#Headers])+1,subjectKnownBalance,MAX(0,INDEX(tblSubjectToLoan[Ending Balance],ROW()-ROW(tblSubjectToLoan[#Headers])-1))))</f>
        <v>68838.759999999951</v>
      </c>
      <c r="C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8" s="14">
        <f>IF(tblSubjectToLoan[[#This Row],[Payment]]=0,0,MAX(0,MIN(tblSubjectToLoan[[#This Row],[Beginning Balance]],tblSubjectToLoan[[#This Row],[Payment]]-tblSubjectToLoan[[#This Row],[Int]])))</f>
        <v>410.68999999999994</v>
      </c>
      <c r="E98" s="14">
        <f>IF(tblSubjectToLoan[[#This Row],[Date]]="",0,ROUND(tblSubjectToLoan[[#This Row],[Beginning Balance]]*(subjectInterestRate/12),2))</f>
        <v>215.12</v>
      </c>
      <c r="F98" s="14">
        <f t="shared" si="7"/>
        <v>134.16999999999999</v>
      </c>
      <c r="G98" s="14">
        <f t="shared" si="7"/>
        <v>188.55</v>
      </c>
      <c r="H98" s="14">
        <f>SUM(tblSubjectToLoan[[#This Row],[Princ]],tblSubjectToLoan[[#This Row],[Int]],tblSubjectToLoan[[#This Row],[Ins]],tblSubjectToLoan[[#This Row],[Taxes]])</f>
        <v>948.53</v>
      </c>
      <c r="I98" s="276">
        <f>IF(tblSubjectToLoan[[#This Row],[Date]]="",IF(ROW()=ROW(tblSubjectToLoan[#Headers])+1,0,INDEX(tblSubjectToLoan[Principal],ROW()-ROW(tblSubjectToLoan[#Headers])-1)),tblSubjectToLoan[[#This Row],[Princ]]+IF(ROW()=ROW(tblSubjectToLoan[#Headers])+1,0,INDEX(tblSubjectToLoan[Principal],ROW()-ROW(tblSubjectToLoan[#Headers])-1)))</f>
        <v>28799.929999999997</v>
      </c>
      <c r="J98" s="276">
        <f>IF(tblSubjectToLoan[[#This Row],[Date]]="",IF(ROW()=ROW(tblSubjectToLoan[#Headers])+1,0,INDEX(tblSubjectToLoan[Interest],ROW()-ROW(tblSubjectToLoan[#Headers])-1)),tblSubjectToLoan[[#This Row],[Int]]+IF(ROW()=ROW(tblSubjectToLoan[#Headers])+1,0,INDEX(tblSubjectToLoan[Interest],ROW()-ROW(tblSubjectToLoan[#Headers])-1)))</f>
        <v>20639.060000000001</v>
      </c>
      <c r="K98" s="969">
        <f>IF(tblSubjectToLoan[[#This Row],[Date]]="",0,MAX(0,tblSubjectToLoan[[#This Row],[Beginning Balance]]-tblSubjectToLoan[[#This Row],[Princ]]))</f>
        <v>68428.069999999949</v>
      </c>
      <c r="L98" s="394">
        <f t="shared" si="5"/>
        <v>6</v>
      </c>
      <c r="M98" s="394">
        <f t="shared" si="6"/>
        <v>78</v>
      </c>
      <c r="N98" s="613">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67">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960.36000000000195</v>
      </c>
      <c r="AD98" s="276">
        <f>IF(INDEX(tblContractForDeed[End Bal],ROW()-ROW(tblBuyerOutputs[#Headers]))&lt;=0,0,($O$6+IF(ROW()=ROW(tblBuyerOutputs[#Headers])+1,0,INDEX(tblBuyerOutputs[Cumul Appr],ROW()-ROW(tblBuyerOutputs[#Headers])-1)))*$O$2/12)</f>
        <v>0</v>
      </c>
      <c r="AE98" s="276">
        <f>IF(INDEX(tblContractForDeed[End Bal],ROW()-ROW(tblBuyerOutputs[#Headers]))&lt;=0,0,IF(ROW()=ROW(tblBuyerOutputs[#Headers])+1,0,INDEX(tblBuyerOutputs[Cumul Appr],ROW()-ROW(tblBuyerOutputs[#Headers])-1))+tblBuyerOutputs[[#This Row],[Monthly Appr]])</f>
        <v>0</v>
      </c>
      <c r="AF98" s="22"/>
      <c r="AG98" s="14"/>
      <c r="AL98"/>
      <c r="AM98" s="14"/>
      <c r="AO98" s="276"/>
      <c r="AQ98" s="14"/>
      <c r="AR98"/>
    </row>
    <row r="99" spans="1:44" x14ac:dyDescent="0.25">
      <c r="A99" s="613">
        <f>IF(ROW()=ROW(tblSubjectToLoan[#Headers])+1,subjectKnownBalanceDate,IF(OR(INDEX(tblSubjectToLoan[Date],ROW()-ROW(tblSubjectToLoan[#Headers])-1)="",INDEX(tblSubjectToLoan[Date],ROW()-ROW(tblSubjectToLoan[#Headers])-1)&gt;=subjectMortgageEndDate),"",EDATE(INDEX(tblSubjectToLoan[Date],ROW()-ROW(tblSubjectToLoan[#Headers])-1),1)))</f>
        <v>48274</v>
      </c>
      <c r="B99" s="276">
        <f>IF(tblSubjectToLoan[[#This Row],[Date]]="",0,IF(ROW()=ROW(tblSubjectToLoan[#Headers])+1,subjectKnownBalance,MAX(0,INDEX(tblSubjectToLoan[Ending Balance],ROW()-ROW(tblSubjectToLoan[#Headers])-1))))</f>
        <v>68428.069999999949</v>
      </c>
      <c r="C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9" s="14">
        <f>IF(tblSubjectToLoan[[#This Row],[Payment]]=0,0,MAX(0,MIN(tblSubjectToLoan[[#This Row],[Beginning Balance]],tblSubjectToLoan[[#This Row],[Payment]]-tblSubjectToLoan[[#This Row],[Int]])))</f>
        <v>411.96999999999991</v>
      </c>
      <c r="E99" s="14">
        <f>IF(tblSubjectToLoan[[#This Row],[Date]]="",0,ROUND(tblSubjectToLoan[[#This Row],[Beginning Balance]]*(subjectInterestRate/12),2))</f>
        <v>213.84</v>
      </c>
      <c r="F99" s="14">
        <f t="shared" si="7"/>
        <v>134.16999999999999</v>
      </c>
      <c r="G99" s="14">
        <f t="shared" si="7"/>
        <v>188.55</v>
      </c>
      <c r="H99" s="14">
        <f>SUM(tblSubjectToLoan[[#This Row],[Princ]],tblSubjectToLoan[[#This Row],[Int]],tblSubjectToLoan[[#This Row],[Ins]],tblSubjectToLoan[[#This Row],[Taxes]])</f>
        <v>948.53</v>
      </c>
      <c r="I99" s="276">
        <f>IF(tblSubjectToLoan[[#This Row],[Date]]="",IF(ROW()=ROW(tblSubjectToLoan[#Headers])+1,0,INDEX(tblSubjectToLoan[Principal],ROW()-ROW(tblSubjectToLoan[#Headers])-1)),tblSubjectToLoan[[#This Row],[Princ]]+IF(ROW()=ROW(tblSubjectToLoan[#Headers])+1,0,INDEX(tblSubjectToLoan[Principal],ROW()-ROW(tblSubjectToLoan[#Headers])-1)))</f>
        <v>29211.899999999998</v>
      </c>
      <c r="J99" s="276">
        <f>IF(tblSubjectToLoan[[#This Row],[Date]]="",IF(ROW()=ROW(tblSubjectToLoan[#Headers])+1,0,INDEX(tblSubjectToLoan[Interest],ROW()-ROW(tblSubjectToLoan[#Headers])-1)),tblSubjectToLoan[[#This Row],[Int]]+IF(ROW()=ROW(tblSubjectToLoan[#Headers])+1,0,INDEX(tblSubjectToLoan[Interest],ROW()-ROW(tblSubjectToLoan[#Headers])-1)))</f>
        <v>20852.900000000001</v>
      </c>
      <c r="K99" s="969">
        <f>IF(tblSubjectToLoan[[#This Row],[Date]]="",0,MAX(0,tblSubjectToLoan[[#This Row],[Beginning Balance]]-tblSubjectToLoan[[#This Row],[Princ]]))</f>
        <v>68016.099999999948</v>
      </c>
      <c r="L99" s="394">
        <f t="shared" si="5"/>
        <v>6</v>
      </c>
      <c r="M99" s="394">
        <f t="shared" si="6"/>
        <v>79</v>
      </c>
      <c r="N99" s="613">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67">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994.45000000000198</v>
      </c>
      <c r="AD99" s="276">
        <f>IF(INDEX(tblContractForDeed[End Bal],ROW()-ROW(tblBuyerOutputs[#Headers]))&lt;=0,0,($O$6+IF(ROW()=ROW(tblBuyerOutputs[#Headers])+1,0,INDEX(tblBuyerOutputs[Cumul Appr],ROW()-ROW(tblBuyerOutputs[#Headers])-1)))*$O$2/12)</f>
        <v>0</v>
      </c>
      <c r="AE99" s="276">
        <f>IF(INDEX(tblContractForDeed[End Bal],ROW()-ROW(tblBuyerOutputs[#Headers]))&lt;=0,0,IF(ROW()=ROW(tblBuyerOutputs[#Headers])+1,0,INDEX(tblBuyerOutputs[Cumul Appr],ROW()-ROW(tblBuyerOutputs[#Headers])-1))+tblBuyerOutputs[[#This Row],[Monthly Appr]])</f>
        <v>0</v>
      </c>
      <c r="AF99" s="22"/>
      <c r="AG99" s="14"/>
      <c r="AL99"/>
      <c r="AM99" s="14"/>
      <c r="AO99" s="276"/>
      <c r="AQ99" s="14"/>
      <c r="AR99"/>
    </row>
    <row r="100" spans="1:44" x14ac:dyDescent="0.25">
      <c r="A100" s="613">
        <f>IF(ROW()=ROW(tblSubjectToLoan[#Headers])+1,subjectKnownBalanceDate,IF(OR(INDEX(tblSubjectToLoan[Date],ROW()-ROW(tblSubjectToLoan[#Headers])-1)="",INDEX(tblSubjectToLoan[Date],ROW()-ROW(tblSubjectToLoan[#Headers])-1)&gt;=subjectMortgageEndDate),"",EDATE(INDEX(tblSubjectToLoan[Date],ROW()-ROW(tblSubjectToLoan[#Headers])-1),1)))</f>
        <v>48305</v>
      </c>
      <c r="B100" s="276">
        <f>IF(tblSubjectToLoan[[#This Row],[Date]]="",0,IF(ROW()=ROW(tblSubjectToLoan[#Headers])+1,subjectKnownBalance,MAX(0,INDEX(tblSubjectToLoan[Ending Balance],ROW()-ROW(tblSubjectToLoan[#Headers])-1))))</f>
        <v>68016.099999999948</v>
      </c>
      <c r="C1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0" s="14">
        <f>IF(tblSubjectToLoan[[#This Row],[Payment]]=0,0,MAX(0,MIN(tblSubjectToLoan[[#This Row],[Beginning Balance]],tblSubjectToLoan[[#This Row],[Payment]]-tblSubjectToLoan[[#This Row],[Int]])))</f>
        <v>413.25999999999993</v>
      </c>
      <c r="E100" s="14">
        <f>IF(tblSubjectToLoan[[#This Row],[Date]]="",0,ROUND(tblSubjectToLoan[[#This Row],[Beginning Balance]]*(subjectInterestRate/12),2))</f>
        <v>212.55</v>
      </c>
      <c r="F100" s="14">
        <f t="shared" si="7"/>
        <v>134.16999999999999</v>
      </c>
      <c r="G100" s="14">
        <f t="shared" si="7"/>
        <v>188.55</v>
      </c>
      <c r="H100" s="14">
        <f>SUM(tblSubjectToLoan[[#This Row],[Princ]],tblSubjectToLoan[[#This Row],[Int]],tblSubjectToLoan[[#This Row],[Ins]],tblSubjectToLoan[[#This Row],[Taxes]])</f>
        <v>948.53</v>
      </c>
      <c r="I100" s="276">
        <f>IF(tblSubjectToLoan[[#This Row],[Date]]="",IF(ROW()=ROW(tblSubjectToLoan[#Headers])+1,0,INDEX(tblSubjectToLoan[Principal],ROW()-ROW(tblSubjectToLoan[#Headers])-1)),tblSubjectToLoan[[#This Row],[Princ]]+IF(ROW()=ROW(tblSubjectToLoan[#Headers])+1,0,INDEX(tblSubjectToLoan[Principal],ROW()-ROW(tblSubjectToLoan[#Headers])-1)))</f>
        <v>29625.159999999996</v>
      </c>
      <c r="J100" s="276">
        <f>IF(tblSubjectToLoan[[#This Row],[Date]]="",IF(ROW()=ROW(tblSubjectToLoan[#Headers])+1,0,INDEX(tblSubjectToLoan[Interest],ROW()-ROW(tblSubjectToLoan[#Headers])-1)),tblSubjectToLoan[[#This Row],[Int]]+IF(ROW()=ROW(tblSubjectToLoan[#Headers])+1,0,INDEX(tblSubjectToLoan[Interest],ROW()-ROW(tblSubjectToLoan[#Headers])-1)))</f>
        <v>21065.45</v>
      </c>
      <c r="K100" s="969">
        <f>IF(tblSubjectToLoan[[#This Row],[Date]]="",0,MAX(0,tblSubjectToLoan[[#This Row],[Beginning Balance]]-tblSubjectToLoan[[#This Row],[Princ]]))</f>
        <v>67602.839999999953</v>
      </c>
      <c r="L100" s="394">
        <f t="shared" si="5"/>
        <v>6</v>
      </c>
      <c r="M100" s="394">
        <f t="shared" si="6"/>
        <v>80</v>
      </c>
      <c r="N100" s="613">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67">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1028.540000000002</v>
      </c>
      <c r="AD100" s="276">
        <f>IF(INDEX(tblContractForDeed[End Bal],ROW()-ROW(tblBuyerOutputs[#Headers]))&lt;=0,0,($O$6+IF(ROW()=ROW(tblBuyerOutputs[#Headers])+1,0,INDEX(tblBuyerOutputs[Cumul Appr],ROW()-ROW(tblBuyerOutputs[#Headers])-1)))*$O$2/12)</f>
        <v>0</v>
      </c>
      <c r="AE100" s="276">
        <f>IF(INDEX(tblContractForDeed[End Bal],ROW()-ROW(tblBuyerOutputs[#Headers]))&lt;=0,0,IF(ROW()=ROW(tblBuyerOutputs[#Headers])+1,0,INDEX(tblBuyerOutputs[Cumul Appr],ROW()-ROW(tblBuyerOutputs[#Headers])-1))+tblBuyerOutputs[[#This Row],[Monthly Appr]])</f>
        <v>0</v>
      </c>
      <c r="AF100" s="22"/>
      <c r="AG100" s="14"/>
      <c r="AL100"/>
      <c r="AM100" s="14"/>
      <c r="AO100" s="276"/>
      <c r="AQ100" s="14"/>
      <c r="AR100"/>
    </row>
    <row r="101" spans="1:44" x14ac:dyDescent="0.25">
      <c r="A101" s="613">
        <f>IF(ROW()=ROW(tblSubjectToLoan[#Headers])+1,subjectKnownBalanceDate,IF(OR(INDEX(tblSubjectToLoan[Date],ROW()-ROW(tblSubjectToLoan[#Headers])-1)="",INDEX(tblSubjectToLoan[Date],ROW()-ROW(tblSubjectToLoan[#Headers])-1)&gt;=subjectMortgageEndDate),"",EDATE(INDEX(tblSubjectToLoan[Date],ROW()-ROW(tblSubjectToLoan[#Headers])-1),1)))</f>
        <v>48335</v>
      </c>
      <c r="B101" s="276">
        <f>IF(tblSubjectToLoan[[#This Row],[Date]]="",0,IF(ROW()=ROW(tblSubjectToLoan[#Headers])+1,subjectKnownBalance,MAX(0,INDEX(tblSubjectToLoan[Ending Balance],ROW()-ROW(tblSubjectToLoan[#Headers])-1))))</f>
        <v>67602.839999999953</v>
      </c>
      <c r="C1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1" s="14">
        <f>IF(tblSubjectToLoan[[#This Row],[Payment]]=0,0,MAX(0,MIN(tblSubjectToLoan[[#This Row],[Beginning Balance]],tblSubjectToLoan[[#This Row],[Payment]]-tblSubjectToLoan[[#This Row],[Int]])))</f>
        <v>414.54999999999995</v>
      </c>
      <c r="E101" s="14">
        <f>IF(tblSubjectToLoan[[#This Row],[Date]]="",0,ROUND(tblSubjectToLoan[[#This Row],[Beginning Balance]]*(subjectInterestRate/12),2))</f>
        <v>211.26</v>
      </c>
      <c r="F101" s="14">
        <f t="shared" si="7"/>
        <v>134.16999999999999</v>
      </c>
      <c r="G101" s="14">
        <f t="shared" si="7"/>
        <v>188.55</v>
      </c>
      <c r="H101" s="14">
        <f>SUM(tblSubjectToLoan[[#This Row],[Princ]],tblSubjectToLoan[[#This Row],[Int]],tblSubjectToLoan[[#This Row],[Ins]],tblSubjectToLoan[[#This Row],[Taxes]])</f>
        <v>948.53</v>
      </c>
      <c r="I101" s="276">
        <f>IF(tblSubjectToLoan[[#This Row],[Date]]="",IF(ROW()=ROW(tblSubjectToLoan[#Headers])+1,0,INDEX(tblSubjectToLoan[Principal],ROW()-ROW(tblSubjectToLoan[#Headers])-1)),tblSubjectToLoan[[#This Row],[Princ]]+IF(ROW()=ROW(tblSubjectToLoan[#Headers])+1,0,INDEX(tblSubjectToLoan[Principal],ROW()-ROW(tblSubjectToLoan[#Headers])-1)))</f>
        <v>30039.709999999995</v>
      </c>
      <c r="J101" s="276">
        <f>IF(tblSubjectToLoan[[#This Row],[Date]]="",IF(ROW()=ROW(tblSubjectToLoan[#Headers])+1,0,INDEX(tblSubjectToLoan[Interest],ROW()-ROW(tblSubjectToLoan[#Headers])-1)),tblSubjectToLoan[[#This Row],[Int]]+IF(ROW()=ROW(tblSubjectToLoan[#Headers])+1,0,INDEX(tblSubjectToLoan[Interest],ROW()-ROW(tblSubjectToLoan[#Headers])-1)))</f>
        <v>21276.71</v>
      </c>
      <c r="K101" s="969">
        <f>IF(tblSubjectToLoan[[#This Row],[Date]]="",0,MAX(0,tblSubjectToLoan[[#This Row],[Beginning Balance]]-tblSubjectToLoan[[#This Row],[Princ]]))</f>
        <v>67188.28999999995</v>
      </c>
      <c r="L101" s="394">
        <f t="shared" si="5"/>
        <v>6</v>
      </c>
      <c r="M101" s="394">
        <f t="shared" si="6"/>
        <v>81</v>
      </c>
      <c r="N101" s="613">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67">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1062.6300000000019</v>
      </c>
      <c r="AD101" s="276">
        <f>IF(INDEX(tblContractForDeed[End Bal],ROW()-ROW(tblBuyerOutputs[#Headers]))&lt;=0,0,($O$6+IF(ROW()=ROW(tblBuyerOutputs[#Headers])+1,0,INDEX(tblBuyerOutputs[Cumul Appr],ROW()-ROW(tblBuyerOutputs[#Headers])-1)))*$O$2/12)</f>
        <v>0</v>
      </c>
      <c r="AE101" s="276">
        <f>IF(INDEX(tblContractForDeed[End Bal],ROW()-ROW(tblBuyerOutputs[#Headers]))&lt;=0,0,IF(ROW()=ROW(tblBuyerOutputs[#Headers])+1,0,INDEX(tblBuyerOutputs[Cumul Appr],ROW()-ROW(tblBuyerOutputs[#Headers])-1))+tblBuyerOutputs[[#This Row],[Monthly Appr]])</f>
        <v>0</v>
      </c>
      <c r="AF101" s="22"/>
      <c r="AG101" s="14"/>
      <c r="AL101"/>
      <c r="AM101" s="14"/>
      <c r="AO101" s="276"/>
      <c r="AQ101" s="14"/>
      <c r="AR101"/>
    </row>
    <row r="102" spans="1:44" x14ac:dyDescent="0.25">
      <c r="A102" s="613">
        <f>IF(ROW()=ROW(tblSubjectToLoan[#Headers])+1,subjectKnownBalanceDate,IF(OR(INDEX(tblSubjectToLoan[Date],ROW()-ROW(tblSubjectToLoan[#Headers])-1)="",INDEX(tblSubjectToLoan[Date],ROW()-ROW(tblSubjectToLoan[#Headers])-1)&gt;=subjectMortgageEndDate),"",EDATE(INDEX(tblSubjectToLoan[Date],ROW()-ROW(tblSubjectToLoan[#Headers])-1),1)))</f>
        <v>48366</v>
      </c>
      <c r="B102" s="276">
        <f>IF(tblSubjectToLoan[[#This Row],[Date]]="",0,IF(ROW()=ROW(tblSubjectToLoan[#Headers])+1,subjectKnownBalance,MAX(0,INDEX(tblSubjectToLoan[Ending Balance],ROW()-ROW(tblSubjectToLoan[#Headers])-1))))</f>
        <v>67188.28999999995</v>
      </c>
      <c r="C1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2" s="14">
        <f>IF(tblSubjectToLoan[[#This Row],[Payment]]=0,0,MAX(0,MIN(tblSubjectToLoan[[#This Row],[Beginning Balance]],tblSubjectToLoan[[#This Row],[Payment]]-tblSubjectToLoan[[#This Row],[Int]])))</f>
        <v>415.84999999999991</v>
      </c>
      <c r="E102" s="14">
        <f>IF(tblSubjectToLoan[[#This Row],[Date]]="",0,ROUND(tblSubjectToLoan[[#This Row],[Beginning Balance]]*(subjectInterestRate/12),2))</f>
        <v>209.96</v>
      </c>
      <c r="F102" s="14">
        <f t="shared" si="7"/>
        <v>134.16999999999999</v>
      </c>
      <c r="G102" s="14">
        <f t="shared" si="7"/>
        <v>188.55</v>
      </c>
      <c r="H102" s="14">
        <f>SUM(tblSubjectToLoan[[#This Row],[Princ]],tblSubjectToLoan[[#This Row],[Int]],tblSubjectToLoan[[#This Row],[Ins]],tblSubjectToLoan[[#This Row],[Taxes]])</f>
        <v>948.53</v>
      </c>
      <c r="I102" s="276">
        <f>IF(tblSubjectToLoan[[#This Row],[Date]]="",IF(ROW()=ROW(tblSubjectToLoan[#Headers])+1,0,INDEX(tblSubjectToLoan[Principal],ROW()-ROW(tblSubjectToLoan[#Headers])-1)),tblSubjectToLoan[[#This Row],[Princ]]+IF(ROW()=ROW(tblSubjectToLoan[#Headers])+1,0,INDEX(tblSubjectToLoan[Principal],ROW()-ROW(tblSubjectToLoan[#Headers])-1)))</f>
        <v>30455.559999999994</v>
      </c>
      <c r="J102" s="276">
        <f>IF(tblSubjectToLoan[[#This Row],[Date]]="",IF(ROW()=ROW(tblSubjectToLoan[#Headers])+1,0,INDEX(tblSubjectToLoan[Interest],ROW()-ROW(tblSubjectToLoan[#Headers])-1)),tblSubjectToLoan[[#This Row],[Int]]+IF(ROW()=ROW(tblSubjectToLoan[#Headers])+1,0,INDEX(tblSubjectToLoan[Interest],ROW()-ROW(tblSubjectToLoan[#Headers])-1)))</f>
        <v>21486.67</v>
      </c>
      <c r="K102" s="969">
        <f>IF(tblSubjectToLoan[[#This Row],[Date]]="",0,MAX(0,tblSubjectToLoan[[#This Row],[Beginning Balance]]-tblSubjectToLoan[[#This Row],[Princ]]))</f>
        <v>66772.439999999944</v>
      </c>
      <c r="L102" s="394">
        <f t="shared" si="5"/>
        <v>6</v>
      </c>
      <c r="M102" s="394">
        <f t="shared" si="6"/>
        <v>82</v>
      </c>
      <c r="N102" s="613">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67">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1096.7200000000021</v>
      </c>
      <c r="AD102" s="276">
        <f>IF(INDEX(tblContractForDeed[End Bal],ROW()-ROW(tblBuyerOutputs[#Headers]))&lt;=0,0,($O$6+IF(ROW()=ROW(tblBuyerOutputs[#Headers])+1,0,INDEX(tblBuyerOutputs[Cumul Appr],ROW()-ROW(tblBuyerOutputs[#Headers])-1)))*$O$2/12)</f>
        <v>0</v>
      </c>
      <c r="AE102" s="276">
        <f>IF(INDEX(tblContractForDeed[End Bal],ROW()-ROW(tblBuyerOutputs[#Headers]))&lt;=0,0,IF(ROW()=ROW(tblBuyerOutputs[#Headers])+1,0,INDEX(tblBuyerOutputs[Cumul Appr],ROW()-ROW(tblBuyerOutputs[#Headers])-1))+tblBuyerOutputs[[#This Row],[Monthly Appr]])</f>
        <v>0</v>
      </c>
      <c r="AF102" s="22"/>
      <c r="AG102" s="14"/>
      <c r="AL102"/>
      <c r="AM102" s="14"/>
      <c r="AO102" s="276"/>
      <c r="AQ102" s="14"/>
      <c r="AR102"/>
    </row>
    <row r="103" spans="1:44" ht="15.75" thickBot="1" x14ac:dyDescent="0.3">
      <c r="A103" s="614">
        <f>IF(ROW()=ROW(tblSubjectToLoan[#Headers])+1,subjectKnownBalanceDate,IF(OR(INDEX(tblSubjectToLoan[Date],ROW()-ROW(tblSubjectToLoan[#Headers])-1)="",INDEX(tblSubjectToLoan[Date],ROW()-ROW(tblSubjectToLoan[#Headers])-1)&gt;=subjectMortgageEndDate),"",EDATE(INDEX(tblSubjectToLoan[Date],ROW()-ROW(tblSubjectToLoan[#Headers])-1),1)))</f>
        <v>48396</v>
      </c>
      <c r="B103" s="332">
        <f>IF(tblSubjectToLoan[[#This Row],[Date]]="",0,IF(ROW()=ROW(tblSubjectToLoan[#Headers])+1,subjectKnownBalance,MAX(0,INDEX(tblSubjectToLoan[Ending Balance],ROW()-ROW(tblSubjectToLoan[#Headers])-1))))</f>
        <v>66772.439999999944</v>
      </c>
      <c r="C10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3" s="21">
        <f>IF(tblSubjectToLoan[[#This Row],[Payment]]=0,0,MAX(0,MIN(tblSubjectToLoan[[#This Row],[Beginning Balance]],tblSubjectToLoan[[#This Row],[Payment]]-tblSubjectToLoan[[#This Row],[Int]])))</f>
        <v>417.15</v>
      </c>
      <c r="E103" s="21">
        <f>IF(tblSubjectToLoan[[#This Row],[Date]]="",0,ROUND(tblSubjectToLoan[[#This Row],[Beginning Balance]]*(subjectInterestRate/12),2))</f>
        <v>208.66</v>
      </c>
      <c r="F103" s="21">
        <f t="shared" si="7"/>
        <v>134.16999999999999</v>
      </c>
      <c r="G103" s="21">
        <f t="shared" si="7"/>
        <v>188.55</v>
      </c>
      <c r="H103" s="21">
        <f>SUM(tblSubjectToLoan[[#This Row],[Princ]],tblSubjectToLoan[[#This Row],[Int]],tblSubjectToLoan[[#This Row],[Ins]],tblSubjectToLoan[[#This Row],[Taxes]])</f>
        <v>948.53</v>
      </c>
      <c r="I103" s="332">
        <f>IF(tblSubjectToLoan[[#This Row],[Date]]="",IF(ROW()=ROW(tblSubjectToLoan[#Headers])+1,0,INDEX(tblSubjectToLoan[Principal],ROW()-ROW(tblSubjectToLoan[#Headers])-1)),tblSubjectToLoan[[#This Row],[Princ]]+IF(ROW()=ROW(tblSubjectToLoan[#Headers])+1,0,INDEX(tblSubjectToLoan[Principal],ROW()-ROW(tblSubjectToLoan[#Headers])-1)))</f>
        <v>30872.709999999995</v>
      </c>
      <c r="J103" s="332">
        <f>IF(tblSubjectToLoan[[#This Row],[Date]]="",IF(ROW()=ROW(tblSubjectToLoan[#Headers])+1,0,INDEX(tblSubjectToLoan[Interest],ROW()-ROW(tblSubjectToLoan[#Headers])-1)),tblSubjectToLoan[[#This Row],[Int]]+IF(ROW()=ROW(tblSubjectToLoan[#Headers])+1,0,INDEX(tblSubjectToLoan[Interest],ROW()-ROW(tblSubjectToLoan[#Headers])-1)))</f>
        <v>21695.329999999998</v>
      </c>
      <c r="K103" s="970">
        <f>IF(tblSubjectToLoan[[#This Row],[Date]]="",0,MAX(0,tblSubjectToLoan[[#This Row],[Beginning Balance]]-tblSubjectToLoan[[#This Row],[Princ]]))</f>
        <v>66355.28999999995</v>
      </c>
      <c r="L103" s="395">
        <f t="shared" si="5"/>
        <v>6</v>
      </c>
      <c r="M103" s="395">
        <f t="shared" si="6"/>
        <v>83</v>
      </c>
      <c r="N103" s="614">
        <f>INDEX(tblSubjectToLoan[Date],ROW()-ROW(tblContractForDeed[#Headers]))</f>
        <v>48396</v>
      </c>
      <c r="O103" s="332">
        <f>IF(ROW()=ROW(tblContractForDeed[#Headers])+1,$O$6,IF(INDEX(tblContractForDeed[End Bal],ROW()-ROW(tblContractForDeed[#Headers])-1)&lt;0,0,INDEX(tblContractForDeed[End Bal],ROW()-ROW(tblContractForDeed[#Headers])-1)))</f>
        <v>53303.570000000007</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360.07</v>
      </c>
      <c r="S103" s="332">
        <f>IF(OR(tblContractForDeed[[#This Row],[Date]]&lt;cfdContractDate,tblContractForDeed[[#This Row],[Date]]&gt;cfdEndDate),0,ROUND(tblContractForDeed[[#This Row],[Beg]]*(tblContractForDeed[[#This Row],[Int Rate]]/12),2))</f>
        <v>299.83</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22314.500000000007</v>
      </c>
      <c r="X103" s="332">
        <f>IF(tblContractForDeed[[#This Row],[Beg]]&lt;=0,0,tblContractForDeed[[#This Row],[Beg]]-tblContractForDeed[[#This Row],[Princ]])</f>
        <v>52943.500000000007</v>
      </c>
      <c r="Y10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68">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1130.8100000000022</v>
      </c>
      <c r="AD103" s="332">
        <f>IF(INDEX(tblContractForDeed[End Bal],ROW()-ROW(tblBuyerOutputs[#Headers]))&lt;=0,0,($O$6+IF(ROW()=ROW(tblBuyerOutputs[#Headers])+1,0,INDEX(tblBuyerOutputs[Cumul Appr],ROW()-ROW(tblBuyerOutputs[#Headers])-1)))*$O$2/12)</f>
        <v>0</v>
      </c>
      <c r="AE103" s="332">
        <f>IF(INDEX(tblContractForDeed[End Bal],ROW()-ROW(tblBuyerOutputs[#Headers]))&lt;=0,0,IF(ROW()=ROW(tblBuyerOutputs[#Headers])+1,0,INDEX(tblBuyerOutputs[Cumul Appr],ROW()-ROW(tblBuyerOutputs[#Headers])-1))+tblBuyerOutputs[[#This Row],[Monthly Appr]])</f>
        <v>0</v>
      </c>
      <c r="AF103" s="22"/>
      <c r="AG103" s="14"/>
      <c r="AL103"/>
      <c r="AM103" s="14"/>
      <c r="AO103" s="276"/>
      <c r="AQ103" s="14"/>
      <c r="AR103"/>
    </row>
    <row r="104" spans="1:44" x14ac:dyDescent="0.25">
      <c r="A104" s="613">
        <f>IF(ROW()=ROW(tblSubjectToLoan[#Headers])+1,subjectKnownBalanceDate,IF(OR(INDEX(tblSubjectToLoan[Date],ROW()-ROW(tblSubjectToLoan[#Headers])-1)="",INDEX(tblSubjectToLoan[Date],ROW()-ROW(tblSubjectToLoan[#Headers])-1)&gt;=subjectMortgageEndDate),"",EDATE(INDEX(tblSubjectToLoan[Date],ROW()-ROW(tblSubjectToLoan[#Headers])-1),1)))</f>
        <v>48427</v>
      </c>
      <c r="B104" s="276">
        <f>IF(tblSubjectToLoan[[#This Row],[Date]]="",0,IF(ROW()=ROW(tblSubjectToLoan[#Headers])+1,subjectKnownBalance,MAX(0,INDEX(tblSubjectToLoan[Ending Balance],ROW()-ROW(tblSubjectToLoan[#Headers])-1))))</f>
        <v>66355.28999999995</v>
      </c>
      <c r="C1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4" s="14">
        <f>IF(tblSubjectToLoan[[#This Row],[Payment]]=0,0,MAX(0,MIN(tblSubjectToLoan[[#This Row],[Beginning Balance]],tblSubjectToLoan[[#This Row],[Payment]]-tblSubjectToLoan[[#This Row],[Int]])))</f>
        <v>418.44999999999993</v>
      </c>
      <c r="E104" s="14">
        <f>IF(tblSubjectToLoan[[#This Row],[Date]]="",0,ROUND(tblSubjectToLoan[[#This Row],[Beginning Balance]]*(subjectInterestRate/12),2))</f>
        <v>207.36</v>
      </c>
      <c r="F104" s="14">
        <f t="shared" si="7"/>
        <v>134.16999999999999</v>
      </c>
      <c r="G104" s="14">
        <f t="shared" si="7"/>
        <v>188.55</v>
      </c>
      <c r="H104" s="14">
        <f>SUM(tblSubjectToLoan[[#This Row],[Princ]],tblSubjectToLoan[[#This Row],[Int]],tblSubjectToLoan[[#This Row],[Ins]],tblSubjectToLoan[[#This Row],[Taxes]])</f>
        <v>948.53</v>
      </c>
      <c r="I104" s="276">
        <f>IF(tblSubjectToLoan[[#This Row],[Date]]="",IF(ROW()=ROW(tblSubjectToLoan[#Headers])+1,0,INDEX(tblSubjectToLoan[Principal],ROW()-ROW(tblSubjectToLoan[#Headers])-1)),tblSubjectToLoan[[#This Row],[Princ]]+IF(ROW()=ROW(tblSubjectToLoan[#Headers])+1,0,INDEX(tblSubjectToLoan[Principal],ROW()-ROW(tblSubjectToLoan[#Headers])-1)))</f>
        <v>31291.159999999996</v>
      </c>
      <c r="J104" s="276">
        <f>IF(tblSubjectToLoan[[#This Row],[Date]]="",IF(ROW()=ROW(tblSubjectToLoan[#Headers])+1,0,INDEX(tblSubjectToLoan[Interest],ROW()-ROW(tblSubjectToLoan[#Headers])-1)),tblSubjectToLoan[[#This Row],[Int]]+IF(ROW()=ROW(tblSubjectToLoan[#Headers])+1,0,INDEX(tblSubjectToLoan[Interest],ROW()-ROW(tblSubjectToLoan[#Headers])-1)))</f>
        <v>21902.69</v>
      </c>
      <c r="K104" s="969">
        <f>IF(tblSubjectToLoan[[#This Row],[Date]]="",0,MAX(0,tblSubjectToLoan[[#This Row],[Beginning Balance]]-tblSubjectToLoan[[#This Row],[Princ]]))</f>
        <v>65936.839999999953</v>
      </c>
      <c r="L104" s="394">
        <f t="shared" si="5"/>
        <v>7</v>
      </c>
      <c r="M104" s="394">
        <f t="shared" si="6"/>
        <v>84</v>
      </c>
      <c r="N104" s="613">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67">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1164.9000000000024</v>
      </c>
      <c r="AD104" s="276">
        <f>IF(INDEX(tblContractForDeed[End Bal],ROW()-ROW(tblBuyerOutputs[#Headers]))&lt;=0,0,($O$6+IF(ROW()=ROW(tblBuyerOutputs[#Headers])+1,0,INDEX(tblBuyerOutputs[Cumul Appr],ROW()-ROW(tblBuyerOutputs[#Headers])-1)))*$O$2/12)</f>
        <v>0</v>
      </c>
      <c r="AE104" s="276">
        <f>IF(INDEX(tblContractForDeed[End Bal],ROW()-ROW(tblBuyerOutputs[#Headers]))&lt;=0,0,IF(ROW()=ROW(tblBuyerOutputs[#Headers])+1,0,INDEX(tblBuyerOutputs[Cumul Appr],ROW()-ROW(tblBuyerOutputs[#Headers])-1))+tblBuyerOutputs[[#This Row],[Monthly Appr]])</f>
        <v>0</v>
      </c>
      <c r="AF104" s="22"/>
      <c r="AG104" s="14"/>
      <c r="AL104"/>
      <c r="AM104" s="14"/>
      <c r="AO104" s="276"/>
      <c r="AQ104" s="14"/>
      <c r="AR104"/>
    </row>
    <row r="105" spans="1:44" x14ac:dyDescent="0.25">
      <c r="A105" s="613">
        <f>IF(ROW()=ROW(tblSubjectToLoan[#Headers])+1,subjectKnownBalanceDate,IF(OR(INDEX(tblSubjectToLoan[Date],ROW()-ROW(tblSubjectToLoan[#Headers])-1)="",INDEX(tblSubjectToLoan[Date],ROW()-ROW(tblSubjectToLoan[#Headers])-1)&gt;=subjectMortgageEndDate),"",EDATE(INDEX(tblSubjectToLoan[Date],ROW()-ROW(tblSubjectToLoan[#Headers])-1),1)))</f>
        <v>48458</v>
      </c>
      <c r="B105" s="276">
        <f>IF(tblSubjectToLoan[[#This Row],[Date]]="",0,IF(ROW()=ROW(tblSubjectToLoan[#Headers])+1,subjectKnownBalance,MAX(0,INDEX(tblSubjectToLoan[Ending Balance],ROW()-ROW(tblSubjectToLoan[#Headers])-1))))</f>
        <v>65936.839999999953</v>
      </c>
      <c r="C1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5" s="14">
        <f>IF(tblSubjectToLoan[[#This Row],[Payment]]=0,0,MAX(0,MIN(tblSubjectToLoan[[#This Row],[Beginning Balance]],tblSubjectToLoan[[#This Row],[Payment]]-tblSubjectToLoan[[#This Row],[Int]])))</f>
        <v>419.75999999999993</v>
      </c>
      <c r="E105" s="14">
        <f>IF(tblSubjectToLoan[[#This Row],[Date]]="",0,ROUND(tblSubjectToLoan[[#This Row],[Beginning Balance]]*(subjectInterestRate/12),2))</f>
        <v>206.05</v>
      </c>
      <c r="F105" s="14">
        <f t="shared" si="7"/>
        <v>134.16999999999999</v>
      </c>
      <c r="G105" s="14">
        <f t="shared" si="7"/>
        <v>188.55</v>
      </c>
      <c r="H105" s="14">
        <f>SUM(tblSubjectToLoan[[#This Row],[Princ]],tblSubjectToLoan[[#This Row],[Int]],tblSubjectToLoan[[#This Row],[Ins]],tblSubjectToLoan[[#This Row],[Taxes]])</f>
        <v>948.53</v>
      </c>
      <c r="I105" s="276">
        <f>IF(tblSubjectToLoan[[#This Row],[Date]]="",IF(ROW()=ROW(tblSubjectToLoan[#Headers])+1,0,INDEX(tblSubjectToLoan[Principal],ROW()-ROW(tblSubjectToLoan[#Headers])-1)),tblSubjectToLoan[[#This Row],[Princ]]+IF(ROW()=ROW(tblSubjectToLoan[#Headers])+1,0,INDEX(tblSubjectToLoan[Principal],ROW()-ROW(tblSubjectToLoan[#Headers])-1)))</f>
        <v>31710.919999999995</v>
      </c>
      <c r="J105" s="276">
        <f>IF(tblSubjectToLoan[[#This Row],[Date]]="",IF(ROW()=ROW(tblSubjectToLoan[#Headers])+1,0,INDEX(tblSubjectToLoan[Interest],ROW()-ROW(tblSubjectToLoan[#Headers])-1)),tblSubjectToLoan[[#This Row],[Int]]+IF(ROW()=ROW(tblSubjectToLoan[#Headers])+1,0,INDEX(tblSubjectToLoan[Interest],ROW()-ROW(tblSubjectToLoan[#Headers])-1)))</f>
        <v>22108.739999999998</v>
      </c>
      <c r="K105" s="969">
        <f>IF(tblSubjectToLoan[[#This Row],[Date]]="",0,MAX(0,tblSubjectToLoan[[#This Row],[Beginning Balance]]-tblSubjectToLoan[[#This Row],[Princ]]))</f>
        <v>65517.079999999951</v>
      </c>
      <c r="L105" s="394">
        <f t="shared" si="5"/>
        <v>7</v>
      </c>
      <c r="M105" s="394">
        <f t="shared" si="6"/>
        <v>85</v>
      </c>
      <c r="N105" s="613">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67">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1198.9900000000025</v>
      </c>
      <c r="AD105" s="276">
        <f>IF(INDEX(tblContractForDeed[End Bal],ROW()-ROW(tblBuyerOutputs[#Headers]))&lt;=0,0,($O$6+IF(ROW()=ROW(tblBuyerOutputs[#Headers])+1,0,INDEX(tblBuyerOutputs[Cumul Appr],ROW()-ROW(tblBuyerOutputs[#Headers])-1)))*$O$2/12)</f>
        <v>0</v>
      </c>
      <c r="AE105" s="276">
        <f>IF(INDEX(tblContractForDeed[End Bal],ROW()-ROW(tblBuyerOutputs[#Headers]))&lt;=0,0,IF(ROW()=ROW(tblBuyerOutputs[#Headers])+1,0,INDEX(tblBuyerOutputs[Cumul Appr],ROW()-ROW(tblBuyerOutputs[#Headers])-1))+tblBuyerOutputs[[#This Row],[Monthly Appr]])</f>
        <v>0</v>
      </c>
      <c r="AF105" s="22"/>
      <c r="AG105" s="14"/>
      <c r="AL105"/>
      <c r="AM105" s="14"/>
      <c r="AO105" s="276"/>
      <c r="AQ105" s="14"/>
      <c r="AR105"/>
    </row>
    <row r="106" spans="1:44" x14ac:dyDescent="0.25">
      <c r="A106" s="613">
        <f>IF(ROW()=ROW(tblSubjectToLoan[#Headers])+1,subjectKnownBalanceDate,IF(OR(INDEX(tblSubjectToLoan[Date],ROW()-ROW(tblSubjectToLoan[#Headers])-1)="",INDEX(tblSubjectToLoan[Date],ROW()-ROW(tblSubjectToLoan[#Headers])-1)&gt;=subjectMortgageEndDate),"",EDATE(INDEX(tblSubjectToLoan[Date],ROW()-ROW(tblSubjectToLoan[#Headers])-1),1)))</f>
        <v>48488</v>
      </c>
      <c r="B106" s="276">
        <f>IF(tblSubjectToLoan[[#This Row],[Date]]="",0,IF(ROW()=ROW(tblSubjectToLoan[#Headers])+1,subjectKnownBalance,MAX(0,INDEX(tblSubjectToLoan[Ending Balance],ROW()-ROW(tblSubjectToLoan[#Headers])-1))))</f>
        <v>65517.079999999951</v>
      </c>
      <c r="C1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6" s="14">
        <f>IF(tblSubjectToLoan[[#This Row],[Payment]]=0,0,MAX(0,MIN(tblSubjectToLoan[[#This Row],[Beginning Balance]],tblSubjectToLoan[[#This Row],[Payment]]-tblSubjectToLoan[[#This Row],[Int]])))</f>
        <v>421.06999999999994</v>
      </c>
      <c r="E106" s="14">
        <f>IF(tblSubjectToLoan[[#This Row],[Date]]="",0,ROUND(tblSubjectToLoan[[#This Row],[Beginning Balance]]*(subjectInterestRate/12),2))</f>
        <v>204.74</v>
      </c>
      <c r="F106" s="14">
        <f t="shared" si="7"/>
        <v>134.16999999999999</v>
      </c>
      <c r="G106" s="14">
        <f t="shared" si="7"/>
        <v>188.55</v>
      </c>
      <c r="H106" s="14">
        <f>SUM(tblSubjectToLoan[[#This Row],[Princ]],tblSubjectToLoan[[#This Row],[Int]],tblSubjectToLoan[[#This Row],[Ins]],tblSubjectToLoan[[#This Row],[Taxes]])</f>
        <v>948.53</v>
      </c>
      <c r="I106" s="276">
        <f>IF(tblSubjectToLoan[[#This Row],[Date]]="",IF(ROW()=ROW(tblSubjectToLoan[#Headers])+1,0,INDEX(tblSubjectToLoan[Principal],ROW()-ROW(tblSubjectToLoan[#Headers])-1)),tblSubjectToLoan[[#This Row],[Princ]]+IF(ROW()=ROW(tblSubjectToLoan[#Headers])+1,0,INDEX(tblSubjectToLoan[Principal],ROW()-ROW(tblSubjectToLoan[#Headers])-1)))</f>
        <v>32131.989999999994</v>
      </c>
      <c r="J106" s="276">
        <f>IF(tblSubjectToLoan[[#This Row],[Date]]="",IF(ROW()=ROW(tblSubjectToLoan[#Headers])+1,0,INDEX(tblSubjectToLoan[Interest],ROW()-ROW(tblSubjectToLoan[#Headers])-1)),tblSubjectToLoan[[#This Row],[Int]]+IF(ROW()=ROW(tblSubjectToLoan[#Headers])+1,0,INDEX(tblSubjectToLoan[Interest],ROW()-ROW(tblSubjectToLoan[#Headers])-1)))</f>
        <v>22313.48</v>
      </c>
      <c r="K106" s="969">
        <f>IF(tblSubjectToLoan[[#This Row],[Date]]="",0,MAX(0,tblSubjectToLoan[[#This Row],[Beginning Balance]]-tblSubjectToLoan[[#This Row],[Princ]]))</f>
        <v>65096.009999999951</v>
      </c>
      <c r="L106" s="394">
        <f t="shared" si="5"/>
        <v>7</v>
      </c>
      <c r="M106" s="394">
        <f t="shared" si="6"/>
        <v>86</v>
      </c>
      <c r="N106" s="613">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67">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1233.0800000000027</v>
      </c>
      <c r="AD106" s="276">
        <f>IF(INDEX(tblContractForDeed[End Bal],ROW()-ROW(tblBuyerOutputs[#Headers]))&lt;=0,0,($O$6+IF(ROW()=ROW(tblBuyerOutputs[#Headers])+1,0,INDEX(tblBuyerOutputs[Cumul Appr],ROW()-ROW(tblBuyerOutputs[#Headers])-1)))*$O$2/12)</f>
        <v>0</v>
      </c>
      <c r="AE106" s="276">
        <f>IF(INDEX(tblContractForDeed[End Bal],ROW()-ROW(tblBuyerOutputs[#Headers]))&lt;=0,0,IF(ROW()=ROW(tblBuyerOutputs[#Headers])+1,0,INDEX(tblBuyerOutputs[Cumul Appr],ROW()-ROW(tblBuyerOutputs[#Headers])-1))+tblBuyerOutputs[[#This Row],[Monthly Appr]])</f>
        <v>0</v>
      </c>
      <c r="AF106" s="22"/>
      <c r="AG106" s="14"/>
      <c r="AL106"/>
      <c r="AM106" s="14"/>
      <c r="AO106" s="276"/>
      <c r="AQ106" s="14"/>
      <c r="AR106"/>
    </row>
    <row r="107" spans="1:44" x14ac:dyDescent="0.25">
      <c r="A107" s="613">
        <f>IF(ROW()=ROW(tblSubjectToLoan[#Headers])+1,subjectKnownBalanceDate,IF(OR(INDEX(tblSubjectToLoan[Date],ROW()-ROW(tblSubjectToLoan[#Headers])-1)="",INDEX(tblSubjectToLoan[Date],ROW()-ROW(tblSubjectToLoan[#Headers])-1)&gt;=subjectMortgageEndDate),"",EDATE(INDEX(tblSubjectToLoan[Date],ROW()-ROW(tblSubjectToLoan[#Headers])-1),1)))</f>
        <v>48519</v>
      </c>
      <c r="B107" s="276">
        <f>IF(tblSubjectToLoan[[#This Row],[Date]]="",0,IF(ROW()=ROW(tblSubjectToLoan[#Headers])+1,subjectKnownBalance,MAX(0,INDEX(tblSubjectToLoan[Ending Balance],ROW()-ROW(tblSubjectToLoan[#Headers])-1))))</f>
        <v>65096.009999999951</v>
      </c>
      <c r="C1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7" s="14">
        <f>IF(tblSubjectToLoan[[#This Row],[Payment]]=0,0,MAX(0,MIN(tblSubjectToLoan[[#This Row],[Beginning Balance]],tblSubjectToLoan[[#This Row],[Payment]]-tblSubjectToLoan[[#This Row],[Int]])))</f>
        <v>422.37999999999994</v>
      </c>
      <c r="E107" s="14">
        <f>IF(tblSubjectToLoan[[#This Row],[Date]]="",0,ROUND(tblSubjectToLoan[[#This Row],[Beginning Balance]]*(subjectInterestRate/12),2))</f>
        <v>203.43</v>
      </c>
      <c r="F107" s="14">
        <f t="shared" si="7"/>
        <v>134.16999999999999</v>
      </c>
      <c r="G107" s="14">
        <f t="shared" si="7"/>
        <v>188.55</v>
      </c>
      <c r="H107" s="14">
        <f>SUM(tblSubjectToLoan[[#This Row],[Princ]],tblSubjectToLoan[[#This Row],[Int]],tblSubjectToLoan[[#This Row],[Ins]],tblSubjectToLoan[[#This Row],[Taxes]])</f>
        <v>948.53</v>
      </c>
      <c r="I107" s="276">
        <f>IF(tblSubjectToLoan[[#This Row],[Date]]="",IF(ROW()=ROW(tblSubjectToLoan[#Headers])+1,0,INDEX(tblSubjectToLoan[Principal],ROW()-ROW(tblSubjectToLoan[#Headers])-1)),tblSubjectToLoan[[#This Row],[Princ]]+IF(ROW()=ROW(tblSubjectToLoan[#Headers])+1,0,INDEX(tblSubjectToLoan[Principal],ROW()-ROW(tblSubjectToLoan[#Headers])-1)))</f>
        <v>32554.369999999995</v>
      </c>
      <c r="J107" s="276">
        <f>IF(tblSubjectToLoan[[#This Row],[Date]]="",IF(ROW()=ROW(tblSubjectToLoan[#Headers])+1,0,INDEX(tblSubjectToLoan[Interest],ROW()-ROW(tblSubjectToLoan[#Headers])-1)),tblSubjectToLoan[[#This Row],[Int]]+IF(ROW()=ROW(tblSubjectToLoan[#Headers])+1,0,INDEX(tblSubjectToLoan[Interest],ROW()-ROW(tblSubjectToLoan[#Headers])-1)))</f>
        <v>22516.91</v>
      </c>
      <c r="K107" s="969">
        <f>IF(tblSubjectToLoan[[#This Row],[Date]]="",0,MAX(0,tblSubjectToLoan[[#This Row],[Beginning Balance]]-tblSubjectToLoan[[#This Row],[Princ]]))</f>
        <v>64673.629999999954</v>
      </c>
      <c r="L107" s="394">
        <f t="shared" si="5"/>
        <v>7</v>
      </c>
      <c r="M107" s="394">
        <f t="shared" si="6"/>
        <v>87</v>
      </c>
      <c r="N107" s="613">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67">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1267.1700000000028</v>
      </c>
      <c r="AD107" s="276">
        <f>IF(INDEX(tblContractForDeed[End Bal],ROW()-ROW(tblBuyerOutputs[#Headers]))&lt;=0,0,($O$6+IF(ROW()=ROW(tblBuyerOutputs[#Headers])+1,0,INDEX(tblBuyerOutputs[Cumul Appr],ROW()-ROW(tblBuyerOutputs[#Headers])-1)))*$O$2/12)</f>
        <v>0</v>
      </c>
      <c r="AE107" s="276">
        <f>IF(INDEX(tblContractForDeed[End Bal],ROW()-ROW(tblBuyerOutputs[#Headers]))&lt;=0,0,IF(ROW()=ROW(tblBuyerOutputs[#Headers])+1,0,INDEX(tblBuyerOutputs[Cumul Appr],ROW()-ROW(tblBuyerOutputs[#Headers])-1))+tblBuyerOutputs[[#This Row],[Monthly Appr]])</f>
        <v>0</v>
      </c>
      <c r="AF107" s="22"/>
      <c r="AG107" s="14"/>
      <c r="AL107"/>
      <c r="AM107" s="14"/>
      <c r="AO107" s="276"/>
      <c r="AQ107" s="14"/>
      <c r="AR107"/>
    </row>
    <row r="108" spans="1:44" x14ac:dyDescent="0.25">
      <c r="A108" s="613">
        <f>IF(ROW()=ROW(tblSubjectToLoan[#Headers])+1,subjectKnownBalanceDate,IF(OR(INDEX(tblSubjectToLoan[Date],ROW()-ROW(tblSubjectToLoan[#Headers])-1)="",INDEX(tblSubjectToLoan[Date],ROW()-ROW(tblSubjectToLoan[#Headers])-1)&gt;=subjectMortgageEndDate),"",EDATE(INDEX(tblSubjectToLoan[Date],ROW()-ROW(tblSubjectToLoan[#Headers])-1),1)))</f>
        <v>48549</v>
      </c>
      <c r="B108" s="276">
        <f>IF(tblSubjectToLoan[[#This Row],[Date]]="",0,IF(ROW()=ROW(tblSubjectToLoan[#Headers])+1,subjectKnownBalance,MAX(0,INDEX(tblSubjectToLoan[Ending Balance],ROW()-ROW(tblSubjectToLoan[#Headers])-1))))</f>
        <v>64673.629999999954</v>
      </c>
      <c r="C1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8" s="14">
        <f>IF(tblSubjectToLoan[[#This Row],[Payment]]=0,0,MAX(0,MIN(tblSubjectToLoan[[#This Row],[Beginning Balance]],tblSubjectToLoan[[#This Row],[Payment]]-tblSubjectToLoan[[#This Row],[Int]])))</f>
        <v>423.69999999999993</v>
      </c>
      <c r="E108" s="14">
        <f>IF(tblSubjectToLoan[[#This Row],[Date]]="",0,ROUND(tblSubjectToLoan[[#This Row],[Beginning Balance]]*(subjectInterestRate/12),2))</f>
        <v>202.11</v>
      </c>
      <c r="F108" s="14">
        <f t="shared" si="7"/>
        <v>134.16999999999999</v>
      </c>
      <c r="G108" s="14">
        <f t="shared" si="7"/>
        <v>188.55</v>
      </c>
      <c r="H108" s="14">
        <f>SUM(tblSubjectToLoan[[#This Row],[Princ]],tblSubjectToLoan[[#This Row],[Int]],tblSubjectToLoan[[#This Row],[Ins]],tblSubjectToLoan[[#This Row],[Taxes]])</f>
        <v>948.53</v>
      </c>
      <c r="I108" s="276">
        <f>IF(tblSubjectToLoan[[#This Row],[Date]]="",IF(ROW()=ROW(tblSubjectToLoan[#Headers])+1,0,INDEX(tblSubjectToLoan[Principal],ROW()-ROW(tblSubjectToLoan[#Headers])-1)),tblSubjectToLoan[[#This Row],[Princ]]+IF(ROW()=ROW(tblSubjectToLoan[#Headers])+1,0,INDEX(tblSubjectToLoan[Principal],ROW()-ROW(tblSubjectToLoan[#Headers])-1)))</f>
        <v>32978.069999999992</v>
      </c>
      <c r="J108" s="276">
        <f>IF(tblSubjectToLoan[[#This Row],[Date]]="",IF(ROW()=ROW(tblSubjectToLoan[#Headers])+1,0,INDEX(tblSubjectToLoan[Interest],ROW()-ROW(tblSubjectToLoan[#Headers])-1)),tblSubjectToLoan[[#This Row],[Int]]+IF(ROW()=ROW(tblSubjectToLoan[#Headers])+1,0,INDEX(tblSubjectToLoan[Interest],ROW()-ROW(tblSubjectToLoan[#Headers])-1)))</f>
        <v>22719.02</v>
      </c>
      <c r="K108" s="969">
        <f>IF(tblSubjectToLoan[[#This Row],[Date]]="",0,MAX(0,tblSubjectToLoan[[#This Row],[Beginning Balance]]-tblSubjectToLoan[[#This Row],[Princ]]))</f>
        <v>64249.929999999957</v>
      </c>
      <c r="L108" s="394">
        <f t="shared" si="5"/>
        <v>7</v>
      </c>
      <c r="M108" s="394">
        <f t="shared" si="6"/>
        <v>88</v>
      </c>
      <c r="N108" s="613">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67">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1301.2600000000029</v>
      </c>
      <c r="AD108" s="276">
        <f>IF(INDEX(tblContractForDeed[End Bal],ROW()-ROW(tblBuyerOutputs[#Headers]))&lt;=0,0,($O$6+IF(ROW()=ROW(tblBuyerOutputs[#Headers])+1,0,INDEX(tblBuyerOutputs[Cumul Appr],ROW()-ROW(tblBuyerOutputs[#Headers])-1)))*$O$2/12)</f>
        <v>0</v>
      </c>
      <c r="AE108" s="276">
        <f>IF(INDEX(tblContractForDeed[End Bal],ROW()-ROW(tblBuyerOutputs[#Headers]))&lt;=0,0,IF(ROW()=ROW(tblBuyerOutputs[#Headers])+1,0,INDEX(tblBuyerOutputs[Cumul Appr],ROW()-ROW(tblBuyerOutputs[#Headers])-1))+tblBuyerOutputs[[#This Row],[Monthly Appr]])</f>
        <v>0</v>
      </c>
      <c r="AF108" s="22"/>
      <c r="AG108" s="14"/>
      <c r="AL108"/>
      <c r="AM108" s="14"/>
      <c r="AO108" s="276"/>
      <c r="AQ108" s="14"/>
      <c r="AR108"/>
    </row>
    <row r="109" spans="1:44" x14ac:dyDescent="0.25">
      <c r="A109" s="613">
        <f>IF(ROW()=ROW(tblSubjectToLoan[#Headers])+1,subjectKnownBalanceDate,IF(OR(INDEX(tblSubjectToLoan[Date],ROW()-ROW(tblSubjectToLoan[#Headers])-1)="",INDEX(tblSubjectToLoan[Date],ROW()-ROW(tblSubjectToLoan[#Headers])-1)&gt;=subjectMortgageEndDate),"",EDATE(INDEX(tblSubjectToLoan[Date],ROW()-ROW(tblSubjectToLoan[#Headers])-1),1)))</f>
        <v>48580</v>
      </c>
      <c r="B109" s="276">
        <f>IF(tblSubjectToLoan[[#This Row],[Date]]="",0,IF(ROW()=ROW(tblSubjectToLoan[#Headers])+1,subjectKnownBalance,MAX(0,INDEX(tblSubjectToLoan[Ending Balance],ROW()-ROW(tblSubjectToLoan[#Headers])-1))))</f>
        <v>64249.929999999957</v>
      </c>
      <c r="C1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9" s="14">
        <f>IF(tblSubjectToLoan[[#This Row],[Payment]]=0,0,MAX(0,MIN(tblSubjectToLoan[[#This Row],[Beginning Balance]],tblSubjectToLoan[[#This Row],[Payment]]-tblSubjectToLoan[[#This Row],[Int]])))</f>
        <v>425.03</v>
      </c>
      <c r="E109" s="14">
        <f>IF(tblSubjectToLoan[[#This Row],[Date]]="",0,ROUND(tblSubjectToLoan[[#This Row],[Beginning Balance]]*(subjectInterestRate/12),2))</f>
        <v>200.78</v>
      </c>
      <c r="F109" s="14">
        <f t="shared" si="7"/>
        <v>134.16999999999999</v>
      </c>
      <c r="G109" s="14">
        <f t="shared" si="7"/>
        <v>188.55</v>
      </c>
      <c r="H109" s="14">
        <f>SUM(tblSubjectToLoan[[#This Row],[Princ]],tblSubjectToLoan[[#This Row],[Int]],tblSubjectToLoan[[#This Row],[Ins]],tblSubjectToLoan[[#This Row],[Taxes]])</f>
        <v>948.53</v>
      </c>
      <c r="I109" s="276">
        <f>IF(tblSubjectToLoan[[#This Row],[Date]]="",IF(ROW()=ROW(tblSubjectToLoan[#Headers])+1,0,INDEX(tblSubjectToLoan[Principal],ROW()-ROW(tblSubjectToLoan[#Headers])-1)),tblSubjectToLoan[[#This Row],[Princ]]+IF(ROW()=ROW(tblSubjectToLoan[#Headers])+1,0,INDEX(tblSubjectToLoan[Principal],ROW()-ROW(tblSubjectToLoan[#Headers])-1)))</f>
        <v>33403.099999999991</v>
      </c>
      <c r="J109" s="276">
        <f>IF(tblSubjectToLoan[[#This Row],[Date]]="",IF(ROW()=ROW(tblSubjectToLoan[#Headers])+1,0,INDEX(tblSubjectToLoan[Interest],ROW()-ROW(tblSubjectToLoan[#Headers])-1)),tblSubjectToLoan[[#This Row],[Int]]+IF(ROW()=ROW(tblSubjectToLoan[#Headers])+1,0,INDEX(tblSubjectToLoan[Interest],ROW()-ROW(tblSubjectToLoan[#Headers])-1)))</f>
        <v>22919.8</v>
      </c>
      <c r="K109" s="969">
        <f>IF(tblSubjectToLoan[[#This Row],[Date]]="",0,MAX(0,tblSubjectToLoan[[#This Row],[Beginning Balance]]-tblSubjectToLoan[[#This Row],[Princ]]))</f>
        <v>63824.899999999958</v>
      </c>
      <c r="L109" s="394">
        <f t="shared" si="5"/>
        <v>7</v>
      </c>
      <c r="M109" s="394">
        <f t="shared" si="6"/>
        <v>89</v>
      </c>
      <c r="N109" s="613">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67">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1335.3500000000031</v>
      </c>
      <c r="AD109" s="276">
        <f>IF(INDEX(tblContractForDeed[End Bal],ROW()-ROW(tblBuyerOutputs[#Headers]))&lt;=0,0,($O$6+IF(ROW()=ROW(tblBuyerOutputs[#Headers])+1,0,INDEX(tblBuyerOutputs[Cumul Appr],ROW()-ROW(tblBuyerOutputs[#Headers])-1)))*$O$2/12)</f>
        <v>0</v>
      </c>
      <c r="AE109" s="276">
        <f>IF(INDEX(tblContractForDeed[End Bal],ROW()-ROW(tblBuyerOutputs[#Headers]))&lt;=0,0,IF(ROW()=ROW(tblBuyerOutputs[#Headers])+1,0,INDEX(tblBuyerOutputs[Cumul Appr],ROW()-ROW(tblBuyerOutputs[#Headers])-1))+tblBuyerOutputs[[#This Row],[Monthly Appr]])</f>
        <v>0</v>
      </c>
      <c r="AF109" s="22"/>
      <c r="AG109" s="14"/>
      <c r="AL109"/>
      <c r="AM109" s="14"/>
      <c r="AO109" s="276"/>
      <c r="AQ109" s="14"/>
      <c r="AR109"/>
    </row>
    <row r="110" spans="1:44" x14ac:dyDescent="0.25">
      <c r="A110" s="613">
        <f>IF(ROW()=ROW(tblSubjectToLoan[#Headers])+1,subjectKnownBalanceDate,IF(OR(INDEX(tblSubjectToLoan[Date],ROW()-ROW(tblSubjectToLoan[#Headers])-1)="",INDEX(tblSubjectToLoan[Date],ROW()-ROW(tblSubjectToLoan[#Headers])-1)&gt;=subjectMortgageEndDate),"",EDATE(INDEX(tblSubjectToLoan[Date],ROW()-ROW(tblSubjectToLoan[#Headers])-1),1)))</f>
        <v>48611</v>
      </c>
      <c r="B110" s="276">
        <f>IF(tblSubjectToLoan[[#This Row],[Date]]="",0,IF(ROW()=ROW(tblSubjectToLoan[#Headers])+1,subjectKnownBalance,MAX(0,INDEX(tblSubjectToLoan[Ending Balance],ROW()-ROW(tblSubjectToLoan[#Headers])-1))))</f>
        <v>63824.899999999958</v>
      </c>
      <c r="C1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0" s="14">
        <f>IF(tblSubjectToLoan[[#This Row],[Payment]]=0,0,MAX(0,MIN(tblSubjectToLoan[[#This Row],[Beginning Balance]],tblSubjectToLoan[[#This Row],[Payment]]-tblSubjectToLoan[[#This Row],[Int]])))</f>
        <v>426.35999999999996</v>
      </c>
      <c r="E110" s="14">
        <f>IF(tblSubjectToLoan[[#This Row],[Date]]="",0,ROUND(tblSubjectToLoan[[#This Row],[Beginning Balance]]*(subjectInterestRate/12),2))</f>
        <v>199.45</v>
      </c>
      <c r="F110" s="14">
        <f t="shared" si="7"/>
        <v>134.16999999999999</v>
      </c>
      <c r="G110" s="14">
        <f t="shared" si="7"/>
        <v>188.55</v>
      </c>
      <c r="H110" s="14">
        <f>SUM(tblSubjectToLoan[[#This Row],[Princ]],tblSubjectToLoan[[#This Row],[Int]],tblSubjectToLoan[[#This Row],[Ins]],tblSubjectToLoan[[#This Row],[Taxes]])</f>
        <v>948.53</v>
      </c>
      <c r="I110" s="276">
        <f>IF(tblSubjectToLoan[[#This Row],[Date]]="",IF(ROW()=ROW(tblSubjectToLoan[#Headers])+1,0,INDEX(tblSubjectToLoan[Principal],ROW()-ROW(tblSubjectToLoan[#Headers])-1)),tblSubjectToLoan[[#This Row],[Princ]]+IF(ROW()=ROW(tblSubjectToLoan[#Headers])+1,0,INDEX(tblSubjectToLoan[Principal],ROW()-ROW(tblSubjectToLoan[#Headers])-1)))</f>
        <v>33829.459999999992</v>
      </c>
      <c r="J110" s="276">
        <f>IF(tblSubjectToLoan[[#This Row],[Date]]="",IF(ROW()=ROW(tblSubjectToLoan[#Headers])+1,0,INDEX(tblSubjectToLoan[Interest],ROW()-ROW(tblSubjectToLoan[#Headers])-1)),tblSubjectToLoan[[#This Row],[Int]]+IF(ROW()=ROW(tblSubjectToLoan[#Headers])+1,0,INDEX(tblSubjectToLoan[Interest],ROW()-ROW(tblSubjectToLoan[#Headers])-1)))</f>
        <v>23119.25</v>
      </c>
      <c r="K110" s="969">
        <f>IF(tblSubjectToLoan[[#This Row],[Date]]="",0,MAX(0,tblSubjectToLoan[[#This Row],[Beginning Balance]]-tblSubjectToLoan[[#This Row],[Princ]]))</f>
        <v>63398.539999999957</v>
      </c>
      <c r="L110" s="394">
        <f t="shared" si="5"/>
        <v>7</v>
      </c>
      <c r="M110" s="394">
        <f t="shared" si="6"/>
        <v>90</v>
      </c>
      <c r="N110" s="613">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67">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1369.4400000000032</v>
      </c>
      <c r="AD110" s="276">
        <f>IF(INDEX(tblContractForDeed[End Bal],ROW()-ROW(tblBuyerOutputs[#Headers]))&lt;=0,0,($O$6+IF(ROW()=ROW(tblBuyerOutputs[#Headers])+1,0,INDEX(tblBuyerOutputs[Cumul Appr],ROW()-ROW(tblBuyerOutputs[#Headers])-1)))*$O$2/12)</f>
        <v>0</v>
      </c>
      <c r="AE110" s="276">
        <f>IF(INDEX(tblContractForDeed[End Bal],ROW()-ROW(tblBuyerOutputs[#Headers]))&lt;=0,0,IF(ROW()=ROW(tblBuyerOutputs[#Headers])+1,0,INDEX(tblBuyerOutputs[Cumul Appr],ROW()-ROW(tblBuyerOutputs[#Headers])-1))+tblBuyerOutputs[[#This Row],[Monthly Appr]])</f>
        <v>0</v>
      </c>
      <c r="AF110" s="22"/>
      <c r="AG110" s="14"/>
      <c r="AL110"/>
      <c r="AM110" s="14"/>
      <c r="AO110" s="276"/>
      <c r="AQ110" s="14"/>
      <c r="AR110"/>
    </row>
    <row r="111" spans="1:44" x14ac:dyDescent="0.25">
      <c r="A111" s="613">
        <f>IF(ROW()=ROW(tblSubjectToLoan[#Headers])+1,subjectKnownBalanceDate,IF(OR(INDEX(tblSubjectToLoan[Date],ROW()-ROW(tblSubjectToLoan[#Headers])-1)="",INDEX(tblSubjectToLoan[Date],ROW()-ROW(tblSubjectToLoan[#Headers])-1)&gt;=subjectMortgageEndDate),"",EDATE(INDEX(tblSubjectToLoan[Date],ROW()-ROW(tblSubjectToLoan[#Headers])-1),1)))</f>
        <v>48639</v>
      </c>
      <c r="B111" s="276">
        <f>IF(tblSubjectToLoan[[#This Row],[Date]]="",0,IF(ROW()=ROW(tblSubjectToLoan[#Headers])+1,subjectKnownBalance,MAX(0,INDEX(tblSubjectToLoan[Ending Balance],ROW()-ROW(tblSubjectToLoan[#Headers])-1))))</f>
        <v>63398.539999999957</v>
      </c>
      <c r="C1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1" s="14">
        <f>IF(tblSubjectToLoan[[#This Row],[Payment]]=0,0,MAX(0,MIN(tblSubjectToLoan[[#This Row],[Beginning Balance]],tblSubjectToLoan[[#This Row],[Payment]]-tblSubjectToLoan[[#This Row],[Int]])))</f>
        <v>427.68999999999994</v>
      </c>
      <c r="E111" s="14">
        <f>IF(tblSubjectToLoan[[#This Row],[Date]]="",0,ROUND(tblSubjectToLoan[[#This Row],[Beginning Balance]]*(subjectInterestRate/12),2))</f>
        <v>198.12</v>
      </c>
      <c r="F111" s="14">
        <f t="shared" ref="F111:G126" si="8">+F110</f>
        <v>134.16999999999999</v>
      </c>
      <c r="G111" s="14">
        <f t="shared" si="8"/>
        <v>188.55</v>
      </c>
      <c r="H111" s="14">
        <f>SUM(tblSubjectToLoan[[#This Row],[Princ]],tblSubjectToLoan[[#This Row],[Int]],tblSubjectToLoan[[#This Row],[Ins]],tblSubjectToLoan[[#This Row],[Taxes]])</f>
        <v>948.53</v>
      </c>
      <c r="I111" s="276">
        <f>IF(tblSubjectToLoan[[#This Row],[Date]]="",IF(ROW()=ROW(tblSubjectToLoan[#Headers])+1,0,INDEX(tblSubjectToLoan[Principal],ROW()-ROW(tblSubjectToLoan[#Headers])-1)),tblSubjectToLoan[[#This Row],[Princ]]+IF(ROW()=ROW(tblSubjectToLoan[#Headers])+1,0,INDEX(tblSubjectToLoan[Principal],ROW()-ROW(tblSubjectToLoan[#Headers])-1)))</f>
        <v>34257.149999999994</v>
      </c>
      <c r="J111" s="276">
        <f>IF(tblSubjectToLoan[[#This Row],[Date]]="",IF(ROW()=ROW(tblSubjectToLoan[#Headers])+1,0,INDEX(tblSubjectToLoan[Interest],ROW()-ROW(tblSubjectToLoan[#Headers])-1)),tblSubjectToLoan[[#This Row],[Int]]+IF(ROW()=ROW(tblSubjectToLoan[#Headers])+1,0,INDEX(tblSubjectToLoan[Interest],ROW()-ROW(tblSubjectToLoan[#Headers])-1)))</f>
        <v>23317.37</v>
      </c>
      <c r="K111" s="969">
        <f>IF(tblSubjectToLoan[[#This Row],[Date]]="",0,MAX(0,tblSubjectToLoan[[#This Row],[Beginning Balance]]-tblSubjectToLoan[[#This Row],[Princ]]))</f>
        <v>62970.849999999955</v>
      </c>
      <c r="L111" s="394">
        <f t="shared" si="5"/>
        <v>7</v>
      </c>
      <c r="M111" s="394">
        <f t="shared" si="6"/>
        <v>91</v>
      </c>
      <c r="N111" s="613">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67">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1403.5300000000034</v>
      </c>
      <c r="AD111" s="276">
        <f>IF(INDEX(tblContractForDeed[End Bal],ROW()-ROW(tblBuyerOutputs[#Headers]))&lt;=0,0,($O$6+IF(ROW()=ROW(tblBuyerOutputs[#Headers])+1,0,INDEX(tblBuyerOutputs[Cumul Appr],ROW()-ROW(tblBuyerOutputs[#Headers])-1)))*$O$2/12)</f>
        <v>0</v>
      </c>
      <c r="AE111" s="276">
        <f>IF(INDEX(tblContractForDeed[End Bal],ROW()-ROW(tblBuyerOutputs[#Headers]))&lt;=0,0,IF(ROW()=ROW(tblBuyerOutputs[#Headers])+1,0,INDEX(tblBuyerOutputs[Cumul Appr],ROW()-ROW(tblBuyerOutputs[#Headers])-1))+tblBuyerOutputs[[#This Row],[Monthly Appr]])</f>
        <v>0</v>
      </c>
      <c r="AF111" s="22"/>
      <c r="AG111" s="14"/>
      <c r="AL111"/>
      <c r="AM111" s="14"/>
      <c r="AO111" s="276"/>
      <c r="AQ111" s="14"/>
      <c r="AR111"/>
    </row>
    <row r="112" spans="1:44" x14ac:dyDescent="0.25">
      <c r="A112" s="613">
        <f>IF(ROW()=ROW(tblSubjectToLoan[#Headers])+1,subjectKnownBalanceDate,IF(OR(INDEX(tblSubjectToLoan[Date],ROW()-ROW(tblSubjectToLoan[#Headers])-1)="",INDEX(tblSubjectToLoan[Date],ROW()-ROW(tblSubjectToLoan[#Headers])-1)&gt;=subjectMortgageEndDate),"",EDATE(INDEX(tblSubjectToLoan[Date],ROW()-ROW(tblSubjectToLoan[#Headers])-1),1)))</f>
        <v>48670</v>
      </c>
      <c r="B112" s="276">
        <f>IF(tblSubjectToLoan[[#This Row],[Date]]="",0,IF(ROW()=ROW(tblSubjectToLoan[#Headers])+1,subjectKnownBalance,MAX(0,INDEX(tblSubjectToLoan[Ending Balance],ROW()-ROW(tblSubjectToLoan[#Headers])-1))))</f>
        <v>62970.849999999955</v>
      </c>
      <c r="C1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2" s="14">
        <f>IF(tblSubjectToLoan[[#This Row],[Payment]]=0,0,MAX(0,MIN(tblSubjectToLoan[[#This Row],[Beginning Balance]],tblSubjectToLoan[[#This Row],[Payment]]-tblSubjectToLoan[[#This Row],[Int]])))</f>
        <v>429.03</v>
      </c>
      <c r="E112" s="14">
        <f>IF(tblSubjectToLoan[[#This Row],[Date]]="",0,ROUND(tblSubjectToLoan[[#This Row],[Beginning Balance]]*(subjectInterestRate/12),2))</f>
        <v>196.78</v>
      </c>
      <c r="F112" s="14">
        <f t="shared" si="8"/>
        <v>134.16999999999999</v>
      </c>
      <c r="G112" s="14">
        <f t="shared" si="8"/>
        <v>188.55</v>
      </c>
      <c r="H112" s="14">
        <f>SUM(tblSubjectToLoan[[#This Row],[Princ]],tblSubjectToLoan[[#This Row],[Int]],tblSubjectToLoan[[#This Row],[Ins]],tblSubjectToLoan[[#This Row],[Taxes]])</f>
        <v>948.53</v>
      </c>
      <c r="I112" s="276">
        <f>IF(tblSubjectToLoan[[#This Row],[Date]]="",IF(ROW()=ROW(tblSubjectToLoan[#Headers])+1,0,INDEX(tblSubjectToLoan[Principal],ROW()-ROW(tblSubjectToLoan[#Headers])-1)),tblSubjectToLoan[[#This Row],[Princ]]+IF(ROW()=ROW(tblSubjectToLoan[#Headers])+1,0,INDEX(tblSubjectToLoan[Principal],ROW()-ROW(tblSubjectToLoan[#Headers])-1)))</f>
        <v>34686.179999999993</v>
      </c>
      <c r="J112" s="276">
        <f>IF(tblSubjectToLoan[[#This Row],[Date]]="",IF(ROW()=ROW(tblSubjectToLoan[#Headers])+1,0,INDEX(tblSubjectToLoan[Interest],ROW()-ROW(tblSubjectToLoan[#Headers])-1)),tblSubjectToLoan[[#This Row],[Int]]+IF(ROW()=ROW(tblSubjectToLoan[#Headers])+1,0,INDEX(tblSubjectToLoan[Interest],ROW()-ROW(tblSubjectToLoan[#Headers])-1)))</f>
        <v>23514.149999999998</v>
      </c>
      <c r="K112" s="969">
        <f>IF(tblSubjectToLoan[[#This Row],[Date]]="",0,MAX(0,tblSubjectToLoan[[#This Row],[Beginning Balance]]-tblSubjectToLoan[[#This Row],[Princ]]))</f>
        <v>62541.819999999956</v>
      </c>
      <c r="L112" s="394">
        <f t="shared" si="5"/>
        <v>7</v>
      </c>
      <c r="M112" s="394">
        <f t="shared" si="6"/>
        <v>92</v>
      </c>
      <c r="N112" s="613">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67">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1437.6200000000035</v>
      </c>
      <c r="AD112" s="276">
        <f>IF(INDEX(tblContractForDeed[End Bal],ROW()-ROW(tblBuyerOutputs[#Headers]))&lt;=0,0,($O$6+IF(ROW()=ROW(tblBuyerOutputs[#Headers])+1,0,INDEX(tblBuyerOutputs[Cumul Appr],ROW()-ROW(tblBuyerOutputs[#Headers])-1)))*$O$2/12)</f>
        <v>0</v>
      </c>
      <c r="AE112" s="276">
        <f>IF(INDEX(tblContractForDeed[End Bal],ROW()-ROW(tblBuyerOutputs[#Headers]))&lt;=0,0,IF(ROW()=ROW(tblBuyerOutputs[#Headers])+1,0,INDEX(tblBuyerOutputs[Cumul Appr],ROW()-ROW(tblBuyerOutputs[#Headers])-1))+tblBuyerOutputs[[#This Row],[Monthly Appr]])</f>
        <v>0</v>
      </c>
      <c r="AF112" s="22"/>
      <c r="AG112" s="14"/>
      <c r="AL112"/>
      <c r="AM112" s="14"/>
      <c r="AO112" s="276"/>
      <c r="AQ112" s="14"/>
      <c r="AR112"/>
    </row>
    <row r="113" spans="1:44" x14ac:dyDescent="0.25">
      <c r="A113" s="613">
        <f>IF(ROW()=ROW(tblSubjectToLoan[#Headers])+1,subjectKnownBalanceDate,IF(OR(INDEX(tblSubjectToLoan[Date],ROW()-ROW(tblSubjectToLoan[#Headers])-1)="",INDEX(tblSubjectToLoan[Date],ROW()-ROW(tblSubjectToLoan[#Headers])-1)&gt;=subjectMortgageEndDate),"",EDATE(INDEX(tblSubjectToLoan[Date],ROW()-ROW(tblSubjectToLoan[#Headers])-1),1)))</f>
        <v>48700</v>
      </c>
      <c r="B113" s="276">
        <f>IF(tblSubjectToLoan[[#This Row],[Date]]="",0,IF(ROW()=ROW(tblSubjectToLoan[#Headers])+1,subjectKnownBalance,MAX(0,INDEX(tblSubjectToLoan[Ending Balance],ROW()-ROW(tblSubjectToLoan[#Headers])-1))))</f>
        <v>62541.819999999956</v>
      </c>
      <c r="C1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3" s="14">
        <f>IF(tblSubjectToLoan[[#This Row],[Payment]]=0,0,MAX(0,MIN(tblSubjectToLoan[[#This Row],[Beginning Balance]],tblSubjectToLoan[[#This Row],[Payment]]-tblSubjectToLoan[[#This Row],[Int]])))</f>
        <v>430.36999999999995</v>
      </c>
      <c r="E113" s="14">
        <f>IF(tblSubjectToLoan[[#This Row],[Date]]="",0,ROUND(tblSubjectToLoan[[#This Row],[Beginning Balance]]*(subjectInterestRate/12),2))</f>
        <v>195.44</v>
      </c>
      <c r="F113" s="14">
        <f t="shared" si="8"/>
        <v>134.16999999999999</v>
      </c>
      <c r="G113" s="14">
        <f t="shared" si="8"/>
        <v>188.55</v>
      </c>
      <c r="H113" s="14">
        <f>SUM(tblSubjectToLoan[[#This Row],[Princ]],tblSubjectToLoan[[#This Row],[Int]],tblSubjectToLoan[[#This Row],[Ins]],tblSubjectToLoan[[#This Row],[Taxes]])</f>
        <v>948.53</v>
      </c>
      <c r="I113" s="276">
        <f>IF(tblSubjectToLoan[[#This Row],[Date]]="",IF(ROW()=ROW(tblSubjectToLoan[#Headers])+1,0,INDEX(tblSubjectToLoan[Principal],ROW()-ROW(tblSubjectToLoan[#Headers])-1)),tblSubjectToLoan[[#This Row],[Princ]]+IF(ROW()=ROW(tblSubjectToLoan[#Headers])+1,0,INDEX(tblSubjectToLoan[Principal],ROW()-ROW(tblSubjectToLoan[#Headers])-1)))</f>
        <v>35116.549999999996</v>
      </c>
      <c r="J113" s="276">
        <f>IF(tblSubjectToLoan[[#This Row],[Date]]="",IF(ROW()=ROW(tblSubjectToLoan[#Headers])+1,0,INDEX(tblSubjectToLoan[Interest],ROW()-ROW(tblSubjectToLoan[#Headers])-1)),tblSubjectToLoan[[#This Row],[Int]]+IF(ROW()=ROW(tblSubjectToLoan[#Headers])+1,0,INDEX(tblSubjectToLoan[Interest],ROW()-ROW(tblSubjectToLoan[#Headers])-1)))</f>
        <v>23709.589999999997</v>
      </c>
      <c r="K113" s="969">
        <f>IF(tblSubjectToLoan[[#This Row],[Date]]="",0,MAX(0,tblSubjectToLoan[[#This Row],[Beginning Balance]]-tblSubjectToLoan[[#This Row],[Princ]]))</f>
        <v>62111.449999999953</v>
      </c>
      <c r="L113" s="394">
        <f>IF(MOD(M113,12)=0,M113/12,L112)</f>
        <v>7</v>
      </c>
      <c r="M113" s="394">
        <f t="shared" si="6"/>
        <v>93</v>
      </c>
      <c r="N113" s="613">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67">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1471.7100000000037</v>
      </c>
      <c r="AD113" s="276">
        <f>IF(INDEX(tblContractForDeed[End Bal],ROW()-ROW(tblBuyerOutputs[#Headers]))&lt;=0,0,($O$6+IF(ROW()=ROW(tblBuyerOutputs[#Headers])+1,0,INDEX(tblBuyerOutputs[Cumul Appr],ROW()-ROW(tblBuyerOutputs[#Headers])-1)))*$O$2/12)</f>
        <v>0</v>
      </c>
      <c r="AE113" s="276">
        <f>IF(INDEX(tblContractForDeed[End Bal],ROW()-ROW(tblBuyerOutputs[#Headers]))&lt;=0,0,IF(ROW()=ROW(tblBuyerOutputs[#Headers])+1,0,INDEX(tblBuyerOutputs[Cumul Appr],ROW()-ROW(tblBuyerOutputs[#Headers])-1))+tblBuyerOutputs[[#This Row],[Monthly Appr]])</f>
        <v>0</v>
      </c>
      <c r="AF113" s="22"/>
      <c r="AG113" s="14"/>
      <c r="AL113"/>
      <c r="AM113" s="14"/>
      <c r="AO113" s="276"/>
      <c r="AQ113" s="14"/>
      <c r="AR113"/>
    </row>
    <row r="114" spans="1:44" x14ac:dyDescent="0.25">
      <c r="A114" s="613">
        <f>IF(ROW()=ROW(tblSubjectToLoan[#Headers])+1,subjectKnownBalanceDate,IF(OR(INDEX(tblSubjectToLoan[Date],ROW()-ROW(tblSubjectToLoan[#Headers])-1)="",INDEX(tblSubjectToLoan[Date],ROW()-ROW(tblSubjectToLoan[#Headers])-1)&gt;=subjectMortgageEndDate),"",EDATE(INDEX(tblSubjectToLoan[Date],ROW()-ROW(tblSubjectToLoan[#Headers])-1),1)))</f>
        <v>48731</v>
      </c>
      <c r="B114" s="276">
        <f>IF(tblSubjectToLoan[[#This Row],[Date]]="",0,IF(ROW()=ROW(tblSubjectToLoan[#Headers])+1,subjectKnownBalance,MAX(0,INDEX(tblSubjectToLoan[Ending Balance],ROW()-ROW(tblSubjectToLoan[#Headers])-1))))</f>
        <v>62111.449999999953</v>
      </c>
      <c r="C1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4" s="14">
        <f>IF(tblSubjectToLoan[[#This Row],[Payment]]=0,0,MAX(0,MIN(tblSubjectToLoan[[#This Row],[Beginning Balance]],tblSubjectToLoan[[#This Row],[Payment]]-tblSubjectToLoan[[#This Row],[Int]])))</f>
        <v>431.70999999999992</v>
      </c>
      <c r="E114" s="14">
        <f>IF(tblSubjectToLoan[[#This Row],[Date]]="",0,ROUND(tblSubjectToLoan[[#This Row],[Beginning Balance]]*(subjectInterestRate/12),2))</f>
        <v>194.1</v>
      </c>
      <c r="F114" s="14">
        <f t="shared" si="8"/>
        <v>134.16999999999999</v>
      </c>
      <c r="G114" s="14">
        <f t="shared" si="8"/>
        <v>188.55</v>
      </c>
      <c r="H114" s="14">
        <f>SUM(tblSubjectToLoan[[#This Row],[Princ]],tblSubjectToLoan[[#This Row],[Int]],tblSubjectToLoan[[#This Row],[Ins]],tblSubjectToLoan[[#This Row],[Taxes]])</f>
        <v>948.53</v>
      </c>
      <c r="I114" s="276">
        <f>IF(tblSubjectToLoan[[#This Row],[Date]]="",IF(ROW()=ROW(tblSubjectToLoan[#Headers])+1,0,INDEX(tblSubjectToLoan[Principal],ROW()-ROW(tblSubjectToLoan[#Headers])-1)),tblSubjectToLoan[[#This Row],[Princ]]+IF(ROW()=ROW(tblSubjectToLoan[#Headers])+1,0,INDEX(tblSubjectToLoan[Principal],ROW()-ROW(tblSubjectToLoan[#Headers])-1)))</f>
        <v>35548.259999999995</v>
      </c>
      <c r="J114" s="276">
        <f>IF(tblSubjectToLoan[[#This Row],[Date]]="",IF(ROW()=ROW(tblSubjectToLoan[#Headers])+1,0,INDEX(tblSubjectToLoan[Interest],ROW()-ROW(tblSubjectToLoan[#Headers])-1)),tblSubjectToLoan[[#This Row],[Int]]+IF(ROW()=ROW(tblSubjectToLoan[#Headers])+1,0,INDEX(tblSubjectToLoan[Interest],ROW()-ROW(tblSubjectToLoan[#Headers])-1)))</f>
        <v>23903.689999999995</v>
      </c>
      <c r="K114" s="969">
        <f>IF(tblSubjectToLoan[[#This Row],[Date]]="",0,MAX(0,tblSubjectToLoan[[#This Row],[Beginning Balance]]-tblSubjectToLoan[[#This Row],[Princ]]))</f>
        <v>61679.739999999954</v>
      </c>
      <c r="L114" s="394">
        <f>IF(MOD(M114,12)=0,M114/12,L113)</f>
        <v>7</v>
      </c>
      <c r="M114" s="394">
        <f t="shared" si="6"/>
        <v>94</v>
      </c>
      <c r="N114" s="613">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67">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1505.8000000000038</v>
      </c>
      <c r="AD114" s="276">
        <f>IF(INDEX(tblContractForDeed[End Bal],ROW()-ROW(tblBuyerOutputs[#Headers]))&lt;=0,0,($O$6+IF(ROW()=ROW(tblBuyerOutputs[#Headers])+1,0,INDEX(tblBuyerOutputs[Cumul Appr],ROW()-ROW(tblBuyerOutputs[#Headers])-1)))*$O$2/12)</f>
        <v>0</v>
      </c>
      <c r="AE114" s="276">
        <f>IF(INDEX(tblContractForDeed[End Bal],ROW()-ROW(tblBuyerOutputs[#Headers]))&lt;=0,0,IF(ROW()=ROW(tblBuyerOutputs[#Headers])+1,0,INDEX(tblBuyerOutputs[Cumul Appr],ROW()-ROW(tblBuyerOutputs[#Headers])-1))+tblBuyerOutputs[[#This Row],[Monthly Appr]])</f>
        <v>0</v>
      </c>
      <c r="AF114" s="22"/>
      <c r="AG114" s="14"/>
      <c r="AL114"/>
      <c r="AM114" s="14"/>
      <c r="AO114" s="276"/>
      <c r="AQ114" s="14"/>
      <c r="AR114"/>
    </row>
    <row r="115" spans="1:44" ht="15.75" thickBot="1" x14ac:dyDescent="0.3">
      <c r="A115" s="614">
        <f>IF(ROW()=ROW(tblSubjectToLoan[#Headers])+1,subjectKnownBalanceDate,IF(OR(INDEX(tblSubjectToLoan[Date],ROW()-ROW(tblSubjectToLoan[#Headers])-1)="",INDEX(tblSubjectToLoan[Date],ROW()-ROW(tblSubjectToLoan[#Headers])-1)&gt;=subjectMortgageEndDate),"",EDATE(INDEX(tblSubjectToLoan[Date],ROW()-ROW(tblSubjectToLoan[#Headers])-1),1)))</f>
        <v>48761</v>
      </c>
      <c r="B115" s="332">
        <f>IF(tblSubjectToLoan[[#This Row],[Date]]="",0,IF(ROW()=ROW(tblSubjectToLoan[#Headers])+1,subjectKnownBalance,MAX(0,INDEX(tblSubjectToLoan[Ending Balance],ROW()-ROW(tblSubjectToLoan[#Headers])-1))))</f>
        <v>61679.739999999954</v>
      </c>
      <c r="C11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5" s="21">
        <f>IF(tblSubjectToLoan[[#This Row],[Payment]]=0,0,MAX(0,MIN(tblSubjectToLoan[[#This Row],[Beginning Balance]],tblSubjectToLoan[[#This Row],[Payment]]-tblSubjectToLoan[[#This Row],[Int]])))</f>
        <v>433.05999999999995</v>
      </c>
      <c r="E115" s="21">
        <f>IF(tblSubjectToLoan[[#This Row],[Date]]="",0,ROUND(tblSubjectToLoan[[#This Row],[Beginning Balance]]*(subjectInterestRate/12),2))</f>
        <v>192.75</v>
      </c>
      <c r="F115" s="21">
        <f t="shared" si="8"/>
        <v>134.16999999999999</v>
      </c>
      <c r="G115" s="21">
        <f t="shared" si="8"/>
        <v>188.55</v>
      </c>
      <c r="H115" s="21">
        <f>SUM(tblSubjectToLoan[[#This Row],[Princ]],tblSubjectToLoan[[#This Row],[Int]],tblSubjectToLoan[[#This Row],[Ins]],tblSubjectToLoan[[#This Row],[Taxes]])</f>
        <v>948.53</v>
      </c>
      <c r="I115" s="332">
        <f>IF(tblSubjectToLoan[[#This Row],[Date]]="",IF(ROW()=ROW(tblSubjectToLoan[#Headers])+1,0,INDEX(tblSubjectToLoan[Principal],ROW()-ROW(tblSubjectToLoan[#Headers])-1)),tblSubjectToLoan[[#This Row],[Princ]]+IF(ROW()=ROW(tblSubjectToLoan[#Headers])+1,0,INDEX(tblSubjectToLoan[Principal],ROW()-ROW(tblSubjectToLoan[#Headers])-1)))</f>
        <v>35981.319999999992</v>
      </c>
      <c r="J115" s="332">
        <f>IF(tblSubjectToLoan[[#This Row],[Date]]="",IF(ROW()=ROW(tblSubjectToLoan[#Headers])+1,0,INDEX(tblSubjectToLoan[Interest],ROW()-ROW(tblSubjectToLoan[#Headers])-1)),tblSubjectToLoan[[#This Row],[Int]]+IF(ROW()=ROW(tblSubjectToLoan[#Headers])+1,0,INDEX(tblSubjectToLoan[Interest],ROW()-ROW(tblSubjectToLoan[#Headers])-1)))</f>
        <v>24096.439999999995</v>
      </c>
      <c r="K115" s="970">
        <f>IF(tblSubjectToLoan[[#This Row],[Date]]="",0,MAX(0,tblSubjectToLoan[[#This Row],[Beginning Balance]]-tblSubjectToLoan[[#This Row],[Princ]]))</f>
        <v>61246.679999999957</v>
      </c>
      <c r="L115" s="395">
        <f>IF(MOD(M115,12)=0,M115/12,L114)</f>
        <v>7</v>
      </c>
      <c r="M115" s="395">
        <f t="shared" si="6"/>
        <v>95</v>
      </c>
      <c r="N115" s="614">
        <f>INDEX(tblSubjectToLoan[Date],ROW()-ROW(tblContractForDeed[#Headers]))</f>
        <v>48761</v>
      </c>
      <c r="O115" s="332">
        <f>IF(ROW()=ROW(tblContractForDeed[#Headers])+1,$O$6,IF(INDEX(tblContractForDeed[End Bal],ROW()-ROW(tblContractForDeed[#Headers])-1)&lt;0,0,INDEX(tblContractForDeed[End Bal],ROW()-ROW(tblContractForDeed[#Headers])-1)))</f>
        <v>48846.550000000025</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385.14</v>
      </c>
      <c r="S115" s="332">
        <f>IF(OR(tblContractForDeed[[#This Row],[Date]]&lt;cfdContractDate,tblContractForDeed[[#This Row],[Date]]&gt;cfdEndDate),0,ROUND(tblContractForDeed[[#This Row],[Beg]]*(tblContractForDeed[[#This Row],[Int Rate]]/12),2))</f>
        <v>274.76</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26796.590000000011</v>
      </c>
      <c r="X115" s="332">
        <f>IF(tblContractForDeed[[#This Row],[Beg]]&lt;=0,0,tblContractForDeed[[#This Row],[Beg]]-tblContractForDeed[[#This Row],[Princ]])</f>
        <v>48461.410000000025</v>
      </c>
      <c r="Y11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68">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1539.890000000004</v>
      </c>
      <c r="AD115" s="332">
        <f>IF(INDEX(tblContractForDeed[End Bal],ROW()-ROW(tblBuyerOutputs[#Headers]))&lt;=0,0,($O$6+IF(ROW()=ROW(tblBuyerOutputs[#Headers])+1,0,INDEX(tblBuyerOutputs[Cumul Appr],ROW()-ROW(tblBuyerOutputs[#Headers])-1)))*$O$2/12)</f>
        <v>0</v>
      </c>
      <c r="AE115" s="332">
        <f>IF(INDEX(tblContractForDeed[End Bal],ROW()-ROW(tblBuyerOutputs[#Headers]))&lt;=0,0,IF(ROW()=ROW(tblBuyerOutputs[#Headers])+1,0,INDEX(tblBuyerOutputs[Cumul Appr],ROW()-ROW(tblBuyerOutputs[#Headers])-1))+tblBuyerOutputs[[#This Row],[Monthly Appr]])</f>
        <v>0</v>
      </c>
      <c r="AF115" s="22"/>
      <c r="AG115" s="14"/>
      <c r="AL115"/>
      <c r="AM115" s="14"/>
      <c r="AO115" s="276"/>
      <c r="AQ115" s="14"/>
      <c r="AR115"/>
    </row>
    <row r="116" spans="1:44" x14ac:dyDescent="0.25">
      <c r="A116" s="613">
        <f>IF(ROW()=ROW(tblSubjectToLoan[#Headers])+1,subjectKnownBalanceDate,IF(OR(INDEX(tblSubjectToLoan[Date],ROW()-ROW(tblSubjectToLoan[#Headers])-1)="",INDEX(tblSubjectToLoan[Date],ROW()-ROW(tblSubjectToLoan[#Headers])-1)&gt;=subjectMortgageEndDate),"",EDATE(INDEX(tblSubjectToLoan[Date],ROW()-ROW(tblSubjectToLoan[#Headers])-1),1)))</f>
        <v>48792</v>
      </c>
      <c r="B116" s="276">
        <f>IF(tblSubjectToLoan[[#This Row],[Date]]="",0,IF(ROW()=ROW(tblSubjectToLoan[#Headers])+1,subjectKnownBalance,MAX(0,INDEX(tblSubjectToLoan[Ending Balance],ROW()-ROW(tblSubjectToLoan[#Headers])-1))))</f>
        <v>61246.679999999957</v>
      </c>
      <c r="C1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6" s="14">
        <f>IF(tblSubjectToLoan[[#This Row],[Payment]]=0,0,MAX(0,MIN(tblSubjectToLoan[[#This Row],[Beginning Balance]],tblSubjectToLoan[[#This Row],[Payment]]-tblSubjectToLoan[[#This Row],[Int]])))</f>
        <v>434.40999999999997</v>
      </c>
      <c r="E116" s="14">
        <f>IF(tblSubjectToLoan[[#This Row],[Date]]="",0,ROUND(tblSubjectToLoan[[#This Row],[Beginning Balance]]*(subjectInterestRate/12),2))</f>
        <v>191.4</v>
      </c>
      <c r="F116" s="14">
        <f t="shared" si="8"/>
        <v>134.16999999999999</v>
      </c>
      <c r="G116" s="14">
        <f t="shared" si="8"/>
        <v>188.55</v>
      </c>
      <c r="H116" s="14">
        <f>SUM(tblSubjectToLoan[[#This Row],[Princ]],tblSubjectToLoan[[#This Row],[Int]],tblSubjectToLoan[[#This Row],[Ins]],tblSubjectToLoan[[#This Row],[Taxes]])</f>
        <v>948.53</v>
      </c>
      <c r="I116" s="276">
        <f>IF(tblSubjectToLoan[[#This Row],[Date]]="",IF(ROW()=ROW(tblSubjectToLoan[#Headers])+1,0,INDEX(tblSubjectToLoan[Principal],ROW()-ROW(tblSubjectToLoan[#Headers])-1)),tblSubjectToLoan[[#This Row],[Princ]]+IF(ROW()=ROW(tblSubjectToLoan[#Headers])+1,0,INDEX(tblSubjectToLoan[Principal],ROW()-ROW(tblSubjectToLoan[#Headers])-1)))</f>
        <v>36415.729999999996</v>
      </c>
      <c r="J116" s="276">
        <f>IF(tblSubjectToLoan[[#This Row],[Date]]="",IF(ROW()=ROW(tblSubjectToLoan[#Headers])+1,0,INDEX(tblSubjectToLoan[Interest],ROW()-ROW(tblSubjectToLoan[#Headers])-1)),tblSubjectToLoan[[#This Row],[Int]]+IF(ROW()=ROW(tblSubjectToLoan[#Headers])+1,0,INDEX(tblSubjectToLoan[Interest],ROW()-ROW(tblSubjectToLoan[#Headers])-1)))</f>
        <v>24287.839999999997</v>
      </c>
      <c r="K116" s="969">
        <f>IF(tblSubjectToLoan[[#This Row],[Date]]="",0,MAX(0,tblSubjectToLoan[[#This Row],[Beginning Balance]]-tblSubjectToLoan[[#This Row],[Princ]]))</f>
        <v>60812.269999999953</v>
      </c>
      <c r="L116" s="394">
        <f t="shared" ref="L116:L179" si="9">IF(MOD(M116,12)=0,M116/12,L115)</f>
        <v>8</v>
      </c>
      <c r="M116" s="394">
        <f t="shared" si="6"/>
        <v>96</v>
      </c>
      <c r="N116" s="613">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67">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1573.9800000000041</v>
      </c>
      <c r="AD116" s="276">
        <f>IF(INDEX(tblContractForDeed[End Bal],ROW()-ROW(tblBuyerOutputs[#Headers]))&lt;=0,0,($O$6+IF(ROW()=ROW(tblBuyerOutputs[#Headers])+1,0,INDEX(tblBuyerOutputs[Cumul Appr],ROW()-ROW(tblBuyerOutputs[#Headers])-1)))*$O$2/12)</f>
        <v>0</v>
      </c>
      <c r="AE116" s="276">
        <f>IF(INDEX(tblContractForDeed[End Bal],ROW()-ROW(tblBuyerOutputs[#Headers]))&lt;=0,0,IF(ROW()=ROW(tblBuyerOutputs[#Headers])+1,0,INDEX(tblBuyerOutputs[Cumul Appr],ROW()-ROW(tblBuyerOutputs[#Headers])-1))+tblBuyerOutputs[[#This Row],[Monthly Appr]])</f>
        <v>0</v>
      </c>
      <c r="AF116" s="22"/>
      <c r="AG116" s="14"/>
      <c r="AL116"/>
      <c r="AM116" s="14"/>
      <c r="AO116" s="276"/>
      <c r="AQ116" s="14"/>
      <c r="AR116"/>
    </row>
    <row r="117" spans="1:44" x14ac:dyDescent="0.25">
      <c r="A117" s="613">
        <f>IF(ROW()=ROW(tblSubjectToLoan[#Headers])+1,subjectKnownBalanceDate,IF(OR(INDEX(tblSubjectToLoan[Date],ROW()-ROW(tblSubjectToLoan[#Headers])-1)="",INDEX(tblSubjectToLoan[Date],ROW()-ROW(tblSubjectToLoan[#Headers])-1)&gt;=subjectMortgageEndDate),"",EDATE(INDEX(tblSubjectToLoan[Date],ROW()-ROW(tblSubjectToLoan[#Headers])-1),1)))</f>
        <v>48823</v>
      </c>
      <c r="B117" s="276">
        <f>IF(tblSubjectToLoan[[#This Row],[Date]]="",0,IF(ROW()=ROW(tblSubjectToLoan[#Headers])+1,subjectKnownBalance,MAX(0,INDEX(tblSubjectToLoan[Ending Balance],ROW()-ROW(tblSubjectToLoan[#Headers])-1))))</f>
        <v>60812.269999999953</v>
      </c>
      <c r="C1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7" s="14">
        <f>IF(tblSubjectToLoan[[#This Row],[Payment]]=0,0,MAX(0,MIN(tblSubjectToLoan[[#This Row],[Beginning Balance]],tblSubjectToLoan[[#This Row],[Payment]]-tblSubjectToLoan[[#This Row],[Int]])))</f>
        <v>435.77</v>
      </c>
      <c r="E117" s="14">
        <f>IF(tblSubjectToLoan[[#This Row],[Date]]="",0,ROUND(tblSubjectToLoan[[#This Row],[Beginning Balance]]*(subjectInterestRate/12),2))</f>
        <v>190.04</v>
      </c>
      <c r="F117" s="14">
        <f t="shared" si="8"/>
        <v>134.16999999999999</v>
      </c>
      <c r="G117" s="14">
        <f t="shared" si="8"/>
        <v>188.55</v>
      </c>
      <c r="H117" s="14">
        <f>SUM(tblSubjectToLoan[[#This Row],[Princ]],tblSubjectToLoan[[#This Row],[Int]],tblSubjectToLoan[[#This Row],[Ins]],tblSubjectToLoan[[#This Row],[Taxes]])</f>
        <v>948.53</v>
      </c>
      <c r="I117" s="276">
        <f>IF(tblSubjectToLoan[[#This Row],[Date]]="",IF(ROW()=ROW(tblSubjectToLoan[#Headers])+1,0,INDEX(tblSubjectToLoan[Principal],ROW()-ROW(tblSubjectToLoan[#Headers])-1)),tblSubjectToLoan[[#This Row],[Princ]]+IF(ROW()=ROW(tblSubjectToLoan[#Headers])+1,0,INDEX(tblSubjectToLoan[Principal],ROW()-ROW(tblSubjectToLoan[#Headers])-1)))</f>
        <v>36851.499999999993</v>
      </c>
      <c r="J117" s="276">
        <f>IF(tblSubjectToLoan[[#This Row],[Date]]="",IF(ROW()=ROW(tblSubjectToLoan[#Headers])+1,0,INDEX(tblSubjectToLoan[Interest],ROW()-ROW(tblSubjectToLoan[#Headers])-1)),tblSubjectToLoan[[#This Row],[Int]]+IF(ROW()=ROW(tblSubjectToLoan[#Headers])+1,0,INDEX(tblSubjectToLoan[Interest],ROW()-ROW(tblSubjectToLoan[#Headers])-1)))</f>
        <v>24477.879999999997</v>
      </c>
      <c r="K117" s="969">
        <f>IF(tblSubjectToLoan[[#This Row],[Date]]="",0,MAX(0,tblSubjectToLoan[[#This Row],[Beginning Balance]]-tblSubjectToLoan[[#This Row],[Princ]]))</f>
        <v>60376.499999999956</v>
      </c>
      <c r="L117" s="394">
        <f t="shared" si="9"/>
        <v>8</v>
      </c>
      <c r="M117" s="394">
        <f t="shared" si="6"/>
        <v>97</v>
      </c>
      <c r="N117" s="613">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67">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1608.0700000000043</v>
      </c>
      <c r="AD117" s="276">
        <f>IF(INDEX(tblContractForDeed[End Bal],ROW()-ROW(tblBuyerOutputs[#Headers]))&lt;=0,0,($O$6+IF(ROW()=ROW(tblBuyerOutputs[#Headers])+1,0,INDEX(tblBuyerOutputs[Cumul Appr],ROW()-ROW(tblBuyerOutputs[#Headers])-1)))*$O$2/12)</f>
        <v>0</v>
      </c>
      <c r="AE117" s="276">
        <f>IF(INDEX(tblContractForDeed[End Bal],ROW()-ROW(tblBuyerOutputs[#Headers]))&lt;=0,0,IF(ROW()=ROW(tblBuyerOutputs[#Headers])+1,0,INDEX(tblBuyerOutputs[Cumul Appr],ROW()-ROW(tblBuyerOutputs[#Headers])-1))+tblBuyerOutputs[[#This Row],[Monthly Appr]])</f>
        <v>0</v>
      </c>
      <c r="AF117" s="22"/>
      <c r="AG117" s="14"/>
      <c r="AL117"/>
      <c r="AM117" s="14"/>
      <c r="AO117" s="276"/>
      <c r="AQ117" s="14"/>
      <c r="AR117"/>
    </row>
    <row r="118" spans="1:44" x14ac:dyDescent="0.25">
      <c r="A118" s="613">
        <f>IF(ROW()=ROW(tblSubjectToLoan[#Headers])+1,subjectKnownBalanceDate,IF(OR(INDEX(tblSubjectToLoan[Date],ROW()-ROW(tblSubjectToLoan[#Headers])-1)="",INDEX(tblSubjectToLoan[Date],ROW()-ROW(tblSubjectToLoan[#Headers])-1)&gt;=subjectMortgageEndDate),"",EDATE(INDEX(tblSubjectToLoan[Date],ROW()-ROW(tblSubjectToLoan[#Headers])-1),1)))</f>
        <v>48853</v>
      </c>
      <c r="B118" s="276">
        <f>IF(tblSubjectToLoan[[#This Row],[Date]]="",0,IF(ROW()=ROW(tblSubjectToLoan[#Headers])+1,subjectKnownBalance,MAX(0,INDEX(tblSubjectToLoan[Ending Balance],ROW()-ROW(tblSubjectToLoan[#Headers])-1))))</f>
        <v>60376.499999999956</v>
      </c>
      <c r="C1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8" s="14">
        <f>IF(tblSubjectToLoan[[#This Row],[Payment]]=0,0,MAX(0,MIN(tblSubjectToLoan[[#This Row],[Beginning Balance]],tblSubjectToLoan[[#This Row],[Payment]]-tblSubjectToLoan[[#This Row],[Int]])))</f>
        <v>437.12999999999994</v>
      </c>
      <c r="E118" s="14">
        <f>IF(tblSubjectToLoan[[#This Row],[Date]]="",0,ROUND(tblSubjectToLoan[[#This Row],[Beginning Balance]]*(subjectInterestRate/12),2))</f>
        <v>188.68</v>
      </c>
      <c r="F118" s="14">
        <f t="shared" si="8"/>
        <v>134.16999999999999</v>
      </c>
      <c r="G118" s="14">
        <f t="shared" si="8"/>
        <v>188.55</v>
      </c>
      <c r="H118" s="14">
        <f>SUM(tblSubjectToLoan[[#This Row],[Princ]],tblSubjectToLoan[[#This Row],[Int]],tblSubjectToLoan[[#This Row],[Ins]],tblSubjectToLoan[[#This Row],[Taxes]])</f>
        <v>948.53</v>
      </c>
      <c r="I118" s="276">
        <f>IF(tblSubjectToLoan[[#This Row],[Date]]="",IF(ROW()=ROW(tblSubjectToLoan[#Headers])+1,0,INDEX(tblSubjectToLoan[Principal],ROW()-ROW(tblSubjectToLoan[#Headers])-1)),tblSubjectToLoan[[#This Row],[Princ]]+IF(ROW()=ROW(tblSubjectToLoan[#Headers])+1,0,INDEX(tblSubjectToLoan[Principal],ROW()-ROW(tblSubjectToLoan[#Headers])-1)))</f>
        <v>37288.62999999999</v>
      </c>
      <c r="J118" s="276">
        <f>IF(tblSubjectToLoan[[#This Row],[Date]]="",IF(ROW()=ROW(tblSubjectToLoan[#Headers])+1,0,INDEX(tblSubjectToLoan[Interest],ROW()-ROW(tblSubjectToLoan[#Headers])-1)),tblSubjectToLoan[[#This Row],[Int]]+IF(ROW()=ROW(tblSubjectToLoan[#Headers])+1,0,INDEX(tblSubjectToLoan[Interest],ROW()-ROW(tblSubjectToLoan[#Headers])-1)))</f>
        <v>24666.559999999998</v>
      </c>
      <c r="K118" s="969">
        <f>IF(tblSubjectToLoan[[#This Row],[Date]]="",0,MAX(0,tblSubjectToLoan[[#This Row],[Beginning Balance]]-tblSubjectToLoan[[#This Row],[Princ]]))</f>
        <v>59939.369999999959</v>
      </c>
      <c r="L118" s="394">
        <f t="shared" si="9"/>
        <v>8</v>
      </c>
      <c r="M118" s="394">
        <f t="shared" si="6"/>
        <v>98</v>
      </c>
      <c r="N118" s="613">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67">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1642.1600000000044</v>
      </c>
      <c r="AD118" s="276">
        <f>IF(INDEX(tblContractForDeed[End Bal],ROW()-ROW(tblBuyerOutputs[#Headers]))&lt;=0,0,($O$6+IF(ROW()=ROW(tblBuyerOutputs[#Headers])+1,0,INDEX(tblBuyerOutputs[Cumul Appr],ROW()-ROW(tblBuyerOutputs[#Headers])-1)))*$O$2/12)</f>
        <v>0</v>
      </c>
      <c r="AE118" s="276">
        <f>IF(INDEX(tblContractForDeed[End Bal],ROW()-ROW(tblBuyerOutputs[#Headers]))&lt;=0,0,IF(ROW()=ROW(tblBuyerOutputs[#Headers])+1,0,INDEX(tblBuyerOutputs[Cumul Appr],ROW()-ROW(tblBuyerOutputs[#Headers])-1))+tblBuyerOutputs[[#This Row],[Monthly Appr]])</f>
        <v>0</v>
      </c>
      <c r="AF118" s="22"/>
      <c r="AG118" s="14"/>
      <c r="AL118"/>
      <c r="AM118" s="14"/>
      <c r="AO118" s="276"/>
      <c r="AQ118" s="14"/>
      <c r="AR118"/>
    </row>
    <row r="119" spans="1:44" x14ac:dyDescent="0.25">
      <c r="A119" s="613">
        <f>IF(ROW()=ROW(tblSubjectToLoan[#Headers])+1,subjectKnownBalanceDate,IF(OR(INDEX(tblSubjectToLoan[Date],ROW()-ROW(tblSubjectToLoan[#Headers])-1)="",INDEX(tblSubjectToLoan[Date],ROW()-ROW(tblSubjectToLoan[#Headers])-1)&gt;=subjectMortgageEndDate),"",EDATE(INDEX(tblSubjectToLoan[Date],ROW()-ROW(tblSubjectToLoan[#Headers])-1),1)))</f>
        <v>48884</v>
      </c>
      <c r="B119" s="276">
        <f>IF(tblSubjectToLoan[[#This Row],[Date]]="",0,IF(ROW()=ROW(tblSubjectToLoan[#Headers])+1,subjectKnownBalance,MAX(0,INDEX(tblSubjectToLoan[Ending Balance],ROW()-ROW(tblSubjectToLoan[#Headers])-1))))</f>
        <v>59939.369999999959</v>
      </c>
      <c r="C1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9" s="14">
        <f>IF(tblSubjectToLoan[[#This Row],[Payment]]=0,0,MAX(0,MIN(tblSubjectToLoan[[#This Row],[Beginning Balance]],tblSubjectToLoan[[#This Row],[Payment]]-tblSubjectToLoan[[#This Row],[Int]])))</f>
        <v>438.49999999999994</v>
      </c>
      <c r="E119" s="14">
        <f>IF(tblSubjectToLoan[[#This Row],[Date]]="",0,ROUND(tblSubjectToLoan[[#This Row],[Beginning Balance]]*(subjectInterestRate/12),2))</f>
        <v>187.31</v>
      </c>
      <c r="F119" s="14">
        <f t="shared" si="8"/>
        <v>134.16999999999999</v>
      </c>
      <c r="G119" s="14">
        <f t="shared" si="8"/>
        <v>188.55</v>
      </c>
      <c r="H119" s="14">
        <f>SUM(tblSubjectToLoan[[#This Row],[Princ]],tblSubjectToLoan[[#This Row],[Int]],tblSubjectToLoan[[#This Row],[Ins]],tblSubjectToLoan[[#This Row],[Taxes]])</f>
        <v>948.53</v>
      </c>
      <c r="I119" s="276">
        <f>IF(tblSubjectToLoan[[#This Row],[Date]]="",IF(ROW()=ROW(tblSubjectToLoan[#Headers])+1,0,INDEX(tblSubjectToLoan[Principal],ROW()-ROW(tblSubjectToLoan[#Headers])-1)),tblSubjectToLoan[[#This Row],[Princ]]+IF(ROW()=ROW(tblSubjectToLoan[#Headers])+1,0,INDEX(tblSubjectToLoan[Principal],ROW()-ROW(tblSubjectToLoan[#Headers])-1)))</f>
        <v>37727.12999999999</v>
      </c>
      <c r="J119" s="276">
        <f>IF(tblSubjectToLoan[[#This Row],[Date]]="",IF(ROW()=ROW(tblSubjectToLoan[#Headers])+1,0,INDEX(tblSubjectToLoan[Interest],ROW()-ROW(tblSubjectToLoan[#Headers])-1)),tblSubjectToLoan[[#This Row],[Int]]+IF(ROW()=ROW(tblSubjectToLoan[#Headers])+1,0,INDEX(tblSubjectToLoan[Interest],ROW()-ROW(tblSubjectToLoan[#Headers])-1)))</f>
        <v>24853.87</v>
      </c>
      <c r="K119" s="969">
        <f>IF(tblSubjectToLoan[[#This Row],[Date]]="",0,MAX(0,tblSubjectToLoan[[#This Row],[Beginning Balance]]-tblSubjectToLoan[[#This Row],[Princ]]))</f>
        <v>59500.869999999959</v>
      </c>
      <c r="L119" s="394">
        <f t="shared" si="9"/>
        <v>8</v>
      </c>
      <c r="M119" s="394">
        <f t="shared" si="6"/>
        <v>99</v>
      </c>
      <c r="N119" s="613">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67">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1676.2500000000045</v>
      </c>
      <c r="AD119" s="276">
        <f>IF(INDEX(tblContractForDeed[End Bal],ROW()-ROW(tblBuyerOutputs[#Headers]))&lt;=0,0,($O$6+IF(ROW()=ROW(tblBuyerOutputs[#Headers])+1,0,INDEX(tblBuyerOutputs[Cumul Appr],ROW()-ROW(tblBuyerOutputs[#Headers])-1)))*$O$2/12)</f>
        <v>0</v>
      </c>
      <c r="AE119" s="276">
        <f>IF(INDEX(tblContractForDeed[End Bal],ROW()-ROW(tblBuyerOutputs[#Headers]))&lt;=0,0,IF(ROW()=ROW(tblBuyerOutputs[#Headers])+1,0,INDEX(tblBuyerOutputs[Cumul Appr],ROW()-ROW(tblBuyerOutputs[#Headers])-1))+tblBuyerOutputs[[#This Row],[Monthly Appr]])</f>
        <v>0</v>
      </c>
      <c r="AF119" s="22"/>
      <c r="AG119" s="14"/>
      <c r="AL119"/>
      <c r="AM119" s="14"/>
      <c r="AO119" s="276"/>
      <c r="AQ119" s="14"/>
      <c r="AR119"/>
    </row>
    <row r="120" spans="1:44" x14ac:dyDescent="0.25">
      <c r="A120" s="613">
        <f>IF(ROW()=ROW(tblSubjectToLoan[#Headers])+1,subjectKnownBalanceDate,IF(OR(INDEX(tblSubjectToLoan[Date],ROW()-ROW(tblSubjectToLoan[#Headers])-1)="",INDEX(tblSubjectToLoan[Date],ROW()-ROW(tblSubjectToLoan[#Headers])-1)&gt;=subjectMortgageEndDate),"",EDATE(INDEX(tblSubjectToLoan[Date],ROW()-ROW(tblSubjectToLoan[#Headers])-1),1)))</f>
        <v>48914</v>
      </c>
      <c r="B120" s="276">
        <f>IF(tblSubjectToLoan[[#This Row],[Date]]="",0,IF(ROW()=ROW(tblSubjectToLoan[#Headers])+1,subjectKnownBalance,MAX(0,INDEX(tblSubjectToLoan[Ending Balance],ROW()-ROW(tblSubjectToLoan[#Headers])-1))))</f>
        <v>59500.869999999959</v>
      </c>
      <c r="C1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0" s="14">
        <f>IF(tblSubjectToLoan[[#This Row],[Payment]]=0,0,MAX(0,MIN(tblSubjectToLoan[[#This Row],[Beginning Balance]],tblSubjectToLoan[[#This Row],[Payment]]-tblSubjectToLoan[[#This Row],[Int]])))</f>
        <v>439.86999999999995</v>
      </c>
      <c r="E120" s="14">
        <f>IF(tblSubjectToLoan[[#This Row],[Date]]="",0,ROUND(tblSubjectToLoan[[#This Row],[Beginning Balance]]*(subjectInterestRate/12),2))</f>
        <v>185.94</v>
      </c>
      <c r="F120" s="14">
        <f t="shared" si="8"/>
        <v>134.16999999999999</v>
      </c>
      <c r="G120" s="14">
        <f t="shared" si="8"/>
        <v>188.55</v>
      </c>
      <c r="H120" s="14">
        <f>SUM(tblSubjectToLoan[[#This Row],[Princ]],tblSubjectToLoan[[#This Row],[Int]],tblSubjectToLoan[[#This Row],[Ins]],tblSubjectToLoan[[#This Row],[Taxes]])</f>
        <v>948.53</v>
      </c>
      <c r="I120" s="276">
        <f>IF(tblSubjectToLoan[[#This Row],[Date]]="",IF(ROW()=ROW(tblSubjectToLoan[#Headers])+1,0,INDEX(tblSubjectToLoan[Principal],ROW()-ROW(tblSubjectToLoan[#Headers])-1)),tblSubjectToLoan[[#This Row],[Princ]]+IF(ROW()=ROW(tblSubjectToLoan[#Headers])+1,0,INDEX(tblSubjectToLoan[Principal],ROW()-ROW(tblSubjectToLoan[#Headers])-1)))</f>
        <v>38166.999999999993</v>
      </c>
      <c r="J120" s="276">
        <f>IF(tblSubjectToLoan[[#This Row],[Date]]="",IF(ROW()=ROW(tblSubjectToLoan[#Headers])+1,0,INDEX(tblSubjectToLoan[Interest],ROW()-ROW(tblSubjectToLoan[#Headers])-1)),tblSubjectToLoan[[#This Row],[Int]]+IF(ROW()=ROW(tblSubjectToLoan[#Headers])+1,0,INDEX(tblSubjectToLoan[Interest],ROW()-ROW(tblSubjectToLoan[#Headers])-1)))</f>
        <v>25039.809999999998</v>
      </c>
      <c r="K120" s="969">
        <f>IF(tblSubjectToLoan[[#This Row],[Date]]="",0,MAX(0,tblSubjectToLoan[[#This Row],[Beginning Balance]]-tblSubjectToLoan[[#This Row],[Princ]]))</f>
        <v>59060.999999999956</v>
      </c>
      <c r="L120" s="394">
        <f t="shared" si="9"/>
        <v>8</v>
      </c>
      <c r="M120" s="394">
        <f t="shared" si="6"/>
        <v>100</v>
      </c>
      <c r="N120" s="613">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67">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1710.3400000000047</v>
      </c>
      <c r="AD120" s="276">
        <f>IF(INDEX(tblContractForDeed[End Bal],ROW()-ROW(tblBuyerOutputs[#Headers]))&lt;=0,0,($O$6+IF(ROW()=ROW(tblBuyerOutputs[#Headers])+1,0,INDEX(tblBuyerOutputs[Cumul Appr],ROW()-ROW(tblBuyerOutputs[#Headers])-1)))*$O$2/12)</f>
        <v>0</v>
      </c>
      <c r="AE120" s="276">
        <f>IF(INDEX(tblContractForDeed[End Bal],ROW()-ROW(tblBuyerOutputs[#Headers]))&lt;=0,0,IF(ROW()=ROW(tblBuyerOutputs[#Headers])+1,0,INDEX(tblBuyerOutputs[Cumul Appr],ROW()-ROW(tblBuyerOutputs[#Headers])-1))+tblBuyerOutputs[[#This Row],[Monthly Appr]])</f>
        <v>0</v>
      </c>
      <c r="AF120" s="22"/>
      <c r="AG120" s="14"/>
      <c r="AL120"/>
      <c r="AM120" s="14"/>
      <c r="AO120" s="276"/>
      <c r="AQ120" s="14"/>
      <c r="AR120"/>
    </row>
    <row r="121" spans="1:44" x14ac:dyDescent="0.25">
      <c r="A121" s="613">
        <f>IF(ROW()=ROW(tblSubjectToLoan[#Headers])+1,subjectKnownBalanceDate,IF(OR(INDEX(tblSubjectToLoan[Date],ROW()-ROW(tblSubjectToLoan[#Headers])-1)="",INDEX(tblSubjectToLoan[Date],ROW()-ROW(tblSubjectToLoan[#Headers])-1)&gt;=subjectMortgageEndDate),"",EDATE(INDEX(tblSubjectToLoan[Date],ROW()-ROW(tblSubjectToLoan[#Headers])-1),1)))</f>
        <v>48945</v>
      </c>
      <c r="B121" s="276">
        <f>IF(tblSubjectToLoan[[#This Row],[Date]]="",0,IF(ROW()=ROW(tblSubjectToLoan[#Headers])+1,subjectKnownBalance,MAX(0,INDEX(tblSubjectToLoan[Ending Balance],ROW()-ROW(tblSubjectToLoan[#Headers])-1))))</f>
        <v>59060.999999999956</v>
      </c>
      <c r="C1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1" s="14">
        <f>IF(tblSubjectToLoan[[#This Row],[Payment]]=0,0,MAX(0,MIN(tblSubjectToLoan[[#This Row],[Beginning Balance]],tblSubjectToLoan[[#This Row],[Payment]]-tblSubjectToLoan[[#This Row],[Int]])))</f>
        <v>441.23999999999995</v>
      </c>
      <c r="E121" s="14">
        <f>IF(tblSubjectToLoan[[#This Row],[Date]]="",0,ROUND(tblSubjectToLoan[[#This Row],[Beginning Balance]]*(subjectInterestRate/12),2))</f>
        <v>184.57</v>
      </c>
      <c r="F121" s="14">
        <f t="shared" si="8"/>
        <v>134.16999999999999</v>
      </c>
      <c r="G121" s="14">
        <f t="shared" si="8"/>
        <v>188.55</v>
      </c>
      <c r="H121" s="14">
        <f>SUM(tblSubjectToLoan[[#This Row],[Princ]],tblSubjectToLoan[[#This Row],[Int]],tblSubjectToLoan[[#This Row],[Ins]],tblSubjectToLoan[[#This Row],[Taxes]])</f>
        <v>948.53</v>
      </c>
      <c r="I121" s="276">
        <f>IF(tblSubjectToLoan[[#This Row],[Date]]="",IF(ROW()=ROW(tblSubjectToLoan[#Headers])+1,0,INDEX(tblSubjectToLoan[Principal],ROW()-ROW(tblSubjectToLoan[#Headers])-1)),tblSubjectToLoan[[#This Row],[Princ]]+IF(ROW()=ROW(tblSubjectToLoan[#Headers])+1,0,INDEX(tblSubjectToLoan[Principal],ROW()-ROW(tblSubjectToLoan[#Headers])-1)))</f>
        <v>38608.239999999991</v>
      </c>
      <c r="J121" s="276">
        <f>IF(tblSubjectToLoan[[#This Row],[Date]]="",IF(ROW()=ROW(tblSubjectToLoan[#Headers])+1,0,INDEX(tblSubjectToLoan[Interest],ROW()-ROW(tblSubjectToLoan[#Headers])-1)),tblSubjectToLoan[[#This Row],[Int]]+IF(ROW()=ROW(tblSubjectToLoan[#Headers])+1,0,INDEX(tblSubjectToLoan[Interest],ROW()-ROW(tblSubjectToLoan[#Headers])-1)))</f>
        <v>25224.379999999997</v>
      </c>
      <c r="K121" s="969">
        <f>IF(tblSubjectToLoan[[#This Row],[Date]]="",0,MAX(0,tblSubjectToLoan[[#This Row],[Beginning Balance]]-tblSubjectToLoan[[#This Row],[Princ]]))</f>
        <v>58619.759999999958</v>
      </c>
      <c r="L121" s="394">
        <f t="shared" si="9"/>
        <v>8</v>
      </c>
      <c r="M121" s="394">
        <f t="shared" si="6"/>
        <v>101</v>
      </c>
      <c r="N121" s="613">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67">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1744.4300000000048</v>
      </c>
      <c r="AD121" s="276">
        <f>IF(INDEX(tblContractForDeed[End Bal],ROW()-ROW(tblBuyerOutputs[#Headers]))&lt;=0,0,($O$6+IF(ROW()=ROW(tblBuyerOutputs[#Headers])+1,0,INDEX(tblBuyerOutputs[Cumul Appr],ROW()-ROW(tblBuyerOutputs[#Headers])-1)))*$O$2/12)</f>
        <v>0</v>
      </c>
      <c r="AE121" s="276">
        <f>IF(INDEX(tblContractForDeed[End Bal],ROW()-ROW(tblBuyerOutputs[#Headers]))&lt;=0,0,IF(ROW()=ROW(tblBuyerOutputs[#Headers])+1,0,INDEX(tblBuyerOutputs[Cumul Appr],ROW()-ROW(tblBuyerOutputs[#Headers])-1))+tblBuyerOutputs[[#This Row],[Monthly Appr]])</f>
        <v>0</v>
      </c>
      <c r="AF121" s="22"/>
      <c r="AG121" s="14"/>
      <c r="AL121"/>
      <c r="AM121" s="14"/>
      <c r="AO121" s="276"/>
      <c r="AQ121" s="14"/>
      <c r="AR121"/>
    </row>
    <row r="122" spans="1:44" x14ac:dyDescent="0.25">
      <c r="A122" s="613">
        <f>IF(ROW()=ROW(tblSubjectToLoan[#Headers])+1,subjectKnownBalanceDate,IF(OR(INDEX(tblSubjectToLoan[Date],ROW()-ROW(tblSubjectToLoan[#Headers])-1)="",INDEX(tblSubjectToLoan[Date],ROW()-ROW(tblSubjectToLoan[#Headers])-1)&gt;=subjectMortgageEndDate),"",EDATE(INDEX(tblSubjectToLoan[Date],ROW()-ROW(tblSubjectToLoan[#Headers])-1),1)))</f>
        <v>48976</v>
      </c>
      <c r="B122" s="276">
        <f>IF(tblSubjectToLoan[[#This Row],[Date]]="",0,IF(ROW()=ROW(tblSubjectToLoan[#Headers])+1,subjectKnownBalance,MAX(0,INDEX(tblSubjectToLoan[Ending Balance],ROW()-ROW(tblSubjectToLoan[#Headers])-1))))</f>
        <v>58619.759999999958</v>
      </c>
      <c r="C1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2" s="14">
        <f>IF(tblSubjectToLoan[[#This Row],[Payment]]=0,0,MAX(0,MIN(tblSubjectToLoan[[#This Row],[Beginning Balance]],tblSubjectToLoan[[#This Row],[Payment]]-tblSubjectToLoan[[#This Row],[Int]])))</f>
        <v>442.61999999999995</v>
      </c>
      <c r="E122" s="14">
        <f>IF(tblSubjectToLoan[[#This Row],[Date]]="",0,ROUND(tblSubjectToLoan[[#This Row],[Beginning Balance]]*(subjectInterestRate/12),2))</f>
        <v>183.19</v>
      </c>
      <c r="F122" s="14">
        <f t="shared" si="8"/>
        <v>134.16999999999999</v>
      </c>
      <c r="G122" s="14">
        <f t="shared" si="8"/>
        <v>188.55</v>
      </c>
      <c r="H122" s="14">
        <f>SUM(tblSubjectToLoan[[#This Row],[Princ]],tblSubjectToLoan[[#This Row],[Int]],tblSubjectToLoan[[#This Row],[Ins]],tblSubjectToLoan[[#This Row],[Taxes]])</f>
        <v>948.53</v>
      </c>
      <c r="I122" s="276">
        <f>IF(tblSubjectToLoan[[#This Row],[Date]]="",IF(ROW()=ROW(tblSubjectToLoan[#Headers])+1,0,INDEX(tblSubjectToLoan[Principal],ROW()-ROW(tblSubjectToLoan[#Headers])-1)),tblSubjectToLoan[[#This Row],[Princ]]+IF(ROW()=ROW(tblSubjectToLoan[#Headers])+1,0,INDEX(tblSubjectToLoan[Principal],ROW()-ROW(tblSubjectToLoan[#Headers])-1)))</f>
        <v>39050.859999999993</v>
      </c>
      <c r="J122" s="276">
        <f>IF(tblSubjectToLoan[[#This Row],[Date]]="",IF(ROW()=ROW(tblSubjectToLoan[#Headers])+1,0,INDEX(tblSubjectToLoan[Interest],ROW()-ROW(tblSubjectToLoan[#Headers])-1)),tblSubjectToLoan[[#This Row],[Int]]+IF(ROW()=ROW(tblSubjectToLoan[#Headers])+1,0,INDEX(tblSubjectToLoan[Interest],ROW()-ROW(tblSubjectToLoan[#Headers])-1)))</f>
        <v>25407.569999999996</v>
      </c>
      <c r="K122" s="969">
        <f>IF(tblSubjectToLoan[[#This Row],[Date]]="",0,MAX(0,tblSubjectToLoan[[#This Row],[Beginning Balance]]-tblSubjectToLoan[[#This Row],[Princ]]))</f>
        <v>58177.139999999956</v>
      </c>
      <c r="L122" s="394">
        <f t="shared" si="9"/>
        <v>8</v>
      </c>
      <c r="M122" s="394">
        <f t="shared" si="6"/>
        <v>102</v>
      </c>
      <c r="N122" s="613">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67">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1778.520000000005</v>
      </c>
      <c r="AD122" s="276">
        <f>IF(INDEX(tblContractForDeed[End Bal],ROW()-ROW(tblBuyerOutputs[#Headers]))&lt;=0,0,($O$6+IF(ROW()=ROW(tblBuyerOutputs[#Headers])+1,0,INDEX(tblBuyerOutputs[Cumul Appr],ROW()-ROW(tblBuyerOutputs[#Headers])-1)))*$O$2/12)</f>
        <v>0</v>
      </c>
      <c r="AE122" s="276">
        <f>IF(INDEX(tblContractForDeed[End Bal],ROW()-ROW(tblBuyerOutputs[#Headers]))&lt;=0,0,IF(ROW()=ROW(tblBuyerOutputs[#Headers])+1,0,INDEX(tblBuyerOutputs[Cumul Appr],ROW()-ROW(tblBuyerOutputs[#Headers])-1))+tblBuyerOutputs[[#This Row],[Monthly Appr]])</f>
        <v>0</v>
      </c>
      <c r="AF122" s="22"/>
      <c r="AG122" s="14"/>
      <c r="AL122"/>
      <c r="AM122" s="14"/>
      <c r="AO122" s="276"/>
      <c r="AQ122" s="14"/>
      <c r="AR122"/>
    </row>
    <row r="123" spans="1:44" x14ac:dyDescent="0.25">
      <c r="A123" s="613">
        <f>IF(ROW()=ROW(tblSubjectToLoan[#Headers])+1,subjectKnownBalanceDate,IF(OR(INDEX(tblSubjectToLoan[Date],ROW()-ROW(tblSubjectToLoan[#Headers])-1)="",INDEX(tblSubjectToLoan[Date],ROW()-ROW(tblSubjectToLoan[#Headers])-1)&gt;=subjectMortgageEndDate),"",EDATE(INDEX(tblSubjectToLoan[Date],ROW()-ROW(tblSubjectToLoan[#Headers])-1),1)))</f>
        <v>49004</v>
      </c>
      <c r="B123" s="276">
        <f>IF(tblSubjectToLoan[[#This Row],[Date]]="",0,IF(ROW()=ROW(tblSubjectToLoan[#Headers])+1,subjectKnownBalance,MAX(0,INDEX(tblSubjectToLoan[Ending Balance],ROW()-ROW(tblSubjectToLoan[#Headers])-1))))</f>
        <v>58177.139999999956</v>
      </c>
      <c r="C1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3" s="14">
        <f>IF(tblSubjectToLoan[[#This Row],[Payment]]=0,0,MAX(0,MIN(tblSubjectToLoan[[#This Row],[Beginning Balance]],tblSubjectToLoan[[#This Row],[Payment]]-tblSubjectToLoan[[#This Row],[Int]])))</f>
        <v>444.00999999999993</v>
      </c>
      <c r="E123" s="14">
        <f>IF(tblSubjectToLoan[[#This Row],[Date]]="",0,ROUND(tblSubjectToLoan[[#This Row],[Beginning Balance]]*(subjectInterestRate/12),2))</f>
        <v>181.8</v>
      </c>
      <c r="F123" s="14">
        <f t="shared" si="8"/>
        <v>134.16999999999999</v>
      </c>
      <c r="G123" s="14">
        <f t="shared" si="8"/>
        <v>188.55</v>
      </c>
      <c r="H123" s="14">
        <f>SUM(tblSubjectToLoan[[#This Row],[Princ]],tblSubjectToLoan[[#This Row],[Int]],tblSubjectToLoan[[#This Row],[Ins]],tblSubjectToLoan[[#This Row],[Taxes]])</f>
        <v>948.53</v>
      </c>
      <c r="I123" s="276">
        <f>IF(tblSubjectToLoan[[#This Row],[Date]]="",IF(ROW()=ROW(tblSubjectToLoan[#Headers])+1,0,INDEX(tblSubjectToLoan[Principal],ROW()-ROW(tblSubjectToLoan[#Headers])-1)),tblSubjectToLoan[[#This Row],[Princ]]+IF(ROW()=ROW(tblSubjectToLoan[#Headers])+1,0,INDEX(tblSubjectToLoan[Principal],ROW()-ROW(tblSubjectToLoan[#Headers])-1)))</f>
        <v>39494.869999999995</v>
      </c>
      <c r="J123" s="276">
        <f>IF(tblSubjectToLoan[[#This Row],[Date]]="",IF(ROW()=ROW(tblSubjectToLoan[#Headers])+1,0,INDEX(tblSubjectToLoan[Interest],ROW()-ROW(tblSubjectToLoan[#Headers])-1)),tblSubjectToLoan[[#This Row],[Int]]+IF(ROW()=ROW(tblSubjectToLoan[#Headers])+1,0,INDEX(tblSubjectToLoan[Interest],ROW()-ROW(tblSubjectToLoan[#Headers])-1)))</f>
        <v>25589.369999999995</v>
      </c>
      <c r="K123" s="969">
        <f>IF(tblSubjectToLoan[[#This Row],[Date]]="",0,MAX(0,tblSubjectToLoan[[#This Row],[Beginning Balance]]-tblSubjectToLoan[[#This Row],[Princ]]))</f>
        <v>57733.129999999954</v>
      </c>
      <c r="L123" s="394">
        <f t="shared" si="9"/>
        <v>8</v>
      </c>
      <c r="M123" s="394">
        <f t="shared" si="6"/>
        <v>103</v>
      </c>
      <c r="N123" s="613">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67">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1812.6100000000051</v>
      </c>
      <c r="AD123" s="276">
        <f>IF(INDEX(tblContractForDeed[End Bal],ROW()-ROW(tblBuyerOutputs[#Headers]))&lt;=0,0,($O$6+IF(ROW()=ROW(tblBuyerOutputs[#Headers])+1,0,INDEX(tblBuyerOutputs[Cumul Appr],ROW()-ROW(tblBuyerOutputs[#Headers])-1)))*$O$2/12)</f>
        <v>0</v>
      </c>
      <c r="AE123" s="276">
        <f>IF(INDEX(tblContractForDeed[End Bal],ROW()-ROW(tblBuyerOutputs[#Headers]))&lt;=0,0,IF(ROW()=ROW(tblBuyerOutputs[#Headers])+1,0,INDEX(tblBuyerOutputs[Cumul Appr],ROW()-ROW(tblBuyerOutputs[#Headers])-1))+tblBuyerOutputs[[#This Row],[Monthly Appr]])</f>
        <v>0</v>
      </c>
      <c r="AF123" s="22"/>
      <c r="AG123" s="14"/>
      <c r="AL123"/>
      <c r="AM123" s="14"/>
      <c r="AO123" s="276"/>
      <c r="AQ123" s="14"/>
      <c r="AR123"/>
    </row>
    <row r="124" spans="1:44" x14ac:dyDescent="0.25">
      <c r="A124" s="613">
        <f>IF(ROW()=ROW(tblSubjectToLoan[#Headers])+1,subjectKnownBalanceDate,IF(OR(INDEX(tblSubjectToLoan[Date],ROW()-ROW(tblSubjectToLoan[#Headers])-1)="",INDEX(tblSubjectToLoan[Date],ROW()-ROW(tblSubjectToLoan[#Headers])-1)&gt;=subjectMortgageEndDate),"",EDATE(INDEX(tblSubjectToLoan[Date],ROW()-ROW(tblSubjectToLoan[#Headers])-1),1)))</f>
        <v>49035</v>
      </c>
      <c r="B124" s="276">
        <f>IF(tblSubjectToLoan[[#This Row],[Date]]="",0,IF(ROW()=ROW(tblSubjectToLoan[#Headers])+1,subjectKnownBalance,MAX(0,INDEX(tblSubjectToLoan[Ending Balance],ROW()-ROW(tblSubjectToLoan[#Headers])-1))))</f>
        <v>57733.129999999954</v>
      </c>
      <c r="C1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4" s="14">
        <f>IF(tblSubjectToLoan[[#This Row],[Payment]]=0,0,MAX(0,MIN(tblSubjectToLoan[[#This Row],[Beginning Balance]],tblSubjectToLoan[[#This Row],[Payment]]-tblSubjectToLoan[[#This Row],[Int]])))</f>
        <v>445.39</v>
      </c>
      <c r="E124" s="14">
        <f>IF(tblSubjectToLoan[[#This Row],[Date]]="",0,ROUND(tblSubjectToLoan[[#This Row],[Beginning Balance]]*(subjectInterestRate/12),2))</f>
        <v>180.42</v>
      </c>
      <c r="F124" s="14">
        <f t="shared" si="8"/>
        <v>134.16999999999999</v>
      </c>
      <c r="G124" s="14">
        <f t="shared" si="8"/>
        <v>188.55</v>
      </c>
      <c r="H124" s="14">
        <f>SUM(tblSubjectToLoan[[#This Row],[Princ]],tblSubjectToLoan[[#This Row],[Int]],tblSubjectToLoan[[#This Row],[Ins]],tblSubjectToLoan[[#This Row],[Taxes]])</f>
        <v>948.53</v>
      </c>
      <c r="I124" s="276">
        <f>IF(tblSubjectToLoan[[#This Row],[Date]]="",IF(ROW()=ROW(tblSubjectToLoan[#Headers])+1,0,INDEX(tblSubjectToLoan[Principal],ROW()-ROW(tblSubjectToLoan[#Headers])-1)),tblSubjectToLoan[[#This Row],[Princ]]+IF(ROW()=ROW(tblSubjectToLoan[#Headers])+1,0,INDEX(tblSubjectToLoan[Principal],ROW()-ROW(tblSubjectToLoan[#Headers])-1)))</f>
        <v>39940.259999999995</v>
      </c>
      <c r="J124" s="276">
        <f>IF(tblSubjectToLoan[[#This Row],[Date]]="",IF(ROW()=ROW(tblSubjectToLoan[#Headers])+1,0,INDEX(tblSubjectToLoan[Interest],ROW()-ROW(tblSubjectToLoan[#Headers])-1)),tblSubjectToLoan[[#This Row],[Int]]+IF(ROW()=ROW(tblSubjectToLoan[#Headers])+1,0,INDEX(tblSubjectToLoan[Interest],ROW()-ROW(tblSubjectToLoan[#Headers])-1)))</f>
        <v>25769.789999999994</v>
      </c>
      <c r="K124" s="969">
        <f>IF(tblSubjectToLoan[[#This Row],[Date]]="",0,MAX(0,tblSubjectToLoan[[#This Row],[Beginning Balance]]-tblSubjectToLoan[[#This Row],[Princ]]))</f>
        <v>57287.739999999954</v>
      </c>
      <c r="L124" s="394">
        <f t="shared" si="9"/>
        <v>8</v>
      </c>
      <c r="M124" s="394">
        <f t="shared" si="6"/>
        <v>104</v>
      </c>
      <c r="N124" s="613">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67">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1846.7000000000053</v>
      </c>
      <c r="AD124" s="276">
        <f>IF(INDEX(tblContractForDeed[End Bal],ROW()-ROW(tblBuyerOutputs[#Headers]))&lt;=0,0,($O$6+IF(ROW()=ROW(tblBuyerOutputs[#Headers])+1,0,INDEX(tblBuyerOutputs[Cumul Appr],ROW()-ROW(tblBuyerOutputs[#Headers])-1)))*$O$2/12)</f>
        <v>0</v>
      </c>
      <c r="AE124" s="276">
        <f>IF(INDEX(tblContractForDeed[End Bal],ROW()-ROW(tblBuyerOutputs[#Headers]))&lt;=0,0,IF(ROW()=ROW(tblBuyerOutputs[#Headers])+1,0,INDEX(tblBuyerOutputs[Cumul Appr],ROW()-ROW(tblBuyerOutputs[#Headers])-1))+tblBuyerOutputs[[#This Row],[Monthly Appr]])</f>
        <v>0</v>
      </c>
      <c r="AF124" s="22"/>
      <c r="AG124" s="14"/>
      <c r="AL124"/>
      <c r="AM124" s="14"/>
      <c r="AO124" s="276"/>
      <c r="AQ124" s="14"/>
      <c r="AR124"/>
    </row>
    <row r="125" spans="1:44" x14ac:dyDescent="0.25">
      <c r="A125" s="613">
        <f>IF(ROW()=ROW(tblSubjectToLoan[#Headers])+1,subjectKnownBalanceDate,IF(OR(INDEX(tblSubjectToLoan[Date],ROW()-ROW(tblSubjectToLoan[#Headers])-1)="",INDEX(tblSubjectToLoan[Date],ROW()-ROW(tblSubjectToLoan[#Headers])-1)&gt;=subjectMortgageEndDate),"",EDATE(INDEX(tblSubjectToLoan[Date],ROW()-ROW(tblSubjectToLoan[#Headers])-1),1)))</f>
        <v>49065</v>
      </c>
      <c r="B125" s="276">
        <f>IF(tblSubjectToLoan[[#This Row],[Date]]="",0,IF(ROW()=ROW(tblSubjectToLoan[#Headers])+1,subjectKnownBalance,MAX(0,INDEX(tblSubjectToLoan[Ending Balance],ROW()-ROW(tblSubjectToLoan[#Headers])-1))))</f>
        <v>57287.739999999954</v>
      </c>
      <c r="C1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5" s="14">
        <f>IF(tblSubjectToLoan[[#This Row],[Payment]]=0,0,MAX(0,MIN(tblSubjectToLoan[[#This Row],[Beginning Balance]],tblSubjectToLoan[[#This Row],[Payment]]-tblSubjectToLoan[[#This Row],[Int]])))</f>
        <v>446.78999999999996</v>
      </c>
      <c r="E125" s="14">
        <f>IF(tblSubjectToLoan[[#This Row],[Date]]="",0,ROUND(tblSubjectToLoan[[#This Row],[Beginning Balance]]*(subjectInterestRate/12),2))</f>
        <v>179.02</v>
      </c>
      <c r="F125" s="14">
        <f t="shared" si="8"/>
        <v>134.16999999999999</v>
      </c>
      <c r="G125" s="14">
        <f t="shared" si="8"/>
        <v>188.55</v>
      </c>
      <c r="H125" s="14">
        <f>SUM(tblSubjectToLoan[[#This Row],[Princ]],tblSubjectToLoan[[#This Row],[Int]],tblSubjectToLoan[[#This Row],[Ins]],tblSubjectToLoan[[#This Row],[Taxes]])</f>
        <v>948.53</v>
      </c>
      <c r="I125" s="276">
        <f>IF(tblSubjectToLoan[[#This Row],[Date]]="",IF(ROW()=ROW(tblSubjectToLoan[#Headers])+1,0,INDEX(tblSubjectToLoan[Principal],ROW()-ROW(tblSubjectToLoan[#Headers])-1)),tblSubjectToLoan[[#This Row],[Princ]]+IF(ROW()=ROW(tblSubjectToLoan[#Headers])+1,0,INDEX(tblSubjectToLoan[Principal],ROW()-ROW(tblSubjectToLoan[#Headers])-1)))</f>
        <v>40387.049999999996</v>
      </c>
      <c r="J125" s="276">
        <f>IF(tblSubjectToLoan[[#This Row],[Date]]="",IF(ROW()=ROW(tblSubjectToLoan[#Headers])+1,0,INDEX(tblSubjectToLoan[Interest],ROW()-ROW(tblSubjectToLoan[#Headers])-1)),tblSubjectToLoan[[#This Row],[Int]]+IF(ROW()=ROW(tblSubjectToLoan[#Headers])+1,0,INDEX(tblSubjectToLoan[Interest],ROW()-ROW(tblSubjectToLoan[#Headers])-1)))</f>
        <v>25948.809999999994</v>
      </c>
      <c r="K125" s="969">
        <f>IF(tblSubjectToLoan[[#This Row],[Date]]="",0,MAX(0,tblSubjectToLoan[[#This Row],[Beginning Balance]]-tblSubjectToLoan[[#This Row],[Princ]]))</f>
        <v>56840.949999999953</v>
      </c>
      <c r="L125" s="394">
        <f t="shared" si="9"/>
        <v>8</v>
      </c>
      <c r="M125" s="394">
        <f t="shared" si="6"/>
        <v>105</v>
      </c>
      <c r="N125" s="613">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67">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1880.7900000000054</v>
      </c>
      <c r="AD125" s="276">
        <f>IF(INDEX(tblContractForDeed[End Bal],ROW()-ROW(tblBuyerOutputs[#Headers]))&lt;=0,0,($O$6+IF(ROW()=ROW(tblBuyerOutputs[#Headers])+1,0,INDEX(tblBuyerOutputs[Cumul Appr],ROW()-ROW(tblBuyerOutputs[#Headers])-1)))*$O$2/12)</f>
        <v>0</v>
      </c>
      <c r="AE125" s="276">
        <f>IF(INDEX(tblContractForDeed[End Bal],ROW()-ROW(tblBuyerOutputs[#Headers]))&lt;=0,0,IF(ROW()=ROW(tblBuyerOutputs[#Headers])+1,0,INDEX(tblBuyerOutputs[Cumul Appr],ROW()-ROW(tblBuyerOutputs[#Headers])-1))+tblBuyerOutputs[[#This Row],[Monthly Appr]])</f>
        <v>0</v>
      </c>
      <c r="AF125" s="22"/>
      <c r="AG125" s="14"/>
      <c r="AL125"/>
      <c r="AM125" s="14"/>
      <c r="AO125" s="276"/>
      <c r="AQ125" s="14"/>
      <c r="AR125"/>
    </row>
    <row r="126" spans="1:44" x14ac:dyDescent="0.25">
      <c r="A126" s="613">
        <f>IF(ROW()=ROW(tblSubjectToLoan[#Headers])+1,subjectKnownBalanceDate,IF(OR(INDEX(tblSubjectToLoan[Date],ROW()-ROW(tblSubjectToLoan[#Headers])-1)="",INDEX(tblSubjectToLoan[Date],ROW()-ROW(tblSubjectToLoan[#Headers])-1)&gt;=subjectMortgageEndDate),"",EDATE(INDEX(tblSubjectToLoan[Date],ROW()-ROW(tblSubjectToLoan[#Headers])-1),1)))</f>
        <v>49096</v>
      </c>
      <c r="B126" s="276">
        <f>IF(tblSubjectToLoan[[#This Row],[Date]]="",0,IF(ROW()=ROW(tblSubjectToLoan[#Headers])+1,subjectKnownBalance,MAX(0,INDEX(tblSubjectToLoan[Ending Balance],ROW()-ROW(tblSubjectToLoan[#Headers])-1))))</f>
        <v>56840.949999999953</v>
      </c>
      <c r="C1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6" s="14">
        <f>IF(tblSubjectToLoan[[#This Row],[Payment]]=0,0,MAX(0,MIN(tblSubjectToLoan[[#This Row],[Beginning Balance]],tblSubjectToLoan[[#This Row],[Payment]]-tblSubjectToLoan[[#This Row],[Int]])))</f>
        <v>448.17999999999995</v>
      </c>
      <c r="E126" s="14">
        <f>IF(tblSubjectToLoan[[#This Row],[Date]]="",0,ROUND(tblSubjectToLoan[[#This Row],[Beginning Balance]]*(subjectInterestRate/12),2))</f>
        <v>177.63</v>
      </c>
      <c r="F126" s="14">
        <f t="shared" si="8"/>
        <v>134.16999999999999</v>
      </c>
      <c r="G126" s="14">
        <f t="shared" si="8"/>
        <v>188.55</v>
      </c>
      <c r="H126" s="14">
        <f>SUM(tblSubjectToLoan[[#This Row],[Princ]],tblSubjectToLoan[[#This Row],[Int]],tblSubjectToLoan[[#This Row],[Ins]],tblSubjectToLoan[[#This Row],[Taxes]])</f>
        <v>948.53</v>
      </c>
      <c r="I126" s="276">
        <f>IF(tblSubjectToLoan[[#This Row],[Date]]="",IF(ROW()=ROW(tblSubjectToLoan[#Headers])+1,0,INDEX(tblSubjectToLoan[Principal],ROW()-ROW(tblSubjectToLoan[#Headers])-1)),tblSubjectToLoan[[#This Row],[Princ]]+IF(ROW()=ROW(tblSubjectToLoan[#Headers])+1,0,INDEX(tblSubjectToLoan[Principal],ROW()-ROW(tblSubjectToLoan[#Headers])-1)))</f>
        <v>40835.229999999996</v>
      </c>
      <c r="J126" s="276">
        <f>IF(tblSubjectToLoan[[#This Row],[Date]]="",IF(ROW()=ROW(tblSubjectToLoan[#Headers])+1,0,INDEX(tblSubjectToLoan[Interest],ROW()-ROW(tblSubjectToLoan[#Headers])-1)),tblSubjectToLoan[[#This Row],[Int]]+IF(ROW()=ROW(tblSubjectToLoan[#Headers])+1,0,INDEX(tblSubjectToLoan[Interest],ROW()-ROW(tblSubjectToLoan[#Headers])-1)))</f>
        <v>26126.439999999995</v>
      </c>
      <c r="K126" s="969">
        <f>IF(tblSubjectToLoan[[#This Row],[Date]]="",0,MAX(0,tblSubjectToLoan[[#This Row],[Beginning Balance]]-tblSubjectToLoan[[#This Row],[Princ]]))</f>
        <v>56392.769999999953</v>
      </c>
      <c r="L126" s="394">
        <f t="shared" si="9"/>
        <v>8</v>
      </c>
      <c r="M126" s="394">
        <f t="shared" si="6"/>
        <v>106</v>
      </c>
      <c r="N126" s="613">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67">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1914.8800000000056</v>
      </c>
      <c r="AD126" s="276">
        <f>IF(INDEX(tblContractForDeed[End Bal],ROW()-ROW(tblBuyerOutputs[#Headers]))&lt;=0,0,($O$6+IF(ROW()=ROW(tblBuyerOutputs[#Headers])+1,0,INDEX(tblBuyerOutputs[Cumul Appr],ROW()-ROW(tblBuyerOutputs[#Headers])-1)))*$O$2/12)</f>
        <v>0</v>
      </c>
      <c r="AE126" s="276">
        <f>IF(INDEX(tblContractForDeed[End Bal],ROW()-ROW(tblBuyerOutputs[#Headers]))&lt;=0,0,IF(ROW()=ROW(tblBuyerOutputs[#Headers])+1,0,INDEX(tblBuyerOutputs[Cumul Appr],ROW()-ROW(tblBuyerOutputs[#Headers])-1))+tblBuyerOutputs[[#This Row],[Monthly Appr]])</f>
        <v>0</v>
      </c>
      <c r="AF126" s="22"/>
      <c r="AG126" s="14"/>
      <c r="AL126"/>
      <c r="AM126" s="14"/>
      <c r="AO126" s="276"/>
      <c r="AQ126" s="14"/>
      <c r="AR126"/>
    </row>
    <row r="127" spans="1:44" ht="15.75" thickBot="1" x14ac:dyDescent="0.3">
      <c r="A127" s="614">
        <f>IF(ROW()=ROW(tblSubjectToLoan[#Headers])+1,subjectKnownBalanceDate,IF(OR(INDEX(tblSubjectToLoan[Date],ROW()-ROW(tblSubjectToLoan[#Headers])-1)="",INDEX(tblSubjectToLoan[Date],ROW()-ROW(tblSubjectToLoan[#Headers])-1)&gt;=subjectMortgageEndDate),"",EDATE(INDEX(tblSubjectToLoan[Date],ROW()-ROW(tblSubjectToLoan[#Headers])-1),1)))</f>
        <v>49126</v>
      </c>
      <c r="B127" s="332">
        <f>IF(tblSubjectToLoan[[#This Row],[Date]]="",0,IF(ROW()=ROW(tblSubjectToLoan[#Headers])+1,subjectKnownBalance,MAX(0,INDEX(tblSubjectToLoan[Ending Balance],ROW()-ROW(tblSubjectToLoan[#Headers])-1))))</f>
        <v>56392.769999999953</v>
      </c>
      <c r="C12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7" s="21">
        <f>IF(tblSubjectToLoan[[#This Row],[Payment]]=0,0,MAX(0,MIN(tblSubjectToLoan[[#This Row],[Beginning Balance]],tblSubjectToLoan[[#This Row],[Payment]]-tblSubjectToLoan[[#This Row],[Int]])))</f>
        <v>449.57999999999993</v>
      </c>
      <c r="E127" s="21">
        <f>IF(tblSubjectToLoan[[#This Row],[Date]]="",0,ROUND(tblSubjectToLoan[[#This Row],[Beginning Balance]]*(subjectInterestRate/12),2))</f>
        <v>176.23</v>
      </c>
      <c r="F127" s="21">
        <f t="shared" ref="F127:G142" si="10">+F126</f>
        <v>134.16999999999999</v>
      </c>
      <c r="G127" s="21">
        <f t="shared" si="10"/>
        <v>188.55</v>
      </c>
      <c r="H127" s="21">
        <f>SUM(tblSubjectToLoan[[#This Row],[Princ]],tblSubjectToLoan[[#This Row],[Int]],tblSubjectToLoan[[#This Row],[Ins]],tblSubjectToLoan[[#This Row],[Taxes]])</f>
        <v>948.53</v>
      </c>
      <c r="I127" s="332">
        <f>IF(tblSubjectToLoan[[#This Row],[Date]]="",IF(ROW()=ROW(tblSubjectToLoan[#Headers])+1,0,INDEX(tblSubjectToLoan[Principal],ROW()-ROW(tblSubjectToLoan[#Headers])-1)),tblSubjectToLoan[[#This Row],[Princ]]+IF(ROW()=ROW(tblSubjectToLoan[#Headers])+1,0,INDEX(tblSubjectToLoan[Principal],ROW()-ROW(tblSubjectToLoan[#Headers])-1)))</f>
        <v>41284.81</v>
      </c>
      <c r="J127" s="332">
        <f>IF(tblSubjectToLoan[[#This Row],[Date]]="",IF(ROW()=ROW(tblSubjectToLoan[#Headers])+1,0,INDEX(tblSubjectToLoan[Interest],ROW()-ROW(tblSubjectToLoan[#Headers])-1)),tblSubjectToLoan[[#This Row],[Int]]+IF(ROW()=ROW(tblSubjectToLoan[#Headers])+1,0,INDEX(tblSubjectToLoan[Interest],ROW()-ROW(tblSubjectToLoan[#Headers])-1)))</f>
        <v>26302.669999999995</v>
      </c>
      <c r="K127" s="970">
        <f>IF(tblSubjectToLoan[[#This Row],[Date]]="",0,MAX(0,tblSubjectToLoan[[#This Row],[Beginning Balance]]-tblSubjectToLoan[[#This Row],[Princ]]))</f>
        <v>55943.189999999951</v>
      </c>
      <c r="L127" s="395">
        <f t="shared" si="9"/>
        <v>8</v>
      </c>
      <c r="M127" s="395">
        <f t="shared" si="6"/>
        <v>107</v>
      </c>
      <c r="N127" s="614">
        <f>INDEX(tblSubjectToLoan[Date],ROW()-ROW(tblContractForDeed[#Headers]))</f>
        <v>49126</v>
      </c>
      <c r="O127" s="332">
        <f>IF(ROW()=ROW(tblContractForDeed[#Headers])+1,$O$6,IF(INDEX(tblContractForDeed[End Bal],ROW()-ROW(tblContractForDeed[#Headers])-1)&lt;0,0,INDEX(tblContractForDeed[End Bal],ROW()-ROW(tblContractForDeed[#Headers])-1)))</f>
        <v>44079.210000000028</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411.95</v>
      </c>
      <c r="S127" s="332">
        <f>IF(OR(tblContractForDeed[[#This Row],[Date]]&lt;cfdContractDate,tblContractForDeed[[#This Row],[Date]]&gt;cfdEndDate),0,ROUND(tblContractForDeed[[#This Row],[Beg]]*(tblContractForDeed[[#This Row],[Int Rate]]/12),2))</f>
        <v>247.95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31590.740000000016</v>
      </c>
      <c r="X127" s="332">
        <f>IF(tblContractForDeed[[#This Row],[Beg]]&lt;=0,0,tblContractForDeed[[#This Row],[Beg]]-tblContractForDeed[[#This Row],[Princ]])</f>
        <v>43667.260000000031</v>
      </c>
      <c r="Y12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68">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1948.9700000000057</v>
      </c>
      <c r="AD127" s="332">
        <f>IF(INDEX(tblContractForDeed[End Bal],ROW()-ROW(tblBuyerOutputs[#Headers]))&lt;=0,0,($O$6+IF(ROW()=ROW(tblBuyerOutputs[#Headers])+1,0,INDEX(tblBuyerOutputs[Cumul Appr],ROW()-ROW(tblBuyerOutputs[#Headers])-1)))*$O$2/12)</f>
        <v>0</v>
      </c>
      <c r="AE127" s="332">
        <f>IF(INDEX(tblContractForDeed[End Bal],ROW()-ROW(tblBuyerOutputs[#Headers]))&lt;=0,0,IF(ROW()=ROW(tblBuyerOutputs[#Headers])+1,0,INDEX(tblBuyerOutputs[Cumul Appr],ROW()-ROW(tblBuyerOutputs[#Headers])-1))+tblBuyerOutputs[[#This Row],[Monthly Appr]])</f>
        <v>0</v>
      </c>
      <c r="AF127" s="22"/>
      <c r="AG127" s="14"/>
      <c r="AL127"/>
      <c r="AM127" s="14"/>
      <c r="AO127" s="276"/>
      <c r="AQ127" s="14"/>
      <c r="AR127"/>
    </row>
    <row r="128" spans="1:44" x14ac:dyDescent="0.25">
      <c r="A128" s="613">
        <f>IF(ROW()=ROW(tblSubjectToLoan[#Headers])+1,subjectKnownBalanceDate,IF(OR(INDEX(tblSubjectToLoan[Date],ROW()-ROW(tblSubjectToLoan[#Headers])-1)="",INDEX(tblSubjectToLoan[Date],ROW()-ROW(tblSubjectToLoan[#Headers])-1)&gt;=subjectMortgageEndDate),"",EDATE(INDEX(tblSubjectToLoan[Date],ROW()-ROW(tblSubjectToLoan[#Headers])-1),1)))</f>
        <v>49157</v>
      </c>
      <c r="B128" s="276">
        <f>IF(tblSubjectToLoan[[#This Row],[Date]]="",0,IF(ROW()=ROW(tblSubjectToLoan[#Headers])+1,subjectKnownBalance,MAX(0,INDEX(tblSubjectToLoan[Ending Balance],ROW()-ROW(tblSubjectToLoan[#Headers])-1))))</f>
        <v>55943.189999999951</v>
      </c>
      <c r="C1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8" s="14">
        <f>IF(tblSubjectToLoan[[#This Row],[Payment]]=0,0,MAX(0,MIN(tblSubjectToLoan[[#This Row],[Beginning Balance]],tblSubjectToLoan[[#This Row],[Payment]]-tblSubjectToLoan[[#This Row],[Int]])))</f>
        <v>450.98999999999995</v>
      </c>
      <c r="E128" s="14">
        <f>IF(tblSubjectToLoan[[#This Row],[Date]]="",0,ROUND(tblSubjectToLoan[[#This Row],[Beginning Balance]]*(subjectInterestRate/12),2))</f>
        <v>174.82</v>
      </c>
      <c r="F128" s="14">
        <f t="shared" si="10"/>
        <v>134.16999999999999</v>
      </c>
      <c r="G128" s="14">
        <f t="shared" si="10"/>
        <v>188.55</v>
      </c>
      <c r="H128" s="14">
        <f>SUM(tblSubjectToLoan[[#This Row],[Princ]],tblSubjectToLoan[[#This Row],[Int]],tblSubjectToLoan[[#This Row],[Ins]],tblSubjectToLoan[[#This Row],[Taxes]])</f>
        <v>948.53</v>
      </c>
      <c r="I128" s="276">
        <f>IF(tblSubjectToLoan[[#This Row],[Date]]="",IF(ROW()=ROW(tblSubjectToLoan[#Headers])+1,0,INDEX(tblSubjectToLoan[Principal],ROW()-ROW(tblSubjectToLoan[#Headers])-1)),tblSubjectToLoan[[#This Row],[Princ]]+IF(ROW()=ROW(tblSubjectToLoan[#Headers])+1,0,INDEX(tblSubjectToLoan[Principal],ROW()-ROW(tblSubjectToLoan[#Headers])-1)))</f>
        <v>41735.799999999996</v>
      </c>
      <c r="J128" s="276">
        <f>IF(tblSubjectToLoan[[#This Row],[Date]]="",IF(ROW()=ROW(tblSubjectToLoan[#Headers])+1,0,INDEX(tblSubjectToLoan[Interest],ROW()-ROW(tblSubjectToLoan[#Headers])-1)),tblSubjectToLoan[[#This Row],[Int]]+IF(ROW()=ROW(tblSubjectToLoan[#Headers])+1,0,INDEX(tblSubjectToLoan[Interest],ROW()-ROW(tblSubjectToLoan[#Headers])-1)))</f>
        <v>26477.489999999994</v>
      </c>
      <c r="K128" s="969">
        <f>IF(tblSubjectToLoan[[#This Row],[Date]]="",0,MAX(0,tblSubjectToLoan[[#This Row],[Beginning Balance]]-tblSubjectToLoan[[#This Row],[Princ]]))</f>
        <v>55492.199999999953</v>
      </c>
      <c r="L128" s="394">
        <f t="shared" si="9"/>
        <v>9</v>
      </c>
      <c r="M128" s="394">
        <f t="shared" si="6"/>
        <v>108</v>
      </c>
      <c r="N128" s="613">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67">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1983.0600000000059</v>
      </c>
      <c r="AD128" s="276">
        <f>IF(INDEX(tblContractForDeed[End Bal],ROW()-ROW(tblBuyerOutputs[#Headers]))&lt;=0,0,($O$6+IF(ROW()=ROW(tblBuyerOutputs[#Headers])+1,0,INDEX(tblBuyerOutputs[Cumul Appr],ROW()-ROW(tblBuyerOutputs[#Headers])-1)))*$O$2/12)</f>
        <v>0</v>
      </c>
      <c r="AE128" s="276">
        <f>IF(INDEX(tblContractForDeed[End Bal],ROW()-ROW(tblBuyerOutputs[#Headers]))&lt;=0,0,IF(ROW()=ROW(tblBuyerOutputs[#Headers])+1,0,INDEX(tblBuyerOutputs[Cumul Appr],ROW()-ROW(tblBuyerOutputs[#Headers])-1))+tblBuyerOutputs[[#This Row],[Monthly Appr]])</f>
        <v>0</v>
      </c>
      <c r="AF128" s="22"/>
      <c r="AG128" s="14"/>
      <c r="AL128"/>
      <c r="AM128" s="14"/>
      <c r="AO128" s="276"/>
      <c r="AQ128" s="14"/>
      <c r="AR128"/>
    </row>
    <row r="129" spans="1:44" x14ac:dyDescent="0.25">
      <c r="A129" s="613">
        <f>IF(ROW()=ROW(tblSubjectToLoan[#Headers])+1,subjectKnownBalanceDate,IF(OR(INDEX(tblSubjectToLoan[Date],ROW()-ROW(tblSubjectToLoan[#Headers])-1)="",INDEX(tblSubjectToLoan[Date],ROW()-ROW(tblSubjectToLoan[#Headers])-1)&gt;=subjectMortgageEndDate),"",EDATE(INDEX(tblSubjectToLoan[Date],ROW()-ROW(tblSubjectToLoan[#Headers])-1),1)))</f>
        <v>49188</v>
      </c>
      <c r="B129" s="276">
        <f>IF(tblSubjectToLoan[[#This Row],[Date]]="",0,IF(ROW()=ROW(tblSubjectToLoan[#Headers])+1,subjectKnownBalance,MAX(0,INDEX(tblSubjectToLoan[Ending Balance],ROW()-ROW(tblSubjectToLoan[#Headers])-1))))</f>
        <v>55492.199999999953</v>
      </c>
      <c r="C1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9" s="14">
        <f>IF(tblSubjectToLoan[[#This Row],[Payment]]=0,0,MAX(0,MIN(tblSubjectToLoan[[#This Row],[Beginning Balance]],tblSubjectToLoan[[#This Row],[Payment]]-tblSubjectToLoan[[#This Row],[Int]])))</f>
        <v>452.4</v>
      </c>
      <c r="E129" s="14">
        <f>IF(tblSubjectToLoan[[#This Row],[Date]]="",0,ROUND(tblSubjectToLoan[[#This Row],[Beginning Balance]]*(subjectInterestRate/12),2))</f>
        <v>173.41</v>
      </c>
      <c r="F129" s="14">
        <f t="shared" si="10"/>
        <v>134.16999999999999</v>
      </c>
      <c r="G129" s="14">
        <f t="shared" si="10"/>
        <v>188.55</v>
      </c>
      <c r="H129" s="14">
        <f>SUM(tblSubjectToLoan[[#This Row],[Princ]],tblSubjectToLoan[[#This Row],[Int]],tblSubjectToLoan[[#This Row],[Ins]],tblSubjectToLoan[[#This Row],[Taxes]])</f>
        <v>948.53</v>
      </c>
      <c r="I129" s="276">
        <f>IF(tblSubjectToLoan[[#This Row],[Date]]="",IF(ROW()=ROW(tblSubjectToLoan[#Headers])+1,0,INDEX(tblSubjectToLoan[Principal],ROW()-ROW(tblSubjectToLoan[#Headers])-1)),tblSubjectToLoan[[#This Row],[Princ]]+IF(ROW()=ROW(tblSubjectToLoan[#Headers])+1,0,INDEX(tblSubjectToLoan[Principal],ROW()-ROW(tblSubjectToLoan[#Headers])-1)))</f>
        <v>42188.2</v>
      </c>
      <c r="J129" s="276">
        <f>IF(tblSubjectToLoan[[#This Row],[Date]]="",IF(ROW()=ROW(tblSubjectToLoan[#Headers])+1,0,INDEX(tblSubjectToLoan[Interest],ROW()-ROW(tblSubjectToLoan[#Headers])-1)),tblSubjectToLoan[[#This Row],[Int]]+IF(ROW()=ROW(tblSubjectToLoan[#Headers])+1,0,INDEX(tblSubjectToLoan[Interest],ROW()-ROW(tblSubjectToLoan[#Headers])-1)))</f>
        <v>26650.899999999994</v>
      </c>
      <c r="K129" s="969">
        <f>IF(tblSubjectToLoan[[#This Row],[Date]]="",0,MAX(0,tblSubjectToLoan[[#This Row],[Beginning Balance]]-tblSubjectToLoan[[#This Row],[Princ]]))</f>
        <v>55039.799999999952</v>
      </c>
      <c r="L129" s="394">
        <f t="shared" si="9"/>
        <v>9</v>
      </c>
      <c r="M129" s="394">
        <f t="shared" si="6"/>
        <v>109</v>
      </c>
      <c r="N129" s="613">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67">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2017.150000000006</v>
      </c>
      <c r="AD129" s="276">
        <f>IF(INDEX(tblContractForDeed[End Bal],ROW()-ROW(tblBuyerOutputs[#Headers]))&lt;=0,0,($O$6+IF(ROW()=ROW(tblBuyerOutputs[#Headers])+1,0,INDEX(tblBuyerOutputs[Cumul Appr],ROW()-ROW(tblBuyerOutputs[#Headers])-1)))*$O$2/12)</f>
        <v>0</v>
      </c>
      <c r="AE129" s="276">
        <f>IF(INDEX(tblContractForDeed[End Bal],ROW()-ROW(tblBuyerOutputs[#Headers]))&lt;=0,0,IF(ROW()=ROW(tblBuyerOutputs[#Headers])+1,0,INDEX(tblBuyerOutputs[Cumul Appr],ROW()-ROW(tblBuyerOutputs[#Headers])-1))+tblBuyerOutputs[[#This Row],[Monthly Appr]])</f>
        <v>0</v>
      </c>
      <c r="AF129" s="22"/>
      <c r="AG129" s="14"/>
      <c r="AL129"/>
      <c r="AM129" s="14"/>
      <c r="AO129" s="276"/>
      <c r="AQ129" s="14"/>
      <c r="AR129"/>
    </row>
    <row r="130" spans="1:44" x14ac:dyDescent="0.25">
      <c r="A130" s="613">
        <f>IF(ROW()=ROW(tblSubjectToLoan[#Headers])+1,subjectKnownBalanceDate,IF(OR(INDEX(tblSubjectToLoan[Date],ROW()-ROW(tblSubjectToLoan[#Headers])-1)="",INDEX(tblSubjectToLoan[Date],ROW()-ROW(tblSubjectToLoan[#Headers])-1)&gt;=subjectMortgageEndDate),"",EDATE(INDEX(tblSubjectToLoan[Date],ROW()-ROW(tblSubjectToLoan[#Headers])-1),1)))</f>
        <v>49218</v>
      </c>
      <c r="B130" s="276">
        <f>IF(tblSubjectToLoan[[#This Row],[Date]]="",0,IF(ROW()=ROW(tblSubjectToLoan[#Headers])+1,subjectKnownBalance,MAX(0,INDEX(tblSubjectToLoan[Ending Balance],ROW()-ROW(tblSubjectToLoan[#Headers])-1))))</f>
        <v>55039.799999999952</v>
      </c>
      <c r="C1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0" s="14">
        <f>IF(tblSubjectToLoan[[#This Row],[Payment]]=0,0,MAX(0,MIN(tblSubjectToLoan[[#This Row],[Beginning Balance]],tblSubjectToLoan[[#This Row],[Payment]]-tblSubjectToLoan[[#This Row],[Int]])))</f>
        <v>453.80999999999995</v>
      </c>
      <c r="E130" s="14">
        <f>IF(tblSubjectToLoan[[#This Row],[Date]]="",0,ROUND(tblSubjectToLoan[[#This Row],[Beginning Balance]]*(subjectInterestRate/12),2))</f>
        <v>172</v>
      </c>
      <c r="F130" s="14">
        <f t="shared" si="10"/>
        <v>134.16999999999999</v>
      </c>
      <c r="G130" s="14">
        <f t="shared" si="10"/>
        <v>188.55</v>
      </c>
      <c r="H130" s="14">
        <f>SUM(tblSubjectToLoan[[#This Row],[Princ]],tblSubjectToLoan[[#This Row],[Int]],tblSubjectToLoan[[#This Row],[Ins]],tblSubjectToLoan[[#This Row],[Taxes]])</f>
        <v>948.53</v>
      </c>
      <c r="I130" s="276">
        <f>IF(tblSubjectToLoan[[#This Row],[Date]]="",IF(ROW()=ROW(tblSubjectToLoan[#Headers])+1,0,INDEX(tblSubjectToLoan[Principal],ROW()-ROW(tblSubjectToLoan[#Headers])-1)),tblSubjectToLoan[[#This Row],[Princ]]+IF(ROW()=ROW(tblSubjectToLoan[#Headers])+1,0,INDEX(tblSubjectToLoan[Principal],ROW()-ROW(tblSubjectToLoan[#Headers])-1)))</f>
        <v>42642.009999999995</v>
      </c>
      <c r="J130" s="276">
        <f>IF(tblSubjectToLoan[[#This Row],[Date]]="",IF(ROW()=ROW(tblSubjectToLoan[#Headers])+1,0,INDEX(tblSubjectToLoan[Interest],ROW()-ROW(tblSubjectToLoan[#Headers])-1)),tblSubjectToLoan[[#This Row],[Int]]+IF(ROW()=ROW(tblSubjectToLoan[#Headers])+1,0,INDEX(tblSubjectToLoan[Interest],ROW()-ROW(tblSubjectToLoan[#Headers])-1)))</f>
        <v>26822.899999999994</v>
      </c>
      <c r="K130" s="969">
        <f>IF(tblSubjectToLoan[[#This Row],[Date]]="",0,MAX(0,tblSubjectToLoan[[#This Row],[Beginning Balance]]-tblSubjectToLoan[[#This Row],[Princ]]))</f>
        <v>54585.989999999954</v>
      </c>
      <c r="L130" s="394">
        <f t="shared" si="9"/>
        <v>9</v>
      </c>
      <c r="M130" s="394">
        <f t="shared" si="6"/>
        <v>110</v>
      </c>
      <c r="N130" s="613">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67">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2051.2400000000061</v>
      </c>
      <c r="AD130" s="276">
        <f>IF(INDEX(tblContractForDeed[End Bal],ROW()-ROW(tblBuyerOutputs[#Headers]))&lt;=0,0,($O$6+IF(ROW()=ROW(tblBuyerOutputs[#Headers])+1,0,INDEX(tblBuyerOutputs[Cumul Appr],ROW()-ROW(tblBuyerOutputs[#Headers])-1)))*$O$2/12)</f>
        <v>0</v>
      </c>
      <c r="AE130" s="276">
        <f>IF(INDEX(tblContractForDeed[End Bal],ROW()-ROW(tblBuyerOutputs[#Headers]))&lt;=0,0,IF(ROW()=ROW(tblBuyerOutputs[#Headers])+1,0,INDEX(tblBuyerOutputs[Cumul Appr],ROW()-ROW(tblBuyerOutputs[#Headers])-1))+tblBuyerOutputs[[#This Row],[Monthly Appr]])</f>
        <v>0</v>
      </c>
      <c r="AF130" s="22"/>
      <c r="AG130" s="14"/>
      <c r="AL130"/>
      <c r="AM130" s="14"/>
      <c r="AO130" s="276"/>
      <c r="AQ130" s="14"/>
      <c r="AR130"/>
    </row>
    <row r="131" spans="1:44" x14ac:dyDescent="0.25">
      <c r="A131" s="613">
        <f>IF(ROW()=ROW(tblSubjectToLoan[#Headers])+1,subjectKnownBalanceDate,IF(OR(INDEX(tblSubjectToLoan[Date],ROW()-ROW(tblSubjectToLoan[#Headers])-1)="",INDEX(tblSubjectToLoan[Date],ROW()-ROW(tblSubjectToLoan[#Headers])-1)&gt;=subjectMortgageEndDate),"",EDATE(INDEX(tblSubjectToLoan[Date],ROW()-ROW(tblSubjectToLoan[#Headers])-1),1)))</f>
        <v>49249</v>
      </c>
      <c r="B131" s="276">
        <f>IF(tblSubjectToLoan[[#This Row],[Date]]="",0,IF(ROW()=ROW(tblSubjectToLoan[#Headers])+1,subjectKnownBalance,MAX(0,INDEX(tblSubjectToLoan[Ending Balance],ROW()-ROW(tblSubjectToLoan[#Headers])-1))))</f>
        <v>54585.989999999954</v>
      </c>
      <c r="C1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1" s="14">
        <f>IF(tblSubjectToLoan[[#This Row],[Payment]]=0,0,MAX(0,MIN(tblSubjectToLoan[[#This Row],[Beginning Balance]],tblSubjectToLoan[[#This Row],[Payment]]-tblSubjectToLoan[[#This Row],[Int]])))</f>
        <v>455.2299999999999</v>
      </c>
      <c r="E131" s="14">
        <f>IF(tblSubjectToLoan[[#This Row],[Date]]="",0,ROUND(tblSubjectToLoan[[#This Row],[Beginning Balance]]*(subjectInterestRate/12),2))</f>
        <v>170.58</v>
      </c>
      <c r="F131" s="14">
        <f t="shared" si="10"/>
        <v>134.16999999999999</v>
      </c>
      <c r="G131" s="14">
        <f t="shared" si="10"/>
        <v>188.55</v>
      </c>
      <c r="H131" s="14">
        <f>SUM(tblSubjectToLoan[[#This Row],[Princ]],tblSubjectToLoan[[#This Row],[Int]],tblSubjectToLoan[[#This Row],[Ins]],tblSubjectToLoan[[#This Row],[Taxes]])</f>
        <v>948.53</v>
      </c>
      <c r="I131" s="276">
        <f>IF(tblSubjectToLoan[[#This Row],[Date]]="",IF(ROW()=ROW(tblSubjectToLoan[#Headers])+1,0,INDEX(tblSubjectToLoan[Principal],ROW()-ROW(tblSubjectToLoan[#Headers])-1)),tblSubjectToLoan[[#This Row],[Princ]]+IF(ROW()=ROW(tblSubjectToLoan[#Headers])+1,0,INDEX(tblSubjectToLoan[Principal],ROW()-ROW(tblSubjectToLoan[#Headers])-1)))</f>
        <v>43097.24</v>
      </c>
      <c r="J131" s="276">
        <f>IF(tblSubjectToLoan[[#This Row],[Date]]="",IF(ROW()=ROW(tblSubjectToLoan[#Headers])+1,0,INDEX(tblSubjectToLoan[Interest],ROW()-ROW(tblSubjectToLoan[#Headers])-1)),tblSubjectToLoan[[#This Row],[Int]]+IF(ROW()=ROW(tblSubjectToLoan[#Headers])+1,0,INDEX(tblSubjectToLoan[Interest],ROW()-ROW(tblSubjectToLoan[#Headers])-1)))</f>
        <v>26993.479999999996</v>
      </c>
      <c r="K131" s="969">
        <f>IF(tblSubjectToLoan[[#This Row],[Date]]="",0,MAX(0,tblSubjectToLoan[[#This Row],[Beginning Balance]]-tblSubjectToLoan[[#This Row],[Princ]]))</f>
        <v>54130.759999999951</v>
      </c>
      <c r="L131" s="394">
        <f t="shared" si="9"/>
        <v>9</v>
      </c>
      <c r="M131" s="394">
        <f t="shared" si="6"/>
        <v>111</v>
      </c>
      <c r="N131" s="613">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67">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2085.3300000000063</v>
      </c>
      <c r="AD131" s="276">
        <f>IF(INDEX(tblContractForDeed[End Bal],ROW()-ROW(tblBuyerOutputs[#Headers]))&lt;=0,0,($O$6+IF(ROW()=ROW(tblBuyerOutputs[#Headers])+1,0,INDEX(tblBuyerOutputs[Cumul Appr],ROW()-ROW(tblBuyerOutputs[#Headers])-1)))*$O$2/12)</f>
        <v>0</v>
      </c>
      <c r="AE131" s="276">
        <f>IF(INDEX(tblContractForDeed[End Bal],ROW()-ROW(tblBuyerOutputs[#Headers]))&lt;=0,0,IF(ROW()=ROW(tblBuyerOutputs[#Headers])+1,0,INDEX(tblBuyerOutputs[Cumul Appr],ROW()-ROW(tblBuyerOutputs[#Headers])-1))+tblBuyerOutputs[[#This Row],[Monthly Appr]])</f>
        <v>0</v>
      </c>
      <c r="AF131" s="22"/>
      <c r="AG131" s="14"/>
      <c r="AL131"/>
      <c r="AM131" s="14"/>
      <c r="AO131" s="276"/>
      <c r="AQ131" s="14"/>
      <c r="AR131"/>
    </row>
    <row r="132" spans="1:44" x14ac:dyDescent="0.25">
      <c r="A132" s="613">
        <f>IF(ROW()=ROW(tblSubjectToLoan[#Headers])+1,subjectKnownBalanceDate,IF(OR(INDEX(tblSubjectToLoan[Date],ROW()-ROW(tblSubjectToLoan[#Headers])-1)="",INDEX(tblSubjectToLoan[Date],ROW()-ROW(tblSubjectToLoan[#Headers])-1)&gt;=subjectMortgageEndDate),"",EDATE(INDEX(tblSubjectToLoan[Date],ROW()-ROW(tblSubjectToLoan[#Headers])-1),1)))</f>
        <v>49279</v>
      </c>
      <c r="B132" s="276">
        <f>IF(tblSubjectToLoan[[#This Row],[Date]]="",0,IF(ROW()=ROW(tblSubjectToLoan[#Headers])+1,subjectKnownBalance,MAX(0,INDEX(tblSubjectToLoan[Ending Balance],ROW()-ROW(tblSubjectToLoan[#Headers])-1))))</f>
        <v>54130.759999999951</v>
      </c>
      <c r="C1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2" s="14">
        <f>IF(tblSubjectToLoan[[#This Row],[Payment]]=0,0,MAX(0,MIN(tblSubjectToLoan[[#This Row],[Beginning Balance]],tblSubjectToLoan[[#This Row],[Payment]]-tblSubjectToLoan[[#This Row],[Int]])))</f>
        <v>456.65</v>
      </c>
      <c r="E132" s="14">
        <f>IF(tblSubjectToLoan[[#This Row],[Date]]="",0,ROUND(tblSubjectToLoan[[#This Row],[Beginning Balance]]*(subjectInterestRate/12),2))</f>
        <v>169.16</v>
      </c>
      <c r="F132" s="14">
        <f t="shared" si="10"/>
        <v>134.16999999999999</v>
      </c>
      <c r="G132" s="14">
        <f t="shared" si="10"/>
        <v>188.55</v>
      </c>
      <c r="H132" s="14">
        <f>SUM(tblSubjectToLoan[[#This Row],[Princ]],tblSubjectToLoan[[#This Row],[Int]],tblSubjectToLoan[[#This Row],[Ins]],tblSubjectToLoan[[#This Row],[Taxes]])</f>
        <v>948.53</v>
      </c>
      <c r="I132" s="276">
        <f>IF(tblSubjectToLoan[[#This Row],[Date]]="",IF(ROW()=ROW(tblSubjectToLoan[#Headers])+1,0,INDEX(tblSubjectToLoan[Principal],ROW()-ROW(tblSubjectToLoan[#Headers])-1)),tblSubjectToLoan[[#This Row],[Princ]]+IF(ROW()=ROW(tblSubjectToLoan[#Headers])+1,0,INDEX(tblSubjectToLoan[Principal],ROW()-ROW(tblSubjectToLoan[#Headers])-1)))</f>
        <v>43553.89</v>
      </c>
      <c r="J132" s="276">
        <f>IF(tblSubjectToLoan[[#This Row],[Date]]="",IF(ROW()=ROW(tblSubjectToLoan[#Headers])+1,0,INDEX(tblSubjectToLoan[Interest],ROW()-ROW(tblSubjectToLoan[#Headers])-1)),tblSubjectToLoan[[#This Row],[Int]]+IF(ROW()=ROW(tblSubjectToLoan[#Headers])+1,0,INDEX(tblSubjectToLoan[Interest],ROW()-ROW(tblSubjectToLoan[#Headers])-1)))</f>
        <v>27162.639999999996</v>
      </c>
      <c r="K132" s="969">
        <f>IF(tblSubjectToLoan[[#This Row],[Date]]="",0,MAX(0,tblSubjectToLoan[[#This Row],[Beginning Balance]]-tblSubjectToLoan[[#This Row],[Princ]]))</f>
        <v>53674.10999999995</v>
      </c>
      <c r="L132" s="394">
        <f t="shared" si="9"/>
        <v>9</v>
      </c>
      <c r="M132" s="394">
        <f t="shared" si="6"/>
        <v>112</v>
      </c>
      <c r="N132" s="613">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67">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2119.4200000000064</v>
      </c>
      <c r="AD132" s="276">
        <f>IF(INDEX(tblContractForDeed[End Bal],ROW()-ROW(tblBuyerOutputs[#Headers]))&lt;=0,0,($O$6+IF(ROW()=ROW(tblBuyerOutputs[#Headers])+1,0,INDEX(tblBuyerOutputs[Cumul Appr],ROW()-ROW(tblBuyerOutputs[#Headers])-1)))*$O$2/12)</f>
        <v>0</v>
      </c>
      <c r="AE132" s="276">
        <f>IF(INDEX(tblContractForDeed[End Bal],ROW()-ROW(tblBuyerOutputs[#Headers]))&lt;=0,0,IF(ROW()=ROW(tblBuyerOutputs[#Headers])+1,0,INDEX(tblBuyerOutputs[Cumul Appr],ROW()-ROW(tblBuyerOutputs[#Headers])-1))+tblBuyerOutputs[[#This Row],[Monthly Appr]])</f>
        <v>0</v>
      </c>
      <c r="AF132" s="22"/>
      <c r="AG132" s="14"/>
      <c r="AL132"/>
      <c r="AM132" s="14"/>
      <c r="AO132" s="276"/>
      <c r="AQ132" s="14"/>
      <c r="AR132"/>
    </row>
    <row r="133" spans="1:44" x14ac:dyDescent="0.25">
      <c r="A133" s="613">
        <f>IF(ROW()=ROW(tblSubjectToLoan[#Headers])+1,subjectKnownBalanceDate,IF(OR(INDEX(tblSubjectToLoan[Date],ROW()-ROW(tblSubjectToLoan[#Headers])-1)="",INDEX(tblSubjectToLoan[Date],ROW()-ROW(tblSubjectToLoan[#Headers])-1)&gt;=subjectMortgageEndDate),"",EDATE(INDEX(tblSubjectToLoan[Date],ROW()-ROW(tblSubjectToLoan[#Headers])-1),1)))</f>
        <v>49310</v>
      </c>
      <c r="B133" s="276">
        <f>IF(tblSubjectToLoan[[#This Row],[Date]]="",0,IF(ROW()=ROW(tblSubjectToLoan[#Headers])+1,subjectKnownBalance,MAX(0,INDEX(tblSubjectToLoan[Ending Balance],ROW()-ROW(tblSubjectToLoan[#Headers])-1))))</f>
        <v>53674.10999999995</v>
      </c>
      <c r="C1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3" s="14">
        <f>IF(tblSubjectToLoan[[#This Row],[Payment]]=0,0,MAX(0,MIN(tblSubjectToLoan[[#This Row],[Beginning Balance]],tblSubjectToLoan[[#This Row],[Payment]]-tblSubjectToLoan[[#This Row],[Int]])))</f>
        <v>458.07999999999993</v>
      </c>
      <c r="E133" s="14">
        <f>IF(tblSubjectToLoan[[#This Row],[Date]]="",0,ROUND(tblSubjectToLoan[[#This Row],[Beginning Balance]]*(subjectInterestRate/12),2))</f>
        <v>167.73</v>
      </c>
      <c r="F133" s="14">
        <f t="shared" si="10"/>
        <v>134.16999999999999</v>
      </c>
      <c r="G133" s="14">
        <f t="shared" si="10"/>
        <v>188.55</v>
      </c>
      <c r="H133" s="14">
        <f>SUM(tblSubjectToLoan[[#This Row],[Princ]],tblSubjectToLoan[[#This Row],[Int]],tblSubjectToLoan[[#This Row],[Ins]],tblSubjectToLoan[[#This Row],[Taxes]])</f>
        <v>948.53</v>
      </c>
      <c r="I133" s="276">
        <f>IF(tblSubjectToLoan[[#This Row],[Date]]="",IF(ROW()=ROW(tblSubjectToLoan[#Headers])+1,0,INDEX(tblSubjectToLoan[Principal],ROW()-ROW(tblSubjectToLoan[#Headers])-1)),tblSubjectToLoan[[#This Row],[Princ]]+IF(ROW()=ROW(tblSubjectToLoan[#Headers])+1,0,INDEX(tblSubjectToLoan[Principal],ROW()-ROW(tblSubjectToLoan[#Headers])-1)))</f>
        <v>44011.97</v>
      </c>
      <c r="J133" s="276">
        <f>IF(tblSubjectToLoan[[#This Row],[Date]]="",IF(ROW()=ROW(tblSubjectToLoan[#Headers])+1,0,INDEX(tblSubjectToLoan[Interest],ROW()-ROW(tblSubjectToLoan[#Headers])-1)),tblSubjectToLoan[[#This Row],[Int]]+IF(ROW()=ROW(tblSubjectToLoan[#Headers])+1,0,INDEX(tblSubjectToLoan[Interest],ROW()-ROW(tblSubjectToLoan[#Headers])-1)))</f>
        <v>27330.369999999995</v>
      </c>
      <c r="K133" s="969">
        <f>IF(tblSubjectToLoan[[#This Row],[Date]]="",0,MAX(0,tblSubjectToLoan[[#This Row],[Beginning Balance]]-tblSubjectToLoan[[#This Row],[Princ]]))</f>
        <v>53216.029999999948</v>
      </c>
      <c r="L133" s="394">
        <f t="shared" si="9"/>
        <v>9</v>
      </c>
      <c r="M133" s="394">
        <f t="shared" si="6"/>
        <v>113</v>
      </c>
      <c r="N133" s="613">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67">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2153.5100000000066</v>
      </c>
      <c r="AD133" s="276">
        <f>IF(INDEX(tblContractForDeed[End Bal],ROW()-ROW(tblBuyerOutputs[#Headers]))&lt;=0,0,($O$6+IF(ROW()=ROW(tblBuyerOutputs[#Headers])+1,0,INDEX(tblBuyerOutputs[Cumul Appr],ROW()-ROW(tblBuyerOutputs[#Headers])-1)))*$O$2/12)</f>
        <v>0</v>
      </c>
      <c r="AE133" s="276">
        <f>IF(INDEX(tblContractForDeed[End Bal],ROW()-ROW(tblBuyerOutputs[#Headers]))&lt;=0,0,IF(ROW()=ROW(tblBuyerOutputs[#Headers])+1,0,INDEX(tblBuyerOutputs[Cumul Appr],ROW()-ROW(tblBuyerOutputs[#Headers])-1))+tblBuyerOutputs[[#This Row],[Monthly Appr]])</f>
        <v>0</v>
      </c>
      <c r="AF133" s="22"/>
      <c r="AG133" s="14"/>
      <c r="AL133"/>
      <c r="AM133" s="14"/>
      <c r="AO133" s="276"/>
      <c r="AQ133" s="14"/>
      <c r="AR133"/>
    </row>
    <row r="134" spans="1:44" x14ac:dyDescent="0.25">
      <c r="A134" s="613">
        <f>IF(ROW()=ROW(tblSubjectToLoan[#Headers])+1,subjectKnownBalanceDate,IF(OR(INDEX(tblSubjectToLoan[Date],ROW()-ROW(tblSubjectToLoan[#Headers])-1)="",INDEX(tblSubjectToLoan[Date],ROW()-ROW(tblSubjectToLoan[#Headers])-1)&gt;=subjectMortgageEndDate),"",EDATE(INDEX(tblSubjectToLoan[Date],ROW()-ROW(tblSubjectToLoan[#Headers])-1),1)))</f>
        <v>49341</v>
      </c>
      <c r="B134" s="276">
        <f>IF(tblSubjectToLoan[[#This Row],[Date]]="",0,IF(ROW()=ROW(tblSubjectToLoan[#Headers])+1,subjectKnownBalance,MAX(0,INDEX(tblSubjectToLoan[Ending Balance],ROW()-ROW(tblSubjectToLoan[#Headers])-1))))</f>
        <v>53216.029999999948</v>
      </c>
      <c r="C1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4" s="14">
        <f>IF(tblSubjectToLoan[[#This Row],[Payment]]=0,0,MAX(0,MIN(tblSubjectToLoan[[#This Row],[Beginning Balance]],tblSubjectToLoan[[#This Row],[Payment]]-tblSubjectToLoan[[#This Row],[Int]])))</f>
        <v>459.50999999999993</v>
      </c>
      <c r="E134" s="14">
        <f>IF(tblSubjectToLoan[[#This Row],[Date]]="",0,ROUND(tblSubjectToLoan[[#This Row],[Beginning Balance]]*(subjectInterestRate/12),2))</f>
        <v>166.3</v>
      </c>
      <c r="F134" s="14">
        <f t="shared" si="10"/>
        <v>134.16999999999999</v>
      </c>
      <c r="G134" s="14">
        <f t="shared" si="10"/>
        <v>188.55</v>
      </c>
      <c r="H134" s="14">
        <f>SUM(tblSubjectToLoan[[#This Row],[Princ]],tblSubjectToLoan[[#This Row],[Int]],tblSubjectToLoan[[#This Row],[Ins]],tblSubjectToLoan[[#This Row],[Taxes]])</f>
        <v>948.53</v>
      </c>
      <c r="I134" s="276">
        <f>IF(tblSubjectToLoan[[#This Row],[Date]]="",IF(ROW()=ROW(tblSubjectToLoan[#Headers])+1,0,INDEX(tblSubjectToLoan[Principal],ROW()-ROW(tblSubjectToLoan[#Headers])-1)),tblSubjectToLoan[[#This Row],[Princ]]+IF(ROW()=ROW(tblSubjectToLoan[#Headers])+1,0,INDEX(tblSubjectToLoan[Principal],ROW()-ROW(tblSubjectToLoan[#Headers])-1)))</f>
        <v>44471.48</v>
      </c>
      <c r="J134" s="276">
        <f>IF(tblSubjectToLoan[[#This Row],[Date]]="",IF(ROW()=ROW(tblSubjectToLoan[#Headers])+1,0,INDEX(tblSubjectToLoan[Interest],ROW()-ROW(tblSubjectToLoan[#Headers])-1)),tblSubjectToLoan[[#This Row],[Int]]+IF(ROW()=ROW(tblSubjectToLoan[#Headers])+1,0,INDEX(tblSubjectToLoan[Interest],ROW()-ROW(tblSubjectToLoan[#Headers])-1)))</f>
        <v>27496.669999999995</v>
      </c>
      <c r="K134" s="969">
        <f>IF(tblSubjectToLoan[[#This Row],[Date]]="",0,MAX(0,tblSubjectToLoan[[#This Row],[Beginning Balance]]-tblSubjectToLoan[[#This Row],[Princ]]))</f>
        <v>52756.519999999946</v>
      </c>
      <c r="L134" s="394">
        <f t="shared" si="9"/>
        <v>9</v>
      </c>
      <c r="M134" s="394">
        <f t="shared" si="6"/>
        <v>114</v>
      </c>
      <c r="N134" s="613">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67">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2187.6000000000067</v>
      </c>
      <c r="AD134" s="276">
        <f>IF(INDEX(tblContractForDeed[End Bal],ROW()-ROW(tblBuyerOutputs[#Headers]))&lt;=0,0,($O$6+IF(ROW()=ROW(tblBuyerOutputs[#Headers])+1,0,INDEX(tblBuyerOutputs[Cumul Appr],ROW()-ROW(tblBuyerOutputs[#Headers])-1)))*$O$2/12)</f>
        <v>0</v>
      </c>
      <c r="AE134" s="276">
        <f>IF(INDEX(tblContractForDeed[End Bal],ROW()-ROW(tblBuyerOutputs[#Headers]))&lt;=0,0,IF(ROW()=ROW(tblBuyerOutputs[#Headers])+1,0,INDEX(tblBuyerOutputs[Cumul Appr],ROW()-ROW(tblBuyerOutputs[#Headers])-1))+tblBuyerOutputs[[#This Row],[Monthly Appr]])</f>
        <v>0</v>
      </c>
      <c r="AF134" s="22"/>
      <c r="AG134" s="14"/>
      <c r="AL134"/>
      <c r="AM134" s="14"/>
      <c r="AO134" s="276"/>
      <c r="AQ134" s="14"/>
      <c r="AR134"/>
    </row>
    <row r="135" spans="1:44" x14ac:dyDescent="0.25">
      <c r="A135" s="613">
        <f>IF(ROW()=ROW(tblSubjectToLoan[#Headers])+1,subjectKnownBalanceDate,IF(OR(INDEX(tblSubjectToLoan[Date],ROW()-ROW(tblSubjectToLoan[#Headers])-1)="",INDEX(tblSubjectToLoan[Date],ROW()-ROW(tblSubjectToLoan[#Headers])-1)&gt;=subjectMortgageEndDate),"",EDATE(INDEX(tblSubjectToLoan[Date],ROW()-ROW(tblSubjectToLoan[#Headers])-1),1)))</f>
        <v>49369</v>
      </c>
      <c r="B135" s="276">
        <f>IF(tblSubjectToLoan[[#This Row],[Date]]="",0,IF(ROW()=ROW(tblSubjectToLoan[#Headers])+1,subjectKnownBalance,MAX(0,INDEX(tblSubjectToLoan[Ending Balance],ROW()-ROW(tblSubjectToLoan[#Headers])-1))))</f>
        <v>52756.519999999946</v>
      </c>
      <c r="C1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5" s="14">
        <f>IF(tblSubjectToLoan[[#This Row],[Payment]]=0,0,MAX(0,MIN(tblSubjectToLoan[[#This Row],[Beginning Balance]],tblSubjectToLoan[[#This Row],[Payment]]-tblSubjectToLoan[[#This Row],[Int]])))</f>
        <v>460.94999999999993</v>
      </c>
      <c r="E135" s="14">
        <f>IF(tblSubjectToLoan[[#This Row],[Date]]="",0,ROUND(tblSubjectToLoan[[#This Row],[Beginning Balance]]*(subjectInterestRate/12),2))</f>
        <v>164.86</v>
      </c>
      <c r="F135" s="14">
        <f t="shared" si="10"/>
        <v>134.16999999999999</v>
      </c>
      <c r="G135" s="14">
        <f t="shared" si="10"/>
        <v>188.55</v>
      </c>
      <c r="H135" s="14">
        <f>SUM(tblSubjectToLoan[[#This Row],[Princ]],tblSubjectToLoan[[#This Row],[Int]],tblSubjectToLoan[[#This Row],[Ins]],tblSubjectToLoan[[#This Row],[Taxes]])</f>
        <v>948.53</v>
      </c>
      <c r="I135" s="276">
        <f>IF(tblSubjectToLoan[[#This Row],[Date]]="",IF(ROW()=ROW(tblSubjectToLoan[#Headers])+1,0,INDEX(tblSubjectToLoan[Principal],ROW()-ROW(tblSubjectToLoan[#Headers])-1)),tblSubjectToLoan[[#This Row],[Princ]]+IF(ROW()=ROW(tblSubjectToLoan[#Headers])+1,0,INDEX(tblSubjectToLoan[Principal],ROW()-ROW(tblSubjectToLoan[#Headers])-1)))</f>
        <v>44932.43</v>
      </c>
      <c r="J135" s="276">
        <f>IF(tblSubjectToLoan[[#This Row],[Date]]="",IF(ROW()=ROW(tblSubjectToLoan[#Headers])+1,0,INDEX(tblSubjectToLoan[Interest],ROW()-ROW(tblSubjectToLoan[#Headers])-1)),tblSubjectToLoan[[#This Row],[Int]]+IF(ROW()=ROW(tblSubjectToLoan[#Headers])+1,0,INDEX(tblSubjectToLoan[Interest],ROW()-ROW(tblSubjectToLoan[#Headers])-1)))</f>
        <v>27661.529999999995</v>
      </c>
      <c r="K135" s="969">
        <f>IF(tblSubjectToLoan[[#This Row],[Date]]="",0,MAX(0,tblSubjectToLoan[[#This Row],[Beginning Balance]]-tblSubjectToLoan[[#This Row],[Princ]]))</f>
        <v>52295.569999999949</v>
      </c>
      <c r="L135" s="394">
        <f t="shared" si="9"/>
        <v>9</v>
      </c>
      <c r="M135" s="394">
        <f t="shared" si="6"/>
        <v>115</v>
      </c>
      <c r="N135" s="613">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67">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2221.6900000000069</v>
      </c>
      <c r="AD135" s="276">
        <f>IF(INDEX(tblContractForDeed[End Bal],ROW()-ROW(tblBuyerOutputs[#Headers]))&lt;=0,0,($O$6+IF(ROW()=ROW(tblBuyerOutputs[#Headers])+1,0,INDEX(tblBuyerOutputs[Cumul Appr],ROW()-ROW(tblBuyerOutputs[#Headers])-1)))*$O$2/12)</f>
        <v>0</v>
      </c>
      <c r="AE135" s="276">
        <f>IF(INDEX(tblContractForDeed[End Bal],ROW()-ROW(tblBuyerOutputs[#Headers]))&lt;=0,0,IF(ROW()=ROW(tblBuyerOutputs[#Headers])+1,0,INDEX(tblBuyerOutputs[Cumul Appr],ROW()-ROW(tblBuyerOutputs[#Headers])-1))+tblBuyerOutputs[[#This Row],[Monthly Appr]])</f>
        <v>0</v>
      </c>
      <c r="AF135" s="22"/>
      <c r="AG135" s="14"/>
      <c r="AL135"/>
      <c r="AM135" s="14"/>
      <c r="AO135" s="276"/>
      <c r="AQ135" s="14"/>
      <c r="AR135"/>
    </row>
    <row r="136" spans="1:44" x14ac:dyDescent="0.25">
      <c r="A136" s="613">
        <f>IF(ROW()=ROW(tblSubjectToLoan[#Headers])+1,subjectKnownBalanceDate,IF(OR(INDEX(tblSubjectToLoan[Date],ROW()-ROW(tblSubjectToLoan[#Headers])-1)="",INDEX(tblSubjectToLoan[Date],ROW()-ROW(tblSubjectToLoan[#Headers])-1)&gt;=subjectMortgageEndDate),"",EDATE(INDEX(tblSubjectToLoan[Date],ROW()-ROW(tblSubjectToLoan[#Headers])-1),1)))</f>
        <v>49400</v>
      </c>
      <c r="B136" s="276">
        <f>IF(tblSubjectToLoan[[#This Row],[Date]]="",0,IF(ROW()=ROW(tblSubjectToLoan[#Headers])+1,subjectKnownBalance,MAX(0,INDEX(tblSubjectToLoan[Ending Balance],ROW()-ROW(tblSubjectToLoan[#Headers])-1))))</f>
        <v>52295.569999999949</v>
      </c>
      <c r="C1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6" s="14">
        <f>IF(tblSubjectToLoan[[#This Row],[Payment]]=0,0,MAX(0,MIN(tblSubjectToLoan[[#This Row],[Beginning Balance]],tblSubjectToLoan[[#This Row],[Payment]]-tblSubjectToLoan[[#This Row],[Int]])))</f>
        <v>462.39</v>
      </c>
      <c r="E136" s="14">
        <f>IF(tblSubjectToLoan[[#This Row],[Date]]="",0,ROUND(tblSubjectToLoan[[#This Row],[Beginning Balance]]*(subjectInterestRate/12),2))</f>
        <v>163.41999999999999</v>
      </c>
      <c r="F136" s="14">
        <f t="shared" si="10"/>
        <v>134.16999999999999</v>
      </c>
      <c r="G136" s="14">
        <f t="shared" si="10"/>
        <v>188.55</v>
      </c>
      <c r="H136" s="14">
        <f>SUM(tblSubjectToLoan[[#This Row],[Princ]],tblSubjectToLoan[[#This Row],[Int]],tblSubjectToLoan[[#This Row],[Ins]],tblSubjectToLoan[[#This Row],[Taxes]])</f>
        <v>948.53</v>
      </c>
      <c r="I136" s="276">
        <f>IF(tblSubjectToLoan[[#This Row],[Date]]="",IF(ROW()=ROW(tblSubjectToLoan[#Headers])+1,0,INDEX(tblSubjectToLoan[Principal],ROW()-ROW(tblSubjectToLoan[#Headers])-1)),tblSubjectToLoan[[#This Row],[Princ]]+IF(ROW()=ROW(tblSubjectToLoan[#Headers])+1,0,INDEX(tblSubjectToLoan[Principal],ROW()-ROW(tblSubjectToLoan[#Headers])-1)))</f>
        <v>45394.82</v>
      </c>
      <c r="J136" s="276">
        <f>IF(tblSubjectToLoan[[#This Row],[Date]]="",IF(ROW()=ROW(tblSubjectToLoan[#Headers])+1,0,INDEX(tblSubjectToLoan[Interest],ROW()-ROW(tblSubjectToLoan[#Headers])-1)),tblSubjectToLoan[[#This Row],[Int]]+IF(ROW()=ROW(tblSubjectToLoan[#Headers])+1,0,INDEX(tblSubjectToLoan[Interest],ROW()-ROW(tblSubjectToLoan[#Headers])-1)))</f>
        <v>27824.949999999993</v>
      </c>
      <c r="K136" s="969">
        <f>IF(tblSubjectToLoan[[#This Row],[Date]]="",0,MAX(0,tblSubjectToLoan[[#This Row],[Beginning Balance]]-tblSubjectToLoan[[#This Row],[Princ]]))</f>
        <v>51833.179999999949</v>
      </c>
      <c r="L136" s="394">
        <f t="shared" si="9"/>
        <v>9</v>
      </c>
      <c r="M136" s="394">
        <f t="shared" si="6"/>
        <v>116</v>
      </c>
      <c r="N136" s="613">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67">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2255.780000000007</v>
      </c>
      <c r="AD136" s="276">
        <f>IF(INDEX(tblContractForDeed[End Bal],ROW()-ROW(tblBuyerOutputs[#Headers]))&lt;=0,0,($O$6+IF(ROW()=ROW(tblBuyerOutputs[#Headers])+1,0,INDEX(tblBuyerOutputs[Cumul Appr],ROW()-ROW(tblBuyerOutputs[#Headers])-1)))*$O$2/12)</f>
        <v>0</v>
      </c>
      <c r="AE136" s="276">
        <f>IF(INDEX(tblContractForDeed[End Bal],ROW()-ROW(tblBuyerOutputs[#Headers]))&lt;=0,0,IF(ROW()=ROW(tblBuyerOutputs[#Headers])+1,0,INDEX(tblBuyerOutputs[Cumul Appr],ROW()-ROW(tblBuyerOutputs[#Headers])-1))+tblBuyerOutputs[[#This Row],[Monthly Appr]])</f>
        <v>0</v>
      </c>
      <c r="AF136" s="22"/>
      <c r="AG136" s="14"/>
      <c r="AL136"/>
      <c r="AM136" s="14"/>
      <c r="AO136" s="276"/>
      <c r="AQ136" s="14"/>
      <c r="AR136"/>
    </row>
    <row r="137" spans="1:44" x14ac:dyDescent="0.25">
      <c r="A137" s="613">
        <f>IF(ROW()=ROW(tblSubjectToLoan[#Headers])+1,subjectKnownBalanceDate,IF(OR(INDEX(tblSubjectToLoan[Date],ROW()-ROW(tblSubjectToLoan[#Headers])-1)="",INDEX(tblSubjectToLoan[Date],ROW()-ROW(tblSubjectToLoan[#Headers])-1)&gt;=subjectMortgageEndDate),"",EDATE(INDEX(tblSubjectToLoan[Date],ROW()-ROW(tblSubjectToLoan[#Headers])-1),1)))</f>
        <v>49430</v>
      </c>
      <c r="B137" s="276">
        <f>IF(tblSubjectToLoan[[#This Row],[Date]]="",0,IF(ROW()=ROW(tblSubjectToLoan[#Headers])+1,subjectKnownBalance,MAX(0,INDEX(tblSubjectToLoan[Ending Balance],ROW()-ROW(tblSubjectToLoan[#Headers])-1))))</f>
        <v>51833.179999999949</v>
      </c>
      <c r="C1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7" s="14">
        <f>IF(tblSubjectToLoan[[#This Row],[Payment]]=0,0,MAX(0,MIN(tblSubjectToLoan[[#This Row],[Beginning Balance]],tblSubjectToLoan[[#This Row],[Payment]]-tblSubjectToLoan[[#This Row],[Int]])))</f>
        <v>463.82999999999993</v>
      </c>
      <c r="E137" s="14">
        <f>IF(tblSubjectToLoan[[#This Row],[Date]]="",0,ROUND(tblSubjectToLoan[[#This Row],[Beginning Balance]]*(subjectInterestRate/12),2))</f>
        <v>161.97999999999999</v>
      </c>
      <c r="F137" s="14">
        <f t="shared" si="10"/>
        <v>134.16999999999999</v>
      </c>
      <c r="G137" s="14">
        <f t="shared" si="10"/>
        <v>188.55</v>
      </c>
      <c r="H137" s="14">
        <f>SUM(tblSubjectToLoan[[#This Row],[Princ]],tblSubjectToLoan[[#This Row],[Int]],tblSubjectToLoan[[#This Row],[Ins]],tblSubjectToLoan[[#This Row],[Taxes]])</f>
        <v>948.53</v>
      </c>
      <c r="I137" s="276">
        <f>IF(tblSubjectToLoan[[#This Row],[Date]]="",IF(ROW()=ROW(tblSubjectToLoan[#Headers])+1,0,INDEX(tblSubjectToLoan[Principal],ROW()-ROW(tblSubjectToLoan[#Headers])-1)),tblSubjectToLoan[[#This Row],[Princ]]+IF(ROW()=ROW(tblSubjectToLoan[#Headers])+1,0,INDEX(tblSubjectToLoan[Principal],ROW()-ROW(tblSubjectToLoan[#Headers])-1)))</f>
        <v>45858.65</v>
      </c>
      <c r="J137" s="276">
        <f>IF(tblSubjectToLoan[[#This Row],[Date]]="",IF(ROW()=ROW(tblSubjectToLoan[#Headers])+1,0,INDEX(tblSubjectToLoan[Interest],ROW()-ROW(tblSubjectToLoan[#Headers])-1)),tblSubjectToLoan[[#This Row],[Int]]+IF(ROW()=ROW(tblSubjectToLoan[#Headers])+1,0,INDEX(tblSubjectToLoan[Interest],ROW()-ROW(tblSubjectToLoan[#Headers])-1)))</f>
        <v>27986.929999999993</v>
      </c>
      <c r="K137" s="969">
        <f>IF(tblSubjectToLoan[[#This Row],[Date]]="",0,MAX(0,tblSubjectToLoan[[#This Row],[Beginning Balance]]-tblSubjectToLoan[[#This Row],[Princ]]))</f>
        <v>51369.349999999948</v>
      </c>
      <c r="L137" s="394">
        <f t="shared" si="9"/>
        <v>9</v>
      </c>
      <c r="M137" s="394">
        <f t="shared" si="6"/>
        <v>117</v>
      </c>
      <c r="N137" s="613">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67">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2289.8700000000072</v>
      </c>
      <c r="AD137" s="276">
        <f>IF(INDEX(tblContractForDeed[End Bal],ROW()-ROW(tblBuyerOutputs[#Headers]))&lt;=0,0,($O$6+IF(ROW()=ROW(tblBuyerOutputs[#Headers])+1,0,INDEX(tblBuyerOutputs[Cumul Appr],ROW()-ROW(tblBuyerOutputs[#Headers])-1)))*$O$2/12)</f>
        <v>0</v>
      </c>
      <c r="AE137" s="276">
        <f>IF(INDEX(tblContractForDeed[End Bal],ROW()-ROW(tblBuyerOutputs[#Headers]))&lt;=0,0,IF(ROW()=ROW(tblBuyerOutputs[#Headers])+1,0,INDEX(tblBuyerOutputs[Cumul Appr],ROW()-ROW(tblBuyerOutputs[#Headers])-1))+tblBuyerOutputs[[#This Row],[Monthly Appr]])</f>
        <v>0</v>
      </c>
      <c r="AF137" s="22"/>
      <c r="AG137" s="14"/>
      <c r="AL137"/>
      <c r="AM137" s="14"/>
      <c r="AO137" s="276"/>
      <c r="AQ137" s="14"/>
      <c r="AR137"/>
    </row>
    <row r="138" spans="1:44" x14ac:dyDescent="0.25">
      <c r="A138" s="613">
        <f>IF(ROW()=ROW(tblSubjectToLoan[#Headers])+1,subjectKnownBalanceDate,IF(OR(INDEX(tblSubjectToLoan[Date],ROW()-ROW(tblSubjectToLoan[#Headers])-1)="",INDEX(tblSubjectToLoan[Date],ROW()-ROW(tblSubjectToLoan[#Headers])-1)&gt;=subjectMortgageEndDate),"",EDATE(INDEX(tblSubjectToLoan[Date],ROW()-ROW(tblSubjectToLoan[#Headers])-1),1)))</f>
        <v>49461</v>
      </c>
      <c r="B138" s="276">
        <f>IF(tblSubjectToLoan[[#This Row],[Date]]="",0,IF(ROW()=ROW(tblSubjectToLoan[#Headers])+1,subjectKnownBalance,MAX(0,INDEX(tblSubjectToLoan[Ending Balance],ROW()-ROW(tblSubjectToLoan[#Headers])-1))))</f>
        <v>51369.349999999948</v>
      </c>
      <c r="C1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8" s="14">
        <f>IF(tblSubjectToLoan[[#This Row],[Payment]]=0,0,MAX(0,MIN(tblSubjectToLoan[[#This Row],[Beginning Balance]],tblSubjectToLoan[[#This Row],[Payment]]-tblSubjectToLoan[[#This Row],[Int]])))</f>
        <v>465.28</v>
      </c>
      <c r="E138" s="14">
        <f>IF(tblSubjectToLoan[[#This Row],[Date]]="",0,ROUND(tblSubjectToLoan[[#This Row],[Beginning Balance]]*(subjectInterestRate/12),2))</f>
        <v>160.53</v>
      </c>
      <c r="F138" s="14">
        <f t="shared" si="10"/>
        <v>134.16999999999999</v>
      </c>
      <c r="G138" s="14">
        <f t="shared" si="10"/>
        <v>188.55</v>
      </c>
      <c r="H138" s="14">
        <f>SUM(tblSubjectToLoan[[#This Row],[Princ]],tblSubjectToLoan[[#This Row],[Int]],tblSubjectToLoan[[#This Row],[Ins]],tblSubjectToLoan[[#This Row],[Taxes]])</f>
        <v>948.53</v>
      </c>
      <c r="I138" s="276">
        <f>IF(tblSubjectToLoan[[#This Row],[Date]]="",IF(ROW()=ROW(tblSubjectToLoan[#Headers])+1,0,INDEX(tblSubjectToLoan[Principal],ROW()-ROW(tblSubjectToLoan[#Headers])-1)),tblSubjectToLoan[[#This Row],[Princ]]+IF(ROW()=ROW(tblSubjectToLoan[#Headers])+1,0,INDEX(tblSubjectToLoan[Principal],ROW()-ROW(tblSubjectToLoan[#Headers])-1)))</f>
        <v>46323.93</v>
      </c>
      <c r="J138" s="276">
        <f>IF(tblSubjectToLoan[[#This Row],[Date]]="",IF(ROW()=ROW(tblSubjectToLoan[#Headers])+1,0,INDEX(tblSubjectToLoan[Interest],ROW()-ROW(tblSubjectToLoan[#Headers])-1)),tblSubjectToLoan[[#This Row],[Int]]+IF(ROW()=ROW(tblSubjectToLoan[#Headers])+1,0,INDEX(tblSubjectToLoan[Interest],ROW()-ROW(tblSubjectToLoan[#Headers])-1)))</f>
        <v>28147.459999999992</v>
      </c>
      <c r="K138" s="969">
        <f>IF(tblSubjectToLoan[[#This Row],[Date]]="",0,MAX(0,tblSubjectToLoan[[#This Row],[Beginning Balance]]-tblSubjectToLoan[[#This Row],[Princ]]))</f>
        <v>50904.069999999949</v>
      </c>
      <c r="L138" s="394">
        <f t="shared" si="9"/>
        <v>9</v>
      </c>
      <c r="M138" s="394">
        <f t="shared" si="6"/>
        <v>118</v>
      </c>
      <c r="N138" s="613">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67">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2323.9600000000073</v>
      </c>
      <c r="AD138" s="276">
        <f>IF(INDEX(tblContractForDeed[End Bal],ROW()-ROW(tblBuyerOutputs[#Headers]))&lt;=0,0,($O$6+IF(ROW()=ROW(tblBuyerOutputs[#Headers])+1,0,INDEX(tblBuyerOutputs[Cumul Appr],ROW()-ROW(tblBuyerOutputs[#Headers])-1)))*$O$2/12)</f>
        <v>0</v>
      </c>
      <c r="AE138" s="276">
        <f>IF(INDEX(tblContractForDeed[End Bal],ROW()-ROW(tblBuyerOutputs[#Headers]))&lt;=0,0,IF(ROW()=ROW(tblBuyerOutputs[#Headers])+1,0,INDEX(tblBuyerOutputs[Cumul Appr],ROW()-ROW(tblBuyerOutputs[#Headers])-1))+tblBuyerOutputs[[#This Row],[Monthly Appr]])</f>
        <v>0</v>
      </c>
      <c r="AF138" s="22"/>
      <c r="AG138" s="14"/>
      <c r="AL138"/>
      <c r="AM138" s="14"/>
      <c r="AO138" s="276"/>
      <c r="AQ138" s="14"/>
      <c r="AR138"/>
    </row>
    <row r="139" spans="1:44" ht="15.75" thickBot="1" x14ac:dyDescent="0.3">
      <c r="A139" s="614">
        <f>IF(ROW()=ROW(tblSubjectToLoan[#Headers])+1,subjectKnownBalanceDate,IF(OR(INDEX(tblSubjectToLoan[Date],ROW()-ROW(tblSubjectToLoan[#Headers])-1)="",INDEX(tblSubjectToLoan[Date],ROW()-ROW(tblSubjectToLoan[#Headers])-1)&gt;=subjectMortgageEndDate),"",EDATE(INDEX(tblSubjectToLoan[Date],ROW()-ROW(tblSubjectToLoan[#Headers])-1),1)))</f>
        <v>49491</v>
      </c>
      <c r="B139" s="332">
        <f>IF(tblSubjectToLoan[[#This Row],[Date]]="",0,IF(ROW()=ROW(tblSubjectToLoan[#Headers])+1,subjectKnownBalance,MAX(0,INDEX(tblSubjectToLoan[Ending Balance],ROW()-ROW(tblSubjectToLoan[#Headers])-1))))</f>
        <v>50904.069999999949</v>
      </c>
      <c r="C13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9" s="21">
        <f>IF(tblSubjectToLoan[[#This Row],[Payment]]=0,0,MAX(0,MIN(tblSubjectToLoan[[#This Row],[Beginning Balance]],tblSubjectToLoan[[#This Row],[Payment]]-tblSubjectToLoan[[#This Row],[Int]])))</f>
        <v>466.7299999999999</v>
      </c>
      <c r="E139" s="21">
        <f>IF(tblSubjectToLoan[[#This Row],[Date]]="",0,ROUND(tblSubjectToLoan[[#This Row],[Beginning Balance]]*(subjectInterestRate/12),2))</f>
        <v>159.08000000000001</v>
      </c>
      <c r="F139" s="21">
        <f t="shared" si="10"/>
        <v>134.16999999999999</v>
      </c>
      <c r="G139" s="21">
        <f t="shared" si="10"/>
        <v>188.55</v>
      </c>
      <c r="H139" s="21">
        <f>SUM(tblSubjectToLoan[[#This Row],[Princ]],tblSubjectToLoan[[#This Row],[Int]],tblSubjectToLoan[[#This Row],[Ins]],tblSubjectToLoan[[#This Row],[Taxes]])</f>
        <v>948.53</v>
      </c>
      <c r="I139" s="332">
        <f>IF(tblSubjectToLoan[[#This Row],[Date]]="",IF(ROW()=ROW(tblSubjectToLoan[#Headers])+1,0,INDEX(tblSubjectToLoan[Principal],ROW()-ROW(tblSubjectToLoan[#Headers])-1)),tblSubjectToLoan[[#This Row],[Princ]]+IF(ROW()=ROW(tblSubjectToLoan[#Headers])+1,0,INDEX(tblSubjectToLoan[Principal],ROW()-ROW(tblSubjectToLoan[#Headers])-1)))</f>
        <v>46790.66</v>
      </c>
      <c r="J139" s="332">
        <f>IF(tblSubjectToLoan[[#This Row],[Date]]="",IF(ROW()=ROW(tblSubjectToLoan[#Headers])+1,0,INDEX(tblSubjectToLoan[Interest],ROW()-ROW(tblSubjectToLoan[#Headers])-1)),tblSubjectToLoan[[#This Row],[Int]]+IF(ROW()=ROW(tblSubjectToLoan[#Headers])+1,0,INDEX(tblSubjectToLoan[Interest],ROW()-ROW(tblSubjectToLoan[#Headers])-1)))</f>
        <v>28306.539999999994</v>
      </c>
      <c r="K139" s="970">
        <f>IF(tblSubjectToLoan[[#This Row],[Date]]="",0,MAX(0,tblSubjectToLoan[[#This Row],[Beginning Balance]]-tblSubjectToLoan[[#This Row],[Princ]]))</f>
        <v>50437.339999999946</v>
      </c>
      <c r="L139" s="395">
        <f t="shared" si="9"/>
        <v>9</v>
      </c>
      <c r="M139" s="395">
        <f t="shared" si="6"/>
        <v>119</v>
      </c>
      <c r="N139" s="614">
        <f>INDEX(tblSubjectToLoan[Date],ROW()-ROW(tblContractForDeed[#Headers]))</f>
        <v>49491</v>
      </c>
      <c r="O139" s="332">
        <f>IF(ROW()=ROW(tblContractForDeed[#Headers])+1,$O$6,IF(INDEX(tblContractForDeed[End Bal],ROW()-ROW(tblContractForDeed[#Headers])-1)&lt;0,0,INDEX(tblContractForDeed[End Bal],ROW()-ROW(tblContractForDeed[#Headers])-1)))</f>
        <v>38979.930000000037</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440.64</v>
      </c>
      <c r="S139" s="332">
        <f>IF(OR(tblContractForDeed[[#This Row],[Date]]&lt;cfdContractDate,tblContractForDeed[[#This Row],[Date]]&gt;cfdEndDate),0,ROUND(tblContractForDeed[[#This Row],[Beg]]*(tblContractForDeed[[#This Row],[Int Rate]]/12),2))</f>
        <v>219.26</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36718.710000000014</v>
      </c>
      <c r="X139" s="332">
        <f>IF(tblContractForDeed[[#This Row],[Beg]]&lt;=0,0,tblContractForDeed[[#This Row],[Beg]]-tblContractForDeed[[#This Row],[Princ]])</f>
        <v>38539.290000000037</v>
      </c>
      <c r="Y13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68">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2358.0500000000075</v>
      </c>
      <c r="AD139" s="332">
        <f>IF(INDEX(tblContractForDeed[End Bal],ROW()-ROW(tblBuyerOutputs[#Headers]))&lt;=0,0,($O$6+IF(ROW()=ROW(tblBuyerOutputs[#Headers])+1,0,INDEX(tblBuyerOutputs[Cumul Appr],ROW()-ROW(tblBuyerOutputs[#Headers])-1)))*$O$2/12)</f>
        <v>0</v>
      </c>
      <c r="AE139" s="332">
        <f>IF(INDEX(tblContractForDeed[End Bal],ROW()-ROW(tblBuyerOutputs[#Headers]))&lt;=0,0,IF(ROW()=ROW(tblBuyerOutputs[#Headers])+1,0,INDEX(tblBuyerOutputs[Cumul Appr],ROW()-ROW(tblBuyerOutputs[#Headers])-1))+tblBuyerOutputs[[#This Row],[Monthly Appr]])</f>
        <v>0</v>
      </c>
      <c r="AF139" s="22"/>
      <c r="AG139" s="14"/>
      <c r="AL139"/>
      <c r="AM139" s="14"/>
      <c r="AO139" s="276"/>
      <c r="AQ139" s="14"/>
      <c r="AR139"/>
    </row>
    <row r="140" spans="1:44" x14ac:dyDescent="0.25">
      <c r="A140" s="613">
        <f>IF(ROW()=ROW(tblSubjectToLoan[#Headers])+1,subjectKnownBalanceDate,IF(OR(INDEX(tblSubjectToLoan[Date],ROW()-ROW(tblSubjectToLoan[#Headers])-1)="",INDEX(tblSubjectToLoan[Date],ROW()-ROW(tblSubjectToLoan[#Headers])-1)&gt;=subjectMortgageEndDate),"",EDATE(INDEX(tblSubjectToLoan[Date],ROW()-ROW(tblSubjectToLoan[#Headers])-1),1)))</f>
        <v>49522</v>
      </c>
      <c r="B140" s="276">
        <f>IF(tblSubjectToLoan[[#This Row],[Date]]="",0,IF(ROW()=ROW(tblSubjectToLoan[#Headers])+1,subjectKnownBalance,MAX(0,INDEX(tblSubjectToLoan[Ending Balance],ROW()-ROW(tblSubjectToLoan[#Headers])-1))))</f>
        <v>50437.339999999946</v>
      </c>
      <c r="C1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0" s="14">
        <f>IF(tblSubjectToLoan[[#This Row],[Payment]]=0,0,MAX(0,MIN(tblSubjectToLoan[[#This Row],[Beginning Balance]],tblSubjectToLoan[[#This Row],[Payment]]-tblSubjectToLoan[[#This Row],[Int]])))</f>
        <v>468.18999999999994</v>
      </c>
      <c r="E140" s="14">
        <f>IF(tblSubjectToLoan[[#This Row],[Date]]="",0,ROUND(tblSubjectToLoan[[#This Row],[Beginning Balance]]*(subjectInterestRate/12),2))</f>
        <v>157.62</v>
      </c>
      <c r="F140" s="14">
        <f t="shared" si="10"/>
        <v>134.16999999999999</v>
      </c>
      <c r="G140" s="14">
        <f t="shared" si="10"/>
        <v>188.55</v>
      </c>
      <c r="H140" s="14">
        <f>SUM(tblSubjectToLoan[[#This Row],[Princ]],tblSubjectToLoan[[#This Row],[Int]],tblSubjectToLoan[[#This Row],[Ins]],tblSubjectToLoan[[#This Row],[Taxes]])</f>
        <v>948.53</v>
      </c>
      <c r="I140" s="276">
        <f>IF(tblSubjectToLoan[[#This Row],[Date]]="",IF(ROW()=ROW(tblSubjectToLoan[#Headers])+1,0,INDEX(tblSubjectToLoan[Principal],ROW()-ROW(tblSubjectToLoan[#Headers])-1)),tblSubjectToLoan[[#This Row],[Princ]]+IF(ROW()=ROW(tblSubjectToLoan[#Headers])+1,0,INDEX(tblSubjectToLoan[Principal],ROW()-ROW(tblSubjectToLoan[#Headers])-1)))</f>
        <v>47258.850000000006</v>
      </c>
      <c r="J140" s="276">
        <f>IF(tblSubjectToLoan[[#This Row],[Date]]="",IF(ROW()=ROW(tblSubjectToLoan[#Headers])+1,0,INDEX(tblSubjectToLoan[Interest],ROW()-ROW(tblSubjectToLoan[#Headers])-1)),tblSubjectToLoan[[#This Row],[Int]]+IF(ROW()=ROW(tblSubjectToLoan[#Headers])+1,0,INDEX(tblSubjectToLoan[Interest],ROW()-ROW(tblSubjectToLoan[#Headers])-1)))</f>
        <v>28464.159999999993</v>
      </c>
      <c r="K140" s="969">
        <f>IF(tblSubjectToLoan[[#This Row],[Date]]="",0,MAX(0,tblSubjectToLoan[[#This Row],[Beginning Balance]]-tblSubjectToLoan[[#This Row],[Princ]]))</f>
        <v>49969.149999999943</v>
      </c>
      <c r="L140" s="394">
        <f t="shared" si="9"/>
        <v>10</v>
      </c>
      <c r="M140" s="394">
        <f t="shared" si="6"/>
        <v>120</v>
      </c>
      <c r="N140" s="613">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67">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2392.1400000000076</v>
      </c>
      <c r="AD140" s="276">
        <f>IF(INDEX(tblContractForDeed[End Bal],ROW()-ROW(tblBuyerOutputs[#Headers]))&lt;=0,0,($O$6+IF(ROW()=ROW(tblBuyerOutputs[#Headers])+1,0,INDEX(tblBuyerOutputs[Cumul Appr],ROW()-ROW(tblBuyerOutputs[#Headers])-1)))*$O$2/12)</f>
        <v>0</v>
      </c>
      <c r="AE140" s="276">
        <f>IF(INDEX(tblContractForDeed[End Bal],ROW()-ROW(tblBuyerOutputs[#Headers]))&lt;=0,0,IF(ROW()=ROW(tblBuyerOutputs[#Headers])+1,0,INDEX(tblBuyerOutputs[Cumul Appr],ROW()-ROW(tblBuyerOutputs[#Headers])-1))+tblBuyerOutputs[[#This Row],[Monthly Appr]])</f>
        <v>0</v>
      </c>
      <c r="AF140" s="22"/>
      <c r="AG140" s="14"/>
      <c r="AL140"/>
      <c r="AM140" s="14"/>
      <c r="AO140" s="276"/>
      <c r="AQ140" s="14"/>
      <c r="AR140"/>
    </row>
    <row r="141" spans="1:44" x14ac:dyDescent="0.25">
      <c r="A141" s="613">
        <f>IF(ROW()=ROW(tblSubjectToLoan[#Headers])+1,subjectKnownBalanceDate,IF(OR(INDEX(tblSubjectToLoan[Date],ROW()-ROW(tblSubjectToLoan[#Headers])-1)="",INDEX(tblSubjectToLoan[Date],ROW()-ROW(tblSubjectToLoan[#Headers])-1)&gt;=subjectMortgageEndDate),"",EDATE(INDEX(tblSubjectToLoan[Date],ROW()-ROW(tblSubjectToLoan[#Headers])-1),1)))</f>
        <v>49553</v>
      </c>
      <c r="B141" s="276">
        <f>IF(tblSubjectToLoan[[#This Row],[Date]]="",0,IF(ROW()=ROW(tblSubjectToLoan[#Headers])+1,subjectKnownBalance,MAX(0,INDEX(tblSubjectToLoan[Ending Balance],ROW()-ROW(tblSubjectToLoan[#Headers])-1))))</f>
        <v>49969.149999999943</v>
      </c>
      <c r="C1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1" s="14">
        <f>IF(tblSubjectToLoan[[#This Row],[Payment]]=0,0,MAX(0,MIN(tblSubjectToLoan[[#This Row],[Beginning Balance]],tblSubjectToLoan[[#This Row],[Payment]]-tblSubjectToLoan[[#This Row],[Int]])))</f>
        <v>469.65999999999997</v>
      </c>
      <c r="E141" s="14">
        <f>IF(tblSubjectToLoan[[#This Row],[Date]]="",0,ROUND(tblSubjectToLoan[[#This Row],[Beginning Balance]]*(subjectInterestRate/12),2))</f>
        <v>156.15</v>
      </c>
      <c r="F141" s="14">
        <f t="shared" si="10"/>
        <v>134.16999999999999</v>
      </c>
      <c r="G141" s="14">
        <f t="shared" si="10"/>
        <v>188.55</v>
      </c>
      <c r="H141" s="14">
        <f>SUM(tblSubjectToLoan[[#This Row],[Princ]],tblSubjectToLoan[[#This Row],[Int]],tblSubjectToLoan[[#This Row],[Ins]],tblSubjectToLoan[[#This Row],[Taxes]])</f>
        <v>948.53</v>
      </c>
      <c r="I141" s="276">
        <f>IF(tblSubjectToLoan[[#This Row],[Date]]="",IF(ROW()=ROW(tblSubjectToLoan[#Headers])+1,0,INDEX(tblSubjectToLoan[Principal],ROW()-ROW(tblSubjectToLoan[#Headers])-1)),tblSubjectToLoan[[#This Row],[Princ]]+IF(ROW()=ROW(tblSubjectToLoan[#Headers])+1,0,INDEX(tblSubjectToLoan[Principal],ROW()-ROW(tblSubjectToLoan[#Headers])-1)))</f>
        <v>47728.510000000009</v>
      </c>
      <c r="J141" s="276">
        <f>IF(tblSubjectToLoan[[#This Row],[Date]]="",IF(ROW()=ROW(tblSubjectToLoan[#Headers])+1,0,INDEX(tblSubjectToLoan[Interest],ROW()-ROW(tblSubjectToLoan[#Headers])-1)),tblSubjectToLoan[[#This Row],[Int]]+IF(ROW()=ROW(tblSubjectToLoan[#Headers])+1,0,INDEX(tblSubjectToLoan[Interest],ROW()-ROW(tblSubjectToLoan[#Headers])-1)))</f>
        <v>28620.309999999994</v>
      </c>
      <c r="K141" s="969">
        <f>IF(tblSubjectToLoan[[#This Row],[Date]]="",0,MAX(0,tblSubjectToLoan[[#This Row],[Beginning Balance]]-tblSubjectToLoan[[#This Row],[Princ]]))</f>
        <v>49499.48999999994</v>
      </c>
      <c r="L141" s="394">
        <f t="shared" si="9"/>
        <v>10</v>
      </c>
      <c r="M141" s="394">
        <f t="shared" si="6"/>
        <v>121</v>
      </c>
      <c r="N141" s="613">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67">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2426.2300000000077</v>
      </c>
      <c r="AD141" s="276">
        <f>IF(INDEX(tblContractForDeed[End Bal],ROW()-ROW(tblBuyerOutputs[#Headers]))&lt;=0,0,($O$6+IF(ROW()=ROW(tblBuyerOutputs[#Headers])+1,0,INDEX(tblBuyerOutputs[Cumul Appr],ROW()-ROW(tblBuyerOutputs[#Headers])-1)))*$O$2/12)</f>
        <v>0</v>
      </c>
      <c r="AE141" s="276">
        <f>IF(INDEX(tblContractForDeed[End Bal],ROW()-ROW(tblBuyerOutputs[#Headers]))&lt;=0,0,IF(ROW()=ROW(tblBuyerOutputs[#Headers])+1,0,INDEX(tblBuyerOutputs[Cumul Appr],ROW()-ROW(tblBuyerOutputs[#Headers])-1))+tblBuyerOutputs[[#This Row],[Monthly Appr]])</f>
        <v>0</v>
      </c>
      <c r="AF141" s="22"/>
      <c r="AG141" s="14"/>
      <c r="AL141"/>
      <c r="AM141" s="14"/>
      <c r="AO141" s="276"/>
      <c r="AQ141" s="14"/>
      <c r="AR141"/>
    </row>
    <row r="142" spans="1:44" x14ac:dyDescent="0.25">
      <c r="A142" s="613">
        <f>IF(ROW()=ROW(tblSubjectToLoan[#Headers])+1,subjectKnownBalanceDate,IF(OR(INDEX(tblSubjectToLoan[Date],ROW()-ROW(tblSubjectToLoan[#Headers])-1)="",INDEX(tblSubjectToLoan[Date],ROW()-ROW(tblSubjectToLoan[#Headers])-1)&gt;=subjectMortgageEndDate),"",EDATE(INDEX(tblSubjectToLoan[Date],ROW()-ROW(tblSubjectToLoan[#Headers])-1),1)))</f>
        <v>49583</v>
      </c>
      <c r="B142" s="276">
        <f>IF(tblSubjectToLoan[[#This Row],[Date]]="",0,IF(ROW()=ROW(tblSubjectToLoan[#Headers])+1,subjectKnownBalance,MAX(0,INDEX(tblSubjectToLoan[Ending Balance],ROW()-ROW(tblSubjectToLoan[#Headers])-1))))</f>
        <v>49499.48999999994</v>
      </c>
      <c r="C1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2" s="14">
        <f>IF(tblSubjectToLoan[[#This Row],[Payment]]=0,0,MAX(0,MIN(tblSubjectToLoan[[#This Row],[Beginning Balance]],tblSubjectToLoan[[#This Row],[Payment]]-tblSubjectToLoan[[#This Row],[Int]])))</f>
        <v>471.11999999999995</v>
      </c>
      <c r="E142" s="14">
        <f>IF(tblSubjectToLoan[[#This Row],[Date]]="",0,ROUND(tblSubjectToLoan[[#This Row],[Beginning Balance]]*(subjectInterestRate/12),2))</f>
        <v>154.69</v>
      </c>
      <c r="F142" s="14">
        <f t="shared" si="10"/>
        <v>134.16999999999999</v>
      </c>
      <c r="G142" s="14">
        <f t="shared" si="10"/>
        <v>188.55</v>
      </c>
      <c r="H142" s="14">
        <f>SUM(tblSubjectToLoan[[#This Row],[Princ]],tblSubjectToLoan[[#This Row],[Int]],tblSubjectToLoan[[#This Row],[Ins]],tblSubjectToLoan[[#This Row],[Taxes]])</f>
        <v>948.53</v>
      </c>
      <c r="I142" s="276">
        <f>IF(tblSubjectToLoan[[#This Row],[Date]]="",IF(ROW()=ROW(tblSubjectToLoan[#Headers])+1,0,INDEX(tblSubjectToLoan[Principal],ROW()-ROW(tblSubjectToLoan[#Headers])-1)),tblSubjectToLoan[[#This Row],[Princ]]+IF(ROW()=ROW(tblSubjectToLoan[#Headers])+1,0,INDEX(tblSubjectToLoan[Principal],ROW()-ROW(tblSubjectToLoan[#Headers])-1)))</f>
        <v>48199.630000000012</v>
      </c>
      <c r="J142" s="276">
        <f>IF(tblSubjectToLoan[[#This Row],[Date]]="",IF(ROW()=ROW(tblSubjectToLoan[#Headers])+1,0,INDEX(tblSubjectToLoan[Interest],ROW()-ROW(tblSubjectToLoan[#Headers])-1)),tblSubjectToLoan[[#This Row],[Int]]+IF(ROW()=ROW(tblSubjectToLoan[#Headers])+1,0,INDEX(tblSubjectToLoan[Interest],ROW()-ROW(tblSubjectToLoan[#Headers])-1)))</f>
        <v>28774.999999999993</v>
      </c>
      <c r="K142" s="969">
        <f>IF(tblSubjectToLoan[[#This Row],[Date]]="",0,MAX(0,tblSubjectToLoan[[#This Row],[Beginning Balance]]-tblSubjectToLoan[[#This Row],[Princ]]))</f>
        <v>49028.369999999937</v>
      </c>
      <c r="L142" s="394">
        <f t="shared" si="9"/>
        <v>10</v>
      </c>
      <c r="M142" s="394">
        <f t="shared" si="6"/>
        <v>122</v>
      </c>
      <c r="N142" s="613">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67">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2460.3200000000079</v>
      </c>
      <c r="AD142" s="276">
        <f>IF(INDEX(tblContractForDeed[End Bal],ROW()-ROW(tblBuyerOutputs[#Headers]))&lt;=0,0,($O$6+IF(ROW()=ROW(tblBuyerOutputs[#Headers])+1,0,INDEX(tblBuyerOutputs[Cumul Appr],ROW()-ROW(tblBuyerOutputs[#Headers])-1)))*$O$2/12)</f>
        <v>0</v>
      </c>
      <c r="AE142" s="276">
        <f>IF(INDEX(tblContractForDeed[End Bal],ROW()-ROW(tblBuyerOutputs[#Headers]))&lt;=0,0,IF(ROW()=ROW(tblBuyerOutputs[#Headers])+1,0,INDEX(tblBuyerOutputs[Cumul Appr],ROW()-ROW(tblBuyerOutputs[#Headers])-1))+tblBuyerOutputs[[#This Row],[Monthly Appr]])</f>
        <v>0</v>
      </c>
      <c r="AF142" s="22"/>
      <c r="AG142" s="14"/>
      <c r="AL142"/>
      <c r="AM142" s="14"/>
      <c r="AO142" s="276"/>
      <c r="AQ142" s="14"/>
      <c r="AR142"/>
    </row>
    <row r="143" spans="1:44" x14ac:dyDescent="0.25">
      <c r="A143" s="613">
        <f>IF(ROW()=ROW(tblSubjectToLoan[#Headers])+1,subjectKnownBalanceDate,IF(OR(INDEX(tblSubjectToLoan[Date],ROW()-ROW(tblSubjectToLoan[#Headers])-1)="",INDEX(tblSubjectToLoan[Date],ROW()-ROW(tblSubjectToLoan[#Headers])-1)&gt;=subjectMortgageEndDate),"",EDATE(INDEX(tblSubjectToLoan[Date],ROW()-ROW(tblSubjectToLoan[#Headers])-1),1)))</f>
        <v>49614</v>
      </c>
      <c r="B143" s="276">
        <f>IF(tblSubjectToLoan[[#This Row],[Date]]="",0,IF(ROW()=ROW(tblSubjectToLoan[#Headers])+1,subjectKnownBalance,MAX(0,INDEX(tblSubjectToLoan[Ending Balance],ROW()-ROW(tblSubjectToLoan[#Headers])-1))))</f>
        <v>49028.369999999937</v>
      </c>
      <c r="C1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3" s="14">
        <f>IF(tblSubjectToLoan[[#This Row],[Payment]]=0,0,MAX(0,MIN(tblSubjectToLoan[[#This Row],[Beginning Balance]],tblSubjectToLoan[[#This Row],[Payment]]-tblSubjectToLoan[[#This Row],[Int]])))</f>
        <v>472.59999999999991</v>
      </c>
      <c r="E143" s="14">
        <f>IF(tblSubjectToLoan[[#This Row],[Date]]="",0,ROUND(tblSubjectToLoan[[#This Row],[Beginning Balance]]*(subjectInterestRate/12),2))</f>
        <v>153.21</v>
      </c>
      <c r="F143" s="14">
        <f t="shared" ref="F143:G158" si="11">+F142</f>
        <v>134.16999999999999</v>
      </c>
      <c r="G143" s="14">
        <f t="shared" si="11"/>
        <v>188.55</v>
      </c>
      <c r="H143" s="14">
        <f>SUM(tblSubjectToLoan[[#This Row],[Princ]],tblSubjectToLoan[[#This Row],[Int]],tblSubjectToLoan[[#This Row],[Ins]],tblSubjectToLoan[[#This Row],[Taxes]])</f>
        <v>948.53</v>
      </c>
      <c r="I143" s="276">
        <f>IF(tblSubjectToLoan[[#This Row],[Date]]="",IF(ROW()=ROW(tblSubjectToLoan[#Headers])+1,0,INDEX(tblSubjectToLoan[Principal],ROW()-ROW(tblSubjectToLoan[#Headers])-1)),tblSubjectToLoan[[#This Row],[Princ]]+IF(ROW()=ROW(tblSubjectToLoan[#Headers])+1,0,INDEX(tblSubjectToLoan[Principal],ROW()-ROW(tblSubjectToLoan[#Headers])-1)))</f>
        <v>48672.23000000001</v>
      </c>
      <c r="J143" s="276">
        <f>IF(tblSubjectToLoan[[#This Row],[Date]]="",IF(ROW()=ROW(tblSubjectToLoan[#Headers])+1,0,INDEX(tblSubjectToLoan[Interest],ROW()-ROW(tblSubjectToLoan[#Headers])-1)),tblSubjectToLoan[[#This Row],[Int]]+IF(ROW()=ROW(tblSubjectToLoan[#Headers])+1,0,INDEX(tblSubjectToLoan[Interest],ROW()-ROW(tblSubjectToLoan[#Headers])-1)))</f>
        <v>28928.209999999992</v>
      </c>
      <c r="K143" s="969">
        <f>IF(tblSubjectToLoan[[#This Row],[Date]]="",0,MAX(0,tblSubjectToLoan[[#This Row],[Beginning Balance]]-tblSubjectToLoan[[#This Row],[Princ]]))</f>
        <v>48555.769999999939</v>
      </c>
      <c r="L143" s="394">
        <f t="shared" si="9"/>
        <v>10</v>
      </c>
      <c r="M143" s="394">
        <f t="shared" si="6"/>
        <v>123</v>
      </c>
      <c r="N143" s="613">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67">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2494.410000000008</v>
      </c>
      <c r="AD143" s="276">
        <f>IF(INDEX(tblContractForDeed[End Bal],ROW()-ROW(tblBuyerOutputs[#Headers]))&lt;=0,0,($O$6+IF(ROW()=ROW(tblBuyerOutputs[#Headers])+1,0,INDEX(tblBuyerOutputs[Cumul Appr],ROW()-ROW(tblBuyerOutputs[#Headers])-1)))*$O$2/12)</f>
        <v>0</v>
      </c>
      <c r="AE143" s="276">
        <f>IF(INDEX(tblContractForDeed[End Bal],ROW()-ROW(tblBuyerOutputs[#Headers]))&lt;=0,0,IF(ROW()=ROW(tblBuyerOutputs[#Headers])+1,0,INDEX(tblBuyerOutputs[Cumul Appr],ROW()-ROW(tblBuyerOutputs[#Headers])-1))+tblBuyerOutputs[[#This Row],[Monthly Appr]])</f>
        <v>0</v>
      </c>
      <c r="AF143" s="22"/>
      <c r="AG143" s="14"/>
      <c r="AL143"/>
      <c r="AM143" s="14"/>
      <c r="AO143" s="276"/>
      <c r="AQ143" s="14"/>
      <c r="AR143"/>
    </row>
    <row r="144" spans="1:44" x14ac:dyDescent="0.25">
      <c r="A144" s="613">
        <f>IF(ROW()=ROW(tblSubjectToLoan[#Headers])+1,subjectKnownBalanceDate,IF(OR(INDEX(tblSubjectToLoan[Date],ROW()-ROW(tblSubjectToLoan[#Headers])-1)="",INDEX(tblSubjectToLoan[Date],ROW()-ROW(tblSubjectToLoan[#Headers])-1)&gt;=subjectMortgageEndDate),"",EDATE(INDEX(tblSubjectToLoan[Date],ROW()-ROW(tblSubjectToLoan[#Headers])-1),1)))</f>
        <v>49644</v>
      </c>
      <c r="B144" s="276">
        <f>IF(tblSubjectToLoan[[#This Row],[Date]]="",0,IF(ROW()=ROW(tblSubjectToLoan[#Headers])+1,subjectKnownBalance,MAX(0,INDEX(tblSubjectToLoan[Ending Balance],ROW()-ROW(tblSubjectToLoan[#Headers])-1))))</f>
        <v>48555.769999999939</v>
      </c>
      <c r="C1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4" s="14">
        <f>IF(tblSubjectToLoan[[#This Row],[Payment]]=0,0,MAX(0,MIN(tblSubjectToLoan[[#This Row],[Beginning Balance]],tblSubjectToLoan[[#This Row],[Payment]]-tblSubjectToLoan[[#This Row],[Int]])))</f>
        <v>474.06999999999994</v>
      </c>
      <c r="E144" s="14">
        <f>IF(tblSubjectToLoan[[#This Row],[Date]]="",0,ROUND(tblSubjectToLoan[[#This Row],[Beginning Balance]]*(subjectInterestRate/12),2))</f>
        <v>151.74</v>
      </c>
      <c r="F144" s="14">
        <f t="shared" si="11"/>
        <v>134.16999999999999</v>
      </c>
      <c r="G144" s="14">
        <f t="shared" si="11"/>
        <v>188.55</v>
      </c>
      <c r="H144" s="14">
        <f>SUM(tblSubjectToLoan[[#This Row],[Princ]],tblSubjectToLoan[[#This Row],[Int]],tblSubjectToLoan[[#This Row],[Ins]],tblSubjectToLoan[[#This Row],[Taxes]])</f>
        <v>948.53</v>
      </c>
      <c r="I144" s="276">
        <f>IF(tblSubjectToLoan[[#This Row],[Date]]="",IF(ROW()=ROW(tblSubjectToLoan[#Headers])+1,0,INDEX(tblSubjectToLoan[Principal],ROW()-ROW(tblSubjectToLoan[#Headers])-1)),tblSubjectToLoan[[#This Row],[Princ]]+IF(ROW()=ROW(tblSubjectToLoan[#Headers])+1,0,INDEX(tblSubjectToLoan[Principal],ROW()-ROW(tblSubjectToLoan[#Headers])-1)))</f>
        <v>49146.30000000001</v>
      </c>
      <c r="J144" s="276">
        <f>IF(tblSubjectToLoan[[#This Row],[Date]]="",IF(ROW()=ROW(tblSubjectToLoan[#Headers])+1,0,INDEX(tblSubjectToLoan[Interest],ROW()-ROW(tblSubjectToLoan[#Headers])-1)),tblSubjectToLoan[[#This Row],[Int]]+IF(ROW()=ROW(tblSubjectToLoan[#Headers])+1,0,INDEX(tblSubjectToLoan[Interest],ROW()-ROW(tblSubjectToLoan[#Headers])-1)))</f>
        <v>29079.949999999993</v>
      </c>
      <c r="K144" s="969">
        <f>IF(tblSubjectToLoan[[#This Row],[Date]]="",0,MAX(0,tblSubjectToLoan[[#This Row],[Beginning Balance]]-tblSubjectToLoan[[#This Row],[Princ]]))</f>
        <v>48081.699999999939</v>
      </c>
      <c r="L144" s="394">
        <f t="shared" si="9"/>
        <v>10</v>
      </c>
      <c r="M144" s="394">
        <f t="shared" si="6"/>
        <v>124</v>
      </c>
      <c r="N144" s="613">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67">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2528.5000000000082</v>
      </c>
      <c r="AD144" s="276">
        <f>IF(INDEX(tblContractForDeed[End Bal],ROW()-ROW(tblBuyerOutputs[#Headers]))&lt;=0,0,($O$6+IF(ROW()=ROW(tblBuyerOutputs[#Headers])+1,0,INDEX(tblBuyerOutputs[Cumul Appr],ROW()-ROW(tblBuyerOutputs[#Headers])-1)))*$O$2/12)</f>
        <v>0</v>
      </c>
      <c r="AE144" s="276">
        <f>IF(INDEX(tblContractForDeed[End Bal],ROW()-ROW(tblBuyerOutputs[#Headers]))&lt;=0,0,IF(ROW()=ROW(tblBuyerOutputs[#Headers])+1,0,INDEX(tblBuyerOutputs[Cumul Appr],ROW()-ROW(tblBuyerOutputs[#Headers])-1))+tblBuyerOutputs[[#This Row],[Monthly Appr]])</f>
        <v>0</v>
      </c>
      <c r="AF144" s="22"/>
      <c r="AG144" s="14"/>
      <c r="AL144"/>
      <c r="AM144" s="14"/>
      <c r="AO144" s="276"/>
      <c r="AQ144" s="14"/>
      <c r="AR144"/>
    </row>
    <row r="145" spans="1:44" x14ac:dyDescent="0.25">
      <c r="A145" s="613">
        <f>IF(ROW()=ROW(tblSubjectToLoan[#Headers])+1,subjectKnownBalanceDate,IF(OR(INDEX(tblSubjectToLoan[Date],ROW()-ROW(tblSubjectToLoan[#Headers])-1)="",INDEX(tblSubjectToLoan[Date],ROW()-ROW(tblSubjectToLoan[#Headers])-1)&gt;=subjectMortgageEndDate),"",EDATE(INDEX(tblSubjectToLoan[Date],ROW()-ROW(tblSubjectToLoan[#Headers])-1),1)))</f>
        <v>49675</v>
      </c>
      <c r="B145" s="276">
        <f>IF(tblSubjectToLoan[[#This Row],[Date]]="",0,IF(ROW()=ROW(tblSubjectToLoan[#Headers])+1,subjectKnownBalance,MAX(0,INDEX(tblSubjectToLoan[Ending Balance],ROW()-ROW(tblSubjectToLoan[#Headers])-1))))</f>
        <v>48081.699999999939</v>
      </c>
      <c r="C1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5" s="14">
        <f>IF(tblSubjectToLoan[[#This Row],[Payment]]=0,0,MAX(0,MIN(tblSubjectToLoan[[#This Row],[Beginning Balance]],tblSubjectToLoan[[#This Row],[Payment]]-tblSubjectToLoan[[#This Row],[Int]])))</f>
        <v>475.54999999999995</v>
      </c>
      <c r="E145" s="14">
        <f>IF(tblSubjectToLoan[[#This Row],[Date]]="",0,ROUND(tblSubjectToLoan[[#This Row],[Beginning Balance]]*(subjectInterestRate/12),2))</f>
        <v>150.26</v>
      </c>
      <c r="F145" s="14">
        <f t="shared" si="11"/>
        <v>134.16999999999999</v>
      </c>
      <c r="G145" s="14">
        <f t="shared" si="11"/>
        <v>188.55</v>
      </c>
      <c r="H145" s="14">
        <f>SUM(tblSubjectToLoan[[#This Row],[Princ]],tblSubjectToLoan[[#This Row],[Int]],tblSubjectToLoan[[#This Row],[Ins]],tblSubjectToLoan[[#This Row],[Taxes]])</f>
        <v>948.53</v>
      </c>
      <c r="I145" s="276">
        <f>IF(tblSubjectToLoan[[#This Row],[Date]]="",IF(ROW()=ROW(tblSubjectToLoan[#Headers])+1,0,INDEX(tblSubjectToLoan[Principal],ROW()-ROW(tblSubjectToLoan[#Headers])-1)),tblSubjectToLoan[[#This Row],[Princ]]+IF(ROW()=ROW(tblSubjectToLoan[#Headers])+1,0,INDEX(tblSubjectToLoan[Principal],ROW()-ROW(tblSubjectToLoan[#Headers])-1)))</f>
        <v>49621.850000000013</v>
      </c>
      <c r="J145" s="276">
        <f>IF(tblSubjectToLoan[[#This Row],[Date]]="",IF(ROW()=ROW(tblSubjectToLoan[#Headers])+1,0,INDEX(tblSubjectToLoan[Interest],ROW()-ROW(tblSubjectToLoan[#Headers])-1)),tblSubjectToLoan[[#This Row],[Int]]+IF(ROW()=ROW(tblSubjectToLoan[#Headers])+1,0,INDEX(tblSubjectToLoan[Interest],ROW()-ROW(tblSubjectToLoan[#Headers])-1)))</f>
        <v>29230.209999999992</v>
      </c>
      <c r="K145" s="969">
        <f>IF(tblSubjectToLoan[[#This Row],[Date]]="",0,MAX(0,tblSubjectToLoan[[#This Row],[Beginning Balance]]-tblSubjectToLoan[[#This Row],[Princ]]))</f>
        <v>47606.149999999936</v>
      </c>
      <c r="L145" s="394">
        <f t="shared" si="9"/>
        <v>10</v>
      </c>
      <c r="M145" s="394">
        <f t="shared" si="6"/>
        <v>125</v>
      </c>
      <c r="N145" s="613">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67">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2562.5900000000083</v>
      </c>
      <c r="AD145" s="276">
        <f>IF(INDEX(tblContractForDeed[End Bal],ROW()-ROW(tblBuyerOutputs[#Headers]))&lt;=0,0,($O$6+IF(ROW()=ROW(tblBuyerOutputs[#Headers])+1,0,INDEX(tblBuyerOutputs[Cumul Appr],ROW()-ROW(tblBuyerOutputs[#Headers])-1)))*$O$2/12)</f>
        <v>0</v>
      </c>
      <c r="AE145" s="276">
        <f>IF(INDEX(tblContractForDeed[End Bal],ROW()-ROW(tblBuyerOutputs[#Headers]))&lt;=0,0,IF(ROW()=ROW(tblBuyerOutputs[#Headers])+1,0,INDEX(tblBuyerOutputs[Cumul Appr],ROW()-ROW(tblBuyerOutputs[#Headers])-1))+tblBuyerOutputs[[#This Row],[Monthly Appr]])</f>
        <v>0</v>
      </c>
      <c r="AF145" s="22"/>
      <c r="AG145" s="14"/>
      <c r="AL145"/>
      <c r="AM145" s="14"/>
      <c r="AO145" s="276"/>
      <c r="AQ145" s="14"/>
      <c r="AR145"/>
    </row>
    <row r="146" spans="1:44" x14ac:dyDescent="0.25">
      <c r="A146" s="613">
        <f>IF(ROW()=ROW(tblSubjectToLoan[#Headers])+1,subjectKnownBalanceDate,IF(OR(INDEX(tblSubjectToLoan[Date],ROW()-ROW(tblSubjectToLoan[#Headers])-1)="",INDEX(tblSubjectToLoan[Date],ROW()-ROW(tblSubjectToLoan[#Headers])-1)&gt;=subjectMortgageEndDate),"",EDATE(INDEX(tblSubjectToLoan[Date],ROW()-ROW(tblSubjectToLoan[#Headers])-1),1)))</f>
        <v>49706</v>
      </c>
      <c r="B146" s="276">
        <f>IF(tblSubjectToLoan[[#This Row],[Date]]="",0,IF(ROW()=ROW(tblSubjectToLoan[#Headers])+1,subjectKnownBalance,MAX(0,INDEX(tblSubjectToLoan[Ending Balance],ROW()-ROW(tblSubjectToLoan[#Headers])-1))))</f>
        <v>47606.149999999936</v>
      </c>
      <c r="C1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6" s="14">
        <f>IF(tblSubjectToLoan[[#This Row],[Payment]]=0,0,MAX(0,MIN(tblSubjectToLoan[[#This Row],[Beginning Balance]],tblSubjectToLoan[[#This Row],[Payment]]-tblSubjectToLoan[[#This Row],[Int]])))</f>
        <v>477.03999999999996</v>
      </c>
      <c r="E146" s="14">
        <f>IF(tblSubjectToLoan[[#This Row],[Date]]="",0,ROUND(tblSubjectToLoan[[#This Row],[Beginning Balance]]*(subjectInterestRate/12),2))</f>
        <v>148.77000000000001</v>
      </c>
      <c r="F146" s="14">
        <f t="shared" si="11"/>
        <v>134.16999999999999</v>
      </c>
      <c r="G146" s="14">
        <f t="shared" si="11"/>
        <v>188.55</v>
      </c>
      <c r="H146" s="14">
        <f>SUM(tblSubjectToLoan[[#This Row],[Princ]],tblSubjectToLoan[[#This Row],[Int]],tblSubjectToLoan[[#This Row],[Ins]],tblSubjectToLoan[[#This Row],[Taxes]])</f>
        <v>948.53</v>
      </c>
      <c r="I146" s="276">
        <f>IF(tblSubjectToLoan[[#This Row],[Date]]="",IF(ROW()=ROW(tblSubjectToLoan[#Headers])+1,0,INDEX(tblSubjectToLoan[Principal],ROW()-ROW(tblSubjectToLoan[#Headers])-1)),tblSubjectToLoan[[#This Row],[Princ]]+IF(ROW()=ROW(tblSubjectToLoan[#Headers])+1,0,INDEX(tblSubjectToLoan[Principal],ROW()-ROW(tblSubjectToLoan[#Headers])-1)))</f>
        <v>50098.890000000014</v>
      </c>
      <c r="J146" s="276">
        <f>IF(tblSubjectToLoan[[#This Row],[Date]]="",IF(ROW()=ROW(tblSubjectToLoan[#Headers])+1,0,INDEX(tblSubjectToLoan[Interest],ROW()-ROW(tblSubjectToLoan[#Headers])-1)),tblSubjectToLoan[[#This Row],[Int]]+IF(ROW()=ROW(tblSubjectToLoan[#Headers])+1,0,INDEX(tblSubjectToLoan[Interest],ROW()-ROW(tblSubjectToLoan[#Headers])-1)))</f>
        <v>29378.979999999992</v>
      </c>
      <c r="K146" s="969">
        <f>IF(tblSubjectToLoan[[#This Row],[Date]]="",0,MAX(0,tblSubjectToLoan[[#This Row],[Beginning Balance]]-tblSubjectToLoan[[#This Row],[Princ]]))</f>
        <v>47129.109999999935</v>
      </c>
      <c r="L146" s="394">
        <f t="shared" si="9"/>
        <v>10</v>
      </c>
      <c r="M146" s="394">
        <f t="shared" si="6"/>
        <v>126</v>
      </c>
      <c r="N146" s="613">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67">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2596.6800000000085</v>
      </c>
      <c r="AD146" s="276">
        <f>IF(INDEX(tblContractForDeed[End Bal],ROW()-ROW(tblBuyerOutputs[#Headers]))&lt;=0,0,($O$6+IF(ROW()=ROW(tblBuyerOutputs[#Headers])+1,0,INDEX(tblBuyerOutputs[Cumul Appr],ROW()-ROW(tblBuyerOutputs[#Headers])-1)))*$O$2/12)</f>
        <v>0</v>
      </c>
      <c r="AE146" s="276">
        <f>IF(INDEX(tblContractForDeed[End Bal],ROW()-ROW(tblBuyerOutputs[#Headers]))&lt;=0,0,IF(ROW()=ROW(tblBuyerOutputs[#Headers])+1,0,INDEX(tblBuyerOutputs[Cumul Appr],ROW()-ROW(tblBuyerOutputs[#Headers])-1))+tblBuyerOutputs[[#This Row],[Monthly Appr]])</f>
        <v>0</v>
      </c>
      <c r="AF146" s="22"/>
      <c r="AG146" s="14"/>
      <c r="AL146"/>
      <c r="AM146" s="14"/>
      <c r="AO146" s="276"/>
      <c r="AQ146" s="14"/>
      <c r="AR146"/>
    </row>
    <row r="147" spans="1:44" x14ac:dyDescent="0.25">
      <c r="A147" s="613">
        <f>IF(ROW()=ROW(tblSubjectToLoan[#Headers])+1,subjectKnownBalanceDate,IF(OR(INDEX(tblSubjectToLoan[Date],ROW()-ROW(tblSubjectToLoan[#Headers])-1)="",INDEX(tblSubjectToLoan[Date],ROW()-ROW(tblSubjectToLoan[#Headers])-1)&gt;=subjectMortgageEndDate),"",EDATE(INDEX(tblSubjectToLoan[Date],ROW()-ROW(tblSubjectToLoan[#Headers])-1),1)))</f>
        <v>49735</v>
      </c>
      <c r="B147" s="276">
        <f>IF(tblSubjectToLoan[[#This Row],[Date]]="",0,IF(ROW()=ROW(tblSubjectToLoan[#Headers])+1,subjectKnownBalance,MAX(0,INDEX(tblSubjectToLoan[Ending Balance],ROW()-ROW(tblSubjectToLoan[#Headers])-1))))</f>
        <v>47129.109999999935</v>
      </c>
      <c r="C1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7" s="14">
        <f>IF(tblSubjectToLoan[[#This Row],[Payment]]=0,0,MAX(0,MIN(tblSubjectToLoan[[#This Row],[Beginning Balance]],tblSubjectToLoan[[#This Row],[Payment]]-tblSubjectToLoan[[#This Row],[Int]])))</f>
        <v>478.53</v>
      </c>
      <c r="E147" s="14">
        <f>IF(tblSubjectToLoan[[#This Row],[Date]]="",0,ROUND(tblSubjectToLoan[[#This Row],[Beginning Balance]]*(subjectInterestRate/12),2))</f>
        <v>147.28</v>
      </c>
      <c r="F147" s="14">
        <f t="shared" si="11"/>
        <v>134.16999999999999</v>
      </c>
      <c r="G147" s="14">
        <f t="shared" si="11"/>
        <v>188.55</v>
      </c>
      <c r="H147" s="14">
        <f>SUM(tblSubjectToLoan[[#This Row],[Princ]],tblSubjectToLoan[[#This Row],[Int]],tblSubjectToLoan[[#This Row],[Ins]],tblSubjectToLoan[[#This Row],[Taxes]])</f>
        <v>948.53</v>
      </c>
      <c r="I147" s="276">
        <f>IF(tblSubjectToLoan[[#This Row],[Date]]="",IF(ROW()=ROW(tblSubjectToLoan[#Headers])+1,0,INDEX(tblSubjectToLoan[Principal],ROW()-ROW(tblSubjectToLoan[#Headers])-1)),tblSubjectToLoan[[#This Row],[Princ]]+IF(ROW()=ROW(tblSubjectToLoan[#Headers])+1,0,INDEX(tblSubjectToLoan[Principal],ROW()-ROW(tblSubjectToLoan[#Headers])-1)))</f>
        <v>50577.420000000013</v>
      </c>
      <c r="J147" s="276">
        <f>IF(tblSubjectToLoan[[#This Row],[Date]]="",IF(ROW()=ROW(tblSubjectToLoan[#Headers])+1,0,INDEX(tblSubjectToLoan[Interest],ROW()-ROW(tblSubjectToLoan[#Headers])-1)),tblSubjectToLoan[[#This Row],[Int]]+IF(ROW()=ROW(tblSubjectToLoan[#Headers])+1,0,INDEX(tblSubjectToLoan[Interest],ROW()-ROW(tblSubjectToLoan[#Headers])-1)))</f>
        <v>29526.259999999991</v>
      </c>
      <c r="K147" s="969">
        <f>IF(tblSubjectToLoan[[#This Row],[Date]]="",0,MAX(0,tblSubjectToLoan[[#This Row],[Beginning Balance]]-tblSubjectToLoan[[#This Row],[Princ]]))</f>
        <v>46650.579999999936</v>
      </c>
      <c r="L147" s="394">
        <f t="shared" si="9"/>
        <v>10</v>
      </c>
      <c r="M147" s="394">
        <f t="shared" si="6"/>
        <v>127</v>
      </c>
      <c r="N147" s="613">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67">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2630.7700000000086</v>
      </c>
      <c r="AD147" s="276">
        <f>IF(INDEX(tblContractForDeed[End Bal],ROW()-ROW(tblBuyerOutputs[#Headers]))&lt;=0,0,($O$6+IF(ROW()=ROW(tblBuyerOutputs[#Headers])+1,0,INDEX(tblBuyerOutputs[Cumul Appr],ROW()-ROW(tblBuyerOutputs[#Headers])-1)))*$O$2/12)</f>
        <v>0</v>
      </c>
      <c r="AE147" s="276">
        <f>IF(INDEX(tblContractForDeed[End Bal],ROW()-ROW(tblBuyerOutputs[#Headers]))&lt;=0,0,IF(ROW()=ROW(tblBuyerOutputs[#Headers])+1,0,INDEX(tblBuyerOutputs[Cumul Appr],ROW()-ROW(tblBuyerOutputs[#Headers])-1))+tblBuyerOutputs[[#This Row],[Monthly Appr]])</f>
        <v>0</v>
      </c>
      <c r="AF147" s="22"/>
      <c r="AG147" s="14"/>
      <c r="AL147"/>
      <c r="AM147" s="14"/>
      <c r="AO147" s="276"/>
      <c r="AQ147" s="14"/>
      <c r="AR147"/>
    </row>
    <row r="148" spans="1:44" x14ac:dyDescent="0.25">
      <c r="A148" s="613">
        <f>IF(ROW()=ROW(tblSubjectToLoan[#Headers])+1,subjectKnownBalanceDate,IF(OR(INDEX(tblSubjectToLoan[Date],ROW()-ROW(tblSubjectToLoan[#Headers])-1)="",INDEX(tblSubjectToLoan[Date],ROW()-ROW(tblSubjectToLoan[#Headers])-1)&gt;=subjectMortgageEndDate),"",EDATE(INDEX(tblSubjectToLoan[Date],ROW()-ROW(tblSubjectToLoan[#Headers])-1),1)))</f>
        <v>49766</v>
      </c>
      <c r="B148" s="276">
        <f>IF(tblSubjectToLoan[[#This Row],[Date]]="",0,IF(ROW()=ROW(tblSubjectToLoan[#Headers])+1,subjectKnownBalance,MAX(0,INDEX(tblSubjectToLoan[Ending Balance],ROW()-ROW(tblSubjectToLoan[#Headers])-1))))</f>
        <v>46650.579999999936</v>
      </c>
      <c r="C1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8" s="14">
        <f>IF(tblSubjectToLoan[[#This Row],[Payment]]=0,0,MAX(0,MIN(tblSubjectToLoan[[#This Row],[Beginning Balance]],tblSubjectToLoan[[#This Row],[Payment]]-tblSubjectToLoan[[#This Row],[Int]])))</f>
        <v>480.03</v>
      </c>
      <c r="E148" s="14">
        <f>IF(tblSubjectToLoan[[#This Row],[Date]]="",0,ROUND(tblSubjectToLoan[[#This Row],[Beginning Balance]]*(subjectInterestRate/12),2))</f>
        <v>145.78</v>
      </c>
      <c r="F148" s="14">
        <f t="shared" si="11"/>
        <v>134.16999999999999</v>
      </c>
      <c r="G148" s="14">
        <f t="shared" si="11"/>
        <v>188.55</v>
      </c>
      <c r="H148" s="14">
        <f>SUM(tblSubjectToLoan[[#This Row],[Princ]],tblSubjectToLoan[[#This Row],[Int]],tblSubjectToLoan[[#This Row],[Ins]],tblSubjectToLoan[[#This Row],[Taxes]])</f>
        <v>948.53</v>
      </c>
      <c r="I148" s="276">
        <f>IF(tblSubjectToLoan[[#This Row],[Date]]="",IF(ROW()=ROW(tblSubjectToLoan[#Headers])+1,0,INDEX(tblSubjectToLoan[Principal],ROW()-ROW(tblSubjectToLoan[#Headers])-1)),tblSubjectToLoan[[#This Row],[Princ]]+IF(ROW()=ROW(tblSubjectToLoan[#Headers])+1,0,INDEX(tblSubjectToLoan[Principal],ROW()-ROW(tblSubjectToLoan[#Headers])-1)))</f>
        <v>51057.450000000012</v>
      </c>
      <c r="J148" s="276">
        <f>IF(tblSubjectToLoan[[#This Row],[Date]]="",IF(ROW()=ROW(tblSubjectToLoan[#Headers])+1,0,INDEX(tblSubjectToLoan[Interest],ROW()-ROW(tblSubjectToLoan[#Headers])-1)),tblSubjectToLoan[[#This Row],[Int]]+IF(ROW()=ROW(tblSubjectToLoan[#Headers])+1,0,INDEX(tblSubjectToLoan[Interest],ROW()-ROW(tblSubjectToLoan[#Headers])-1)))</f>
        <v>29672.03999999999</v>
      </c>
      <c r="K148" s="969">
        <f>IF(tblSubjectToLoan[[#This Row],[Date]]="",0,MAX(0,tblSubjectToLoan[[#This Row],[Beginning Balance]]-tblSubjectToLoan[[#This Row],[Princ]]))</f>
        <v>46170.549999999937</v>
      </c>
      <c r="L148" s="394">
        <f t="shared" si="9"/>
        <v>10</v>
      </c>
      <c r="M148" s="394">
        <f t="shared" si="6"/>
        <v>128</v>
      </c>
      <c r="N148" s="613">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67">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2664.8600000000088</v>
      </c>
      <c r="AD148" s="276">
        <f>IF(INDEX(tblContractForDeed[End Bal],ROW()-ROW(tblBuyerOutputs[#Headers]))&lt;=0,0,($O$6+IF(ROW()=ROW(tblBuyerOutputs[#Headers])+1,0,INDEX(tblBuyerOutputs[Cumul Appr],ROW()-ROW(tblBuyerOutputs[#Headers])-1)))*$O$2/12)</f>
        <v>0</v>
      </c>
      <c r="AE148" s="276">
        <f>IF(INDEX(tblContractForDeed[End Bal],ROW()-ROW(tblBuyerOutputs[#Headers]))&lt;=0,0,IF(ROW()=ROW(tblBuyerOutputs[#Headers])+1,0,INDEX(tblBuyerOutputs[Cumul Appr],ROW()-ROW(tblBuyerOutputs[#Headers])-1))+tblBuyerOutputs[[#This Row],[Monthly Appr]])</f>
        <v>0</v>
      </c>
      <c r="AF148" s="22"/>
      <c r="AG148" s="14"/>
      <c r="AL148"/>
      <c r="AM148" s="14"/>
      <c r="AO148" s="276"/>
      <c r="AQ148" s="14"/>
      <c r="AR148"/>
    </row>
    <row r="149" spans="1:44" x14ac:dyDescent="0.25">
      <c r="A149" s="613">
        <f>IF(ROW()=ROW(tblSubjectToLoan[#Headers])+1,subjectKnownBalanceDate,IF(OR(INDEX(tblSubjectToLoan[Date],ROW()-ROW(tblSubjectToLoan[#Headers])-1)="",INDEX(tblSubjectToLoan[Date],ROW()-ROW(tblSubjectToLoan[#Headers])-1)&gt;=subjectMortgageEndDate),"",EDATE(INDEX(tblSubjectToLoan[Date],ROW()-ROW(tblSubjectToLoan[#Headers])-1),1)))</f>
        <v>49796</v>
      </c>
      <c r="B149" s="276">
        <f>IF(tblSubjectToLoan[[#This Row],[Date]]="",0,IF(ROW()=ROW(tblSubjectToLoan[#Headers])+1,subjectKnownBalance,MAX(0,INDEX(tblSubjectToLoan[Ending Balance],ROW()-ROW(tblSubjectToLoan[#Headers])-1))))</f>
        <v>46170.549999999937</v>
      </c>
      <c r="C1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9" s="14">
        <f>IF(tblSubjectToLoan[[#This Row],[Payment]]=0,0,MAX(0,MIN(tblSubjectToLoan[[#This Row],[Beginning Balance]],tblSubjectToLoan[[#This Row],[Payment]]-tblSubjectToLoan[[#This Row],[Int]])))</f>
        <v>481.53</v>
      </c>
      <c r="E149" s="14">
        <f>IF(tblSubjectToLoan[[#This Row],[Date]]="",0,ROUND(tblSubjectToLoan[[#This Row],[Beginning Balance]]*(subjectInterestRate/12),2))</f>
        <v>144.28</v>
      </c>
      <c r="F149" s="14">
        <f t="shared" si="11"/>
        <v>134.16999999999999</v>
      </c>
      <c r="G149" s="14">
        <f t="shared" si="11"/>
        <v>188.55</v>
      </c>
      <c r="H149" s="14">
        <f>SUM(tblSubjectToLoan[[#This Row],[Princ]],tblSubjectToLoan[[#This Row],[Int]],tblSubjectToLoan[[#This Row],[Ins]],tblSubjectToLoan[[#This Row],[Taxes]])</f>
        <v>948.53</v>
      </c>
      <c r="I149" s="276">
        <f>IF(tblSubjectToLoan[[#This Row],[Date]]="",IF(ROW()=ROW(tblSubjectToLoan[#Headers])+1,0,INDEX(tblSubjectToLoan[Principal],ROW()-ROW(tblSubjectToLoan[#Headers])-1)),tblSubjectToLoan[[#This Row],[Princ]]+IF(ROW()=ROW(tblSubjectToLoan[#Headers])+1,0,INDEX(tblSubjectToLoan[Principal],ROW()-ROW(tblSubjectToLoan[#Headers])-1)))</f>
        <v>51538.98000000001</v>
      </c>
      <c r="J149" s="276">
        <f>IF(tblSubjectToLoan[[#This Row],[Date]]="",IF(ROW()=ROW(tblSubjectToLoan[#Headers])+1,0,INDEX(tblSubjectToLoan[Interest],ROW()-ROW(tblSubjectToLoan[#Headers])-1)),tblSubjectToLoan[[#This Row],[Int]]+IF(ROW()=ROW(tblSubjectToLoan[#Headers])+1,0,INDEX(tblSubjectToLoan[Interest],ROW()-ROW(tblSubjectToLoan[#Headers])-1)))</f>
        <v>29816.319999999989</v>
      </c>
      <c r="K149" s="969">
        <f>IF(tblSubjectToLoan[[#This Row],[Date]]="",0,MAX(0,tblSubjectToLoan[[#This Row],[Beginning Balance]]-tblSubjectToLoan[[#This Row],[Princ]]))</f>
        <v>45689.019999999939</v>
      </c>
      <c r="L149" s="394">
        <f t="shared" si="9"/>
        <v>10</v>
      </c>
      <c r="M149" s="394">
        <f t="shared" ref="M149:M212" si="12">IF($A149&lt;&gt;"",M148+1,0)</f>
        <v>129</v>
      </c>
      <c r="N149" s="613">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67">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2698.9500000000089</v>
      </c>
      <c r="AD149" s="276">
        <f>IF(INDEX(tblContractForDeed[End Bal],ROW()-ROW(tblBuyerOutputs[#Headers]))&lt;=0,0,($O$6+IF(ROW()=ROW(tblBuyerOutputs[#Headers])+1,0,INDEX(tblBuyerOutputs[Cumul Appr],ROW()-ROW(tblBuyerOutputs[#Headers])-1)))*$O$2/12)</f>
        <v>0</v>
      </c>
      <c r="AE149" s="276">
        <f>IF(INDEX(tblContractForDeed[End Bal],ROW()-ROW(tblBuyerOutputs[#Headers]))&lt;=0,0,IF(ROW()=ROW(tblBuyerOutputs[#Headers])+1,0,INDEX(tblBuyerOutputs[Cumul Appr],ROW()-ROW(tblBuyerOutputs[#Headers])-1))+tblBuyerOutputs[[#This Row],[Monthly Appr]])</f>
        <v>0</v>
      </c>
      <c r="AF149" s="22"/>
      <c r="AG149" s="14"/>
      <c r="AL149"/>
      <c r="AM149" s="14"/>
      <c r="AO149" s="276"/>
      <c r="AQ149" s="14"/>
      <c r="AR149"/>
    </row>
    <row r="150" spans="1:44" x14ac:dyDescent="0.25">
      <c r="A150" s="613">
        <f>IF(ROW()=ROW(tblSubjectToLoan[#Headers])+1,subjectKnownBalanceDate,IF(OR(INDEX(tblSubjectToLoan[Date],ROW()-ROW(tblSubjectToLoan[#Headers])-1)="",INDEX(tblSubjectToLoan[Date],ROW()-ROW(tblSubjectToLoan[#Headers])-1)&gt;=subjectMortgageEndDate),"",EDATE(INDEX(tblSubjectToLoan[Date],ROW()-ROW(tblSubjectToLoan[#Headers])-1),1)))</f>
        <v>49827</v>
      </c>
      <c r="B150" s="276">
        <f>IF(tblSubjectToLoan[[#This Row],[Date]]="",0,IF(ROW()=ROW(tblSubjectToLoan[#Headers])+1,subjectKnownBalance,MAX(0,INDEX(tblSubjectToLoan[Ending Balance],ROW()-ROW(tblSubjectToLoan[#Headers])-1))))</f>
        <v>45689.019999999939</v>
      </c>
      <c r="C1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0" s="14">
        <f>IF(tblSubjectToLoan[[#This Row],[Payment]]=0,0,MAX(0,MIN(tblSubjectToLoan[[#This Row],[Beginning Balance]],tblSubjectToLoan[[#This Row],[Payment]]-tblSubjectToLoan[[#This Row],[Int]])))</f>
        <v>483.03</v>
      </c>
      <c r="E150" s="14">
        <f>IF(tblSubjectToLoan[[#This Row],[Date]]="",0,ROUND(tblSubjectToLoan[[#This Row],[Beginning Balance]]*(subjectInterestRate/12),2))</f>
        <v>142.78</v>
      </c>
      <c r="F150" s="14">
        <f t="shared" si="11"/>
        <v>134.16999999999999</v>
      </c>
      <c r="G150" s="14">
        <f t="shared" si="11"/>
        <v>188.55</v>
      </c>
      <c r="H150" s="14">
        <f>SUM(tblSubjectToLoan[[#This Row],[Princ]],tblSubjectToLoan[[#This Row],[Int]],tblSubjectToLoan[[#This Row],[Ins]],tblSubjectToLoan[[#This Row],[Taxes]])</f>
        <v>948.53</v>
      </c>
      <c r="I150" s="276">
        <f>IF(tblSubjectToLoan[[#This Row],[Date]]="",IF(ROW()=ROW(tblSubjectToLoan[#Headers])+1,0,INDEX(tblSubjectToLoan[Principal],ROW()-ROW(tblSubjectToLoan[#Headers])-1)),tblSubjectToLoan[[#This Row],[Princ]]+IF(ROW()=ROW(tblSubjectToLoan[#Headers])+1,0,INDEX(tblSubjectToLoan[Principal],ROW()-ROW(tblSubjectToLoan[#Headers])-1)))</f>
        <v>52022.010000000009</v>
      </c>
      <c r="J150" s="276">
        <f>IF(tblSubjectToLoan[[#This Row],[Date]]="",IF(ROW()=ROW(tblSubjectToLoan[#Headers])+1,0,INDEX(tblSubjectToLoan[Interest],ROW()-ROW(tblSubjectToLoan[#Headers])-1)),tblSubjectToLoan[[#This Row],[Int]]+IF(ROW()=ROW(tblSubjectToLoan[#Headers])+1,0,INDEX(tblSubjectToLoan[Interest],ROW()-ROW(tblSubjectToLoan[#Headers])-1)))</f>
        <v>29959.099999999988</v>
      </c>
      <c r="K150" s="969">
        <f>IF(tblSubjectToLoan[[#This Row],[Date]]="",0,MAX(0,tblSubjectToLoan[[#This Row],[Beginning Balance]]-tblSubjectToLoan[[#This Row],[Princ]]))</f>
        <v>45205.98999999994</v>
      </c>
      <c r="L150" s="394">
        <f t="shared" si="9"/>
        <v>10</v>
      </c>
      <c r="M150" s="394">
        <f t="shared" si="12"/>
        <v>130</v>
      </c>
      <c r="N150" s="613">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67">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2733.0400000000091</v>
      </c>
      <c r="AD150" s="276">
        <f>IF(INDEX(tblContractForDeed[End Bal],ROW()-ROW(tblBuyerOutputs[#Headers]))&lt;=0,0,($O$6+IF(ROW()=ROW(tblBuyerOutputs[#Headers])+1,0,INDEX(tblBuyerOutputs[Cumul Appr],ROW()-ROW(tblBuyerOutputs[#Headers])-1)))*$O$2/12)</f>
        <v>0</v>
      </c>
      <c r="AE150" s="276">
        <f>IF(INDEX(tblContractForDeed[End Bal],ROW()-ROW(tblBuyerOutputs[#Headers]))&lt;=0,0,IF(ROW()=ROW(tblBuyerOutputs[#Headers])+1,0,INDEX(tblBuyerOutputs[Cumul Appr],ROW()-ROW(tblBuyerOutputs[#Headers])-1))+tblBuyerOutputs[[#This Row],[Monthly Appr]])</f>
        <v>0</v>
      </c>
      <c r="AF150" s="22"/>
      <c r="AG150" s="14"/>
      <c r="AL150"/>
      <c r="AM150" s="14"/>
      <c r="AO150" s="276"/>
      <c r="AQ150" s="14"/>
      <c r="AR150"/>
    </row>
    <row r="151" spans="1:44" ht="15.75" thickBot="1" x14ac:dyDescent="0.3">
      <c r="A151" s="614">
        <f>IF(ROW()=ROW(tblSubjectToLoan[#Headers])+1,subjectKnownBalanceDate,IF(OR(INDEX(tblSubjectToLoan[Date],ROW()-ROW(tblSubjectToLoan[#Headers])-1)="",INDEX(tblSubjectToLoan[Date],ROW()-ROW(tblSubjectToLoan[#Headers])-1)&gt;=subjectMortgageEndDate),"",EDATE(INDEX(tblSubjectToLoan[Date],ROW()-ROW(tblSubjectToLoan[#Headers])-1),1)))</f>
        <v>49857</v>
      </c>
      <c r="B151" s="332">
        <f>IF(tblSubjectToLoan[[#This Row],[Date]]="",0,IF(ROW()=ROW(tblSubjectToLoan[#Headers])+1,subjectKnownBalance,MAX(0,INDEX(tblSubjectToLoan[Ending Balance],ROW()-ROW(tblSubjectToLoan[#Headers])-1))))</f>
        <v>45205.98999999994</v>
      </c>
      <c r="C15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1" s="21">
        <f>IF(tblSubjectToLoan[[#This Row],[Payment]]=0,0,MAX(0,MIN(tblSubjectToLoan[[#This Row],[Beginning Balance]],tblSubjectToLoan[[#This Row],[Payment]]-tblSubjectToLoan[[#This Row],[Int]])))</f>
        <v>484.53999999999996</v>
      </c>
      <c r="E151" s="21">
        <f>IF(tblSubjectToLoan[[#This Row],[Date]]="",0,ROUND(tblSubjectToLoan[[#This Row],[Beginning Balance]]*(subjectInterestRate/12),2))</f>
        <v>141.27000000000001</v>
      </c>
      <c r="F151" s="21">
        <f t="shared" si="11"/>
        <v>134.16999999999999</v>
      </c>
      <c r="G151" s="21">
        <f t="shared" si="11"/>
        <v>188.55</v>
      </c>
      <c r="H151" s="21">
        <f>SUM(tblSubjectToLoan[[#This Row],[Princ]],tblSubjectToLoan[[#This Row],[Int]],tblSubjectToLoan[[#This Row],[Ins]],tblSubjectToLoan[[#This Row],[Taxes]])</f>
        <v>948.53</v>
      </c>
      <c r="I151" s="332">
        <f>IF(tblSubjectToLoan[[#This Row],[Date]]="",IF(ROW()=ROW(tblSubjectToLoan[#Headers])+1,0,INDEX(tblSubjectToLoan[Principal],ROW()-ROW(tblSubjectToLoan[#Headers])-1)),tblSubjectToLoan[[#This Row],[Princ]]+IF(ROW()=ROW(tblSubjectToLoan[#Headers])+1,0,INDEX(tblSubjectToLoan[Principal],ROW()-ROW(tblSubjectToLoan[#Headers])-1)))</f>
        <v>52506.55000000001</v>
      </c>
      <c r="J151" s="332">
        <f>IF(tblSubjectToLoan[[#This Row],[Date]]="",IF(ROW()=ROW(tblSubjectToLoan[#Headers])+1,0,INDEX(tblSubjectToLoan[Interest],ROW()-ROW(tblSubjectToLoan[#Headers])-1)),tblSubjectToLoan[[#This Row],[Int]]+IF(ROW()=ROW(tblSubjectToLoan[#Headers])+1,0,INDEX(tblSubjectToLoan[Interest],ROW()-ROW(tblSubjectToLoan[#Headers])-1)))</f>
        <v>30100.369999999988</v>
      </c>
      <c r="K151" s="970">
        <f>IF(tblSubjectToLoan[[#This Row],[Date]]="",0,MAX(0,tblSubjectToLoan[[#This Row],[Beginning Balance]]-tblSubjectToLoan[[#This Row],[Princ]]))</f>
        <v>44721.449999999939</v>
      </c>
      <c r="L151" s="395">
        <f t="shared" si="9"/>
        <v>10</v>
      </c>
      <c r="M151" s="395">
        <f t="shared" si="12"/>
        <v>131</v>
      </c>
      <c r="N151" s="614">
        <f>INDEX(tblSubjectToLoan[Date],ROW()-ROW(tblContractForDeed[#Headers]))</f>
        <v>49857</v>
      </c>
      <c r="O151" s="332">
        <f>IF(ROW()=ROW(tblContractForDeed[#Headers])+1,$O$6,IF(INDEX(tblContractForDeed[End Bal],ROW()-ROW(tblContractForDeed[#Headers])-1)&lt;0,0,INDEX(tblContractForDeed[End Bal],ROW()-ROW(tblContractForDeed[#Headers])-1)))</f>
        <v>33525.580000000038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471.31999999999994</v>
      </c>
      <c r="S151" s="332">
        <f>IF(OR(tblContractForDeed[[#This Row],[Date]]&lt;cfdContractDate,tblContractForDeed[[#This Row],[Date]]&gt;cfdEndDate),0,ROUND(tblContractForDeed[[#This Row],[Beg]]*(tblContractForDeed[[#This Row],[Int Rate]]/12),2))</f>
        <v>188.58</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42203.740000000013</v>
      </c>
      <c r="X151" s="332">
        <f>IF(tblContractForDeed[[#This Row],[Beg]]&lt;=0,0,tblContractForDeed[[#This Row],[Beg]]-tblContractForDeed[[#This Row],[Princ]])</f>
        <v>33054.260000000038</v>
      </c>
      <c r="Y15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68">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2767.1300000000092</v>
      </c>
      <c r="AD151" s="332">
        <f>IF(INDEX(tblContractForDeed[End Bal],ROW()-ROW(tblBuyerOutputs[#Headers]))&lt;=0,0,($O$6+IF(ROW()=ROW(tblBuyerOutputs[#Headers])+1,0,INDEX(tblBuyerOutputs[Cumul Appr],ROW()-ROW(tblBuyerOutputs[#Headers])-1)))*$O$2/12)</f>
        <v>0</v>
      </c>
      <c r="AE151" s="332">
        <f>IF(INDEX(tblContractForDeed[End Bal],ROW()-ROW(tblBuyerOutputs[#Headers]))&lt;=0,0,IF(ROW()=ROW(tblBuyerOutputs[#Headers])+1,0,INDEX(tblBuyerOutputs[Cumul Appr],ROW()-ROW(tblBuyerOutputs[#Headers])-1))+tblBuyerOutputs[[#This Row],[Monthly Appr]])</f>
        <v>0</v>
      </c>
      <c r="AF151" s="22"/>
      <c r="AG151" s="14"/>
      <c r="AL151"/>
      <c r="AM151" s="14"/>
      <c r="AO151" s="276"/>
      <c r="AQ151" s="14"/>
      <c r="AR151"/>
    </row>
    <row r="152" spans="1:44" x14ac:dyDescent="0.25">
      <c r="A152" s="613">
        <f>IF(ROW()=ROW(tblSubjectToLoan[#Headers])+1,subjectKnownBalanceDate,IF(OR(INDEX(tblSubjectToLoan[Date],ROW()-ROW(tblSubjectToLoan[#Headers])-1)="",INDEX(tblSubjectToLoan[Date],ROW()-ROW(tblSubjectToLoan[#Headers])-1)&gt;=subjectMortgageEndDate),"",EDATE(INDEX(tblSubjectToLoan[Date],ROW()-ROW(tblSubjectToLoan[#Headers])-1),1)))</f>
        <v>49888</v>
      </c>
      <c r="B152" s="276">
        <f>IF(tblSubjectToLoan[[#This Row],[Date]]="",0,IF(ROW()=ROW(tblSubjectToLoan[#Headers])+1,subjectKnownBalance,MAX(0,INDEX(tblSubjectToLoan[Ending Balance],ROW()-ROW(tblSubjectToLoan[#Headers])-1))))</f>
        <v>44721.449999999939</v>
      </c>
      <c r="C1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2" s="14">
        <f>IF(tblSubjectToLoan[[#This Row],[Payment]]=0,0,MAX(0,MIN(tblSubjectToLoan[[#This Row],[Beginning Balance]],tblSubjectToLoan[[#This Row],[Payment]]-tblSubjectToLoan[[#This Row],[Int]])))</f>
        <v>486.05999999999995</v>
      </c>
      <c r="E152" s="14">
        <f>IF(tblSubjectToLoan[[#This Row],[Date]]="",0,ROUND(tblSubjectToLoan[[#This Row],[Beginning Balance]]*(subjectInterestRate/12),2))</f>
        <v>139.75</v>
      </c>
      <c r="F152" s="14">
        <f t="shared" si="11"/>
        <v>134.16999999999999</v>
      </c>
      <c r="G152" s="14">
        <f t="shared" si="11"/>
        <v>188.55</v>
      </c>
      <c r="H152" s="14">
        <f>SUM(tblSubjectToLoan[[#This Row],[Princ]],tblSubjectToLoan[[#This Row],[Int]],tblSubjectToLoan[[#This Row],[Ins]],tblSubjectToLoan[[#This Row],[Taxes]])</f>
        <v>948.53</v>
      </c>
      <c r="I152" s="276">
        <f>IF(tblSubjectToLoan[[#This Row],[Date]]="",IF(ROW()=ROW(tblSubjectToLoan[#Headers])+1,0,INDEX(tblSubjectToLoan[Principal],ROW()-ROW(tblSubjectToLoan[#Headers])-1)),tblSubjectToLoan[[#This Row],[Princ]]+IF(ROW()=ROW(tblSubjectToLoan[#Headers])+1,0,INDEX(tblSubjectToLoan[Principal],ROW()-ROW(tblSubjectToLoan[#Headers])-1)))</f>
        <v>52992.610000000008</v>
      </c>
      <c r="J152" s="276">
        <f>IF(tblSubjectToLoan[[#This Row],[Date]]="",IF(ROW()=ROW(tblSubjectToLoan[#Headers])+1,0,INDEX(tblSubjectToLoan[Interest],ROW()-ROW(tblSubjectToLoan[#Headers])-1)),tblSubjectToLoan[[#This Row],[Int]]+IF(ROW()=ROW(tblSubjectToLoan[#Headers])+1,0,INDEX(tblSubjectToLoan[Interest],ROW()-ROW(tblSubjectToLoan[#Headers])-1)))</f>
        <v>30240.119999999988</v>
      </c>
      <c r="K152" s="969">
        <f>IF(tblSubjectToLoan[[#This Row],[Date]]="",0,MAX(0,tblSubjectToLoan[[#This Row],[Beginning Balance]]-tblSubjectToLoan[[#This Row],[Princ]]))</f>
        <v>44235.389999999941</v>
      </c>
      <c r="L152" s="394">
        <f t="shared" si="9"/>
        <v>11</v>
      </c>
      <c r="M152" s="394">
        <f t="shared" si="12"/>
        <v>132</v>
      </c>
      <c r="N152" s="613">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67">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2801.2200000000093</v>
      </c>
      <c r="AD152" s="276">
        <f>IF(INDEX(tblContractForDeed[End Bal],ROW()-ROW(tblBuyerOutputs[#Headers]))&lt;=0,0,($O$6+IF(ROW()=ROW(tblBuyerOutputs[#Headers])+1,0,INDEX(tblBuyerOutputs[Cumul Appr],ROW()-ROW(tblBuyerOutputs[#Headers])-1)))*$O$2/12)</f>
        <v>0</v>
      </c>
      <c r="AE152" s="276">
        <f>IF(INDEX(tblContractForDeed[End Bal],ROW()-ROW(tblBuyerOutputs[#Headers]))&lt;=0,0,IF(ROW()=ROW(tblBuyerOutputs[#Headers])+1,0,INDEX(tblBuyerOutputs[Cumul Appr],ROW()-ROW(tblBuyerOutputs[#Headers])-1))+tblBuyerOutputs[[#This Row],[Monthly Appr]])</f>
        <v>0</v>
      </c>
      <c r="AF152" s="22"/>
      <c r="AG152" s="14"/>
      <c r="AL152"/>
      <c r="AM152" s="14"/>
      <c r="AO152" s="276"/>
      <c r="AQ152" s="14"/>
      <c r="AR152"/>
    </row>
    <row r="153" spans="1:44" x14ac:dyDescent="0.25">
      <c r="A153" s="613">
        <f>IF(ROW()=ROW(tblSubjectToLoan[#Headers])+1,subjectKnownBalanceDate,IF(OR(INDEX(tblSubjectToLoan[Date],ROW()-ROW(tblSubjectToLoan[#Headers])-1)="",INDEX(tblSubjectToLoan[Date],ROW()-ROW(tblSubjectToLoan[#Headers])-1)&gt;=subjectMortgageEndDate),"",EDATE(INDEX(tblSubjectToLoan[Date],ROW()-ROW(tblSubjectToLoan[#Headers])-1),1)))</f>
        <v>49919</v>
      </c>
      <c r="B153" s="276">
        <f>IF(tblSubjectToLoan[[#This Row],[Date]]="",0,IF(ROW()=ROW(tblSubjectToLoan[#Headers])+1,subjectKnownBalance,MAX(0,INDEX(tblSubjectToLoan[Ending Balance],ROW()-ROW(tblSubjectToLoan[#Headers])-1))))</f>
        <v>44235.389999999941</v>
      </c>
      <c r="C1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3" s="14">
        <f>IF(tblSubjectToLoan[[#This Row],[Payment]]=0,0,MAX(0,MIN(tblSubjectToLoan[[#This Row],[Beginning Balance]],tblSubjectToLoan[[#This Row],[Payment]]-tblSubjectToLoan[[#This Row],[Int]])))</f>
        <v>487.56999999999994</v>
      </c>
      <c r="E153" s="14">
        <f>IF(tblSubjectToLoan[[#This Row],[Date]]="",0,ROUND(tblSubjectToLoan[[#This Row],[Beginning Balance]]*(subjectInterestRate/12),2))</f>
        <v>138.24</v>
      </c>
      <c r="F153" s="14">
        <f t="shared" si="11"/>
        <v>134.16999999999999</v>
      </c>
      <c r="G153" s="14">
        <f t="shared" si="11"/>
        <v>188.55</v>
      </c>
      <c r="H153" s="14">
        <f>SUM(tblSubjectToLoan[[#This Row],[Princ]],tblSubjectToLoan[[#This Row],[Int]],tblSubjectToLoan[[#This Row],[Ins]],tblSubjectToLoan[[#This Row],[Taxes]])</f>
        <v>948.53</v>
      </c>
      <c r="I153" s="276">
        <f>IF(tblSubjectToLoan[[#This Row],[Date]]="",IF(ROW()=ROW(tblSubjectToLoan[#Headers])+1,0,INDEX(tblSubjectToLoan[Principal],ROW()-ROW(tblSubjectToLoan[#Headers])-1)),tblSubjectToLoan[[#This Row],[Princ]]+IF(ROW()=ROW(tblSubjectToLoan[#Headers])+1,0,INDEX(tblSubjectToLoan[Principal],ROW()-ROW(tblSubjectToLoan[#Headers])-1)))</f>
        <v>53480.180000000008</v>
      </c>
      <c r="J153" s="276">
        <f>IF(tblSubjectToLoan[[#This Row],[Date]]="",IF(ROW()=ROW(tblSubjectToLoan[#Headers])+1,0,INDEX(tblSubjectToLoan[Interest],ROW()-ROW(tblSubjectToLoan[#Headers])-1)),tblSubjectToLoan[[#This Row],[Int]]+IF(ROW()=ROW(tblSubjectToLoan[#Headers])+1,0,INDEX(tblSubjectToLoan[Interest],ROW()-ROW(tblSubjectToLoan[#Headers])-1)))</f>
        <v>30378.35999999999</v>
      </c>
      <c r="K153" s="969">
        <f>IF(tblSubjectToLoan[[#This Row],[Date]]="",0,MAX(0,tblSubjectToLoan[[#This Row],[Beginning Balance]]-tblSubjectToLoan[[#This Row],[Princ]]))</f>
        <v>43747.819999999942</v>
      </c>
      <c r="L153" s="394">
        <f t="shared" si="9"/>
        <v>11</v>
      </c>
      <c r="M153" s="394">
        <f t="shared" si="12"/>
        <v>133</v>
      </c>
      <c r="N153" s="613">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67">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2835.3100000000095</v>
      </c>
      <c r="AD153" s="276">
        <f>IF(INDEX(tblContractForDeed[End Bal],ROW()-ROW(tblBuyerOutputs[#Headers]))&lt;=0,0,($O$6+IF(ROW()=ROW(tblBuyerOutputs[#Headers])+1,0,INDEX(tblBuyerOutputs[Cumul Appr],ROW()-ROW(tblBuyerOutputs[#Headers])-1)))*$O$2/12)</f>
        <v>0</v>
      </c>
      <c r="AE153" s="276">
        <f>IF(INDEX(tblContractForDeed[End Bal],ROW()-ROW(tblBuyerOutputs[#Headers]))&lt;=0,0,IF(ROW()=ROW(tblBuyerOutputs[#Headers])+1,0,INDEX(tblBuyerOutputs[Cumul Appr],ROW()-ROW(tblBuyerOutputs[#Headers])-1))+tblBuyerOutputs[[#This Row],[Monthly Appr]])</f>
        <v>0</v>
      </c>
      <c r="AF153" s="22"/>
      <c r="AG153" s="14"/>
      <c r="AL153"/>
      <c r="AM153" s="14"/>
      <c r="AO153" s="276"/>
      <c r="AQ153" s="14"/>
      <c r="AR153"/>
    </row>
    <row r="154" spans="1:44" x14ac:dyDescent="0.25">
      <c r="A154" s="613">
        <f>IF(ROW()=ROW(tblSubjectToLoan[#Headers])+1,subjectKnownBalanceDate,IF(OR(INDEX(tblSubjectToLoan[Date],ROW()-ROW(tblSubjectToLoan[#Headers])-1)="",INDEX(tblSubjectToLoan[Date],ROW()-ROW(tblSubjectToLoan[#Headers])-1)&gt;=subjectMortgageEndDate),"",EDATE(INDEX(tblSubjectToLoan[Date],ROW()-ROW(tblSubjectToLoan[#Headers])-1),1)))</f>
        <v>49949</v>
      </c>
      <c r="B154" s="276">
        <f>IF(tblSubjectToLoan[[#This Row],[Date]]="",0,IF(ROW()=ROW(tblSubjectToLoan[#Headers])+1,subjectKnownBalance,MAX(0,INDEX(tblSubjectToLoan[Ending Balance],ROW()-ROW(tblSubjectToLoan[#Headers])-1))))</f>
        <v>43747.819999999942</v>
      </c>
      <c r="C1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4" s="14">
        <f>IF(tblSubjectToLoan[[#This Row],[Payment]]=0,0,MAX(0,MIN(tblSubjectToLoan[[#This Row],[Beginning Balance]],tblSubjectToLoan[[#This Row],[Payment]]-tblSubjectToLoan[[#This Row],[Int]])))</f>
        <v>489.09999999999991</v>
      </c>
      <c r="E154" s="14">
        <f>IF(tblSubjectToLoan[[#This Row],[Date]]="",0,ROUND(tblSubjectToLoan[[#This Row],[Beginning Balance]]*(subjectInterestRate/12),2))</f>
        <v>136.71</v>
      </c>
      <c r="F154" s="14">
        <f t="shared" si="11"/>
        <v>134.16999999999999</v>
      </c>
      <c r="G154" s="14">
        <f t="shared" si="11"/>
        <v>188.55</v>
      </c>
      <c r="H154" s="14">
        <f>SUM(tblSubjectToLoan[[#This Row],[Princ]],tblSubjectToLoan[[#This Row],[Int]],tblSubjectToLoan[[#This Row],[Ins]],tblSubjectToLoan[[#This Row],[Taxes]])</f>
        <v>948.53</v>
      </c>
      <c r="I154" s="276">
        <f>IF(tblSubjectToLoan[[#This Row],[Date]]="",IF(ROW()=ROW(tblSubjectToLoan[#Headers])+1,0,INDEX(tblSubjectToLoan[Principal],ROW()-ROW(tblSubjectToLoan[#Headers])-1)),tblSubjectToLoan[[#This Row],[Princ]]+IF(ROW()=ROW(tblSubjectToLoan[#Headers])+1,0,INDEX(tblSubjectToLoan[Principal],ROW()-ROW(tblSubjectToLoan[#Headers])-1)))</f>
        <v>53969.280000000006</v>
      </c>
      <c r="J154" s="276">
        <f>IF(tblSubjectToLoan[[#This Row],[Date]]="",IF(ROW()=ROW(tblSubjectToLoan[#Headers])+1,0,INDEX(tblSubjectToLoan[Interest],ROW()-ROW(tblSubjectToLoan[#Headers])-1)),tblSubjectToLoan[[#This Row],[Int]]+IF(ROW()=ROW(tblSubjectToLoan[#Headers])+1,0,INDEX(tblSubjectToLoan[Interest],ROW()-ROW(tblSubjectToLoan[#Headers])-1)))</f>
        <v>30515.069999999989</v>
      </c>
      <c r="K154" s="969">
        <f>IF(tblSubjectToLoan[[#This Row],[Date]]="",0,MAX(0,tblSubjectToLoan[[#This Row],[Beginning Balance]]-tblSubjectToLoan[[#This Row],[Princ]]))</f>
        <v>43258.719999999943</v>
      </c>
      <c r="L154" s="394">
        <f t="shared" si="9"/>
        <v>11</v>
      </c>
      <c r="M154" s="394">
        <f t="shared" si="12"/>
        <v>134</v>
      </c>
      <c r="N154" s="613">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67">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2869.4000000000096</v>
      </c>
      <c r="AD154" s="276">
        <f>IF(INDEX(tblContractForDeed[End Bal],ROW()-ROW(tblBuyerOutputs[#Headers]))&lt;=0,0,($O$6+IF(ROW()=ROW(tblBuyerOutputs[#Headers])+1,0,INDEX(tblBuyerOutputs[Cumul Appr],ROW()-ROW(tblBuyerOutputs[#Headers])-1)))*$O$2/12)</f>
        <v>0</v>
      </c>
      <c r="AE154" s="276">
        <f>IF(INDEX(tblContractForDeed[End Bal],ROW()-ROW(tblBuyerOutputs[#Headers]))&lt;=0,0,IF(ROW()=ROW(tblBuyerOutputs[#Headers])+1,0,INDEX(tblBuyerOutputs[Cumul Appr],ROW()-ROW(tblBuyerOutputs[#Headers])-1))+tblBuyerOutputs[[#This Row],[Monthly Appr]])</f>
        <v>0</v>
      </c>
      <c r="AF154" s="22"/>
      <c r="AG154" s="14"/>
      <c r="AL154"/>
      <c r="AM154" s="14"/>
      <c r="AO154" s="276"/>
      <c r="AQ154" s="14"/>
      <c r="AR154"/>
    </row>
    <row r="155" spans="1:44" x14ac:dyDescent="0.25">
      <c r="A155" s="613">
        <f>IF(ROW()=ROW(tblSubjectToLoan[#Headers])+1,subjectKnownBalanceDate,IF(OR(INDEX(tblSubjectToLoan[Date],ROW()-ROW(tblSubjectToLoan[#Headers])-1)="",INDEX(tblSubjectToLoan[Date],ROW()-ROW(tblSubjectToLoan[#Headers])-1)&gt;=subjectMortgageEndDate),"",EDATE(INDEX(tblSubjectToLoan[Date],ROW()-ROW(tblSubjectToLoan[#Headers])-1),1)))</f>
        <v>49980</v>
      </c>
      <c r="B155" s="276">
        <f>IF(tblSubjectToLoan[[#This Row],[Date]]="",0,IF(ROW()=ROW(tblSubjectToLoan[#Headers])+1,subjectKnownBalance,MAX(0,INDEX(tblSubjectToLoan[Ending Balance],ROW()-ROW(tblSubjectToLoan[#Headers])-1))))</f>
        <v>43258.719999999943</v>
      </c>
      <c r="C1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5" s="14">
        <f>IF(tblSubjectToLoan[[#This Row],[Payment]]=0,0,MAX(0,MIN(tblSubjectToLoan[[#This Row],[Beginning Balance]],tblSubjectToLoan[[#This Row],[Payment]]-tblSubjectToLoan[[#This Row],[Int]])))</f>
        <v>490.62999999999994</v>
      </c>
      <c r="E155" s="14">
        <f>IF(tblSubjectToLoan[[#This Row],[Date]]="",0,ROUND(tblSubjectToLoan[[#This Row],[Beginning Balance]]*(subjectInterestRate/12),2))</f>
        <v>135.18</v>
      </c>
      <c r="F155" s="14">
        <f t="shared" si="11"/>
        <v>134.16999999999999</v>
      </c>
      <c r="G155" s="14">
        <f t="shared" si="11"/>
        <v>188.55</v>
      </c>
      <c r="H155" s="14">
        <f>SUM(tblSubjectToLoan[[#This Row],[Princ]],tblSubjectToLoan[[#This Row],[Int]],tblSubjectToLoan[[#This Row],[Ins]],tblSubjectToLoan[[#This Row],[Taxes]])</f>
        <v>948.53</v>
      </c>
      <c r="I155" s="276">
        <f>IF(tblSubjectToLoan[[#This Row],[Date]]="",IF(ROW()=ROW(tblSubjectToLoan[#Headers])+1,0,INDEX(tblSubjectToLoan[Principal],ROW()-ROW(tblSubjectToLoan[#Headers])-1)),tblSubjectToLoan[[#This Row],[Princ]]+IF(ROW()=ROW(tblSubjectToLoan[#Headers])+1,0,INDEX(tblSubjectToLoan[Principal],ROW()-ROW(tblSubjectToLoan[#Headers])-1)))</f>
        <v>54459.91</v>
      </c>
      <c r="J155" s="276">
        <f>IF(tblSubjectToLoan[[#This Row],[Date]]="",IF(ROW()=ROW(tblSubjectToLoan[#Headers])+1,0,INDEX(tblSubjectToLoan[Interest],ROW()-ROW(tblSubjectToLoan[#Headers])-1)),tblSubjectToLoan[[#This Row],[Int]]+IF(ROW()=ROW(tblSubjectToLoan[#Headers])+1,0,INDEX(tblSubjectToLoan[Interest],ROW()-ROW(tblSubjectToLoan[#Headers])-1)))</f>
        <v>30650.249999999989</v>
      </c>
      <c r="K155" s="969">
        <f>IF(tblSubjectToLoan[[#This Row],[Date]]="",0,MAX(0,tblSubjectToLoan[[#This Row],[Beginning Balance]]-tblSubjectToLoan[[#This Row],[Princ]]))</f>
        <v>42768.089999999946</v>
      </c>
      <c r="L155" s="394">
        <f t="shared" si="9"/>
        <v>11</v>
      </c>
      <c r="M155" s="394">
        <f t="shared" si="12"/>
        <v>135</v>
      </c>
      <c r="N155" s="613">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67">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2903.4900000000098</v>
      </c>
      <c r="AD155" s="276">
        <f>IF(INDEX(tblContractForDeed[End Bal],ROW()-ROW(tblBuyerOutputs[#Headers]))&lt;=0,0,($O$6+IF(ROW()=ROW(tblBuyerOutputs[#Headers])+1,0,INDEX(tblBuyerOutputs[Cumul Appr],ROW()-ROW(tblBuyerOutputs[#Headers])-1)))*$O$2/12)</f>
        <v>0</v>
      </c>
      <c r="AE155" s="276">
        <f>IF(INDEX(tblContractForDeed[End Bal],ROW()-ROW(tblBuyerOutputs[#Headers]))&lt;=0,0,IF(ROW()=ROW(tblBuyerOutputs[#Headers])+1,0,INDEX(tblBuyerOutputs[Cumul Appr],ROW()-ROW(tblBuyerOutputs[#Headers])-1))+tblBuyerOutputs[[#This Row],[Monthly Appr]])</f>
        <v>0</v>
      </c>
      <c r="AF155" s="22"/>
      <c r="AG155" s="14"/>
      <c r="AL155"/>
      <c r="AM155" s="14"/>
      <c r="AO155" s="276"/>
      <c r="AQ155" s="14"/>
      <c r="AR155"/>
    </row>
    <row r="156" spans="1:44" x14ac:dyDescent="0.25">
      <c r="A156" s="613">
        <f>IF(ROW()=ROW(tblSubjectToLoan[#Headers])+1,subjectKnownBalanceDate,IF(OR(INDEX(tblSubjectToLoan[Date],ROW()-ROW(tblSubjectToLoan[#Headers])-1)="",INDEX(tblSubjectToLoan[Date],ROW()-ROW(tblSubjectToLoan[#Headers])-1)&gt;=subjectMortgageEndDate),"",EDATE(INDEX(tblSubjectToLoan[Date],ROW()-ROW(tblSubjectToLoan[#Headers])-1),1)))</f>
        <v>50010</v>
      </c>
      <c r="B156" s="276">
        <f>IF(tblSubjectToLoan[[#This Row],[Date]]="",0,IF(ROW()=ROW(tblSubjectToLoan[#Headers])+1,subjectKnownBalance,MAX(0,INDEX(tblSubjectToLoan[Ending Balance],ROW()-ROW(tblSubjectToLoan[#Headers])-1))))</f>
        <v>42768.089999999946</v>
      </c>
      <c r="C1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6" s="14">
        <f>IF(tblSubjectToLoan[[#This Row],[Payment]]=0,0,MAX(0,MIN(tblSubjectToLoan[[#This Row],[Beginning Balance]],tblSubjectToLoan[[#This Row],[Payment]]-tblSubjectToLoan[[#This Row],[Int]])))</f>
        <v>492.15999999999997</v>
      </c>
      <c r="E156" s="14">
        <f>IF(tblSubjectToLoan[[#This Row],[Date]]="",0,ROUND(tblSubjectToLoan[[#This Row],[Beginning Balance]]*(subjectInterestRate/12),2))</f>
        <v>133.65</v>
      </c>
      <c r="F156" s="14">
        <f t="shared" si="11"/>
        <v>134.16999999999999</v>
      </c>
      <c r="G156" s="14">
        <f t="shared" si="11"/>
        <v>188.55</v>
      </c>
      <c r="H156" s="14">
        <f>SUM(tblSubjectToLoan[[#This Row],[Princ]],tblSubjectToLoan[[#This Row],[Int]],tblSubjectToLoan[[#This Row],[Ins]],tblSubjectToLoan[[#This Row],[Taxes]])</f>
        <v>948.53</v>
      </c>
      <c r="I156" s="276">
        <f>IF(tblSubjectToLoan[[#This Row],[Date]]="",IF(ROW()=ROW(tblSubjectToLoan[#Headers])+1,0,INDEX(tblSubjectToLoan[Principal],ROW()-ROW(tblSubjectToLoan[#Headers])-1)),tblSubjectToLoan[[#This Row],[Princ]]+IF(ROW()=ROW(tblSubjectToLoan[#Headers])+1,0,INDEX(tblSubjectToLoan[Principal],ROW()-ROW(tblSubjectToLoan[#Headers])-1)))</f>
        <v>54952.070000000007</v>
      </c>
      <c r="J156" s="276">
        <f>IF(tblSubjectToLoan[[#This Row],[Date]]="",IF(ROW()=ROW(tblSubjectToLoan[#Headers])+1,0,INDEX(tblSubjectToLoan[Interest],ROW()-ROW(tblSubjectToLoan[#Headers])-1)),tblSubjectToLoan[[#This Row],[Int]]+IF(ROW()=ROW(tblSubjectToLoan[#Headers])+1,0,INDEX(tblSubjectToLoan[Interest],ROW()-ROW(tblSubjectToLoan[#Headers])-1)))</f>
        <v>30783.899999999991</v>
      </c>
      <c r="K156" s="969">
        <f>IF(tblSubjectToLoan[[#This Row],[Date]]="",0,MAX(0,tblSubjectToLoan[[#This Row],[Beginning Balance]]-tblSubjectToLoan[[#This Row],[Princ]]))</f>
        <v>42275.929999999942</v>
      </c>
      <c r="L156" s="394">
        <f t="shared" si="9"/>
        <v>11</v>
      </c>
      <c r="M156" s="394">
        <f t="shared" si="12"/>
        <v>136</v>
      </c>
      <c r="N156" s="613">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67">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2937.5800000000099</v>
      </c>
      <c r="AD156" s="276">
        <f>IF(INDEX(tblContractForDeed[End Bal],ROW()-ROW(tblBuyerOutputs[#Headers]))&lt;=0,0,($O$6+IF(ROW()=ROW(tblBuyerOutputs[#Headers])+1,0,INDEX(tblBuyerOutputs[Cumul Appr],ROW()-ROW(tblBuyerOutputs[#Headers])-1)))*$O$2/12)</f>
        <v>0</v>
      </c>
      <c r="AE156" s="276">
        <f>IF(INDEX(tblContractForDeed[End Bal],ROW()-ROW(tblBuyerOutputs[#Headers]))&lt;=0,0,IF(ROW()=ROW(tblBuyerOutputs[#Headers])+1,0,INDEX(tblBuyerOutputs[Cumul Appr],ROW()-ROW(tblBuyerOutputs[#Headers])-1))+tblBuyerOutputs[[#This Row],[Monthly Appr]])</f>
        <v>0</v>
      </c>
      <c r="AF156" s="22"/>
      <c r="AG156" s="14"/>
      <c r="AL156"/>
      <c r="AM156" s="14"/>
      <c r="AO156" s="276"/>
      <c r="AQ156" s="14"/>
      <c r="AR156"/>
    </row>
    <row r="157" spans="1:44" x14ac:dyDescent="0.25">
      <c r="A157" s="613">
        <f>IF(ROW()=ROW(tblSubjectToLoan[#Headers])+1,subjectKnownBalanceDate,IF(OR(INDEX(tblSubjectToLoan[Date],ROW()-ROW(tblSubjectToLoan[#Headers])-1)="",INDEX(tblSubjectToLoan[Date],ROW()-ROW(tblSubjectToLoan[#Headers])-1)&gt;=subjectMortgageEndDate),"",EDATE(INDEX(tblSubjectToLoan[Date],ROW()-ROW(tblSubjectToLoan[#Headers])-1),1)))</f>
        <v>50041</v>
      </c>
      <c r="B157" s="276">
        <f>IF(tblSubjectToLoan[[#This Row],[Date]]="",0,IF(ROW()=ROW(tblSubjectToLoan[#Headers])+1,subjectKnownBalance,MAX(0,INDEX(tblSubjectToLoan[Ending Balance],ROW()-ROW(tblSubjectToLoan[#Headers])-1))))</f>
        <v>42275.929999999942</v>
      </c>
      <c r="C1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7" s="14">
        <f>IF(tblSubjectToLoan[[#This Row],[Payment]]=0,0,MAX(0,MIN(tblSubjectToLoan[[#This Row],[Beginning Balance]],tblSubjectToLoan[[#This Row],[Payment]]-tblSubjectToLoan[[#This Row],[Int]])))</f>
        <v>493.69999999999993</v>
      </c>
      <c r="E157" s="14">
        <f>IF(tblSubjectToLoan[[#This Row],[Date]]="",0,ROUND(tblSubjectToLoan[[#This Row],[Beginning Balance]]*(subjectInterestRate/12),2))</f>
        <v>132.11000000000001</v>
      </c>
      <c r="F157" s="14">
        <f t="shared" si="11"/>
        <v>134.16999999999999</v>
      </c>
      <c r="G157" s="14">
        <f t="shared" si="11"/>
        <v>188.55</v>
      </c>
      <c r="H157" s="14">
        <f>SUM(tblSubjectToLoan[[#This Row],[Princ]],tblSubjectToLoan[[#This Row],[Int]],tblSubjectToLoan[[#This Row],[Ins]],tblSubjectToLoan[[#This Row],[Taxes]])</f>
        <v>948.53</v>
      </c>
      <c r="I157" s="276">
        <f>IF(tblSubjectToLoan[[#This Row],[Date]]="",IF(ROW()=ROW(tblSubjectToLoan[#Headers])+1,0,INDEX(tblSubjectToLoan[Principal],ROW()-ROW(tblSubjectToLoan[#Headers])-1)),tblSubjectToLoan[[#This Row],[Princ]]+IF(ROW()=ROW(tblSubjectToLoan[#Headers])+1,0,INDEX(tblSubjectToLoan[Principal],ROW()-ROW(tblSubjectToLoan[#Headers])-1)))</f>
        <v>55445.770000000004</v>
      </c>
      <c r="J157" s="276">
        <f>IF(tblSubjectToLoan[[#This Row],[Date]]="",IF(ROW()=ROW(tblSubjectToLoan[#Headers])+1,0,INDEX(tblSubjectToLoan[Interest],ROW()-ROW(tblSubjectToLoan[#Headers])-1)),tblSubjectToLoan[[#This Row],[Int]]+IF(ROW()=ROW(tblSubjectToLoan[#Headers])+1,0,INDEX(tblSubjectToLoan[Interest],ROW()-ROW(tblSubjectToLoan[#Headers])-1)))</f>
        <v>30916.009999999991</v>
      </c>
      <c r="K157" s="969">
        <f>IF(tblSubjectToLoan[[#This Row],[Date]]="",0,MAX(0,tblSubjectToLoan[[#This Row],[Beginning Balance]]-tblSubjectToLoan[[#This Row],[Princ]]))</f>
        <v>41782.229999999945</v>
      </c>
      <c r="L157" s="394">
        <f t="shared" si="9"/>
        <v>11</v>
      </c>
      <c r="M157" s="394">
        <f t="shared" si="12"/>
        <v>137</v>
      </c>
      <c r="N157" s="613">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67">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2971.6700000000101</v>
      </c>
      <c r="AD157" s="276">
        <f>IF(INDEX(tblContractForDeed[End Bal],ROW()-ROW(tblBuyerOutputs[#Headers]))&lt;=0,0,($O$6+IF(ROW()=ROW(tblBuyerOutputs[#Headers])+1,0,INDEX(tblBuyerOutputs[Cumul Appr],ROW()-ROW(tblBuyerOutputs[#Headers])-1)))*$O$2/12)</f>
        <v>0</v>
      </c>
      <c r="AE157" s="276">
        <f>IF(INDEX(tblContractForDeed[End Bal],ROW()-ROW(tblBuyerOutputs[#Headers]))&lt;=0,0,IF(ROW()=ROW(tblBuyerOutputs[#Headers])+1,0,INDEX(tblBuyerOutputs[Cumul Appr],ROW()-ROW(tblBuyerOutputs[#Headers])-1))+tblBuyerOutputs[[#This Row],[Monthly Appr]])</f>
        <v>0</v>
      </c>
      <c r="AF157" s="22"/>
      <c r="AG157" s="14"/>
      <c r="AL157"/>
      <c r="AM157" s="14"/>
      <c r="AO157" s="276"/>
      <c r="AQ157" s="14"/>
      <c r="AR157"/>
    </row>
    <row r="158" spans="1:44" x14ac:dyDescent="0.25">
      <c r="A158" s="613">
        <f>IF(ROW()=ROW(tblSubjectToLoan[#Headers])+1,subjectKnownBalanceDate,IF(OR(INDEX(tblSubjectToLoan[Date],ROW()-ROW(tblSubjectToLoan[#Headers])-1)="",INDEX(tblSubjectToLoan[Date],ROW()-ROW(tblSubjectToLoan[#Headers])-1)&gt;=subjectMortgageEndDate),"",EDATE(INDEX(tblSubjectToLoan[Date],ROW()-ROW(tblSubjectToLoan[#Headers])-1),1)))</f>
        <v>50072</v>
      </c>
      <c r="B158" s="276">
        <f>IF(tblSubjectToLoan[[#This Row],[Date]]="",0,IF(ROW()=ROW(tblSubjectToLoan[#Headers])+1,subjectKnownBalance,MAX(0,INDEX(tblSubjectToLoan[Ending Balance],ROW()-ROW(tblSubjectToLoan[#Headers])-1))))</f>
        <v>41782.229999999945</v>
      </c>
      <c r="C1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8" s="14">
        <f>IF(tblSubjectToLoan[[#This Row],[Payment]]=0,0,MAX(0,MIN(tblSubjectToLoan[[#This Row],[Beginning Balance]],tblSubjectToLoan[[#This Row],[Payment]]-tblSubjectToLoan[[#This Row],[Int]])))</f>
        <v>495.23999999999995</v>
      </c>
      <c r="E158" s="14">
        <f>IF(tblSubjectToLoan[[#This Row],[Date]]="",0,ROUND(tblSubjectToLoan[[#This Row],[Beginning Balance]]*(subjectInterestRate/12),2))</f>
        <v>130.57</v>
      </c>
      <c r="F158" s="14">
        <f t="shared" si="11"/>
        <v>134.16999999999999</v>
      </c>
      <c r="G158" s="14">
        <f t="shared" si="11"/>
        <v>188.55</v>
      </c>
      <c r="H158" s="14">
        <f>SUM(tblSubjectToLoan[[#This Row],[Princ]],tblSubjectToLoan[[#This Row],[Int]],tblSubjectToLoan[[#This Row],[Ins]],tblSubjectToLoan[[#This Row],[Taxes]])</f>
        <v>948.53</v>
      </c>
      <c r="I158" s="276">
        <f>IF(tblSubjectToLoan[[#This Row],[Date]]="",IF(ROW()=ROW(tblSubjectToLoan[#Headers])+1,0,INDEX(tblSubjectToLoan[Principal],ROW()-ROW(tblSubjectToLoan[#Headers])-1)),tblSubjectToLoan[[#This Row],[Princ]]+IF(ROW()=ROW(tblSubjectToLoan[#Headers])+1,0,INDEX(tblSubjectToLoan[Principal],ROW()-ROW(tblSubjectToLoan[#Headers])-1)))</f>
        <v>55941.01</v>
      </c>
      <c r="J158" s="276">
        <f>IF(tblSubjectToLoan[[#This Row],[Date]]="",IF(ROW()=ROW(tblSubjectToLoan[#Headers])+1,0,INDEX(tblSubjectToLoan[Interest],ROW()-ROW(tblSubjectToLoan[#Headers])-1)),tblSubjectToLoan[[#This Row],[Int]]+IF(ROW()=ROW(tblSubjectToLoan[#Headers])+1,0,INDEX(tblSubjectToLoan[Interest],ROW()-ROW(tblSubjectToLoan[#Headers])-1)))</f>
        <v>31046.579999999991</v>
      </c>
      <c r="K158" s="969">
        <f>IF(tblSubjectToLoan[[#This Row],[Date]]="",0,MAX(0,tblSubjectToLoan[[#This Row],[Beginning Balance]]-tblSubjectToLoan[[#This Row],[Princ]]))</f>
        <v>41286.989999999947</v>
      </c>
      <c r="L158" s="394">
        <f t="shared" si="9"/>
        <v>11</v>
      </c>
      <c r="M158" s="394">
        <f t="shared" si="12"/>
        <v>138</v>
      </c>
      <c r="N158" s="613">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67">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3005.7600000000102</v>
      </c>
      <c r="AD158" s="276">
        <f>IF(INDEX(tblContractForDeed[End Bal],ROW()-ROW(tblBuyerOutputs[#Headers]))&lt;=0,0,($O$6+IF(ROW()=ROW(tblBuyerOutputs[#Headers])+1,0,INDEX(tblBuyerOutputs[Cumul Appr],ROW()-ROW(tblBuyerOutputs[#Headers])-1)))*$O$2/12)</f>
        <v>0</v>
      </c>
      <c r="AE158" s="276">
        <f>IF(INDEX(tblContractForDeed[End Bal],ROW()-ROW(tblBuyerOutputs[#Headers]))&lt;=0,0,IF(ROW()=ROW(tblBuyerOutputs[#Headers])+1,0,INDEX(tblBuyerOutputs[Cumul Appr],ROW()-ROW(tblBuyerOutputs[#Headers])-1))+tblBuyerOutputs[[#This Row],[Monthly Appr]])</f>
        <v>0</v>
      </c>
      <c r="AF158" s="22"/>
      <c r="AG158" s="14"/>
      <c r="AL158"/>
      <c r="AM158" s="14"/>
      <c r="AO158" s="276"/>
      <c r="AQ158" s="14"/>
      <c r="AR158"/>
    </row>
    <row r="159" spans="1:44" x14ac:dyDescent="0.25">
      <c r="A159" s="613">
        <f>IF(ROW()=ROW(tblSubjectToLoan[#Headers])+1,subjectKnownBalanceDate,IF(OR(INDEX(tblSubjectToLoan[Date],ROW()-ROW(tblSubjectToLoan[#Headers])-1)="",INDEX(tblSubjectToLoan[Date],ROW()-ROW(tblSubjectToLoan[#Headers])-1)&gt;=subjectMortgageEndDate),"",EDATE(INDEX(tblSubjectToLoan[Date],ROW()-ROW(tblSubjectToLoan[#Headers])-1),1)))</f>
        <v>50100</v>
      </c>
      <c r="B159" s="276">
        <f>IF(tblSubjectToLoan[[#This Row],[Date]]="",0,IF(ROW()=ROW(tblSubjectToLoan[#Headers])+1,subjectKnownBalance,MAX(0,INDEX(tblSubjectToLoan[Ending Balance],ROW()-ROW(tblSubjectToLoan[#Headers])-1))))</f>
        <v>41286.989999999947</v>
      </c>
      <c r="C1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9" s="14">
        <f>IF(tblSubjectToLoan[[#This Row],[Payment]]=0,0,MAX(0,MIN(tblSubjectToLoan[[#This Row],[Beginning Balance]],tblSubjectToLoan[[#This Row],[Payment]]-tblSubjectToLoan[[#This Row],[Int]])))</f>
        <v>496.78999999999996</v>
      </c>
      <c r="E159" s="14">
        <f>IF(tblSubjectToLoan[[#This Row],[Date]]="",0,ROUND(tblSubjectToLoan[[#This Row],[Beginning Balance]]*(subjectInterestRate/12),2))</f>
        <v>129.02000000000001</v>
      </c>
      <c r="F159" s="14">
        <f t="shared" ref="F159:G174" si="13">+F158</f>
        <v>134.16999999999999</v>
      </c>
      <c r="G159" s="14">
        <f t="shared" si="13"/>
        <v>188.55</v>
      </c>
      <c r="H159" s="14">
        <f>SUM(tblSubjectToLoan[[#This Row],[Princ]],tblSubjectToLoan[[#This Row],[Int]],tblSubjectToLoan[[#This Row],[Ins]],tblSubjectToLoan[[#This Row],[Taxes]])</f>
        <v>948.53</v>
      </c>
      <c r="I159" s="276">
        <f>IF(tblSubjectToLoan[[#This Row],[Date]]="",IF(ROW()=ROW(tblSubjectToLoan[#Headers])+1,0,INDEX(tblSubjectToLoan[Principal],ROW()-ROW(tblSubjectToLoan[#Headers])-1)),tblSubjectToLoan[[#This Row],[Princ]]+IF(ROW()=ROW(tblSubjectToLoan[#Headers])+1,0,INDEX(tblSubjectToLoan[Principal],ROW()-ROW(tblSubjectToLoan[#Headers])-1)))</f>
        <v>56437.8</v>
      </c>
      <c r="J159" s="276">
        <f>IF(tblSubjectToLoan[[#This Row],[Date]]="",IF(ROW()=ROW(tblSubjectToLoan[#Headers])+1,0,INDEX(tblSubjectToLoan[Interest],ROW()-ROW(tblSubjectToLoan[#Headers])-1)),tblSubjectToLoan[[#This Row],[Int]]+IF(ROW()=ROW(tblSubjectToLoan[#Headers])+1,0,INDEX(tblSubjectToLoan[Interest],ROW()-ROW(tblSubjectToLoan[#Headers])-1)))</f>
        <v>31175.599999999991</v>
      </c>
      <c r="K159" s="969">
        <f>IF(tblSubjectToLoan[[#This Row],[Date]]="",0,MAX(0,tblSubjectToLoan[[#This Row],[Beginning Balance]]-tblSubjectToLoan[[#This Row],[Princ]]))</f>
        <v>40790.199999999946</v>
      </c>
      <c r="L159" s="394">
        <f t="shared" si="9"/>
        <v>11</v>
      </c>
      <c r="M159" s="394">
        <f t="shared" si="12"/>
        <v>139</v>
      </c>
      <c r="N159" s="613">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67">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3039.8500000000104</v>
      </c>
      <c r="AD159" s="276">
        <f>IF(INDEX(tblContractForDeed[End Bal],ROW()-ROW(tblBuyerOutputs[#Headers]))&lt;=0,0,($O$6+IF(ROW()=ROW(tblBuyerOutputs[#Headers])+1,0,INDEX(tblBuyerOutputs[Cumul Appr],ROW()-ROW(tblBuyerOutputs[#Headers])-1)))*$O$2/12)</f>
        <v>0</v>
      </c>
      <c r="AE159" s="276">
        <f>IF(INDEX(tblContractForDeed[End Bal],ROW()-ROW(tblBuyerOutputs[#Headers]))&lt;=0,0,IF(ROW()=ROW(tblBuyerOutputs[#Headers])+1,0,INDEX(tblBuyerOutputs[Cumul Appr],ROW()-ROW(tblBuyerOutputs[#Headers])-1))+tblBuyerOutputs[[#This Row],[Monthly Appr]])</f>
        <v>0</v>
      </c>
      <c r="AF159" s="22"/>
      <c r="AG159" s="14"/>
      <c r="AL159"/>
      <c r="AM159" s="14"/>
      <c r="AO159" s="276"/>
      <c r="AQ159" s="14"/>
      <c r="AR159"/>
    </row>
    <row r="160" spans="1:44" x14ac:dyDescent="0.25">
      <c r="A160" s="613">
        <f>IF(ROW()=ROW(tblSubjectToLoan[#Headers])+1,subjectKnownBalanceDate,IF(OR(INDEX(tblSubjectToLoan[Date],ROW()-ROW(tblSubjectToLoan[#Headers])-1)="",INDEX(tblSubjectToLoan[Date],ROW()-ROW(tblSubjectToLoan[#Headers])-1)&gt;=subjectMortgageEndDate),"",EDATE(INDEX(tblSubjectToLoan[Date],ROW()-ROW(tblSubjectToLoan[#Headers])-1),1)))</f>
        <v>50131</v>
      </c>
      <c r="B160" s="276">
        <f>IF(tblSubjectToLoan[[#This Row],[Date]]="",0,IF(ROW()=ROW(tblSubjectToLoan[#Headers])+1,subjectKnownBalance,MAX(0,INDEX(tblSubjectToLoan[Ending Balance],ROW()-ROW(tblSubjectToLoan[#Headers])-1))))</f>
        <v>40790.199999999946</v>
      </c>
      <c r="C1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0" s="14">
        <f>IF(tblSubjectToLoan[[#This Row],[Payment]]=0,0,MAX(0,MIN(tblSubjectToLoan[[#This Row],[Beginning Balance]],tblSubjectToLoan[[#This Row],[Payment]]-tblSubjectToLoan[[#This Row],[Int]])))</f>
        <v>498.33999999999992</v>
      </c>
      <c r="E160" s="14">
        <f>IF(tblSubjectToLoan[[#This Row],[Date]]="",0,ROUND(tblSubjectToLoan[[#This Row],[Beginning Balance]]*(subjectInterestRate/12),2))</f>
        <v>127.47</v>
      </c>
      <c r="F160" s="14">
        <f t="shared" si="13"/>
        <v>134.16999999999999</v>
      </c>
      <c r="G160" s="14">
        <f t="shared" si="13"/>
        <v>188.55</v>
      </c>
      <c r="H160" s="14">
        <f>SUM(tblSubjectToLoan[[#This Row],[Princ]],tblSubjectToLoan[[#This Row],[Int]],tblSubjectToLoan[[#This Row],[Ins]],tblSubjectToLoan[[#This Row],[Taxes]])</f>
        <v>948.53</v>
      </c>
      <c r="I160" s="276">
        <f>IF(tblSubjectToLoan[[#This Row],[Date]]="",IF(ROW()=ROW(tblSubjectToLoan[#Headers])+1,0,INDEX(tblSubjectToLoan[Principal],ROW()-ROW(tblSubjectToLoan[#Headers])-1)),tblSubjectToLoan[[#This Row],[Princ]]+IF(ROW()=ROW(tblSubjectToLoan[#Headers])+1,0,INDEX(tblSubjectToLoan[Principal],ROW()-ROW(tblSubjectToLoan[#Headers])-1)))</f>
        <v>56936.14</v>
      </c>
      <c r="J160" s="276">
        <f>IF(tblSubjectToLoan[[#This Row],[Date]]="",IF(ROW()=ROW(tblSubjectToLoan[#Headers])+1,0,INDEX(tblSubjectToLoan[Interest],ROW()-ROW(tblSubjectToLoan[#Headers])-1)),tblSubjectToLoan[[#This Row],[Int]]+IF(ROW()=ROW(tblSubjectToLoan[#Headers])+1,0,INDEX(tblSubjectToLoan[Interest],ROW()-ROW(tblSubjectToLoan[#Headers])-1)))</f>
        <v>31303.069999999992</v>
      </c>
      <c r="K160" s="969">
        <f>IF(tblSubjectToLoan[[#This Row],[Date]]="",0,MAX(0,tblSubjectToLoan[[#This Row],[Beginning Balance]]-tblSubjectToLoan[[#This Row],[Princ]]))</f>
        <v>40291.85999999995</v>
      </c>
      <c r="L160" s="394">
        <f t="shared" si="9"/>
        <v>11</v>
      </c>
      <c r="M160" s="394">
        <f t="shared" si="12"/>
        <v>140</v>
      </c>
      <c r="N160" s="613">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67">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3073.9400000000105</v>
      </c>
      <c r="AD160" s="276">
        <f>IF(INDEX(tblContractForDeed[End Bal],ROW()-ROW(tblBuyerOutputs[#Headers]))&lt;=0,0,($O$6+IF(ROW()=ROW(tblBuyerOutputs[#Headers])+1,0,INDEX(tblBuyerOutputs[Cumul Appr],ROW()-ROW(tblBuyerOutputs[#Headers])-1)))*$O$2/12)</f>
        <v>0</v>
      </c>
      <c r="AE160" s="276">
        <f>IF(INDEX(tblContractForDeed[End Bal],ROW()-ROW(tblBuyerOutputs[#Headers]))&lt;=0,0,IF(ROW()=ROW(tblBuyerOutputs[#Headers])+1,0,INDEX(tblBuyerOutputs[Cumul Appr],ROW()-ROW(tblBuyerOutputs[#Headers])-1))+tblBuyerOutputs[[#This Row],[Monthly Appr]])</f>
        <v>0</v>
      </c>
      <c r="AF160" s="22"/>
      <c r="AG160" s="14"/>
      <c r="AL160"/>
      <c r="AM160" s="14"/>
      <c r="AO160" s="276"/>
      <c r="AQ160" s="14"/>
      <c r="AR160"/>
    </row>
    <row r="161" spans="1:44" x14ac:dyDescent="0.25">
      <c r="A161" s="613">
        <f>IF(ROW()=ROW(tblSubjectToLoan[#Headers])+1,subjectKnownBalanceDate,IF(OR(INDEX(tblSubjectToLoan[Date],ROW()-ROW(tblSubjectToLoan[#Headers])-1)="",INDEX(tblSubjectToLoan[Date],ROW()-ROW(tblSubjectToLoan[#Headers])-1)&gt;=subjectMortgageEndDate),"",EDATE(INDEX(tblSubjectToLoan[Date],ROW()-ROW(tblSubjectToLoan[#Headers])-1),1)))</f>
        <v>50161</v>
      </c>
      <c r="B161" s="276">
        <f>IF(tblSubjectToLoan[[#This Row],[Date]]="",0,IF(ROW()=ROW(tblSubjectToLoan[#Headers])+1,subjectKnownBalance,MAX(0,INDEX(tblSubjectToLoan[Ending Balance],ROW()-ROW(tblSubjectToLoan[#Headers])-1))))</f>
        <v>40291.85999999995</v>
      </c>
      <c r="C1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1" s="14">
        <f>IF(tblSubjectToLoan[[#This Row],[Payment]]=0,0,MAX(0,MIN(tblSubjectToLoan[[#This Row],[Beginning Balance]],tblSubjectToLoan[[#This Row],[Payment]]-tblSubjectToLoan[[#This Row],[Int]])))</f>
        <v>499.9</v>
      </c>
      <c r="E161" s="14">
        <f>IF(tblSubjectToLoan[[#This Row],[Date]]="",0,ROUND(tblSubjectToLoan[[#This Row],[Beginning Balance]]*(subjectInterestRate/12),2))</f>
        <v>125.91</v>
      </c>
      <c r="F161" s="14">
        <f t="shared" si="13"/>
        <v>134.16999999999999</v>
      </c>
      <c r="G161" s="14">
        <f t="shared" si="13"/>
        <v>188.55</v>
      </c>
      <c r="H161" s="14">
        <f>SUM(tblSubjectToLoan[[#This Row],[Princ]],tblSubjectToLoan[[#This Row],[Int]],tblSubjectToLoan[[#This Row],[Ins]],tblSubjectToLoan[[#This Row],[Taxes]])</f>
        <v>948.53</v>
      </c>
      <c r="I161" s="276">
        <f>IF(tblSubjectToLoan[[#This Row],[Date]]="",IF(ROW()=ROW(tblSubjectToLoan[#Headers])+1,0,INDEX(tblSubjectToLoan[Principal],ROW()-ROW(tblSubjectToLoan[#Headers])-1)),tblSubjectToLoan[[#This Row],[Princ]]+IF(ROW()=ROW(tblSubjectToLoan[#Headers])+1,0,INDEX(tblSubjectToLoan[Principal],ROW()-ROW(tblSubjectToLoan[#Headers])-1)))</f>
        <v>57436.04</v>
      </c>
      <c r="J161" s="276">
        <f>IF(tblSubjectToLoan[[#This Row],[Date]]="",IF(ROW()=ROW(tblSubjectToLoan[#Headers])+1,0,INDEX(tblSubjectToLoan[Interest],ROW()-ROW(tblSubjectToLoan[#Headers])-1)),tblSubjectToLoan[[#This Row],[Int]]+IF(ROW()=ROW(tblSubjectToLoan[#Headers])+1,0,INDEX(tblSubjectToLoan[Interest],ROW()-ROW(tblSubjectToLoan[#Headers])-1)))</f>
        <v>31428.979999999992</v>
      </c>
      <c r="K161" s="969">
        <f>IF(tblSubjectToLoan[[#This Row],[Date]]="",0,MAX(0,tblSubjectToLoan[[#This Row],[Beginning Balance]]-tblSubjectToLoan[[#This Row],[Princ]]))</f>
        <v>39791.959999999948</v>
      </c>
      <c r="L161" s="394">
        <f t="shared" si="9"/>
        <v>11</v>
      </c>
      <c r="M161" s="394">
        <f t="shared" si="12"/>
        <v>141</v>
      </c>
      <c r="N161" s="613">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67">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3108.0300000000107</v>
      </c>
      <c r="AD161" s="276">
        <f>IF(INDEX(tblContractForDeed[End Bal],ROW()-ROW(tblBuyerOutputs[#Headers]))&lt;=0,0,($O$6+IF(ROW()=ROW(tblBuyerOutputs[#Headers])+1,0,INDEX(tblBuyerOutputs[Cumul Appr],ROW()-ROW(tblBuyerOutputs[#Headers])-1)))*$O$2/12)</f>
        <v>0</v>
      </c>
      <c r="AE161" s="276">
        <f>IF(INDEX(tblContractForDeed[End Bal],ROW()-ROW(tblBuyerOutputs[#Headers]))&lt;=0,0,IF(ROW()=ROW(tblBuyerOutputs[#Headers])+1,0,INDEX(tblBuyerOutputs[Cumul Appr],ROW()-ROW(tblBuyerOutputs[#Headers])-1))+tblBuyerOutputs[[#This Row],[Monthly Appr]])</f>
        <v>0</v>
      </c>
      <c r="AF161" s="22"/>
      <c r="AG161" s="14"/>
      <c r="AL161"/>
      <c r="AM161" s="14"/>
      <c r="AO161" s="276"/>
      <c r="AQ161" s="14"/>
      <c r="AR161"/>
    </row>
    <row r="162" spans="1:44" x14ac:dyDescent="0.25">
      <c r="A162" s="613">
        <f>IF(ROW()=ROW(tblSubjectToLoan[#Headers])+1,subjectKnownBalanceDate,IF(OR(INDEX(tblSubjectToLoan[Date],ROW()-ROW(tblSubjectToLoan[#Headers])-1)="",INDEX(tblSubjectToLoan[Date],ROW()-ROW(tblSubjectToLoan[#Headers])-1)&gt;=subjectMortgageEndDate),"",EDATE(INDEX(tblSubjectToLoan[Date],ROW()-ROW(tblSubjectToLoan[#Headers])-1),1)))</f>
        <v>50192</v>
      </c>
      <c r="B162" s="276">
        <f>IF(tblSubjectToLoan[[#This Row],[Date]]="",0,IF(ROW()=ROW(tblSubjectToLoan[#Headers])+1,subjectKnownBalance,MAX(0,INDEX(tblSubjectToLoan[Ending Balance],ROW()-ROW(tblSubjectToLoan[#Headers])-1))))</f>
        <v>39791.959999999948</v>
      </c>
      <c r="C1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2" s="14">
        <f>IF(tblSubjectToLoan[[#This Row],[Payment]]=0,0,MAX(0,MIN(tblSubjectToLoan[[#This Row],[Beginning Balance]],tblSubjectToLoan[[#This Row],[Payment]]-tblSubjectToLoan[[#This Row],[Int]])))</f>
        <v>501.45999999999992</v>
      </c>
      <c r="E162" s="14">
        <f>IF(tblSubjectToLoan[[#This Row],[Date]]="",0,ROUND(tblSubjectToLoan[[#This Row],[Beginning Balance]]*(subjectInterestRate/12),2))</f>
        <v>124.35</v>
      </c>
      <c r="F162" s="14">
        <f t="shared" si="13"/>
        <v>134.16999999999999</v>
      </c>
      <c r="G162" s="14">
        <f t="shared" si="13"/>
        <v>188.55</v>
      </c>
      <c r="H162" s="14">
        <f>SUM(tblSubjectToLoan[[#This Row],[Princ]],tblSubjectToLoan[[#This Row],[Int]],tblSubjectToLoan[[#This Row],[Ins]],tblSubjectToLoan[[#This Row],[Taxes]])</f>
        <v>948.53</v>
      </c>
      <c r="I162" s="276">
        <f>IF(tblSubjectToLoan[[#This Row],[Date]]="",IF(ROW()=ROW(tblSubjectToLoan[#Headers])+1,0,INDEX(tblSubjectToLoan[Principal],ROW()-ROW(tblSubjectToLoan[#Headers])-1)),tblSubjectToLoan[[#This Row],[Princ]]+IF(ROW()=ROW(tblSubjectToLoan[#Headers])+1,0,INDEX(tblSubjectToLoan[Principal],ROW()-ROW(tblSubjectToLoan[#Headers])-1)))</f>
        <v>57937.5</v>
      </c>
      <c r="J162" s="276">
        <f>IF(tblSubjectToLoan[[#This Row],[Date]]="",IF(ROW()=ROW(tblSubjectToLoan[#Headers])+1,0,INDEX(tblSubjectToLoan[Interest],ROW()-ROW(tblSubjectToLoan[#Headers])-1)),tblSubjectToLoan[[#This Row],[Int]]+IF(ROW()=ROW(tblSubjectToLoan[#Headers])+1,0,INDEX(tblSubjectToLoan[Interest],ROW()-ROW(tblSubjectToLoan[#Headers])-1)))</f>
        <v>31553.329999999991</v>
      </c>
      <c r="K162" s="969">
        <f>IF(tblSubjectToLoan[[#This Row],[Date]]="",0,MAX(0,tblSubjectToLoan[[#This Row],[Beginning Balance]]-tblSubjectToLoan[[#This Row],[Princ]]))</f>
        <v>39290.499999999949</v>
      </c>
      <c r="L162" s="394">
        <f t="shared" si="9"/>
        <v>11</v>
      </c>
      <c r="M162" s="394">
        <f t="shared" si="12"/>
        <v>142</v>
      </c>
      <c r="N162" s="613">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67">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3142.1200000000108</v>
      </c>
      <c r="AD162" s="276">
        <f>IF(INDEX(tblContractForDeed[End Bal],ROW()-ROW(tblBuyerOutputs[#Headers]))&lt;=0,0,($O$6+IF(ROW()=ROW(tblBuyerOutputs[#Headers])+1,0,INDEX(tblBuyerOutputs[Cumul Appr],ROW()-ROW(tblBuyerOutputs[#Headers])-1)))*$O$2/12)</f>
        <v>0</v>
      </c>
      <c r="AE162" s="276">
        <f>IF(INDEX(tblContractForDeed[End Bal],ROW()-ROW(tblBuyerOutputs[#Headers]))&lt;=0,0,IF(ROW()=ROW(tblBuyerOutputs[#Headers])+1,0,INDEX(tblBuyerOutputs[Cumul Appr],ROW()-ROW(tblBuyerOutputs[#Headers])-1))+tblBuyerOutputs[[#This Row],[Monthly Appr]])</f>
        <v>0</v>
      </c>
      <c r="AF162" s="22"/>
      <c r="AG162" s="14"/>
      <c r="AL162"/>
      <c r="AM162" s="14"/>
      <c r="AO162" s="276"/>
      <c r="AQ162" s="14"/>
      <c r="AR162"/>
    </row>
    <row r="163" spans="1:44" ht="15.75" thickBot="1" x14ac:dyDescent="0.3">
      <c r="A163" s="614">
        <f>IF(ROW()=ROW(tblSubjectToLoan[#Headers])+1,subjectKnownBalanceDate,IF(OR(INDEX(tblSubjectToLoan[Date],ROW()-ROW(tblSubjectToLoan[#Headers])-1)="",INDEX(tblSubjectToLoan[Date],ROW()-ROW(tblSubjectToLoan[#Headers])-1)&gt;=subjectMortgageEndDate),"",EDATE(INDEX(tblSubjectToLoan[Date],ROW()-ROW(tblSubjectToLoan[#Headers])-1),1)))</f>
        <v>50222</v>
      </c>
      <c r="B163" s="332">
        <f>IF(tblSubjectToLoan[[#This Row],[Date]]="",0,IF(ROW()=ROW(tblSubjectToLoan[#Headers])+1,subjectKnownBalance,MAX(0,INDEX(tblSubjectToLoan[Ending Balance],ROW()-ROW(tblSubjectToLoan[#Headers])-1))))</f>
        <v>39290.499999999949</v>
      </c>
      <c r="C16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3" s="21">
        <f>IF(tblSubjectToLoan[[#This Row],[Payment]]=0,0,MAX(0,MIN(tblSubjectToLoan[[#This Row],[Beginning Balance]],tblSubjectToLoan[[#This Row],[Payment]]-tblSubjectToLoan[[#This Row],[Int]])))</f>
        <v>503.03</v>
      </c>
      <c r="E163" s="21">
        <f>IF(tblSubjectToLoan[[#This Row],[Date]]="",0,ROUND(tblSubjectToLoan[[#This Row],[Beginning Balance]]*(subjectInterestRate/12),2))</f>
        <v>122.78</v>
      </c>
      <c r="F163" s="21">
        <f t="shared" si="13"/>
        <v>134.16999999999999</v>
      </c>
      <c r="G163" s="21">
        <f t="shared" si="13"/>
        <v>188.55</v>
      </c>
      <c r="H163" s="21">
        <f>SUM(tblSubjectToLoan[[#This Row],[Princ]],tblSubjectToLoan[[#This Row],[Int]],tblSubjectToLoan[[#This Row],[Ins]],tblSubjectToLoan[[#This Row],[Taxes]])</f>
        <v>948.53</v>
      </c>
      <c r="I163" s="332">
        <f>IF(tblSubjectToLoan[[#This Row],[Date]]="",IF(ROW()=ROW(tblSubjectToLoan[#Headers])+1,0,INDEX(tblSubjectToLoan[Principal],ROW()-ROW(tblSubjectToLoan[#Headers])-1)),tblSubjectToLoan[[#This Row],[Princ]]+IF(ROW()=ROW(tblSubjectToLoan[#Headers])+1,0,INDEX(tblSubjectToLoan[Principal],ROW()-ROW(tblSubjectToLoan[#Headers])-1)))</f>
        <v>58440.53</v>
      </c>
      <c r="J163" s="332">
        <f>IF(tblSubjectToLoan[[#This Row],[Date]]="",IF(ROW()=ROW(tblSubjectToLoan[#Headers])+1,0,INDEX(tblSubjectToLoan[Interest],ROW()-ROW(tblSubjectToLoan[#Headers])-1)),tblSubjectToLoan[[#This Row],[Int]]+IF(ROW()=ROW(tblSubjectToLoan[#Headers])+1,0,INDEX(tblSubjectToLoan[Interest],ROW()-ROW(tblSubjectToLoan[#Headers])-1)))</f>
        <v>31676.10999999999</v>
      </c>
      <c r="K163" s="970">
        <f>IF(tblSubjectToLoan[[#This Row],[Date]]="",0,MAX(0,tblSubjectToLoan[[#This Row],[Beginning Balance]]-tblSubjectToLoan[[#This Row],[Princ]]))</f>
        <v>38787.46999999995</v>
      </c>
      <c r="L163" s="395">
        <f t="shared" si="9"/>
        <v>11</v>
      </c>
      <c r="M163" s="395">
        <f t="shared" si="12"/>
        <v>143</v>
      </c>
      <c r="N163" s="614">
        <f>INDEX(tblSubjectToLoan[Date],ROW()-ROW(tblContractForDeed[#Headers]))</f>
        <v>50222</v>
      </c>
      <c r="O163" s="332">
        <f>IF(ROW()=ROW(tblContractForDeed[#Headers])+1,$O$6,IF(INDEX(tblContractForDeed[End Bal],ROW()-ROW(tblContractForDeed[#Headers])-1)&lt;0,0,INDEX(tblContractForDeed[End Bal],ROW()-ROW(tblContractForDeed[#Headers])-1)))</f>
        <v>27691.460000000039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504.14</v>
      </c>
      <c r="S163" s="332">
        <f>IF(OR(tblContractForDeed[[#This Row],[Date]]&lt;cfdContractDate,tblContractForDeed[[#This Row],[Date]]&gt;cfdEndDate),0,ROUND(tblContractForDeed[[#This Row],[Beg]]*(tblContractForDeed[[#This Row],[Int Rate]]/12),2))</f>
        <v>155.76</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48070.680000000015</v>
      </c>
      <c r="X163" s="332">
        <f>IF(tblContractForDeed[[#This Row],[Beg]]&lt;=0,0,tblContractForDeed[[#This Row],[Beg]]-tblContractForDeed[[#This Row],[Princ]])</f>
        <v>27187.32000000004</v>
      </c>
      <c r="Y16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68">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3176.210000000011</v>
      </c>
      <c r="AD163" s="332">
        <f>IF(INDEX(tblContractForDeed[End Bal],ROW()-ROW(tblBuyerOutputs[#Headers]))&lt;=0,0,($O$6+IF(ROW()=ROW(tblBuyerOutputs[#Headers])+1,0,INDEX(tblBuyerOutputs[Cumul Appr],ROW()-ROW(tblBuyerOutputs[#Headers])-1)))*$O$2/12)</f>
        <v>0</v>
      </c>
      <c r="AE163" s="332">
        <f>IF(INDEX(tblContractForDeed[End Bal],ROW()-ROW(tblBuyerOutputs[#Headers]))&lt;=0,0,IF(ROW()=ROW(tblBuyerOutputs[#Headers])+1,0,INDEX(tblBuyerOutputs[Cumul Appr],ROW()-ROW(tblBuyerOutputs[#Headers])-1))+tblBuyerOutputs[[#This Row],[Monthly Appr]])</f>
        <v>0</v>
      </c>
      <c r="AF163" s="22"/>
      <c r="AG163" s="14"/>
      <c r="AL163"/>
      <c r="AM163" s="14"/>
      <c r="AO163" s="276"/>
      <c r="AQ163" s="14"/>
      <c r="AR163"/>
    </row>
    <row r="164" spans="1:44" x14ac:dyDescent="0.25">
      <c r="A164" s="613">
        <f>IF(ROW()=ROW(tblSubjectToLoan[#Headers])+1,subjectKnownBalanceDate,IF(OR(INDEX(tblSubjectToLoan[Date],ROW()-ROW(tblSubjectToLoan[#Headers])-1)="",INDEX(tblSubjectToLoan[Date],ROW()-ROW(tblSubjectToLoan[#Headers])-1)&gt;=subjectMortgageEndDate),"",EDATE(INDEX(tblSubjectToLoan[Date],ROW()-ROW(tblSubjectToLoan[#Headers])-1),1)))</f>
        <v>50253</v>
      </c>
      <c r="B164" s="276">
        <f>IF(tblSubjectToLoan[[#This Row],[Date]]="",0,IF(ROW()=ROW(tblSubjectToLoan[#Headers])+1,subjectKnownBalance,MAX(0,INDEX(tblSubjectToLoan[Ending Balance],ROW()-ROW(tblSubjectToLoan[#Headers])-1))))</f>
        <v>38787.46999999995</v>
      </c>
      <c r="C1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4" s="14">
        <f>IF(tblSubjectToLoan[[#This Row],[Payment]]=0,0,MAX(0,MIN(tblSubjectToLoan[[#This Row],[Beginning Balance]],tblSubjectToLoan[[#This Row],[Payment]]-tblSubjectToLoan[[#This Row],[Int]])))</f>
        <v>504.59999999999997</v>
      </c>
      <c r="E164" s="14">
        <f>IF(tblSubjectToLoan[[#This Row],[Date]]="",0,ROUND(tblSubjectToLoan[[#This Row],[Beginning Balance]]*(subjectInterestRate/12),2))</f>
        <v>121.21</v>
      </c>
      <c r="F164" s="14">
        <f t="shared" si="13"/>
        <v>134.16999999999999</v>
      </c>
      <c r="G164" s="14">
        <f t="shared" si="13"/>
        <v>188.55</v>
      </c>
      <c r="H164" s="14">
        <f>SUM(tblSubjectToLoan[[#This Row],[Princ]],tblSubjectToLoan[[#This Row],[Int]],tblSubjectToLoan[[#This Row],[Ins]],tblSubjectToLoan[[#This Row],[Taxes]])</f>
        <v>948.53</v>
      </c>
      <c r="I164" s="276">
        <f>IF(tblSubjectToLoan[[#This Row],[Date]]="",IF(ROW()=ROW(tblSubjectToLoan[#Headers])+1,0,INDEX(tblSubjectToLoan[Principal],ROW()-ROW(tblSubjectToLoan[#Headers])-1)),tblSubjectToLoan[[#This Row],[Princ]]+IF(ROW()=ROW(tblSubjectToLoan[#Headers])+1,0,INDEX(tblSubjectToLoan[Principal],ROW()-ROW(tblSubjectToLoan[#Headers])-1)))</f>
        <v>58945.13</v>
      </c>
      <c r="J164" s="276">
        <f>IF(tblSubjectToLoan[[#This Row],[Date]]="",IF(ROW()=ROW(tblSubjectToLoan[#Headers])+1,0,INDEX(tblSubjectToLoan[Interest],ROW()-ROW(tblSubjectToLoan[#Headers])-1)),tblSubjectToLoan[[#This Row],[Int]]+IF(ROW()=ROW(tblSubjectToLoan[#Headers])+1,0,INDEX(tblSubjectToLoan[Interest],ROW()-ROW(tblSubjectToLoan[#Headers])-1)))</f>
        <v>31797.319999999989</v>
      </c>
      <c r="K164" s="969">
        <f>IF(tblSubjectToLoan[[#This Row],[Date]]="",0,MAX(0,tblSubjectToLoan[[#This Row],[Beginning Balance]]-tblSubjectToLoan[[#This Row],[Princ]]))</f>
        <v>38282.869999999952</v>
      </c>
      <c r="L164" s="394">
        <f t="shared" si="9"/>
        <v>12</v>
      </c>
      <c r="M164" s="394">
        <f t="shared" si="12"/>
        <v>144</v>
      </c>
      <c r="N164" s="613">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67">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3210.3000000000111</v>
      </c>
      <c r="AD164" s="276">
        <f>IF(INDEX(tblContractForDeed[End Bal],ROW()-ROW(tblBuyerOutputs[#Headers]))&lt;=0,0,($O$6+IF(ROW()=ROW(tblBuyerOutputs[#Headers])+1,0,INDEX(tblBuyerOutputs[Cumul Appr],ROW()-ROW(tblBuyerOutputs[#Headers])-1)))*$O$2/12)</f>
        <v>0</v>
      </c>
      <c r="AE164" s="276">
        <f>IF(INDEX(tblContractForDeed[End Bal],ROW()-ROW(tblBuyerOutputs[#Headers]))&lt;=0,0,IF(ROW()=ROW(tblBuyerOutputs[#Headers])+1,0,INDEX(tblBuyerOutputs[Cumul Appr],ROW()-ROW(tblBuyerOutputs[#Headers])-1))+tblBuyerOutputs[[#This Row],[Monthly Appr]])</f>
        <v>0</v>
      </c>
      <c r="AF164" s="22"/>
      <c r="AG164" s="14"/>
      <c r="AL164"/>
      <c r="AM164" s="14"/>
      <c r="AO164" s="276"/>
      <c r="AQ164" s="14"/>
      <c r="AR164"/>
    </row>
    <row r="165" spans="1:44" x14ac:dyDescent="0.25">
      <c r="A165" s="613">
        <f>IF(ROW()=ROW(tblSubjectToLoan[#Headers])+1,subjectKnownBalanceDate,IF(OR(INDEX(tblSubjectToLoan[Date],ROW()-ROW(tblSubjectToLoan[#Headers])-1)="",INDEX(tblSubjectToLoan[Date],ROW()-ROW(tblSubjectToLoan[#Headers])-1)&gt;=subjectMortgageEndDate),"",EDATE(INDEX(tblSubjectToLoan[Date],ROW()-ROW(tblSubjectToLoan[#Headers])-1),1)))</f>
        <v>50284</v>
      </c>
      <c r="B165" s="276">
        <f>IF(tblSubjectToLoan[[#This Row],[Date]]="",0,IF(ROW()=ROW(tblSubjectToLoan[#Headers])+1,subjectKnownBalance,MAX(0,INDEX(tblSubjectToLoan[Ending Balance],ROW()-ROW(tblSubjectToLoan[#Headers])-1))))</f>
        <v>38282.869999999952</v>
      </c>
      <c r="C1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5" s="14">
        <f>IF(tblSubjectToLoan[[#This Row],[Payment]]=0,0,MAX(0,MIN(tblSubjectToLoan[[#This Row],[Beginning Balance]],tblSubjectToLoan[[#This Row],[Payment]]-tblSubjectToLoan[[#This Row],[Int]])))</f>
        <v>506.17999999999995</v>
      </c>
      <c r="E165" s="14">
        <f>IF(tblSubjectToLoan[[#This Row],[Date]]="",0,ROUND(tblSubjectToLoan[[#This Row],[Beginning Balance]]*(subjectInterestRate/12),2))</f>
        <v>119.63</v>
      </c>
      <c r="F165" s="14">
        <f t="shared" si="13"/>
        <v>134.16999999999999</v>
      </c>
      <c r="G165" s="14">
        <f t="shared" si="13"/>
        <v>188.55</v>
      </c>
      <c r="H165" s="14">
        <f>SUM(tblSubjectToLoan[[#This Row],[Princ]],tblSubjectToLoan[[#This Row],[Int]],tblSubjectToLoan[[#This Row],[Ins]],tblSubjectToLoan[[#This Row],[Taxes]])</f>
        <v>948.53</v>
      </c>
      <c r="I165" s="276">
        <f>IF(tblSubjectToLoan[[#This Row],[Date]]="",IF(ROW()=ROW(tblSubjectToLoan[#Headers])+1,0,INDEX(tblSubjectToLoan[Principal],ROW()-ROW(tblSubjectToLoan[#Headers])-1)),tblSubjectToLoan[[#This Row],[Princ]]+IF(ROW()=ROW(tblSubjectToLoan[#Headers])+1,0,INDEX(tblSubjectToLoan[Principal],ROW()-ROW(tblSubjectToLoan[#Headers])-1)))</f>
        <v>59451.31</v>
      </c>
      <c r="J165" s="276">
        <f>IF(tblSubjectToLoan[[#This Row],[Date]]="",IF(ROW()=ROW(tblSubjectToLoan[#Headers])+1,0,INDEX(tblSubjectToLoan[Interest],ROW()-ROW(tblSubjectToLoan[#Headers])-1)),tblSubjectToLoan[[#This Row],[Int]]+IF(ROW()=ROW(tblSubjectToLoan[#Headers])+1,0,INDEX(tblSubjectToLoan[Interest],ROW()-ROW(tblSubjectToLoan[#Headers])-1)))</f>
        <v>31916.94999999999</v>
      </c>
      <c r="K165" s="969">
        <f>IF(tblSubjectToLoan[[#This Row],[Date]]="",0,MAX(0,tblSubjectToLoan[[#This Row],[Beginning Balance]]-tblSubjectToLoan[[#This Row],[Princ]]))</f>
        <v>37776.689999999951</v>
      </c>
      <c r="L165" s="394">
        <f t="shared" si="9"/>
        <v>12</v>
      </c>
      <c r="M165" s="394">
        <f t="shared" si="12"/>
        <v>145</v>
      </c>
      <c r="N165" s="613">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67">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3244.3900000000112</v>
      </c>
      <c r="AD165" s="276">
        <f>IF(INDEX(tblContractForDeed[End Bal],ROW()-ROW(tblBuyerOutputs[#Headers]))&lt;=0,0,($O$6+IF(ROW()=ROW(tblBuyerOutputs[#Headers])+1,0,INDEX(tblBuyerOutputs[Cumul Appr],ROW()-ROW(tblBuyerOutputs[#Headers])-1)))*$O$2/12)</f>
        <v>0</v>
      </c>
      <c r="AE165" s="276">
        <f>IF(INDEX(tblContractForDeed[End Bal],ROW()-ROW(tblBuyerOutputs[#Headers]))&lt;=0,0,IF(ROW()=ROW(tblBuyerOutputs[#Headers])+1,0,INDEX(tblBuyerOutputs[Cumul Appr],ROW()-ROW(tblBuyerOutputs[#Headers])-1))+tblBuyerOutputs[[#This Row],[Monthly Appr]])</f>
        <v>0</v>
      </c>
      <c r="AF165" s="22"/>
      <c r="AG165" s="14"/>
      <c r="AL165"/>
      <c r="AM165" s="14"/>
      <c r="AO165" s="276"/>
      <c r="AQ165" s="14"/>
      <c r="AR165"/>
    </row>
    <row r="166" spans="1:44" x14ac:dyDescent="0.25">
      <c r="A166" s="613">
        <f>IF(ROW()=ROW(tblSubjectToLoan[#Headers])+1,subjectKnownBalanceDate,IF(OR(INDEX(tblSubjectToLoan[Date],ROW()-ROW(tblSubjectToLoan[#Headers])-1)="",INDEX(tblSubjectToLoan[Date],ROW()-ROW(tblSubjectToLoan[#Headers])-1)&gt;=subjectMortgageEndDate),"",EDATE(INDEX(tblSubjectToLoan[Date],ROW()-ROW(tblSubjectToLoan[#Headers])-1),1)))</f>
        <v>50314</v>
      </c>
      <c r="B166" s="276">
        <f>IF(tblSubjectToLoan[[#This Row],[Date]]="",0,IF(ROW()=ROW(tblSubjectToLoan[#Headers])+1,subjectKnownBalance,MAX(0,INDEX(tblSubjectToLoan[Ending Balance],ROW()-ROW(tblSubjectToLoan[#Headers])-1))))</f>
        <v>37776.689999999951</v>
      </c>
      <c r="C1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6" s="14">
        <f>IF(tblSubjectToLoan[[#This Row],[Payment]]=0,0,MAX(0,MIN(tblSubjectToLoan[[#This Row],[Beginning Balance]],tblSubjectToLoan[[#This Row],[Payment]]-tblSubjectToLoan[[#This Row],[Int]])))</f>
        <v>507.75999999999993</v>
      </c>
      <c r="E166" s="14">
        <f>IF(tblSubjectToLoan[[#This Row],[Date]]="",0,ROUND(tblSubjectToLoan[[#This Row],[Beginning Balance]]*(subjectInterestRate/12),2))</f>
        <v>118.05</v>
      </c>
      <c r="F166" s="14">
        <f t="shared" si="13"/>
        <v>134.16999999999999</v>
      </c>
      <c r="G166" s="14">
        <f t="shared" si="13"/>
        <v>188.55</v>
      </c>
      <c r="H166" s="14">
        <f>SUM(tblSubjectToLoan[[#This Row],[Princ]],tblSubjectToLoan[[#This Row],[Int]],tblSubjectToLoan[[#This Row],[Ins]],tblSubjectToLoan[[#This Row],[Taxes]])</f>
        <v>948.53</v>
      </c>
      <c r="I166" s="276">
        <f>IF(tblSubjectToLoan[[#This Row],[Date]]="",IF(ROW()=ROW(tblSubjectToLoan[#Headers])+1,0,INDEX(tblSubjectToLoan[Principal],ROW()-ROW(tblSubjectToLoan[#Headers])-1)),tblSubjectToLoan[[#This Row],[Princ]]+IF(ROW()=ROW(tblSubjectToLoan[#Headers])+1,0,INDEX(tblSubjectToLoan[Principal],ROW()-ROW(tblSubjectToLoan[#Headers])-1)))</f>
        <v>59959.07</v>
      </c>
      <c r="J166" s="276">
        <f>IF(tblSubjectToLoan[[#This Row],[Date]]="",IF(ROW()=ROW(tblSubjectToLoan[#Headers])+1,0,INDEX(tblSubjectToLoan[Interest],ROW()-ROW(tblSubjectToLoan[#Headers])-1)),tblSubjectToLoan[[#This Row],[Int]]+IF(ROW()=ROW(tblSubjectToLoan[#Headers])+1,0,INDEX(tblSubjectToLoan[Interest],ROW()-ROW(tblSubjectToLoan[#Headers])-1)))</f>
        <v>32034.999999999989</v>
      </c>
      <c r="K166" s="969">
        <f>IF(tblSubjectToLoan[[#This Row],[Date]]="",0,MAX(0,tblSubjectToLoan[[#This Row],[Beginning Balance]]-tblSubjectToLoan[[#This Row],[Princ]]))</f>
        <v>37268.929999999949</v>
      </c>
      <c r="L166" s="394">
        <f t="shared" si="9"/>
        <v>12</v>
      </c>
      <c r="M166" s="394">
        <f t="shared" si="12"/>
        <v>146</v>
      </c>
      <c r="N166" s="613">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67">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3278.4800000000114</v>
      </c>
      <c r="AD166" s="276">
        <f>IF(INDEX(tblContractForDeed[End Bal],ROW()-ROW(tblBuyerOutputs[#Headers]))&lt;=0,0,($O$6+IF(ROW()=ROW(tblBuyerOutputs[#Headers])+1,0,INDEX(tblBuyerOutputs[Cumul Appr],ROW()-ROW(tblBuyerOutputs[#Headers])-1)))*$O$2/12)</f>
        <v>0</v>
      </c>
      <c r="AE166" s="276">
        <f>IF(INDEX(tblContractForDeed[End Bal],ROW()-ROW(tblBuyerOutputs[#Headers]))&lt;=0,0,IF(ROW()=ROW(tblBuyerOutputs[#Headers])+1,0,INDEX(tblBuyerOutputs[Cumul Appr],ROW()-ROW(tblBuyerOutputs[#Headers])-1))+tblBuyerOutputs[[#This Row],[Monthly Appr]])</f>
        <v>0</v>
      </c>
      <c r="AF166" s="22"/>
      <c r="AG166" s="14"/>
      <c r="AL166"/>
      <c r="AM166" s="14"/>
      <c r="AO166" s="276"/>
      <c r="AQ166" s="14"/>
      <c r="AR166"/>
    </row>
    <row r="167" spans="1:44" x14ac:dyDescent="0.25">
      <c r="A167" s="613">
        <f>IF(ROW()=ROW(tblSubjectToLoan[#Headers])+1,subjectKnownBalanceDate,IF(OR(INDEX(tblSubjectToLoan[Date],ROW()-ROW(tblSubjectToLoan[#Headers])-1)="",INDEX(tblSubjectToLoan[Date],ROW()-ROW(tblSubjectToLoan[#Headers])-1)&gt;=subjectMortgageEndDate),"",EDATE(INDEX(tblSubjectToLoan[Date],ROW()-ROW(tblSubjectToLoan[#Headers])-1),1)))</f>
        <v>50345</v>
      </c>
      <c r="B167" s="276">
        <f>IF(tblSubjectToLoan[[#This Row],[Date]]="",0,IF(ROW()=ROW(tblSubjectToLoan[#Headers])+1,subjectKnownBalance,MAX(0,INDEX(tblSubjectToLoan[Ending Balance],ROW()-ROW(tblSubjectToLoan[#Headers])-1))))</f>
        <v>37268.929999999949</v>
      </c>
      <c r="C1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7" s="14">
        <f>IF(tblSubjectToLoan[[#This Row],[Payment]]=0,0,MAX(0,MIN(tblSubjectToLoan[[#This Row],[Beginning Balance]],tblSubjectToLoan[[#This Row],[Payment]]-tblSubjectToLoan[[#This Row],[Int]])))</f>
        <v>509.33999999999992</v>
      </c>
      <c r="E167" s="14">
        <f>IF(tblSubjectToLoan[[#This Row],[Date]]="",0,ROUND(tblSubjectToLoan[[#This Row],[Beginning Balance]]*(subjectInterestRate/12),2))</f>
        <v>116.47</v>
      </c>
      <c r="F167" s="14">
        <f t="shared" si="13"/>
        <v>134.16999999999999</v>
      </c>
      <c r="G167" s="14">
        <f t="shared" si="13"/>
        <v>188.55</v>
      </c>
      <c r="H167" s="14">
        <f>SUM(tblSubjectToLoan[[#This Row],[Princ]],tblSubjectToLoan[[#This Row],[Int]],tblSubjectToLoan[[#This Row],[Ins]],tblSubjectToLoan[[#This Row],[Taxes]])</f>
        <v>948.53</v>
      </c>
      <c r="I167" s="276">
        <f>IF(tblSubjectToLoan[[#This Row],[Date]]="",IF(ROW()=ROW(tblSubjectToLoan[#Headers])+1,0,INDEX(tblSubjectToLoan[Principal],ROW()-ROW(tblSubjectToLoan[#Headers])-1)),tblSubjectToLoan[[#This Row],[Princ]]+IF(ROW()=ROW(tblSubjectToLoan[#Headers])+1,0,INDEX(tblSubjectToLoan[Principal],ROW()-ROW(tblSubjectToLoan[#Headers])-1)))</f>
        <v>60468.409999999996</v>
      </c>
      <c r="J167" s="276">
        <f>IF(tblSubjectToLoan[[#This Row],[Date]]="",IF(ROW()=ROW(tblSubjectToLoan[#Headers])+1,0,INDEX(tblSubjectToLoan[Interest],ROW()-ROW(tblSubjectToLoan[#Headers])-1)),tblSubjectToLoan[[#This Row],[Int]]+IF(ROW()=ROW(tblSubjectToLoan[#Headers])+1,0,INDEX(tblSubjectToLoan[Interest],ROW()-ROW(tblSubjectToLoan[#Headers])-1)))</f>
        <v>32151.46999999999</v>
      </c>
      <c r="K167" s="969">
        <f>IF(tblSubjectToLoan[[#This Row],[Date]]="",0,MAX(0,tblSubjectToLoan[[#This Row],[Beginning Balance]]-tblSubjectToLoan[[#This Row],[Princ]]))</f>
        <v>36759.589999999953</v>
      </c>
      <c r="L167" s="394">
        <f t="shared" si="9"/>
        <v>12</v>
      </c>
      <c r="M167" s="394">
        <f t="shared" si="12"/>
        <v>147</v>
      </c>
      <c r="N167" s="613">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67">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3312.5700000000115</v>
      </c>
      <c r="AD167" s="276">
        <f>IF(INDEX(tblContractForDeed[End Bal],ROW()-ROW(tblBuyerOutputs[#Headers]))&lt;=0,0,($O$6+IF(ROW()=ROW(tblBuyerOutputs[#Headers])+1,0,INDEX(tblBuyerOutputs[Cumul Appr],ROW()-ROW(tblBuyerOutputs[#Headers])-1)))*$O$2/12)</f>
        <v>0</v>
      </c>
      <c r="AE167" s="276">
        <f>IF(INDEX(tblContractForDeed[End Bal],ROW()-ROW(tblBuyerOutputs[#Headers]))&lt;=0,0,IF(ROW()=ROW(tblBuyerOutputs[#Headers])+1,0,INDEX(tblBuyerOutputs[Cumul Appr],ROW()-ROW(tblBuyerOutputs[#Headers])-1))+tblBuyerOutputs[[#This Row],[Monthly Appr]])</f>
        <v>0</v>
      </c>
      <c r="AF167" s="22"/>
      <c r="AG167" s="14"/>
      <c r="AL167"/>
      <c r="AM167" s="14"/>
      <c r="AO167" s="276"/>
      <c r="AQ167" s="14"/>
      <c r="AR167"/>
    </row>
    <row r="168" spans="1:44" x14ac:dyDescent="0.25">
      <c r="A168" s="613">
        <f>IF(ROW()=ROW(tblSubjectToLoan[#Headers])+1,subjectKnownBalanceDate,IF(OR(INDEX(tblSubjectToLoan[Date],ROW()-ROW(tblSubjectToLoan[#Headers])-1)="",INDEX(tblSubjectToLoan[Date],ROW()-ROW(tblSubjectToLoan[#Headers])-1)&gt;=subjectMortgageEndDate),"",EDATE(INDEX(tblSubjectToLoan[Date],ROW()-ROW(tblSubjectToLoan[#Headers])-1),1)))</f>
        <v>50375</v>
      </c>
      <c r="B168" s="276">
        <f>IF(tblSubjectToLoan[[#This Row],[Date]]="",0,IF(ROW()=ROW(tblSubjectToLoan[#Headers])+1,subjectKnownBalance,MAX(0,INDEX(tblSubjectToLoan[Ending Balance],ROW()-ROW(tblSubjectToLoan[#Headers])-1))))</f>
        <v>36759.589999999953</v>
      </c>
      <c r="C1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8" s="14">
        <f>IF(tblSubjectToLoan[[#This Row],[Payment]]=0,0,MAX(0,MIN(tblSubjectToLoan[[#This Row],[Beginning Balance]],tblSubjectToLoan[[#This Row],[Payment]]-tblSubjectToLoan[[#This Row],[Int]])))</f>
        <v>510.93999999999994</v>
      </c>
      <c r="E168" s="14">
        <f>IF(tblSubjectToLoan[[#This Row],[Date]]="",0,ROUND(tblSubjectToLoan[[#This Row],[Beginning Balance]]*(subjectInterestRate/12),2))</f>
        <v>114.87</v>
      </c>
      <c r="F168" s="14">
        <f t="shared" si="13"/>
        <v>134.16999999999999</v>
      </c>
      <c r="G168" s="14">
        <f t="shared" si="13"/>
        <v>188.55</v>
      </c>
      <c r="H168" s="14">
        <f>SUM(tblSubjectToLoan[[#This Row],[Princ]],tblSubjectToLoan[[#This Row],[Int]],tblSubjectToLoan[[#This Row],[Ins]],tblSubjectToLoan[[#This Row],[Taxes]])</f>
        <v>948.53</v>
      </c>
      <c r="I168" s="276">
        <f>IF(tblSubjectToLoan[[#This Row],[Date]]="",IF(ROW()=ROW(tblSubjectToLoan[#Headers])+1,0,INDEX(tblSubjectToLoan[Principal],ROW()-ROW(tblSubjectToLoan[#Headers])-1)),tblSubjectToLoan[[#This Row],[Princ]]+IF(ROW()=ROW(tblSubjectToLoan[#Headers])+1,0,INDEX(tblSubjectToLoan[Principal],ROW()-ROW(tblSubjectToLoan[#Headers])-1)))</f>
        <v>60979.35</v>
      </c>
      <c r="J168" s="276">
        <f>IF(tblSubjectToLoan[[#This Row],[Date]]="",IF(ROW()=ROW(tblSubjectToLoan[#Headers])+1,0,INDEX(tblSubjectToLoan[Interest],ROW()-ROW(tblSubjectToLoan[#Headers])-1)),tblSubjectToLoan[[#This Row],[Int]]+IF(ROW()=ROW(tblSubjectToLoan[#Headers])+1,0,INDEX(tblSubjectToLoan[Interest],ROW()-ROW(tblSubjectToLoan[#Headers])-1)))</f>
        <v>32266.339999999989</v>
      </c>
      <c r="K168" s="969">
        <f>IF(tblSubjectToLoan[[#This Row],[Date]]="",0,MAX(0,tblSubjectToLoan[[#This Row],[Beginning Balance]]-tblSubjectToLoan[[#This Row],[Princ]]))</f>
        <v>36248.649999999951</v>
      </c>
      <c r="L168" s="394">
        <f t="shared" si="9"/>
        <v>12</v>
      </c>
      <c r="M168" s="394">
        <f t="shared" si="12"/>
        <v>148</v>
      </c>
      <c r="N168" s="613">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67">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3346.6600000000117</v>
      </c>
      <c r="AD168" s="276">
        <f>IF(INDEX(tblContractForDeed[End Bal],ROW()-ROW(tblBuyerOutputs[#Headers]))&lt;=0,0,($O$6+IF(ROW()=ROW(tblBuyerOutputs[#Headers])+1,0,INDEX(tblBuyerOutputs[Cumul Appr],ROW()-ROW(tblBuyerOutputs[#Headers])-1)))*$O$2/12)</f>
        <v>0</v>
      </c>
      <c r="AE168" s="276">
        <f>IF(INDEX(tblContractForDeed[End Bal],ROW()-ROW(tblBuyerOutputs[#Headers]))&lt;=0,0,IF(ROW()=ROW(tblBuyerOutputs[#Headers])+1,0,INDEX(tblBuyerOutputs[Cumul Appr],ROW()-ROW(tblBuyerOutputs[#Headers])-1))+tblBuyerOutputs[[#This Row],[Monthly Appr]])</f>
        <v>0</v>
      </c>
      <c r="AF168" s="22"/>
      <c r="AG168" s="14"/>
      <c r="AL168"/>
      <c r="AM168" s="14"/>
      <c r="AO168" s="276"/>
      <c r="AQ168" s="14"/>
      <c r="AR168"/>
    </row>
    <row r="169" spans="1:44" x14ac:dyDescent="0.25">
      <c r="A169" s="613">
        <f>IF(ROW()=ROW(tblSubjectToLoan[#Headers])+1,subjectKnownBalanceDate,IF(OR(INDEX(tblSubjectToLoan[Date],ROW()-ROW(tblSubjectToLoan[#Headers])-1)="",INDEX(tblSubjectToLoan[Date],ROW()-ROW(tblSubjectToLoan[#Headers])-1)&gt;=subjectMortgageEndDate),"",EDATE(INDEX(tblSubjectToLoan[Date],ROW()-ROW(tblSubjectToLoan[#Headers])-1),1)))</f>
        <v>50406</v>
      </c>
      <c r="B169" s="276">
        <f>IF(tblSubjectToLoan[[#This Row],[Date]]="",0,IF(ROW()=ROW(tblSubjectToLoan[#Headers])+1,subjectKnownBalance,MAX(0,INDEX(tblSubjectToLoan[Ending Balance],ROW()-ROW(tblSubjectToLoan[#Headers])-1))))</f>
        <v>36248.649999999951</v>
      </c>
      <c r="C1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9" s="14">
        <f>IF(tblSubjectToLoan[[#This Row],[Payment]]=0,0,MAX(0,MIN(tblSubjectToLoan[[#This Row],[Beginning Balance]],tblSubjectToLoan[[#This Row],[Payment]]-tblSubjectToLoan[[#This Row],[Int]])))</f>
        <v>512.53</v>
      </c>
      <c r="E169" s="14">
        <f>IF(tblSubjectToLoan[[#This Row],[Date]]="",0,ROUND(tblSubjectToLoan[[#This Row],[Beginning Balance]]*(subjectInterestRate/12),2))</f>
        <v>113.28</v>
      </c>
      <c r="F169" s="14">
        <f t="shared" si="13"/>
        <v>134.16999999999999</v>
      </c>
      <c r="G169" s="14">
        <f t="shared" si="13"/>
        <v>188.55</v>
      </c>
      <c r="H169" s="14">
        <f>SUM(tblSubjectToLoan[[#This Row],[Princ]],tblSubjectToLoan[[#This Row],[Int]],tblSubjectToLoan[[#This Row],[Ins]],tblSubjectToLoan[[#This Row],[Taxes]])</f>
        <v>948.53</v>
      </c>
      <c r="I169" s="276">
        <f>IF(tblSubjectToLoan[[#This Row],[Date]]="",IF(ROW()=ROW(tblSubjectToLoan[#Headers])+1,0,INDEX(tblSubjectToLoan[Principal],ROW()-ROW(tblSubjectToLoan[#Headers])-1)),tblSubjectToLoan[[#This Row],[Princ]]+IF(ROW()=ROW(tblSubjectToLoan[#Headers])+1,0,INDEX(tblSubjectToLoan[Principal],ROW()-ROW(tblSubjectToLoan[#Headers])-1)))</f>
        <v>61491.88</v>
      </c>
      <c r="J169" s="276">
        <f>IF(tblSubjectToLoan[[#This Row],[Date]]="",IF(ROW()=ROW(tblSubjectToLoan[#Headers])+1,0,INDEX(tblSubjectToLoan[Interest],ROW()-ROW(tblSubjectToLoan[#Headers])-1)),tblSubjectToLoan[[#This Row],[Int]]+IF(ROW()=ROW(tblSubjectToLoan[#Headers])+1,0,INDEX(tblSubjectToLoan[Interest],ROW()-ROW(tblSubjectToLoan[#Headers])-1)))</f>
        <v>32379.619999999988</v>
      </c>
      <c r="K169" s="969">
        <f>IF(tblSubjectToLoan[[#This Row],[Date]]="",0,MAX(0,tblSubjectToLoan[[#This Row],[Beginning Balance]]-tblSubjectToLoan[[#This Row],[Princ]]))</f>
        <v>35736.119999999952</v>
      </c>
      <c r="L169" s="394">
        <f t="shared" si="9"/>
        <v>12</v>
      </c>
      <c r="M169" s="394">
        <f t="shared" si="12"/>
        <v>149</v>
      </c>
      <c r="N169" s="613">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67">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3380.7500000000118</v>
      </c>
      <c r="AD169" s="276">
        <f>IF(INDEX(tblContractForDeed[End Bal],ROW()-ROW(tblBuyerOutputs[#Headers]))&lt;=0,0,($O$6+IF(ROW()=ROW(tblBuyerOutputs[#Headers])+1,0,INDEX(tblBuyerOutputs[Cumul Appr],ROW()-ROW(tblBuyerOutputs[#Headers])-1)))*$O$2/12)</f>
        <v>0</v>
      </c>
      <c r="AE169" s="276">
        <f>IF(INDEX(tblContractForDeed[End Bal],ROW()-ROW(tblBuyerOutputs[#Headers]))&lt;=0,0,IF(ROW()=ROW(tblBuyerOutputs[#Headers])+1,0,INDEX(tblBuyerOutputs[Cumul Appr],ROW()-ROW(tblBuyerOutputs[#Headers])-1))+tblBuyerOutputs[[#This Row],[Monthly Appr]])</f>
        <v>0</v>
      </c>
      <c r="AF169" s="22"/>
      <c r="AG169" s="14"/>
      <c r="AL169"/>
      <c r="AM169" s="14"/>
      <c r="AO169" s="276"/>
      <c r="AQ169" s="14"/>
      <c r="AR169"/>
    </row>
    <row r="170" spans="1:44" x14ac:dyDescent="0.25">
      <c r="A170" s="613">
        <f>IF(ROW()=ROW(tblSubjectToLoan[#Headers])+1,subjectKnownBalanceDate,IF(OR(INDEX(tblSubjectToLoan[Date],ROW()-ROW(tblSubjectToLoan[#Headers])-1)="",INDEX(tblSubjectToLoan[Date],ROW()-ROW(tblSubjectToLoan[#Headers])-1)&gt;=subjectMortgageEndDate),"",EDATE(INDEX(tblSubjectToLoan[Date],ROW()-ROW(tblSubjectToLoan[#Headers])-1),1)))</f>
        <v>50437</v>
      </c>
      <c r="B170" s="276">
        <f>IF(tblSubjectToLoan[[#This Row],[Date]]="",0,IF(ROW()=ROW(tblSubjectToLoan[#Headers])+1,subjectKnownBalance,MAX(0,INDEX(tblSubjectToLoan[Ending Balance],ROW()-ROW(tblSubjectToLoan[#Headers])-1))))</f>
        <v>35736.119999999952</v>
      </c>
      <c r="C1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0" s="14">
        <f>IF(tblSubjectToLoan[[#This Row],[Payment]]=0,0,MAX(0,MIN(tblSubjectToLoan[[#This Row],[Beginning Balance]],tblSubjectToLoan[[#This Row],[Payment]]-tblSubjectToLoan[[#This Row],[Int]])))</f>
        <v>514.12999999999988</v>
      </c>
      <c r="E170" s="14">
        <f>IF(tblSubjectToLoan[[#This Row],[Date]]="",0,ROUND(tblSubjectToLoan[[#This Row],[Beginning Balance]]*(subjectInterestRate/12),2))</f>
        <v>111.68</v>
      </c>
      <c r="F170" s="14">
        <f t="shared" si="13"/>
        <v>134.16999999999999</v>
      </c>
      <c r="G170" s="14">
        <f t="shared" si="13"/>
        <v>188.55</v>
      </c>
      <c r="H170" s="14">
        <f>SUM(tblSubjectToLoan[[#This Row],[Princ]],tblSubjectToLoan[[#This Row],[Int]],tblSubjectToLoan[[#This Row],[Ins]],tblSubjectToLoan[[#This Row],[Taxes]])</f>
        <v>948.53</v>
      </c>
      <c r="I170" s="276">
        <f>IF(tblSubjectToLoan[[#This Row],[Date]]="",IF(ROW()=ROW(tblSubjectToLoan[#Headers])+1,0,INDEX(tblSubjectToLoan[Principal],ROW()-ROW(tblSubjectToLoan[#Headers])-1)),tblSubjectToLoan[[#This Row],[Princ]]+IF(ROW()=ROW(tblSubjectToLoan[#Headers])+1,0,INDEX(tblSubjectToLoan[Principal],ROW()-ROW(tblSubjectToLoan[#Headers])-1)))</f>
        <v>62006.009999999995</v>
      </c>
      <c r="J170" s="276">
        <f>IF(tblSubjectToLoan[[#This Row],[Date]]="",IF(ROW()=ROW(tblSubjectToLoan[#Headers])+1,0,INDEX(tblSubjectToLoan[Interest],ROW()-ROW(tblSubjectToLoan[#Headers])-1)),tblSubjectToLoan[[#This Row],[Int]]+IF(ROW()=ROW(tblSubjectToLoan[#Headers])+1,0,INDEX(tblSubjectToLoan[Interest],ROW()-ROW(tblSubjectToLoan[#Headers])-1)))</f>
        <v>32491.299999999988</v>
      </c>
      <c r="K170" s="969">
        <f>IF(tblSubjectToLoan[[#This Row],[Date]]="",0,MAX(0,tblSubjectToLoan[[#This Row],[Beginning Balance]]-tblSubjectToLoan[[#This Row],[Princ]]))</f>
        <v>35221.989999999954</v>
      </c>
      <c r="L170" s="394">
        <f t="shared" si="9"/>
        <v>12</v>
      </c>
      <c r="M170" s="394">
        <f t="shared" si="12"/>
        <v>150</v>
      </c>
      <c r="N170" s="613">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67">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3414.840000000012</v>
      </c>
      <c r="AD170" s="276">
        <f>IF(INDEX(tblContractForDeed[End Bal],ROW()-ROW(tblBuyerOutputs[#Headers]))&lt;=0,0,($O$6+IF(ROW()=ROW(tblBuyerOutputs[#Headers])+1,0,INDEX(tblBuyerOutputs[Cumul Appr],ROW()-ROW(tblBuyerOutputs[#Headers])-1)))*$O$2/12)</f>
        <v>0</v>
      </c>
      <c r="AE170" s="276">
        <f>IF(INDEX(tblContractForDeed[End Bal],ROW()-ROW(tblBuyerOutputs[#Headers]))&lt;=0,0,IF(ROW()=ROW(tblBuyerOutputs[#Headers])+1,0,INDEX(tblBuyerOutputs[Cumul Appr],ROW()-ROW(tblBuyerOutputs[#Headers])-1))+tblBuyerOutputs[[#This Row],[Monthly Appr]])</f>
        <v>0</v>
      </c>
      <c r="AF170" s="22"/>
      <c r="AG170" s="14"/>
      <c r="AL170"/>
      <c r="AM170" s="14"/>
      <c r="AO170" s="276"/>
      <c r="AQ170" s="14"/>
      <c r="AR170"/>
    </row>
    <row r="171" spans="1:44" x14ac:dyDescent="0.25">
      <c r="A171" s="613">
        <f>IF(ROW()=ROW(tblSubjectToLoan[#Headers])+1,subjectKnownBalanceDate,IF(OR(INDEX(tblSubjectToLoan[Date],ROW()-ROW(tblSubjectToLoan[#Headers])-1)="",INDEX(tblSubjectToLoan[Date],ROW()-ROW(tblSubjectToLoan[#Headers])-1)&gt;=subjectMortgageEndDate),"",EDATE(INDEX(tblSubjectToLoan[Date],ROW()-ROW(tblSubjectToLoan[#Headers])-1),1)))</f>
        <v>50465</v>
      </c>
      <c r="B171" s="276">
        <f>IF(tblSubjectToLoan[[#This Row],[Date]]="",0,IF(ROW()=ROW(tblSubjectToLoan[#Headers])+1,subjectKnownBalance,MAX(0,INDEX(tblSubjectToLoan[Ending Balance],ROW()-ROW(tblSubjectToLoan[#Headers])-1))))</f>
        <v>35221.989999999954</v>
      </c>
      <c r="C1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1" s="14">
        <f>IF(tblSubjectToLoan[[#This Row],[Payment]]=0,0,MAX(0,MIN(tblSubjectToLoan[[#This Row],[Beginning Balance]],tblSubjectToLoan[[#This Row],[Payment]]-tblSubjectToLoan[[#This Row],[Int]])))</f>
        <v>515.74</v>
      </c>
      <c r="E171" s="14">
        <f>IF(tblSubjectToLoan[[#This Row],[Date]]="",0,ROUND(tblSubjectToLoan[[#This Row],[Beginning Balance]]*(subjectInterestRate/12),2))</f>
        <v>110.07</v>
      </c>
      <c r="F171" s="14">
        <f t="shared" si="13"/>
        <v>134.16999999999999</v>
      </c>
      <c r="G171" s="14">
        <f t="shared" si="13"/>
        <v>188.55</v>
      </c>
      <c r="H171" s="14">
        <f>SUM(tblSubjectToLoan[[#This Row],[Princ]],tblSubjectToLoan[[#This Row],[Int]],tblSubjectToLoan[[#This Row],[Ins]],tblSubjectToLoan[[#This Row],[Taxes]])</f>
        <v>948.53</v>
      </c>
      <c r="I171" s="276">
        <f>IF(tblSubjectToLoan[[#This Row],[Date]]="",IF(ROW()=ROW(tblSubjectToLoan[#Headers])+1,0,INDEX(tblSubjectToLoan[Principal],ROW()-ROW(tblSubjectToLoan[#Headers])-1)),tblSubjectToLoan[[#This Row],[Princ]]+IF(ROW()=ROW(tblSubjectToLoan[#Headers])+1,0,INDEX(tblSubjectToLoan[Principal],ROW()-ROW(tblSubjectToLoan[#Headers])-1)))</f>
        <v>62521.749999999993</v>
      </c>
      <c r="J171" s="276">
        <f>IF(tblSubjectToLoan[[#This Row],[Date]]="",IF(ROW()=ROW(tblSubjectToLoan[#Headers])+1,0,INDEX(tblSubjectToLoan[Interest],ROW()-ROW(tblSubjectToLoan[#Headers])-1)),tblSubjectToLoan[[#This Row],[Int]]+IF(ROW()=ROW(tblSubjectToLoan[#Headers])+1,0,INDEX(tblSubjectToLoan[Interest],ROW()-ROW(tblSubjectToLoan[#Headers])-1)))</f>
        <v>32601.369999999988</v>
      </c>
      <c r="K171" s="969">
        <f>IF(tblSubjectToLoan[[#This Row],[Date]]="",0,MAX(0,tblSubjectToLoan[[#This Row],[Beginning Balance]]-tblSubjectToLoan[[#This Row],[Princ]]))</f>
        <v>34706.249999999956</v>
      </c>
      <c r="L171" s="394">
        <f t="shared" si="9"/>
        <v>12</v>
      </c>
      <c r="M171" s="394">
        <f t="shared" si="12"/>
        <v>151</v>
      </c>
      <c r="N171" s="613">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67">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3448.9300000000121</v>
      </c>
      <c r="AD171" s="276">
        <f>IF(INDEX(tblContractForDeed[End Bal],ROW()-ROW(tblBuyerOutputs[#Headers]))&lt;=0,0,($O$6+IF(ROW()=ROW(tblBuyerOutputs[#Headers])+1,0,INDEX(tblBuyerOutputs[Cumul Appr],ROW()-ROW(tblBuyerOutputs[#Headers])-1)))*$O$2/12)</f>
        <v>0</v>
      </c>
      <c r="AE171" s="276">
        <f>IF(INDEX(tblContractForDeed[End Bal],ROW()-ROW(tblBuyerOutputs[#Headers]))&lt;=0,0,IF(ROW()=ROW(tblBuyerOutputs[#Headers])+1,0,INDEX(tblBuyerOutputs[Cumul Appr],ROW()-ROW(tblBuyerOutputs[#Headers])-1))+tblBuyerOutputs[[#This Row],[Monthly Appr]])</f>
        <v>0</v>
      </c>
      <c r="AF171" s="22"/>
      <c r="AG171" s="14"/>
      <c r="AL171"/>
      <c r="AM171" s="14"/>
      <c r="AO171" s="276"/>
      <c r="AQ171" s="14"/>
      <c r="AR171"/>
    </row>
    <row r="172" spans="1:44" x14ac:dyDescent="0.25">
      <c r="A172" s="613">
        <f>IF(ROW()=ROW(tblSubjectToLoan[#Headers])+1,subjectKnownBalanceDate,IF(OR(INDEX(tblSubjectToLoan[Date],ROW()-ROW(tblSubjectToLoan[#Headers])-1)="",INDEX(tblSubjectToLoan[Date],ROW()-ROW(tblSubjectToLoan[#Headers])-1)&gt;=subjectMortgageEndDate),"",EDATE(INDEX(tblSubjectToLoan[Date],ROW()-ROW(tblSubjectToLoan[#Headers])-1),1)))</f>
        <v>50496</v>
      </c>
      <c r="B172" s="276">
        <f>IF(tblSubjectToLoan[[#This Row],[Date]]="",0,IF(ROW()=ROW(tblSubjectToLoan[#Headers])+1,subjectKnownBalance,MAX(0,INDEX(tblSubjectToLoan[Ending Balance],ROW()-ROW(tblSubjectToLoan[#Headers])-1))))</f>
        <v>34706.249999999956</v>
      </c>
      <c r="C1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2" s="14">
        <f>IF(tblSubjectToLoan[[#This Row],[Payment]]=0,0,MAX(0,MIN(tblSubjectToLoan[[#This Row],[Beginning Balance]],tblSubjectToLoan[[#This Row],[Payment]]-tblSubjectToLoan[[#This Row],[Int]])))</f>
        <v>517.34999999999991</v>
      </c>
      <c r="E172" s="14">
        <f>IF(tblSubjectToLoan[[#This Row],[Date]]="",0,ROUND(tblSubjectToLoan[[#This Row],[Beginning Balance]]*(subjectInterestRate/12),2))</f>
        <v>108.46</v>
      </c>
      <c r="F172" s="14">
        <f t="shared" si="13"/>
        <v>134.16999999999999</v>
      </c>
      <c r="G172" s="14">
        <f t="shared" si="13"/>
        <v>188.55</v>
      </c>
      <c r="H172" s="14">
        <f>SUM(tblSubjectToLoan[[#This Row],[Princ]],tblSubjectToLoan[[#This Row],[Int]],tblSubjectToLoan[[#This Row],[Ins]],tblSubjectToLoan[[#This Row],[Taxes]])</f>
        <v>948.53</v>
      </c>
      <c r="I172" s="276">
        <f>IF(tblSubjectToLoan[[#This Row],[Date]]="",IF(ROW()=ROW(tblSubjectToLoan[#Headers])+1,0,INDEX(tblSubjectToLoan[Principal],ROW()-ROW(tblSubjectToLoan[#Headers])-1)),tblSubjectToLoan[[#This Row],[Princ]]+IF(ROW()=ROW(tblSubjectToLoan[#Headers])+1,0,INDEX(tblSubjectToLoan[Principal],ROW()-ROW(tblSubjectToLoan[#Headers])-1)))</f>
        <v>63039.099999999991</v>
      </c>
      <c r="J172" s="276">
        <f>IF(tblSubjectToLoan[[#This Row],[Date]]="",IF(ROW()=ROW(tblSubjectToLoan[#Headers])+1,0,INDEX(tblSubjectToLoan[Interest],ROW()-ROW(tblSubjectToLoan[#Headers])-1)),tblSubjectToLoan[[#This Row],[Int]]+IF(ROW()=ROW(tblSubjectToLoan[#Headers])+1,0,INDEX(tblSubjectToLoan[Interest],ROW()-ROW(tblSubjectToLoan[#Headers])-1)))</f>
        <v>32709.829999999987</v>
      </c>
      <c r="K172" s="969">
        <f>IF(tblSubjectToLoan[[#This Row],[Date]]="",0,MAX(0,tblSubjectToLoan[[#This Row],[Beginning Balance]]-tblSubjectToLoan[[#This Row],[Princ]]))</f>
        <v>34188.899999999958</v>
      </c>
      <c r="L172" s="394">
        <f t="shared" si="9"/>
        <v>12</v>
      </c>
      <c r="M172" s="394">
        <f t="shared" si="12"/>
        <v>152</v>
      </c>
      <c r="N172" s="613">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67">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3483.0200000000123</v>
      </c>
      <c r="AD172" s="276">
        <f>IF(INDEX(tblContractForDeed[End Bal],ROW()-ROW(tblBuyerOutputs[#Headers]))&lt;=0,0,($O$6+IF(ROW()=ROW(tblBuyerOutputs[#Headers])+1,0,INDEX(tblBuyerOutputs[Cumul Appr],ROW()-ROW(tblBuyerOutputs[#Headers])-1)))*$O$2/12)</f>
        <v>0</v>
      </c>
      <c r="AE172" s="276">
        <f>IF(INDEX(tblContractForDeed[End Bal],ROW()-ROW(tblBuyerOutputs[#Headers]))&lt;=0,0,IF(ROW()=ROW(tblBuyerOutputs[#Headers])+1,0,INDEX(tblBuyerOutputs[Cumul Appr],ROW()-ROW(tblBuyerOutputs[#Headers])-1))+tblBuyerOutputs[[#This Row],[Monthly Appr]])</f>
        <v>0</v>
      </c>
      <c r="AF172" s="22"/>
      <c r="AG172" s="14"/>
      <c r="AL172"/>
      <c r="AM172" s="14"/>
      <c r="AO172" s="276"/>
      <c r="AQ172" s="14"/>
      <c r="AR172"/>
    </row>
    <row r="173" spans="1:44" x14ac:dyDescent="0.25">
      <c r="A173" s="613">
        <f>IF(ROW()=ROW(tblSubjectToLoan[#Headers])+1,subjectKnownBalanceDate,IF(OR(INDEX(tblSubjectToLoan[Date],ROW()-ROW(tblSubjectToLoan[#Headers])-1)="",INDEX(tblSubjectToLoan[Date],ROW()-ROW(tblSubjectToLoan[#Headers])-1)&gt;=subjectMortgageEndDate),"",EDATE(INDEX(tblSubjectToLoan[Date],ROW()-ROW(tblSubjectToLoan[#Headers])-1),1)))</f>
        <v>50526</v>
      </c>
      <c r="B173" s="276">
        <f>IF(tblSubjectToLoan[[#This Row],[Date]]="",0,IF(ROW()=ROW(tblSubjectToLoan[#Headers])+1,subjectKnownBalance,MAX(0,INDEX(tblSubjectToLoan[Ending Balance],ROW()-ROW(tblSubjectToLoan[#Headers])-1))))</f>
        <v>34188.899999999958</v>
      </c>
      <c r="C1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3" s="14">
        <f>IF(tblSubjectToLoan[[#This Row],[Payment]]=0,0,MAX(0,MIN(tblSubjectToLoan[[#This Row],[Beginning Balance]],tblSubjectToLoan[[#This Row],[Payment]]-tblSubjectToLoan[[#This Row],[Int]])))</f>
        <v>518.96999999999991</v>
      </c>
      <c r="E173" s="14">
        <f>IF(tblSubjectToLoan[[#This Row],[Date]]="",0,ROUND(tblSubjectToLoan[[#This Row],[Beginning Balance]]*(subjectInterestRate/12),2))</f>
        <v>106.84</v>
      </c>
      <c r="F173" s="14">
        <f t="shared" si="13"/>
        <v>134.16999999999999</v>
      </c>
      <c r="G173" s="14">
        <f t="shared" si="13"/>
        <v>188.55</v>
      </c>
      <c r="H173" s="14">
        <f>SUM(tblSubjectToLoan[[#This Row],[Princ]],tblSubjectToLoan[[#This Row],[Int]],tblSubjectToLoan[[#This Row],[Ins]],tblSubjectToLoan[[#This Row],[Taxes]])</f>
        <v>948.53</v>
      </c>
      <c r="I173" s="276">
        <f>IF(tblSubjectToLoan[[#This Row],[Date]]="",IF(ROW()=ROW(tblSubjectToLoan[#Headers])+1,0,INDEX(tblSubjectToLoan[Principal],ROW()-ROW(tblSubjectToLoan[#Headers])-1)),tblSubjectToLoan[[#This Row],[Princ]]+IF(ROW()=ROW(tblSubjectToLoan[#Headers])+1,0,INDEX(tblSubjectToLoan[Principal],ROW()-ROW(tblSubjectToLoan[#Headers])-1)))</f>
        <v>63558.069999999992</v>
      </c>
      <c r="J173" s="276">
        <f>IF(tblSubjectToLoan[[#This Row],[Date]]="",IF(ROW()=ROW(tblSubjectToLoan[#Headers])+1,0,INDEX(tblSubjectToLoan[Interest],ROW()-ROW(tblSubjectToLoan[#Headers])-1)),tblSubjectToLoan[[#This Row],[Int]]+IF(ROW()=ROW(tblSubjectToLoan[#Headers])+1,0,INDEX(tblSubjectToLoan[Interest],ROW()-ROW(tblSubjectToLoan[#Headers])-1)))</f>
        <v>32816.669999999984</v>
      </c>
      <c r="K173" s="969">
        <f>IF(tblSubjectToLoan[[#This Row],[Date]]="",0,MAX(0,tblSubjectToLoan[[#This Row],[Beginning Balance]]-tblSubjectToLoan[[#This Row],[Princ]]))</f>
        <v>33669.929999999957</v>
      </c>
      <c r="L173" s="394">
        <f t="shared" si="9"/>
        <v>12</v>
      </c>
      <c r="M173" s="394">
        <f t="shared" si="12"/>
        <v>153</v>
      </c>
      <c r="N173" s="613">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67">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3517.1100000000124</v>
      </c>
      <c r="AD173" s="276">
        <f>IF(INDEX(tblContractForDeed[End Bal],ROW()-ROW(tblBuyerOutputs[#Headers]))&lt;=0,0,($O$6+IF(ROW()=ROW(tblBuyerOutputs[#Headers])+1,0,INDEX(tblBuyerOutputs[Cumul Appr],ROW()-ROW(tblBuyerOutputs[#Headers])-1)))*$O$2/12)</f>
        <v>0</v>
      </c>
      <c r="AE173" s="276">
        <f>IF(INDEX(tblContractForDeed[End Bal],ROW()-ROW(tblBuyerOutputs[#Headers]))&lt;=0,0,IF(ROW()=ROW(tblBuyerOutputs[#Headers])+1,0,INDEX(tblBuyerOutputs[Cumul Appr],ROW()-ROW(tblBuyerOutputs[#Headers])-1))+tblBuyerOutputs[[#This Row],[Monthly Appr]])</f>
        <v>0</v>
      </c>
      <c r="AF173" s="22"/>
      <c r="AG173" s="14"/>
      <c r="AL173"/>
      <c r="AM173" s="14"/>
      <c r="AO173" s="276"/>
      <c r="AQ173" s="14"/>
      <c r="AR173"/>
    </row>
    <row r="174" spans="1:44" x14ac:dyDescent="0.25">
      <c r="A174" s="613">
        <f>IF(ROW()=ROW(tblSubjectToLoan[#Headers])+1,subjectKnownBalanceDate,IF(OR(INDEX(tblSubjectToLoan[Date],ROW()-ROW(tblSubjectToLoan[#Headers])-1)="",INDEX(tblSubjectToLoan[Date],ROW()-ROW(tblSubjectToLoan[#Headers])-1)&gt;=subjectMortgageEndDate),"",EDATE(INDEX(tblSubjectToLoan[Date],ROW()-ROW(tblSubjectToLoan[#Headers])-1),1)))</f>
        <v>50557</v>
      </c>
      <c r="B174" s="276">
        <f>IF(tblSubjectToLoan[[#This Row],[Date]]="",0,IF(ROW()=ROW(tblSubjectToLoan[#Headers])+1,subjectKnownBalance,MAX(0,INDEX(tblSubjectToLoan[Ending Balance],ROW()-ROW(tblSubjectToLoan[#Headers])-1))))</f>
        <v>33669.929999999957</v>
      </c>
      <c r="C1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4" s="14">
        <f>IF(tblSubjectToLoan[[#This Row],[Payment]]=0,0,MAX(0,MIN(tblSubjectToLoan[[#This Row],[Beginning Balance]],tblSubjectToLoan[[#This Row],[Payment]]-tblSubjectToLoan[[#This Row],[Int]])))</f>
        <v>520.58999999999992</v>
      </c>
      <c r="E174" s="14">
        <f>IF(tblSubjectToLoan[[#This Row],[Date]]="",0,ROUND(tblSubjectToLoan[[#This Row],[Beginning Balance]]*(subjectInterestRate/12),2))</f>
        <v>105.22</v>
      </c>
      <c r="F174" s="14">
        <f t="shared" si="13"/>
        <v>134.16999999999999</v>
      </c>
      <c r="G174" s="14">
        <f t="shared" si="13"/>
        <v>188.55</v>
      </c>
      <c r="H174" s="14">
        <f>SUM(tblSubjectToLoan[[#This Row],[Princ]],tblSubjectToLoan[[#This Row],[Int]],tblSubjectToLoan[[#This Row],[Ins]],tblSubjectToLoan[[#This Row],[Taxes]])</f>
        <v>948.53</v>
      </c>
      <c r="I174" s="276">
        <f>IF(tblSubjectToLoan[[#This Row],[Date]]="",IF(ROW()=ROW(tblSubjectToLoan[#Headers])+1,0,INDEX(tblSubjectToLoan[Principal],ROW()-ROW(tblSubjectToLoan[#Headers])-1)),tblSubjectToLoan[[#This Row],[Princ]]+IF(ROW()=ROW(tblSubjectToLoan[#Headers])+1,0,INDEX(tblSubjectToLoan[Principal],ROW()-ROW(tblSubjectToLoan[#Headers])-1)))</f>
        <v>64078.659999999989</v>
      </c>
      <c r="J174" s="276">
        <f>IF(tblSubjectToLoan[[#This Row],[Date]]="",IF(ROW()=ROW(tblSubjectToLoan[#Headers])+1,0,INDEX(tblSubjectToLoan[Interest],ROW()-ROW(tblSubjectToLoan[#Headers])-1)),tblSubjectToLoan[[#This Row],[Int]]+IF(ROW()=ROW(tblSubjectToLoan[#Headers])+1,0,INDEX(tblSubjectToLoan[Interest],ROW()-ROW(tblSubjectToLoan[#Headers])-1)))</f>
        <v>32921.889999999985</v>
      </c>
      <c r="K174" s="969">
        <f>IF(tblSubjectToLoan[[#This Row],[Date]]="",0,MAX(0,tblSubjectToLoan[[#This Row],[Beginning Balance]]-tblSubjectToLoan[[#This Row],[Princ]]))</f>
        <v>33149.33999999996</v>
      </c>
      <c r="L174" s="394">
        <f t="shared" si="9"/>
        <v>12</v>
      </c>
      <c r="M174" s="394">
        <f t="shared" si="12"/>
        <v>154</v>
      </c>
      <c r="N174" s="613">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67">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3551.2000000000126</v>
      </c>
      <c r="AD174" s="276">
        <f>IF(INDEX(tblContractForDeed[End Bal],ROW()-ROW(tblBuyerOutputs[#Headers]))&lt;=0,0,($O$6+IF(ROW()=ROW(tblBuyerOutputs[#Headers])+1,0,INDEX(tblBuyerOutputs[Cumul Appr],ROW()-ROW(tblBuyerOutputs[#Headers])-1)))*$O$2/12)</f>
        <v>0</v>
      </c>
      <c r="AE174" s="276">
        <f>IF(INDEX(tblContractForDeed[End Bal],ROW()-ROW(tblBuyerOutputs[#Headers]))&lt;=0,0,IF(ROW()=ROW(tblBuyerOutputs[#Headers])+1,0,INDEX(tblBuyerOutputs[Cumul Appr],ROW()-ROW(tblBuyerOutputs[#Headers])-1))+tblBuyerOutputs[[#This Row],[Monthly Appr]])</f>
        <v>0</v>
      </c>
      <c r="AF174" s="22"/>
      <c r="AG174" s="14"/>
      <c r="AL174"/>
      <c r="AM174" s="14"/>
      <c r="AO174" s="276"/>
      <c r="AQ174" s="14"/>
      <c r="AR174"/>
    </row>
    <row r="175" spans="1:44" ht="15.75" thickBot="1" x14ac:dyDescent="0.3">
      <c r="A175" s="614">
        <f>IF(ROW()=ROW(tblSubjectToLoan[#Headers])+1,subjectKnownBalanceDate,IF(OR(INDEX(tblSubjectToLoan[Date],ROW()-ROW(tblSubjectToLoan[#Headers])-1)="",INDEX(tblSubjectToLoan[Date],ROW()-ROW(tblSubjectToLoan[#Headers])-1)&gt;=subjectMortgageEndDate),"",EDATE(INDEX(tblSubjectToLoan[Date],ROW()-ROW(tblSubjectToLoan[#Headers])-1),1)))</f>
        <v>50587</v>
      </c>
      <c r="B175" s="332">
        <f>IF(tblSubjectToLoan[[#This Row],[Date]]="",0,IF(ROW()=ROW(tblSubjectToLoan[#Headers])+1,subjectKnownBalance,MAX(0,INDEX(tblSubjectToLoan[Ending Balance],ROW()-ROW(tblSubjectToLoan[#Headers])-1))))</f>
        <v>33149.33999999996</v>
      </c>
      <c r="C17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5" s="21">
        <f>IF(tblSubjectToLoan[[#This Row],[Payment]]=0,0,MAX(0,MIN(tblSubjectToLoan[[#This Row],[Beginning Balance]],tblSubjectToLoan[[#This Row],[Payment]]-tblSubjectToLoan[[#This Row],[Int]])))</f>
        <v>522.21999999999991</v>
      </c>
      <c r="E175" s="21">
        <f>IF(tblSubjectToLoan[[#This Row],[Date]]="",0,ROUND(tblSubjectToLoan[[#This Row],[Beginning Balance]]*(subjectInterestRate/12),2))</f>
        <v>103.59</v>
      </c>
      <c r="F175" s="21">
        <f t="shared" ref="F175:G190" si="14">+F174</f>
        <v>134.16999999999999</v>
      </c>
      <c r="G175" s="21">
        <f t="shared" si="14"/>
        <v>188.55</v>
      </c>
      <c r="H175" s="21">
        <f>SUM(tblSubjectToLoan[[#This Row],[Princ]],tblSubjectToLoan[[#This Row],[Int]],tblSubjectToLoan[[#This Row],[Ins]],tblSubjectToLoan[[#This Row],[Taxes]])</f>
        <v>948.53</v>
      </c>
      <c r="I175" s="332">
        <f>IF(tblSubjectToLoan[[#This Row],[Date]]="",IF(ROW()=ROW(tblSubjectToLoan[#Headers])+1,0,INDEX(tblSubjectToLoan[Principal],ROW()-ROW(tblSubjectToLoan[#Headers])-1)),tblSubjectToLoan[[#This Row],[Princ]]+IF(ROW()=ROW(tblSubjectToLoan[#Headers])+1,0,INDEX(tblSubjectToLoan[Principal],ROW()-ROW(tblSubjectToLoan[#Headers])-1)))</f>
        <v>64600.87999999999</v>
      </c>
      <c r="J175" s="332">
        <f>IF(tblSubjectToLoan[[#This Row],[Date]]="",IF(ROW()=ROW(tblSubjectToLoan[#Headers])+1,0,INDEX(tblSubjectToLoan[Interest],ROW()-ROW(tblSubjectToLoan[#Headers])-1)),tblSubjectToLoan[[#This Row],[Int]]+IF(ROW()=ROW(tblSubjectToLoan[#Headers])+1,0,INDEX(tblSubjectToLoan[Interest],ROW()-ROW(tblSubjectToLoan[#Headers])-1)))</f>
        <v>33025.479999999981</v>
      </c>
      <c r="K175" s="970">
        <f>IF(tblSubjectToLoan[[#This Row],[Date]]="",0,MAX(0,tblSubjectToLoan[[#This Row],[Beginning Balance]]-tblSubjectToLoan[[#This Row],[Princ]]))</f>
        <v>32627.119999999959</v>
      </c>
      <c r="L175" s="395">
        <f t="shared" si="9"/>
        <v>12</v>
      </c>
      <c r="M175" s="395">
        <f t="shared" si="12"/>
        <v>155</v>
      </c>
      <c r="N175" s="614">
        <f>INDEX(tblSubjectToLoan[Date],ROW()-ROW(tblContractForDeed[#Headers]))</f>
        <v>50587</v>
      </c>
      <c r="O175" s="332">
        <f>IF(ROW()=ROW(tblContractForDeed[#Headers])+1,$O$6,IF(INDEX(tblContractForDeed[End Bal],ROW()-ROW(tblContractForDeed[#Headers])-1)&lt;0,0,INDEX(tblContractForDeed[End Bal],ROW()-ROW(tblContractForDeed[#Headers])-1)))</f>
        <v>21451.140000000036</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539.24</v>
      </c>
      <c r="S175" s="332">
        <f>IF(OR(tblContractForDeed[[#This Row],[Date]]&lt;cfdContractDate,tblContractForDeed[[#This Row],[Date]]&gt;cfdEndDate),0,ROUND(tblContractForDeed[[#This Row],[Beg]]*(tblContractForDeed[[#This Row],[Int Rate]]/12),2))</f>
        <v>120.66</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982.61999999999989</v>
      </c>
      <c r="W175" s="332">
        <f>SUM(INDEX(tblContractForDeed[Princ],1):INDEX(tblContractForDeed[Princ],ROW()-ROW(tblContractForDeed[#Headers])))</f>
        <v>54346.100000000013</v>
      </c>
      <c r="X175" s="332">
        <f>IF(tblContractForDeed[[#This Row],[Beg]]&lt;=0,0,tblContractForDeed[[#This Row],[Beg]]-tblContractForDeed[[#This Row],[Princ]])</f>
        <v>20911.900000000034</v>
      </c>
      <c r="Y17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68">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3585.2900000000127</v>
      </c>
      <c r="AD175" s="332">
        <f>IF(INDEX(tblContractForDeed[End Bal],ROW()-ROW(tblBuyerOutputs[#Headers]))&lt;=0,0,($O$6+IF(ROW()=ROW(tblBuyerOutputs[#Headers])+1,0,INDEX(tblBuyerOutputs[Cumul Appr],ROW()-ROW(tblBuyerOutputs[#Headers])-1)))*$O$2/12)</f>
        <v>0</v>
      </c>
      <c r="AE175" s="332">
        <f>IF(INDEX(tblContractForDeed[End Bal],ROW()-ROW(tblBuyerOutputs[#Headers]))&lt;=0,0,IF(ROW()=ROW(tblBuyerOutputs[#Headers])+1,0,INDEX(tblBuyerOutputs[Cumul Appr],ROW()-ROW(tblBuyerOutputs[#Headers])-1))+tblBuyerOutputs[[#This Row],[Monthly Appr]])</f>
        <v>0</v>
      </c>
      <c r="AF175" s="22"/>
      <c r="AG175" s="14"/>
      <c r="AL175"/>
      <c r="AM175" s="14"/>
      <c r="AO175" s="276"/>
      <c r="AQ175" s="14"/>
      <c r="AR175"/>
    </row>
    <row r="176" spans="1:44" x14ac:dyDescent="0.25">
      <c r="A176" s="613">
        <f>IF(ROW()=ROW(tblSubjectToLoan[#Headers])+1,subjectKnownBalanceDate,IF(OR(INDEX(tblSubjectToLoan[Date],ROW()-ROW(tblSubjectToLoan[#Headers])-1)="",INDEX(tblSubjectToLoan[Date],ROW()-ROW(tblSubjectToLoan[#Headers])-1)&gt;=subjectMortgageEndDate),"",EDATE(INDEX(tblSubjectToLoan[Date],ROW()-ROW(tblSubjectToLoan[#Headers])-1),1)))</f>
        <v>50618</v>
      </c>
      <c r="B176" s="276">
        <f>IF(tblSubjectToLoan[[#This Row],[Date]]="",0,IF(ROW()=ROW(tblSubjectToLoan[#Headers])+1,subjectKnownBalance,MAX(0,INDEX(tblSubjectToLoan[Ending Balance],ROW()-ROW(tblSubjectToLoan[#Headers])-1))))</f>
        <v>32627.119999999959</v>
      </c>
      <c r="C1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6" s="14">
        <f>IF(tblSubjectToLoan[[#This Row],[Payment]]=0,0,MAX(0,MIN(tblSubjectToLoan[[#This Row],[Beginning Balance]],tblSubjectToLoan[[#This Row],[Payment]]-tblSubjectToLoan[[#This Row],[Int]])))</f>
        <v>523.84999999999991</v>
      </c>
      <c r="E176" s="14">
        <f>IF(tblSubjectToLoan[[#This Row],[Date]]="",0,ROUND(tblSubjectToLoan[[#This Row],[Beginning Balance]]*(subjectInterestRate/12),2))</f>
        <v>101.96</v>
      </c>
      <c r="F176" s="14">
        <f t="shared" si="14"/>
        <v>134.16999999999999</v>
      </c>
      <c r="G176" s="14">
        <f t="shared" si="14"/>
        <v>188.55</v>
      </c>
      <c r="H176" s="14">
        <f>SUM(tblSubjectToLoan[[#This Row],[Princ]],tblSubjectToLoan[[#This Row],[Int]],tblSubjectToLoan[[#This Row],[Ins]],tblSubjectToLoan[[#This Row],[Taxes]])</f>
        <v>948.53</v>
      </c>
      <c r="I176" s="276">
        <f>IF(tblSubjectToLoan[[#This Row],[Date]]="",IF(ROW()=ROW(tblSubjectToLoan[#Headers])+1,0,INDEX(tblSubjectToLoan[Principal],ROW()-ROW(tblSubjectToLoan[#Headers])-1)),tblSubjectToLoan[[#This Row],[Princ]]+IF(ROW()=ROW(tblSubjectToLoan[#Headers])+1,0,INDEX(tblSubjectToLoan[Principal],ROW()-ROW(tblSubjectToLoan[#Headers])-1)))</f>
        <v>65124.729999999989</v>
      </c>
      <c r="J176" s="276">
        <f>IF(tblSubjectToLoan[[#This Row],[Date]]="",IF(ROW()=ROW(tblSubjectToLoan[#Headers])+1,0,INDEX(tblSubjectToLoan[Interest],ROW()-ROW(tblSubjectToLoan[#Headers])-1)),tblSubjectToLoan[[#This Row],[Int]]+IF(ROW()=ROW(tblSubjectToLoan[#Headers])+1,0,INDEX(tblSubjectToLoan[Interest],ROW()-ROW(tblSubjectToLoan[#Headers])-1)))</f>
        <v>33127.439999999981</v>
      </c>
      <c r="K176" s="969">
        <f>IF(tblSubjectToLoan[[#This Row],[Date]]="",0,MAX(0,tblSubjectToLoan[[#This Row],[Beginning Balance]]-tblSubjectToLoan[[#This Row],[Princ]]))</f>
        <v>32103.26999999996</v>
      </c>
      <c r="L176" s="394">
        <f t="shared" si="9"/>
        <v>13</v>
      </c>
      <c r="M176" s="394">
        <f t="shared" si="12"/>
        <v>156</v>
      </c>
      <c r="N176" s="613">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67">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3619.3800000000128</v>
      </c>
      <c r="AD176" s="276">
        <f>IF(INDEX(tblContractForDeed[End Bal],ROW()-ROW(tblBuyerOutputs[#Headers]))&lt;=0,0,($O$6+IF(ROW()=ROW(tblBuyerOutputs[#Headers])+1,0,INDEX(tblBuyerOutputs[Cumul Appr],ROW()-ROW(tblBuyerOutputs[#Headers])-1)))*$O$2/12)</f>
        <v>0</v>
      </c>
      <c r="AE176" s="276">
        <f>IF(INDEX(tblContractForDeed[End Bal],ROW()-ROW(tblBuyerOutputs[#Headers]))&lt;=0,0,IF(ROW()=ROW(tblBuyerOutputs[#Headers])+1,0,INDEX(tblBuyerOutputs[Cumul Appr],ROW()-ROW(tblBuyerOutputs[#Headers])-1))+tblBuyerOutputs[[#This Row],[Monthly Appr]])</f>
        <v>0</v>
      </c>
      <c r="AF176" s="22"/>
      <c r="AG176" s="14"/>
      <c r="AL176"/>
      <c r="AM176" s="14"/>
      <c r="AO176" s="276"/>
      <c r="AQ176" s="14"/>
      <c r="AR176"/>
    </row>
    <row r="177" spans="1:44" x14ac:dyDescent="0.25">
      <c r="A177" s="613">
        <f>IF(ROW()=ROW(tblSubjectToLoan[#Headers])+1,subjectKnownBalanceDate,IF(OR(INDEX(tblSubjectToLoan[Date],ROW()-ROW(tblSubjectToLoan[#Headers])-1)="",INDEX(tblSubjectToLoan[Date],ROW()-ROW(tblSubjectToLoan[#Headers])-1)&gt;=subjectMortgageEndDate),"",EDATE(INDEX(tblSubjectToLoan[Date],ROW()-ROW(tblSubjectToLoan[#Headers])-1),1)))</f>
        <v>50649</v>
      </c>
      <c r="B177" s="276">
        <f>IF(tblSubjectToLoan[[#This Row],[Date]]="",0,IF(ROW()=ROW(tblSubjectToLoan[#Headers])+1,subjectKnownBalance,MAX(0,INDEX(tblSubjectToLoan[Ending Balance],ROW()-ROW(tblSubjectToLoan[#Headers])-1))))</f>
        <v>32103.26999999996</v>
      </c>
      <c r="C1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7" s="14">
        <f>IF(tblSubjectToLoan[[#This Row],[Payment]]=0,0,MAX(0,MIN(tblSubjectToLoan[[#This Row],[Beginning Balance]],tblSubjectToLoan[[#This Row],[Payment]]-tblSubjectToLoan[[#This Row],[Int]])))</f>
        <v>525.49</v>
      </c>
      <c r="E177" s="14">
        <f>IF(tblSubjectToLoan[[#This Row],[Date]]="",0,ROUND(tblSubjectToLoan[[#This Row],[Beginning Balance]]*(subjectInterestRate/12),2))</f>
        <v>100.32</v>
      </c>
      <c r="F177" s="14">
        <f t="shared" si="14"/>
        <v>134.16999999999999</v>
      </c>
      <c r="G177" s="14">
        <f t="shared" si="14"/>
        <v>188.55</v>
      </c>
      <c r="H177" s="14">
        <f>SUM(tblSubjectToLoan[[#This Row],[Princ]],tblSubjectToLoan[[#This Row],[Int]],tblSubjectToLoan[[#This Row],[Ins]],tblSubjectToLoan[[#This Row],[Taxes]])</f>
        <v>948.53</v>
      </c>
      <c r="I177" s="276">
        <f>IF(tblSubjectToLoan[[#This Row],[Date]]="",IF(ROW()=ROW(tblSubjectToLoan[#Headers])+1,0,INDEX(tblSubjectToLoan[Principal],ROW()-ROW(tblSubjectToLoan[#Headers])-1)),tblSubjectToLoan[[#This Row],[Princ]]+IF(ROW()=ROW(tblSubjectToLoan[#Headers])+1,0,INDEX(tblSubjectToLoan[Principal],ROW()-ROW(tblSubjectToLoan[#Headers])-1)))</f>
        <v>65650.219999999987</v>
      </c>
      <c r="J177" s="276">
        <f>IF(tblSubjectToLoan[[#This Row],[Date]]="",IF(ROW()=ROW(tblSubjectToLoan[#Headers])+1,0,INDEX(tblSubjectToLoan[Interest],ROW()-ROW(tblSubjectToLoan[#Headers])-1)),tblSubjectToLoan[[#This Row],[Int]]+IF(ROW()=ROW(tblSubjectToLoan[#Headers])+1,0,INDEX(tblSubjectToLoan[Interest],ROW()-ROW(tblSubjectToLoan[#Headers])-1)))</f>
        <v>33227.75999999998</v>
      </c>
      <c r="K177" s="969">
        <f>IF(tblSubjectToLoan[[#This Row],[Date]]="",0,MAX(0,tblSubjectToLoan[[#This Row],[Beginning Balance]]-tblSubjectToLoan[[#This Row],[Princ]]))</f>
        <v>31577.779999999959</v>
      </c>
      <c r="L177" s="394">
        <f t="shared" si="9"/>
        <v>13</v>
      </c>
      <c r="M177" s="394">
        <f t="shared" si="12"/>
        <v>157</v>
      </c>
      <c r="N177" s="613">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67">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3653.470000000013</v>
      </c>
      <c r="AD177" s="276">
        <f>IF(INDEX(tblContractForDeed[End Bal],ROW()-ROW(tblBuyerOutputs[#Headers]))&lt;=0,0,($O$6+IF(ROW()=ROW(tblBuyerOutputs[#Headers])+1,0,INDEX(tblBuyerOutputs[Cumul Appr],ROW()-ROW(tblBuyerOutputs[#Headers])-1)))*$O$2/12)</f>
        <v>0</v>
      </c>
      <c r="AE177" s="276">
        <f>IF(INDEX(tblContractForDeed[End Bal],ROW()-ROW(tblBuyerOutputs[#Headers]))&lt;=0,0,IF(ROW()=ROW(tblBuyerOutputs[#Headers])+1,0,INDEX(tblBuyerOutputs[Cumul Appr],ROW()-ROW(tblBuyerOutputs[#Headers])-1))+tblBuyerOutputs[[#This Row],[Monthly Appr]])</f>
        <v>0</v>
      </c>
      <c r="AF177" s="22"/>
      <c r="AG177" s="14"/>
      <c r="AL177"/>
      <c r="AM177" s="14"/>
      <c r="AO177" s="276"/>
      <c r="AQ177" s="14"/>
      <c r="AR177"/>
    </row>
    <row r="178" spans="1:44" x14ac:dyDescent="0.25">
      <c r="A178" s="613">
        <f>IF(ROW()=ROW(tblSubjectToLoan[#Headers])+1,subjectKnownBalanceDate,IF(OR(INDEX(tblSubjectToLoan[Date],ROW()-ROW(tblSubjectToLoan[#Headers])-1)="",INDEX(tblSubjectToLoan[Date],ROW()-ROW(tblSubjectToLoan[#Headers])-1)&gt;=subjectMortgageEndDate),"",EDATE(INDEX(tblSubjectToLoan[Date],ROW()-ROW(tblSubjectToLoan[#Headers])-1),1)))</f>
        <v>50679</v>
      </c>
      <c r="B178" s="276">
        <f>IF(tblSubjectToLoan[[#This Row],[Date]]="",0,IF(ROW()=ROW(tblSubjectToLoan[#Headers])+1,subjectKnownBalance,MAX(0,INDEX(tblSubjectToLoan[Ending Balance],ROW()-ROW(tblSubjectToLoan[#Headers])-1))))</f>
        <v>31577.779999999959</v>
      </c>
      <c r="C1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8" s="14">
        <f>IF(tblSubjectToLoan[[#This Row],[Payment]]=0,0,MAX(0,MIN(tblSubjectToLoan[[#This Row],[Beginning Balance]],tblSubjectToLoan[[#This Row],[Payment]]-tblSubjectToLoan[[#This Row],[Int]])))</f>
        <v>527.12999999999988</v>
      </c>
      <c r="E178" s="14">
        <f>IF(tblSubjectToLoan[[#This Row],[Date]]="",0,ROUND(tblSubjectToLoan[[#This Row],[Beginning Balance]]*(subjectInterestRate/12),2))</f>
        <v>98.68</v>
      </c>
      <c r="F178" s="14">
        <f t="shared" si="14"/>
        <v>134.16999999999999</v>
      </c>
      <c r="G178" s="14">
        <f t="shared" si="14"/>
        <v>188.55</v>
      </c>
      <c r="H178" s="14">
        <f>SUM(tblSubjectToLoan[[#This Row],[Princ]],tblSubjectToLoan[[#This Row],[Int]],tblSubjectToLoan[[#This Row],[Ins]],tblSubjectToLoan[[#This Row],[Taxes]])</f>
        <v>948.53</v>
      </c>
      <c r="I178" s="276">
        <f>IF(tblSubjectToLoan[[#This Row],[Date]]="",IF(ROW()=ROW(tblSubjectToLoan[#Headers])+1,0,INDEX(tblSubjectToLoan[Principal],ROW()-ROW(tblSubjectToLoan[#Headers])-1)),tblSubjectToLoan[[#This Row],[Princ]]+IF(ROW()=ROW(tblSubjectToLoan[#Headers])+1,0,INDEX(tblSubjectToLoan[Principal],ROW()-ROW(tblSubjectToLoan[#Headers])-1)))</f>
        <v>66177.349999999991</v>
      </c>
      <c r="J178" s="276">
        <f>IF(tblSubjectToLoan[[#This Row],[Date]]="",IF(ROW()=ROW(tblSubjectToLoan[#Headers])+1,0,INDEX(tblSubjectToLoan[Interest],ROW()-ROW(tblSubjectToLoan[#Headers])-1)),tblSubjectToLoan[[#This Row],[Int]]+IF(ROW()=ROW(tblSubjectToLoan[#Headers])+1,0,INDEX(tblSubjectToLoan[Interest],ROW()-ROW(tblSubjectToLoan[#Headers])-1)))</f>
        <v>33326.439999999981</v>
      </c>
      <c r="K178" s="969">
        <f>IF(tblSubjectToLoan[[#This Row],[Date]]="",0,MAX(0,tblSubjectToLoan[[#This Row],[Beginning Balance]]-tblSubjectToLoan[[#This Row],[Princ]]))</f>
        <v>31050.649999999958</v>
      </c>
      <c r="L178" s="394">
        <f t="shared" si="9"/>
        <v>13</v>
      </c>
      <c r="M178" s="394">
        <f t="shared" si="12"/>
        <v>158</v>
      </c>
      <c r="N178" s="613">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67">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3687.5600000000131</v>
      </c>
      <c r="AD178" s="276">
        <f>IF(INDEX(tblContractForDeed[End Bal],ROW()-ROW(tblBuyerOutputs[#Headers]))&lt;=0,0,($O$6+IF(ROW()=ROW(tblBuyerOutputs[#Headers])+1,0,INDEX(tblBuyerOutputs[Cumul Appr],ROW()-ROW(tblBuyerOutputs[#Headers])-1)))*$O$2/12)</f>
        <v>0</v>
      </c>
      <c r="AE178" s="276">
        <f>IF(INDEX(tblContractForDeed[End Bal],ROW()-ROW(tblBuyerOutputs[#Headers]))&lt;=0,0,IF(ROW()=ROW(tblBuyerOutputs[#Headers])+1,0,INDEX(tblBuyerOutputs[Cumul Appr],ROW()-ROW(tblBuyerOutputs[#Headers])-1))+tblBuyerOutputs[[#This Row],[Monthly Appr]])</f>
        <v>0</v>
      </c>
      <c r="AF178" s="22"/>
      <c r="AG178" s="14"/>
      <c r="AL178"/>
      <c r="AM178" s="14"/>
      <c r="AO178" s="276"/>
      <c r="AQ178" s="14"/>
      <c r="AR178"/>
    </row>
    <row r="179" spans="1:44" x14ac:dyDescent="0.25">
      <c r="A179" s="613">
        <f>IF(ROW()=ROW(tblSubjectToLoan[#Headers])+1,subjectKnownBalanceDate,IF(OR(INDEX(tblSubjectToLoan[Date],ROW()-ROW(tblSubjectToLoan[#Headers])-1)="",INDEX(tblSubjectToLoan[Date],ROW()-ROW(tblSubjectToLoan[#Headers])-1)&gt;=subjectMortgageEndDate),"",EDATE(INDEX(tblSubjectToLoan[Date],ROW()-ROW(tblSubjectToLoan[#Headers])-1),1)))</f>
        <v>50710</v>
      </c>
      <c r="B179" s="276">
        <f>IF(tblSubjectToLoan[[#This Row],[Date]]="",0,IF(ROW()=ROW(tblSubjectToLoan[#Headers])+1,subjectKnownBalance,MAX(0,INDEX(tblSubjectToLoan[Ending Balance],ROW()-ROW(tblSubjectToLoan[#Headers])-1))))</f>
        <v>31050.649999999958</v>
      </c>
      <c r="C1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9" s="14">
        <f>IF(tblSubjectToLoan[[#This Row],[Payment]]=0,0,MAX(0,MIN(tblSubjectToLoan[[#This Row],[Beginning Balance]],tblSubjectToLoan[[#This Row],[Payment]]-tblSubjectToLoan[[#This Row],[Int]])))</f>
        <v>528.78</v>
      </c>
      <c r="E179" s="14">
        <f>IF(tblSubjectToLoan[[#This Row],[Date]]="",0,ROUND(tblSubjectToLoan[[#This Row],[Beginning Balance]]*(subjectInterestRate/12),2))</f>
        <v>97.03</v>
      </c>
      <c r="F179" s="14">
        <f t="shared" si="14"/>
        <v>134.16999999999999</v>
      </c>
      <c r="G179" s="14">
        <f t="shared" si="14"/>
        <v>188.55</v>
      </c>
      <c r="H179" s="14">
        <f>SUM(tblSubjectToLoan[[#This Row],[Princ]],tblSubjectToLoan[[#This Row],[Int]],tblSubjectToLoan[[#This Row],[Ins]],tblSubjectToLoan[[#This Row],[Taxes]])</f>
        <v>948.53</v>
      </c>
      <c r="I179" s="276">
        <f>IF(tblSubjectToLoan[[#This Row],[Date]]="",IF(ROW()=ROW(tblSubjectToLoan[#Headers])+1,0,INDEX(tblSubjectToLoan[Principal],ROW()-ROW(tblSubjectToLoan[#Headers])-1)),tblSubjectToLoan[[#This Row],[Princ]]+IF(ROW()=ROW(tblSubjectToLoan[#Headers])+1,0,INDEX(tblSubjectToLoan[Principal],ROW()-ROW(tblSubjectToLoan[#Headers])-1)))</f>
        <v>66706.12999999999</v>
      </c>
      <c r="J179" s="276">
        <f>IF(tblSubjectToLoan[[#This Row],[Date]]="",IF(ROW()=ROW(tblSubjectToLoan[#Headers])+1,0,INDEX(tblSubjectToLoan[Interest],ROW()-ROW(tblSubjectToLoan[#Headers])-1)),tblSubjectToLoan[[#This Row],[Int]]+IF(ROW()=ROW(tblSubjectToLoan[#Headers])+1,0,INDEX(tblSubjectToLoan[Interest],ROW()-ROW(tblSubjectToLoan[#Headers])-1)))</f>
        <v>33423.469999999979</v>
      </c>
      <c r="K179" s="969">
        <f>IF(tblSubjectToLoan[[#This Row],[Date]]="",0,MAX(0,tblSubjectToLoan[[#This Row],[Beginning Balance]]-tblSubjectToLoan[[#This Row],[Princ]]))</f>
        <v>30521.869999999959</v>
      </c>
      <c r="L179" s="394">
        <f t="shared" si="9"/>
        <v>13</v>
      </c>
      <c r="M179" s="394">
        <f t="shared" si="12"/>
        <v>159</v>
      </c>
      <c r="N179" s="613">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67">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3721.6500000000133</v>
      </c>
      <c r="AD179" s="276">
        <f>IF(INDEX(tblContractForDeed[End Bal],ROW()-ROW(tblBuyerOutputs[#Headers]))&lt;=0,0,($O$6+IF(ROW()=ROW(tblBuyerOutputs[#Headers])+1,0,INDEX(tblBuyerOutputs[Cumul Appr],ROW()-ROW(tblBuyerOutputs[#Headers])-1)))*$O$2/12)</f>
        <v>0</v>
      </c>
      <c r="AE179" s="276">
        <f>IF(INDEX(tblContractForDeed[End Bal],ROW()-ROW(tblBuyerOutputs[#Headers]))&lt;=0,0,IF(ROW()=ROW(tblBuyerOutputs[#Headers])+1,0,INDEX(tblBuyerOutputs[Cumul Appr],ROW()-ROW(tblBuyerOutputs[#Headers])-1))+tblBuyerOutputs[[#This Row],[Monthly Appr]])</f>
        <v>0</v>
      </c>
      <c r="AF179" s="22"/>
      <c r="AG179" s="14"/>
      <c r="AL179"/>
      <c r="AM179" s="14"/>
      <c r="AO179" s="276"/>
      <c r="AQ179" s="14"/>
      <c r="AR179"/>
    </row>
    <row r="180" spans="1:44" x14ac:dyDescent="0.25">
      <c r="A180" s="613">
        <f>IF(ROW()=ROW(tblSubjectToLoan[#Headers])+1,subjectKnownBalanceDate,IF(OR(INDEX(tblSubjectToLoan[Date],ROW()-ROW(tblSubjectToLoan[#Headers])-1)="",INDEX(tblSubjectToLoan[Date],ROW()-ROW(tblSubjectToLoan[#Headers])-1)&gt;=subjectMortgageEndDate),"",EDATE(INDEX(tblSubjectToLoan[Date],ROW()-ROW(tblSubjectToLoan[#Headers])-1),1)))</f>
        <v>50740</v>
      </c>
      <c r="B180" s="276">
        <f>IF(tblSubjectToLoan[[#This Row],[Date]]="",0,IF(ROW()=ROW(tblSubjectToLoan[#Headers])+1,subjectKnownBalance,MAX(0,INDEX(tblSubjectToLoan[Ending Balance],ROW()-ROW(tblSubjectToLoan[#Headers])-1))))</f>
        <v>30521.869999999959</v>
      </c>
      <c r="C1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0" s="14">
        <f>IF(tblSubjectToLoan[[#This Row],[Payment]]=0,0,MAX(0,MIN(tblSubjectToLoan[[#This Row],[Beginning Balance]],tblSubjectToLoan[[#This Row],[Payment]]-tblSubjectToLoan[[#This Row],[Int]])))</f>
        <v>530.42999999999995</v>
      </c>
      <c r="E180" s="14">
        <f>IF(tblSubjectToLoan[[#This Row],[Date]]="",0,ROUND(tblSubjectToLoan[[#This Row],[Beginning Balance]]*(subjectInterestRate/12),2))</f>
        <v>95.38</v>
      </c>
      <c r="F180" s="14">
        <f t="shared" si="14"/>
        <v>134.16999999999999</v>
      </c>
      <c r="G180" s="14">
        <f t="shared" si="14"/>
        <v>188.55</v>
      </c>
      <c r="H180" s="14">
        <f>SUM(tblSubjectToLoan[[#This Row],[Princ]],tblSubjectToLoan[[#This Row],[Int]],tblSubjectToLoan[[#This Row],[Ins]],tblSubjectToLoan[[#This Row],[Taxes]])</f>
        <v>948.53</v>
      </c>
      <c r="I180" s="276">
        <f>IF(tblSubjectToLoan[[#This Row],[Date]]="",IF(ROW()=ROW(tblSubjectToLoan[#Headers])+1,0,INDEX(tblSubjectToLoan[Principal],ROW()-ROW(tblSubjectToLoan[#Headers])-1)),tblSubjectToLoan[[#This Row],[Princ]]+IF(ROW()=ROW(tblSubjectToLoan[#Headers])+1,0,INDEX(tblSubjectToLoan[Principal],ROW()-ROW(tblSubjectToLoan[#Headers])-1)))</f>
        <v>67236.559999999983</v>
      </c>
      <c r="J180" s="276">
        <f>IF(tblSubjectToLoan[[#This Row],[Date]]="",IF(ROW()=ROW(tblSubjectToLoan[#Headers])+1,0,INDEX(tblSubjectToLoan[Interest],ROW()-ROW(tblSubjectToLoan[#Headers])-1)),tblSubjectToLoan[[#This Row],[Int]]+IF(ROW()=ROW(tblSubjectToLoan[#Headers])+1,0,INDEX(tblSubjectToLoan[Interest],ROW()-ROW(tblSubjectToLoan[#Headers])-1)))</f>
        <v>33518.849999999977</v>
      </c>
      <c r="K180" s="969">
        <f>IF(tblSubjectToLoan[[#This Row],[Date]]="",0,MAX(0,tblSubjectToLoan[[#This Row],[Beginning Balance]]-tblSubjectToLoan[[#This Row],[Princ]]))</f>
        <v>29991.439999999959</v>
      </c>
      <c r="L180" s="394">
        <f t="shared" ref="L180:L243" si="15">IF(MOD(M180,12)=0,M180/12,L179)</f>
        <v>13</v>
      </c>
      <c r="M180" s="394">
        <f t="shared" si="12"/>
        <v>160</v>
      </c>
      <c r="N180" s="613">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67">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3755.7400000000134</v>
      </c>
      <c r="AD180" s="276">
        <f>IF(INDEX(tblContractForDeed[End Bal],ROW()-ROW(tblBuyerOutputs[#Headers]))&lt;=0,0,($O$6+IF(ROW()=ROW(tblBuyerOutputs[#Headers])+1,0,INDEX(tblBuyerOutputs[Cumul Appr],ROW()-ROW(tblBuyerOutputs[#Headers])-1)))*$O$2/12)</f>
        <v>0</v>
      </c>
      <c r="AE180" s="276">
        <f>IF(INDEX(tblContractForDeed[End Bal],ROW()-ROW(tblBuyerOutputs[#Headers]))&lt;=0,0,IF(ROW()=ROW(tblBuyerOutputs[#Headers])+1,0,INDEX(tblBuyerOutputs[Cumul Appr],ROW()-ROW(tblBuyerOutputs[#Headers])-1))+tblBuyerOutputs[[#This Row],[Monthly Appr]])</f>
        <v>0</v>
      </c>
      <c r="AF180" s="22"/>
      <c r="AG180" s="14"/>
      <c r="AL180"/>
      <c r="AM180" s="14"/>
      <c r="AO180" s="276"/>
      <c r="AQ180" s="14"/>
      <c r="AR180"/>
    </row>
    <row r="181" spans="1:44" x14ac:dyDescent="0.25">
      <c r="A181" s="613">
        <f>IF(ROW()=ROW(tblSubjectToLoan[#Headers])+1,subjectKnownBalanceDate,IF(OR(INDEX(tblSubjectToLoan[Date],ROW()-ROW(tblSubjectToLoan[#Headers])-1)="",INDEX(tblSubjectToLoan[Date],ROW()-ROW(tblSubjectToLoan[#Headers])-1)&gt;=subjectMortgageEndDate),"",EDATE(INDEX(tblSubjectToLoan[Date],ROW()-ROW(tblSubjectToLoan[#Headers])-1),1)))</f>
        <v>50771</v>
      </c>
      <c r="B181" s="276">
        <f>IF(tblSubjectToLoan[[#This Row],[Date]]="",0,IF(ROW()=ROW(tblSubjectToLoan[#Headers])+1,subjectKnownBalance,MAX(0,INDEX(tblSubjectToLoan[Ending Balance],ROW()-ROW(tblSubjectToLoan[#Headers])-1))))</f>
        <v>29991.439999999959</v>
      </c>
      <c r="C1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1" s="14">
        <f>IF(tblSubjectToLoan[[#This Row],[Payment]]=0,0,MAX(0,MIN(tblSubjectToLoan[[#This Row],[Beginning Balance]],tblSubjectToLoan[[#This Row],[Payment]]-tblSubjectToLoan[[#This Row],[Int]])))</f>
        <v>532.08999999999992</v>
      </c>
      <c r="E181" s="14">
        <f>IF(tblSubjectToLoan[[#This Row],[Date]]="",0,ROUND(tblSubjectToLoan[[#This Row],[Beginning Balance]]*(subjectInterestRate/12),2))</f>
        <v>93.72</v>
      </c>
      <c r="F181" s="14">
        <f t="shared" si="14"/>
        <v>134.16999999999999</v>
      </c>
      <c r="G181" s="14">
        <f t="shared" si="14"/>
        <v>188.55</v>
      </c>
      <c r="H181" s="14">
        <f>SUM(tblSubjectToLoan[[#This Row],[Princ]],tblSubjectToLoan[[#This Row],[Int]],tblSubjectToLoan[[#This Row],[Ins]],tblSubjectToLoan[[#This Row],[Taxes]])</f>
        <v>948.53</v>
      </c>
      <c r="I181" s="276">
        <f>IF(tblSubjectToLoan[[#This Row],[Date]]="",IF(ROW()=ROW(tblSubjectToLoan[#Headers])+1,0,INDEX(tblSubjectToLoan[Principal],ROW()-ROW(tblSubjectToLoan[#Headers])-1)),tblSubjectToLoan[[#This Row],[Princ]]+IF(ROW()=ROW(tblSubjectToLoan[#Headers])+1,0,INDEX(tblSubjectToLoan[Principal],ROW()-ROW(tblSubjectToLoan[#Headers])-1)))</f>
        <v>67768.64999999998</v>
      </c>
      <c r="J181" s="276">
        <f>IF(tblSubjectToLoan[[#This Row],[Date]]="",IF(ROW()=ROW(tblSubjectToLoan[#Headers])+1,0,INDEX(tblSubjectToLoan[Interest],ROW()-ROW(tblSubjectToLoan[#Headers])-1)),tblSubjectToLoan[[#This Row],[Int]]+IF(ROW()=ROW(tblSubjectToLoan[#Headers])+1,0,INDEX(tblSubjectToLoan[Interest],ROW()-ROW(tblSubjectToLoan[#Headers])-1)))</f>
        <v>33612.569999999978</v>
      </c>
      <c r="K181" s="969">
        <f>IF(tblSubjectToLoan[[#This Row],[Date]]="",0,MAX(0,tblSubjectToLoan[[#This Row],[Beginning Balance]]-tblSubjectToLoan[[#This Row],[Princ]]))</f>
        <v>29459.349999999959</v>
      </c>
      <c r="L181" s="394">
        <f t="shared" si="15"/>
        <v>13</v>
      </c>
      <c r="M181" s="394">
        <f t="shared" si="12"/>
        <v>161</v>
      </c>
      <c r="N181" s="613">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67">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3789.8300000000136</v>
      </c>
      <c r="AD181" s="276">
        <f>IF(INDEX(tblContractForDeed[End Bal],ROW()-ROW(tblBuyerOutputs[#Headers]))&lt;=0,0,($O$6+IF(ROW()=ROW(tblBuyerOutputs[#Headers])+1,0,INDEX(tblBuyerOutputs[Cumul Appr],ROW()-ROW(tblBuyerOutputs[#Headers])-1)))*$O$2/12)</f>
        <v>0</v>
      </c>
      <c r="AE181" s="276">
        <f>IF(INDEX(tblContractForDeed[End Bal],ROW()-ROW(tblBuyerOutputs[#Headers]))&lt;=0,0,IF(ROW()=ROW(tblBuyerOutputs[#Headers])+1,0,INDEX(tblBuyerOutputs[Cumul Appr],ROW()-ROW(tblBuyerOutputs[#Headers])-1))+tblBuyerOutputs[[#This Row],[Monthly Appr]])</f>
        <v>0</v>
      </c>
      <c r="AF181" s="22"/>
      <c r="AG181" s="14"/>
      <c r="AL181"/>
      <c r="AM181" s="14"/>
      <c r="AO181" s="276"/>
      <c r="AQ181" s="14"/>
      <c r="AR181"/>
    </row>
    <row r="182" spans="1:44" x14ac:dyDescent="0.25">
      <c r="A182" s="613">
        <f>IF(ROW()=ROW(tblSubjectToLoan[#Headers])+1,subjectKnownBalanceDate,IF(OR(INDEX(tblSubjectToLoan[Date],ROW()-ROW(tblSubjectToLoan[#Headers])-1)="",INDEX(tblSubjectToLoan[Date],ROW()-ROW(tblSubjectToLoan[#Headers])-1)&gt;=subjectMortgageEndDate),"",EDATE(INDEX(tblSubjectToLoan[Date],ROW()-ROW(tblSubjectToLoan[#Headers])-1),1)))</f>
        <v>50802</v>
      </c>
      <c r="B182" s="276">
        <f>IF(tblSubjectToLoan[[#This Row],[Date]]="",0,IF(ROW()=ROW(tblSubjectToLoan[#Headers])+1,subjectKnownBalance,MAX(0,INDEX(tblSubjectToLoan[Ending Balance],ROW()-ROW(tblSubjectToLoan[#Headers])-1))))</f>
        <v>29459.349999999959</v>
      </c>
      <c r="C1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2" s="14">
        <f>IF(tblSubjectToLoan[[#This Row],[Payment]]=0,0,MAX(0,MIN(tblSubjectToLoan[[#This Row],[Beginning Balance]],tblSubjectToLoan[[#This Row],[Payment]]-tblSubjectToLoan[[#This Row],[Int]])))</f>
        <v>533.75</v>
      </c>
      <c r="E182" s="14">
        <f>IF(tblSubjectToLoan[[#This Row],[Date]]="",0,ROUND(tblSubjectToLoan[[#This Row],[Beginning Balance]]*(subjectInterestRate/12),2))</f>
        <v>92.06</v>
      </c>
      <c r="F182" s="14">
        <f t="shared" si="14"/>
        <v>134.16999999999999</v>
      </c>
      <c r="G182" s="14">
        <f t="shared" si="14"/>
        <v>188.55</v>
      </c>
      <c r="H182" s="14">
        <f>SUM(tblSubjectToLoan[[#This Row],[Princ]],tblSubjectToLoan[[#This Row],[Int]],tblSubjectToLoan[[#This Row],[Ins]],tblSubjectToLoan[[#This Row],[Taxes]])</f>
        <v>948.53</v>
      </c>
      <c r="I182" s="276">
        <f>IF(tblSubjectToLoan[[#This Row],[Date]]="",IF(ROW()=ROW(tblSubjectToLoan[#Headers])+1,0,INDEX(tblSubjectToLoan[Principal],ROW()-ROW(tblSubjectToLoan[#Headers])-1)),tblSubjectToLoan[[#This Row],[Princ]]+IF(ROW()=ROW(tblSubjectToLoan[#Headers])+1,0,INDEX(tblSubjectToLoan[Principal],ROW()-ROW(tblSubjectToLoan[#Headers])-1)))</f>
        <v>68302.39999999998</v>
      </c>
      <c r="J182" s="276">
        <f>IF(tblSubjectToLoan[[#This Row],[Date]]="",IF(ROW()=ROW(tblSubjectToLoan[#Headers])+1,0,INDEX(tblSubjectToLoan[Interest],ROW()-ROW(tblSubjectToLoan[#Headers])-1)),tblSubjectToLoan[[#This Row],[Int]]+IF(ROW()=ROW(tblSubjectToLoan[#Headers])+1,0,INDEX(tblSubjectToLoan[Interest],ROW()-ROW(tblSubjectToLoan[#Headers])-1)))</f>
        <v>33704.629999999976</v>
      </c>
      <c r="K182" s="969">
        <f>IF(tblSubjectToLoan[[#This Row],[Date]]="",0,MAX(0,tblSubjectToLoan[[#This Row],[Beginning Balance]]-tblSubjectToLoan[[#This Row],[Princ]]))</f>
        <v>28925.599999999959</v>
      </c>
      <c r="L182" s="394">
        <f t="shared" si="15"/>
        <v>13</v>
      </c>
      <c r="M182" s="394">
        <f t="shared" si="12"/>
        <v>162</v>
      </c>
      <c r="N182" s="613">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67">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3823.9200000000137</v>
      </c>
      <c r="AD182" s="276">
        <f>IF(INDEX(tblContractForDeed[End Bal],ROW()-ROW(tblBuyerOutputs[#Headers]))&lt;=0,0,($O$6+IF(ROW()=ROW(tblBuyerOutputs[#Headers])+1,0,INDEX(tblBuyerOutputs[Cumul Appr],ROW()-ROW(tblBuyerOutputs[#Headers])-1)))*$O$2/12)</f>
        <v>0</v>
      </c>
      <c r="AE182" s="276">
        <f>IF(INDEX(tblContractForDeed[End Bal],ROW()-ROW(tblBuyerOutputs[#Headers]))&lt;=0,0,IF(ROW()=ROW(tblBuyerOutputs[#Headers])+1,0,INDEX(tblBuyerOutputs[Cumul Appr],ROW()-ROW(tblBuyerOutputs[#Headers])-1))+tblBuyerOutputs[[#This Row],[Monthly Appr]])</f>
        <v>0</v>
      </c>
      <c r="AF182" s="22"/>
      <c r="AG182" s="14"/>
      <c r="AL182"/>
      <c r="AM182" s="14"/>
      <c r="AO182" s="276"/>
      <c r="AQ182" s="14"/>
      <c r="AR182"/>
    </row>
    <row r="183" spans="1:44" x14ac:dyDescent="0.25">
      <c r="A183" s="613">
        <f>IF(ROW()=ROW(tblSubjectToLoan[#Headers])+1,subjectKnownBalanceDate,IF(OR(INDEX(tblSubjectToLoan[Date],ROW()-ROW(tblSubjectToLoan[#Headers])-1)="",INDEX(tblSubjectToLoan[Date],ROW()-ROW(tblSubjectToLoan[#Headers])-1)&gt;=subjectMortgageEndDate),"",EDATE(INDEX(tblSubjectToLoan[Date],ROW()-ROW(tblSubjectToLoan[#Headers])-1),1)))</f>
        <v>50830</v>
      </c>
      <c r="B183" s="276">
        <f>IF(tblSubjectToLoan[[#This Row],[Date]]="",0,IF(ROW()=ROW(tblSubjectToLoan[#Headers])+1,subjectKnownBalance,MAX(0,INDEX(tblSubjectToLoan[Ending Balance],ROW()-ROW(tblSubjectToLoan[#Headers])-1))))</f>
        <v>28925.599999999959</v>
      </c>
      <c r="C1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3" s="14">
        <f>IF(tblSubjectToLoan[[#This Row],[Payment]]=0,0,MAX(0,MIN(tblSubjectToLoan[[#This Row],[Beginning Balance]],tblSubjectToLoan[[#This Row],[Payment]]-tblSubjectToLoan[[#This Row],[Int]])))</f>
        <v>535.41999999999996</v>
      </c>
      <c r="E183" s="14">
        <f>IF(tblSubjectToLoan[[#This Row],[Date]]="",0,ROUND(tblSubjectToLoan[[#This Row],[Beginning Balance]]*(subjectInterestRate/12),2))</f>
        <v>90.39</v>
      </c>
      <c r="F183" s="14">
        <f t="shared" si="14"/>
        <v>134.16999999999999</v>
      </c>
      <c r="G183" s="14">
        <f t="shared" si="14"/>
        <v>188.55</v>
      </c>
      <c r="H183" s="14">
        <f>SUM(tblSubjectToLoan[[#This Row],[Princ]],tblSubjectToLoan[[#This Row],[Int]],tblSubjectToLoan[[#This Row],[Ins]],tblSubjectToLoan[[#This Row],[Taxes]])</f>
        <v>948.53</v>
      </c>
      <c r="I183" s="276">
        <f>IF(tblSubjectToLoan[[#This Row],[Date]]="",IF(ROW()=ROW(tblSubjectToLoan[#Headers])+1,0,INDEX(tblSubjectToLoan[Principal],ROW()-ROW(tblSubjectToLoan[#Headers])-1)),tblSubjectToLoan[[#This Row],[Princ]]+IF(ROW()=ROW(tblSubjectToLoan[#Headers])+1,0,INDEX(tblSubjectToLoan[Principal],ROW()-ROW(tblSubjectToLoan[#Headers])-1)))</f>
        <v>68837.819999999978</v>
      </c>
      <c r="J183" s="276">
        <f>IF(tblSubjectToLoan[[#This Row],[Date]]="",IF(ROW()=ROW(tblSubjectToLoan[#Headers])+1,0,INDEX(tblSubjectToLoan[Interest],ROW()-ROW(tblSubjectToLoan[#Headers])-1)),tblSubjectToLoan[[#This Row],[Int]]+IF(ROW()=ROW(tblSubjectToLoan[#Headers])+1,0,INDEX(tblSubjectToLoan[Interest],ROW()-ROW(tblSubjectToLoan[#Headers])-1)))</f>
        <v>33795.019999999975</v>
      </c>
      <c r="K183" s="969">
        <f>IF(tblSubjectToLoan[[#This Row],[Date]]="",0,MAX(0,tblSubjectToLoan[[#This Row],[Beginning Balance]]-tblSubjectToLoan[[#This Row],[Princ]]))</f>
        <v>28390.17999999996</v>
      </c>
      <c r="L183" s="394">
        <f t="shared" si="15"/>
        <v>13</v>
      </c>
      <c r="M183" s="394">
        <f t="shared" si="12"/>
        <v>163</v>
      </c>
      <c r="N183" s="613">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67">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3858.0100000000139</v>
      </c>
      <c r="AD183" s="276">
        <f>IF(INDEX(tblContractForDeed[End Bal],ROW()-ROW(tblBuyerOutputs[#Headers]))&lt;=0,0,($O$6+IF(ROW()=ROW(tblBuyerOutputs[#Headers])+1,0,INDEX(tblBuyerOutputs[Cumul Appr],ROW()-ROW(tblBuyerOutputs[#Headers])-1)))*$O$2/12)</f>
        <v>0</v>
      </c>
      <c r="AE183" s="276">
        <f>IF(INDEX(tblContractForDeed[End Bal],ROW()-ROW(tblBuyerOutputs[#Headers]))&lt;=0,0,IF(ROW()=ROW(tblBuyerOutputs[#Headers])+1,0,INDEX(tblBuyerOutputs[Cumul Appr],ROW()-ROW(tblBuyerOutputs[#Headers])-1))+tblBuyerOutputs[[#This Row],[Monthly Appr]])</f>
        <v>0</v>
      </c>
      <c r="AF183" s="22"/>
      <c r="AG183" s="14"/>
      <c r="AL183"/>
      <c r="AM183" s="14"/>
      <c r="AO183" s="276"/>
      <c r="AQ183" s="14"/>
      <c r="AR183"/>
    </row>
    <row r="184" spans="1:44" x14ac:dyDescent="0.25">
      <c r="A184" s="613">
        <f>IF(ROW()=ROW(tblSubjectToLoan[#Headers])+1,subjectKnownBalanceDate,IF(OR(INDEX(tblSubjectToLoan[Date],ROW()-ROW(tblSubjectToLoan[#Headers])-1)="",INDEX(tblSubjectToLoan[Date],ROW()-ROW(tblSubjectToLoan[#Headers])-1)&gt;=subjectMortgageEndDate),"",EDATE(INDEX(tblSubjectToLoan[Date],ROW()-ROW(tblSubjectToLoan[#Headers])-1),1)))</f>
        <v>50861</v>
      </c>
      <c r="B184" s="276">
        <f>IF(tblSubjectToLoan[[#This Row],[Date]]="",0,IF(ROW()=ROW(tblSubjectToLoan[#Headers])+1,subjectKnownBalance,MAX(0,INDEX(tblSubjectToLoan[Ending Balance],ROW()-ROW(tblSubjectToLoan[#Headers])-1))))</f>
        <v>28390.17999999996</v>
      </c>
      <c r="C1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4" s="14">
        <f>IF(tblSubjectToLoan[[#This Row],[Payment]]=0,0,MAX(0,MIN(tblSubjectToLoan[[#This Row],[Beginning Balance]],tblSubjectToLoan[[#This Row],[Payment]]-tblSubjectToLoan[[#This Row],[Int]])))</f>
        <v>537.08999999999992</v>
      </c>
      <c r="E184" s="14">
        <f>IF(tblSubjectToLoan[[#This Row],[Date]]="",0,ROUND(tblSubjectToLoan[[#This Row],[Beginning Balance]]*(subjectInterestRate/12),2))</f>
        <v>88.72</v>
      </c>
      <c r="F184" s="14">
        <f t="shared" si="14"/>
        <v>134.16999999999999</v>
      </c>
      <c r="G184" s="14">
        <f t="shared" si="14"/>
        <v>188.55</v>
      </c>
      <c r="H184" s="14">
        <f>SUM(tblSubjectToLoan[[#This Row],[Princ]],tblSubjectToLoan[[#This Row],[Int]],tblSubjectToLoan[[#This Row],[Ins]],tblSubjectToLoan[[#This Row],[Taxes]])</f>
        <v>948.53</v>
      </c>
      <c r="I184" s="276">
        <f>IF(tblSubjectToLoan[[#This Row],[Date]]="",IF(ROW()=ROW(tblSubjectToLoan[#Headers])+1,0,INDEX(tblSubjectToLoan[Principal],ROW()-ROW(tblSubjectToLoan[#Headers])-1)),tblSubjectToLoan[[#This Row],[Princ]]+IF(ROW()=ROW(tblSubjectToLoan[#Headers])+1,0,INDEX(tblSubjectToLoan[Principal],ROW()-ROW(tblSubjectToLoan[#Headers])-1)))</f>
        <v>69374.909999999974</v>
      </c>
      <c r="J184" s="276">
        <f>IF(tblSubjectToLoan[[#This Row],[Date]]="",IF(ROW()=ROW(tblSubjectToLoan[#Headers])+1,0,INDEX(tblSubjectToLoan[Interest],ROW()-ROW(tblSubjectToLoan[#Headers])-1)),tblSubjectToLoan[[#This Row],[Int]]+IF(ROW()=ROW(tblSubjectToLoan[#Headers])+1,0,INDEX(tblSubjectToLoan[Interest],ROW()-ROW(tblSubjectToLoan[#Headers])-1)))</f>
        <v>33883.739999999976</v>
      </c>
      <c r="K184" s="969">
        <f>IF(tblSubjectToLoan[[#This Row],[Date]]="",0,MAX(0,tblSubjectToLoan[[#This Row],[Beginning Balance]]-tblSubjectToLoan[[#This Row],[Princ]]))</f>
        <v>27853.08999999996</v>
      </c>
      <c r="L184" s="394">
        <f t="shared" si="15"/>
        <v>13</v>
      </c>
      <c r="M184" s="394">
        <f t="shared" si="12"/>
        <v>164</v>
      </c>
      <c r="N184" s="613">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67">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3892.100000000014</v>
      </c>
      <c r="AD184" s="276">
        <f>IF(INDEX(tblContractForDeed[End Bal],ROW()-ROW(tblBuyerOutputs[#Headers]))&lt;=0,0,($O$6+IF(ROW()=ROW(tblBuyerOutputs[#Headers])+1,0,INDEX(tblBuyerOutputs[Cumul Appr],ROW()-ROW(tblBuyerOutputs[#Headers])-1)))*$O$2/12)</f>
        <v>0</v>
      </c>
      <c r="AE184" s="276">
        <f>IF(INDEX(tblContractForDeed[End Bal],ROW()-ROW(tblBuyerOutputs[#Headers]))&lt;=0,0,IF(ROW()=ROW(tblBuyerOutputs[#Headers])+1,0,INDEX(tblBuyerOutputs[Cumul Appr],ROW()-ROW(tblBuyerOutputs[#Headers])-1))+tblBuyerOutputs[[#This Row],[Monthly Appr]])</f>
        <v>0</v>
      </c>
      <c r="AF184" s="22"/>
      <c r="AG184" s="14"/>
      <c r="AL184"/>
      <c r="AM184" s="14"/>
      <c r="AO184" s="276"/>
      <c r="AQ184" s="14"/>
      <c r="AR184"/>
    </row>
    <row r="185" spans="1:44" x14ac:dyDescent="0.25">
      <c r="A185" s="613">
        <f>IF(ROW()=ROW(tblSubjectToLoan[#Headers])+1,subjectKnownBalanceDate,IF(OR(INDEX(tblSubjectToLoan[Date],ROW()-ROW(tblSubjectToLoan[#Headers])-1)="",INDEX(tblSubjectToLoan[Date],ROW()-ROW(tblSubjectToLoan[#Headers])-1)&gt;=subjectMortgageEndDate),"",EDATE(INDEX(tblSubjectToLoan[Date],ROW()-ROW(tblSubjectToLoan[#Headers])-1),1)))</f>
        <v>50891</v>
      </c>
      <c r="B185" s="276">
        <f>IF(tblSubjectToLoan[[#This Row],[Date]]="",0,IF(ROW()=ROW(tblSubjectToLoan[#Headers])+1,subjectKnownBalance,MAX(0,INDEX(tblSubjectToLoan[Ending Balance],ROW()-ROW(tblSubjectToLoan[#Headers])-1))))</f>
        <v>27853.08999999996</v>
      </c>
      <c r="C1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5" s="14">
        <f>IF(tblSubjectToLoan[[#This Row],[Payment]]=0,0,MAX(0,MIN(tblSubjectToLoan[[#This Row],[Beginning Balance]],tblSubjectToLoan[[#This Row],[Payment]]-tblSubjectToLoan[[#This Row],[Int]])))</f>
        <v>538.77</v>
      </c>
      <c r="E185" s="14">
        <f>IF(tblSubjectToLoan[[#This Row],[Date]]="",0,ROUND(tblSubjectToLoan[[#This Row],[Beginning Balance]]*(subjectInterestRate/12),2))</f>
        <v>87.04</v>
      </c>
      <c r="F185" s="14">
        <f t="shared" si="14"/>
        <v>134.16999999999999</v>
      </c>
      <c r="G185" s="14">
        <f t="shared" si="14"/>
        <v>188.55</v>
      </c>
      <c r="H185" s="14">
        <f>SUM(tblSubjectToLoan[[#This Row],[Princ]],tblSubjectToLoan[[#This Row],[Int]],tblSubjectToLoan[[#This Row],[Ins]],tblSubjectToLoan[[#This Row],[Taxes]])</f>
        <v>948.53</v>
      </c>
      <c r="I185" s="276">
        <f>IF(tblSubjectToLoan[[#This Row],[Date]]="",IF(ROW()=ROW(tblSubjectToLoan[#Headers])+1,0,INDEX(tblSubjectToLoan[Principal],ROW()-ROW(tblSubjectToLoan[#Headers])-1)),tblSubjectToLoan[[#This Row],[Princ]]+IF(ROW()=ROW(tblSubjectToLoan[#Headers])+1,0,INDEX(tblSubjectToLoan[Principal],ROW()-ROW(tblSubjectToLoan[#Headers])-1)))</f>
        <v>69913.679999999978</v>
      </c>
      <c r="J185" s="276">
        <f>IF(tblSubjectToLoan[[#This Row],[Date]]="",IF(ROW()=ROW(tblSubjectToLoan[#Headers])+1,0,INDEX(tblSubjectToLoan[Interest],ROW()-ROW(tblSubjectToLoan[#Headers])-1)),tblSubjectToLoan[[#This Row],[Int]]+IF(ROW()=ROW(tblSubjectToLoan[#Headers])+1,0,INDEX(tblSubjectToLoan[Interest],ROW()-ROW(tblSubjectToLoan[#Headers])-1)))</f>
        <v>33970.779999999977</v>
      </c>
      <c r="K185" s="969">
        <f>IF(tblSubjectToLoan[[#This Row],[Date]]="",0,MAX(0,tblSubjectToLoan[[#This Row],[Beginning Balance]]-tblSubjectToLoan[[#This Row],[Princ]]))</f>
        <v>27314.31999999996</v>
      </c>
      <c r="L185" s="394">
        <f t="shared" si="15"/>
        <v>13</v>
      </c>
      <c r="M185" s="394">
        <f t="shared" si="12"/>
        <v>165</v>
      </c>
      <c r="N185" s="613">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67">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3926.1900000000142</v>
      </c>
      <c r="AD185" s="276">
        <f>IF(INDEX(tblContractForDeed[End Bal],ROW()-ROW(tblBuyerOutputs[#Headers]))&lt;=0,0,($O$6+IF(ROW()=ROW(tblBuyerOutputs[#Headers])+1,0,INDEX(tblBuyerOutputs[Cumul Appr],ROW()-ROW(tblBuyerOutputs[#Headers])-1)))*$O$2/12)</f>
        <v>0</v>
      </c>
      <c r="AE185" s="276">
        <f>IF(INDEX(tblContractForDeed[End Bal],ROW()-ROW(tblBuyerOutputs[#Headers]))&lt;=0,0,IF(ROW()=ROW(tblBuyerOutputs[#Headers])+1,0,INDEX(tblBuyerOutputs[Cumul Appr],ROW()-ROW(tblBuyerOutputs[#Headers])-1))+tblBuyerOutputs[[#This Row],[Monthly Appr]])</f>
        <v>0</v>
      </c>
      <c r="AF185" s="22"/>
      <c r="AG185" s="14"/>
      <c r="AL185"/>
      <c r="AM185" s="14"/>
      <c r="AO185" s="276"/>
      <c r="AQ185" s="14"/>
      <c r="AR185"/>
    </row>
    <row r="186" spans="1:44" x14ac:dyDescent="0.25">
      <c r="A186" s="613">
        <f>IF(ROW()=ROW(tblSubjectToLoan[#Headers])+1,subjectKnownBalanceDate,IF(OR(INDEX(tblSubjectToLoan[Date],ROW()-ROW(tblSubjectToLoan[#Headers])-1)="",INDEX(tblSubjectToLoan[Date],ROW()-ROW(tblSubjectToLoan[#Headers])-1)&gt;=subjectMortgageEndDate),"",EDATE(INDEX(tblSubjectToLoan[Date],ROW()-ROW(tblSubjectToLoan[#Headers])-1),1)))</f>
        <v>50922</v>
      </c>
      <c r="B186" s="276">
        <f>IF(tblSubjectToLoan[[#This Row],[Date]]="",0,IF(ROW()=ROW(tblSubjectToLoan[#Headers])+1,subjectKnownBalance,MAX(0,INDEX(tblSubjectToLoan[Ending Balance],ROW()-ROW(tblSubjectToLoan[#Headers])-1))))</f>
        <v>27314.31999999996</v>
      </c>
      <c r="C1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6" s="14">
        <f>IF(tblSubjectToLoan[[#This Row],[Payment]]=0,0,MAX(0,MIN(tblSubjectToLoan[[#This Row],[Beginning Balance]],tblSubjectToLoan[[#This Row],[Payment]]-tblSubjectToLoan[[#This Row],[Int]])))</f>
        <v>540.44999999999993</v>
      </c>
      <c r="E186" s="14">
        <f>IF(tblSubjectToLoan[[#This Row],[Date]]="",0,ROUND(tblSubjectToLoan[[#This Row],[Beginning Balance]]*(subjectInterestRate/12),2))</f>
        <v>85.36</v>
      </c>
      <c r="F186" s="14">
        <f t="shared" si="14"/>
        <v>134.16999999999999</v>
      </c>
      <c r="G186" s="14">
        <f t="shared" si="14"/>
        <v>188.55</v>
      </c>
      <c r="H186" s="14">
        <f>SUM(tblSubjectToLoan[[#This Row],[Princ]],tblSubjectToLoan[[#This Row],[Int]],tblSubjectToLoan[[#This Row],[Ins]],tblSubjectToLoan[[#This Row],[Taxes]])</f>
        <v>948.53</v>
      </c>
      <c r="I186" s="276">
        <f>IF(tblSubjectToLoan[[#This Row],[Date]]="",IF(ROW()=ROW(tblSubjectToLoan[#Headers])+1,0,INDEX(tblSubjectToLoan[Principal],ROW()-ROW(tblSubjectToLoan[#Headers])-1)),tblSubjectToLoan[[#This Row],[Princ]]+IF(ROW()=ROW(tblSubjectToLoan[#Headers])+1,0,INDEX(tblSubjectToLoan[Principal],ROW()-ROW(tblSubjectToLoan[#Headers])-1)))</f>
        <v>70454.129999999976</v>
      </c>
      <c r="J186" s="276">
        <f>IF(tblSubjectToLoan[[#This Row],[Date]]="",IF(ROW()=ROW(tblSubjectToLoan[#Headers])+1,0,INDEX(tblSubjectToLoan[Interest],ROW()-ROW(tblSubjectToLoan[#Headers])-1)),tblSubjectToLoan[[#This Row],[Int]]+IF(ROW()=ROW(tblSubjectToLoan[#Headers])+1,0,INDEX(tblSubjectToLoan[Interest],ROW()-ROW(tblSubjectToLoan[#Headers])-1)))</f>
        <v>34056.139999999978</v>
      </c>
      <c r="K186" s="969">
        <f>IF(tblSubjectToLoan[[#This Row],[Date]]="",0,MAX(0,tblSubjectToLoan[[#This Row],[Beginning Balance]]-tblSubjectToLoan[[#This Row],[Princ]]))</f>
        <v>26773.869999999959</v>
      </c>
      <c r="L186" s="394">
        <f t="shared" si="15"/>
        <v>13</v>
      </c>
      <c r="M186" s="394">
        <f t="shared" si="12"/>
        <v>166</v>
      </c>
      <c r="N186" s="613">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67">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3960.2800000000143</v>
      </c>
      <c r="AD186" s="276">
        <f>IF(INDEX(tblContractForDeed[End Bal],ROW()-ROW(tblBuyerOutputs[#Headers]))&lt;=0,0,($O$6+IF(ROW()=ROW(tblBuyerOutputs[#Headers])+1,0,INDEX(tblBuyerOutputs[Cumul Appr],ROW()-ROW(tblBuyerOutputs[#Headers])-1)))*$O$2/12)</f>
        <v>0</v>
      </c>
      <c r="AE186" s="276">
        <f>IF(INDEX(tblContractForDeed[End Bal],ROW()-ROW(tblBuyerOutputs[#Headers]))&lt;=0,0,IF(ROW()=ROW(tblBuyerOutputs[#Headers])+1,0,INDEX(tblBuyerOutputs[Cumul Appr],ROW()-ROW(tblBuyerOutputs[#Headers])-1))+tblBuyerOutputs[[#This Row],[Monthly Appr]])</f>
        <v>0</v>
      </c>
      <c r="AF186" s="22"/>
      <c r="AG186" s="14"/>
      <c r="AL186"/>
      <c r="AM186" s="14"/>
      <c r="AO186" s="276"/>
      <c r="AQ186" s="14"/>
      <c r="AR186"/>
    </row>
    <row r="187" spans="1:44" ht="15.75" thickBot="1" x14ac:dyDescent="0.3">
      <c r="A187" s="614">
        <f>IF(ROW()=ROW(tblSubjectToLoan[#Headers])+1,subjectKnownBalanceDate,IF(OR(INDEX(tblSubjectToLoan[Date],ROW()-ROW(tblSubjectToLoan[#Headers])-1)="",INDEX(tblSubjectToLoan[Date],ROW()-ROW(tblSubjectToLoan[#Headers])-1)&gt;=subjectMortgageEndDate),"",EDATE(INDEX(tblSubjectToLoan[Date],ROW()-ROW(tblSubjectToLoan[#Headers])-1),1)))</f>
        <v>50952</v>
      </c>
      <c r="B187" s="332">
        <f>IF(tblSubjectToLoan[[#This Row],[Date]]="",0,IF(ROW()=ROW(tblSubjectToLoan[#Headers])+1,subjectKnownBalance,MAX(0,INDEX(tblSubjectToLoan[Ending Balance],ROW()-ROW(tblSubjectToLoan[#Headers])-1))))</f>
        <v>26773.869999999959</v>
      </c>
      <c r="C18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7" s="21">
        <f>IF(tblSubjectToLoan[[#This Row],[Payment]]=0,0,MAX(0,MIN(tblSubjectToLoan[[#This Row],[Beginning Balance]],tblSubjectToLoan[[#This Row],[Payment]]-tblSubjectToLoan[[#This Row],[Int]])))</f>
        <v>542.14</v>
      </c>
      <c r="E187" s="21">
        <f>IF(tblSubjectToLoan[[#This Row],[Date]]="",0,ROUND(tblSubjectToLoan[[#This Row],[Beginning Balance]]*(subjectInterestRate/12),2))</f>
        <v>83.67</v>
      </c>
      <c r="F187" s="21">
        <f t="shared" si="14"/>
        <v>134.16999999999999</v>
      </c>
      <c r="G187" s="21">
        <f t="shared" si="14"/>
        <v>188.55</v>
      </c>
      <c r="H187" s="21">
        <f>SUM(tblSubjectToLoan[[#This Row],[Princ]],tblSubjectToLoan[[#This Row],[Int]],tblSubjectToLoan[[#This Row],[Ins]],tblSubjectToLoan[[#This Row],[Taxes]])</f>
        <v>948.53</v>
      </c>
      <c r="I187" s="332">
        <f>IF(tblSubjectToLoan[[#This Row],[Date]]="",IF(ROW()=ROW(tblSubjectToLoan[#Headers])+1,0,INDEX(tblSubjectToLoan[Principal],ROW()-ROW(tblSubjectToLoan[#Headers])-1)),tblSubjectToLoan[[#This Row],[Princ]]+IF(ROW()=ROW(tblSubjectToLoan[#Headers])+1,0,INDEX(tblSubjectToLoan[Principal],ROW()-ROW(tblSubjectToLoan[#Headers])-1)))</f>
        <v>70996.269999999975</v>
      </c>
      <c r="J187" s="332">
        <f>IF(tblSubjectToLoan[[#This Row],[Date]]="",IF(ROW()=ROW(tblSubjectToLoan[#Headers])+1,0,INDEX(tblSubjectToLoan[Interest],ROW()-ROW(tblSubjectToLoan[#Headers])-1)),tblSubjectToLoan[[#This Row],[Int]]+IF(ROW()=ROW(tblSubjectToLoan[#Headers])+1,0,INDEX(tblSubjectToLoan[Interest],ROW()-ROW(tblSubjectToLoan[#Headers])-1)))</f>
        <v>34139.809999999976</v>
      </c>
      <c r="K187" s="970">
        <f>IF(tblSubjectToLoan[[#This Row],[Date]]="",0,MAX(0,tblSubjectToLoan[[#This Row],[Beginning Balance]]-tblSubjectToLoan[[#This Row],[Princ]]))</f>
        <v>26231.72999999996</v>
      </c>
      <c r="L187" s="395">
        <f t="shared" si="15"/>
        <v>13</v>
      </c>
      <c r="M187" s="395">
        <f t="shared" si="12"/>
        <v>167</v>
      </c>
      <c r="N187" s="614">
        <f>INDEX(tblSubjectToLoan[Date],ROW()-ROW(tblContractForDeed[#Headers]))</f>
        <v>50952</v>
      </c>
      <c r="O187" s="332">
        <f>IF(ROW()=ROW(tblContractForDeed[#Headers])+1,$O$6,IF(INDEX(tblContractForDeed[End Bal],ROW()-ROW(tblContractForDeed[#Headers])-1)&lt;0,0,INDEX(tblContractForDeed[End Bal],ROW()-ROW(tblContractForDeed[#Headers])-1)))</f>
        <v>14776.300000000036</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576.78</v>
      </c>
      <c r="S187" s="332">
        <f>IF(OR(tblContractForDeed[[#This Row],[Date]]&lt;cfdContractDate,tblContractForDeed[[#This Row],[Date]]&gt;cfdEndDate),0,ROUND(tblContractForDeed[[#This Row],[Beg]]*(tblContractForDeed[[#This Row],[Int Rate]]/12),2))</f>
        <v>83.12</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61058.48000000001</v>
      </c>
      <c r="X187" s="332">
        <f>IF(tblContractForDeed[[#This Row],[Beg]]&lt;=0,0,tblContractForDeed[[#This Row],[Beg]]-tblContractForDeed[[#This Row],[Princ]])</f>
        <v>14199.520000000035</v>
      </c>
      <c r="Y18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68">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3994.3700000000144</v>
      </c>
      <c r="AD187" s="332">
        <f>IF(INDEX(tblContractForDeed[End Bal],ROW()-ROW(tblBuyerOutputs[#Headers]))&lt;=0,0,($O$6+IF(ROW()=ROW(tblBuyerOutputs[#Headers])+1,0,INDEX(tblBuyerOutputs[Cumul Appr],ROW()-ROW(tblBuyerOutputs[#Headers])-1)))*$O$2/12)</f>
        <v>0</v>
      </c>
      <c r="AE187" s="332">
        <f>IF(INDEX(tblContractForDeed[End Bal],ROW()-ROW(tblBuyerOutputs[#Headers]))&lt;=0,0,IF(ROW()=ROW(tblBuyerOutputs[#Headers])+1,0,INDEX(tblBuyerOutputs[Cumul Appr],ROW()-ROW(tblBuyerOutputs[#Headers])-1))+tblBuyerOutputs[[#This Row],[Monthly Appr]])</f>
        <v>0</v>
      </c>
      <c r="AF187" s="22"/>
      <c r="AG187" s="14"/>
      <c r="AL187"/>
      <c r="AM187" s="14"/>
      <c r="AO187" s="276"/>
      <c r="AQ187" s="14"/>
      <c r="AR187"/>
    </row>
    <row r="188" spans="1:44" x14ac:dyDescent="0.25">
      <c r="A188" s="613">
        <f>IF(ROW()=ROW(tblSubjectToLoan[#Headers])+1,subjectKnownBalanceDate,IF(OR(INDEX(tblSubjectToLoan[Date],ROW()-ROW(tblSubjectToLoan[#Headers])-1)="",INDEX(tblSubjectToLoan[Date],ROW()-ROW(tblSubjectToLoan[#Headers])-1)&gt;=subjectMortgageEndDate),"",EDATE(INDEX(tblSubjectToLoan[Date],ROW()-ROW(tblSubjectToLoan[#Headers])-1),1)))</f>
        <v>50983</v>
      </c>
      <c r="B188" s="276">
        <f>IF(tblSubjectToLoan[[#This Row],[Date]]="",0,IF(ROW()=ROW(tblSubjectToLoan[#Headers])+1,subjectKnownBalance,MAX(0,INDEX(tblSubjectToLoan[Ending Balance],ROW()-ROW(tblSubjectToLoan[#Headers])-1))))</f>
        <v>26231.72999999996</v>
      </c>
      <c r="C1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8" s="14">
        <f>IF(tblSubjectToLoan[[#This Row],[Payment]]=0,0,MAX(0,MIN(tblSubjectToLoan[[#This Row],[Beginning Balance]],tblSubjectToLoan[[#This Row],[Payment]]-tblSubjectToLoan[[#This Row],[Int]])))</f>
        <v>543.83999999999992</v>
      </c>
      <c r="E188" s="14">
        <f>IF(tblSubjectToLoan[[#This Row],[Date]]="",0,ROUND(tblSubjectToLoan[[#This Row],[Beginning Balance]]*(subjectInterestRate/12),2))</f>
        <v>81.97</v>
      </c>
      <c r="F188" s="14">
        <f t="shared" si="14"/>
        <v>134.16999999999999</v>
      </c>
      <c r="G188" s="14">
        <f t="shared" si="14"/>
        <v>188.55</v>
      </c>
      <c r="H188" s="14">
        <f>SUM(tblSubjectToLoan[[#This Row],[Princ]],tblSubjectToLoan[[#This Row],[Int]],tblSubjectToLoan[[#This Row],[Ins]],tblSubjectToLoan[[#This Row],[Taxes]])</f>
        <v>948.53</v>
      </c>
      <c r="I188" s="276">
        <f>IF(tblSubjectToLoan[[#This Row],[Date]]="",IF(ROW()=ROW(tblSubjectToLoan[#Headers])+1,0,INDEX(tblSubjectToLoan[Principal],ROW()-ROW(tblSubjectToLoan[#Headers])-1)),tblSubjectToLoan[[#This Row],[Princ]]+IF(ROW()=ROW(tblSubjectToLoan[#Headers])+1,0,INDEX(tblSubjectToLoan[Principal],ROW()-ROW(tblSubjectToLoan[#Headers])-1)))</f>
        <v>71540.109999999971</v>
      </c>
      <c r="J188" s="276">
        <f>IF(tblSubjectToLoan[[#This Row],[Date]]="",IF(ROW()=ROW(tblSubjectToLoan[#Headers])+1,0,INDEX(tblSubjectToLoan[Interest],ROW()-ROW(tblSubjectToLoan[#Headers])-1)),tblSubjectToLoan[[#This Row],[Int]]+IF(ROW()=ROW(tblSubjectToLoan[#Headers])+1,0,INDEX(tblSubjectToLoan[Interest],ROW()-ROW(tblSubjectToLoan[#Headers])-1)))</f>
        <v>34221.779999999977</v>
      </c>
      <c r="K188" s="969">
        <f>IF(tblSubjectToLoan[[#This Row],[Date]]="",0,MAX(0,tblSubjectToLoan[[#This Row],[Beginning Balance]]-tblSubjectToLoan[[#This Row],[Princ]]))</f>
        <v>25687.889999999959</v>
      </c>
      <c r="L188" s="394">
        <f t="shared" si="15"/>
        <v>14</v>
      </c>
      <c r="M188" s="394">
        <f t="shared" si="12"/>
        <v>168</v>
      </c>
      <c r="N188" s="613">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67">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4028.4600000000146</v>
      </c>
      <c r="AD188" s="276">
        <f>IF(INDEX(tblContractForDeed[End Bal],ROW()-ROW(tblBuyerOutputs[#Headers]))&lt;=0,0,($O$6+IF(ROW()=ROW(tblBuyerOutputs[#Headers])+1,0,INDEX(tblBuyerOutputs[Cumul Appr],ROW()-ROW(tblBuyerOutputs[#Headers])-1)))*$O$2/12)</f>
        <v>0</v>
      </c>
      <c r="AE188" s="276">
        <f>IF(INDEX(tblContractForDeed[End Bal],ROW()-ROW(tblBuyerOutputs[#Headers]))&lt;=0,0,IF(ROW()=ROW(tblBuyerOutputs[#Headers])+1,0,INDEX(tblBuyerOutputs[Cumul Appr],ROW()-ROW(tblBuyerOutputs[#Headers])-1))+tblBuyerOutputs[[#This Row],[Monthly Appr]])</f>
        <v>0</v>
      </c>
      <c r="AF188" s="22"/>
      <c r="AG188" s="14"/>
      <c r="AL188"/>
      <c r="AM188" s="14"/>
      <c r="AO188" s="276"/>
      <c r="AQ188" s="14"/>
      <c r="AR188"/>
    </row>
    <row r="189" spans="1:44" x14ac:dyDescent="0.25">
      <c r="A189" s="613">
        <f>IF(ROW()=ROW(tblSubjectToLoan[#Headers])+1,subjectKnownBalanceDate,IF(OR(INDEX(tblSubjectToLoan[Date],ROW()-ROW(tblSubjectToLoan[#Headers])-1)="",INDEX(tblSubjectToLoan[Date],ROW()-ROW(tblSubjectToLoan[#Headers])-1)&gt;=subjectMortgageEndDate),"",EDATE(INDEX(tblSubjectToLoan[Date],ROW()-ROW(tblSubjectToLoan[#Headers])-1),1)))</f>
        <v>51014</v>
      </c>
      <c r="B189" s="276">
        <f>IF(tblSubjectToLoan[[#This Row],[Date]]="",0,IF(ROW()=ROW(tblSubjectToLoan[#Headers])+1,subjectKnownBalance,MAX(0,INDEX(tblSubjectToLoan[Ending Balance],ROW()-ROW(tblSubjectToLoan[#Headers])-1))))</f>
        <v>25687.889999999959</v>
      </c>
      <c r="C1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9" s="14">
        <f>IF(tblSubjectToLoan[[#This Row],[Payment]]=0,0,MAX(0,MIN(tblSubjectToLoan[[#This Row],[Beginning Balance]],tblSubjectToLoan[[#This Row],[Payment]]-tblSubjectToLoan[[#This Row],[Int]])))</f>
        <v>545.54</v>
      </c>
      <c r="E189" s="14">
        <f>IF(tblSubjectToLoan[[#This Row],[Date]]="",0,ROUND(tblSubjectToLoan[[#This Row],[Beginning Balance]]*(subjectInterestRate/12),2))</f>
        <v>80.27</v>
      </c>
      <c r="F189" s="14">
        <f t="shared" si="14"/>
        <v>134.16999999999999</v>
      </c>
      <c r="G189" s="14">
        <f t="shared" si="14"/>
        <v>188.55</v>
      </c>
      <c r="H189" s="14">
        <f>SUM(tblSubjectToLoan[[#This Row],[Princ]],tblSubjectToLoan[[#This Row],[Int]],tblSubjectToLoan[[#This Row],[Ins]],tblSubjectToLoan[[#This Row],[Taxes]])</f>
        <v>948.53</v>
      </c>
      <c r="I189" s="276">
        <f>IF(tblSubjectToLoan[[#This Row],[Date]]="",IF(ROW()=ROW(tblSubjectToLoan[#Headers])+1,0,INDEX(tblSubjectToLoan[Principal],ROW()-ROW(tblSubjectToLoan[#Headers])-1)),tblSubjectToLoan[[#This Row],[Princ]]+IF(ROW()=ROW(tblSubjectToLoan[#Headers])+1,0,INDEX(tblSubjectToLoan[Principal],ROW()-ROW(tblSubjectToLoan[#Headers])-1)))</f>
        <v>72085.649999999965</v>
      </c>
      <c r="J189" s="276">
        <f>IF(tblSubjectToLoan[[#This Row],[Date]]="",IF(ROW()=ROW(tblSubjectToLoan[#Headers])+1,0,INDEX(tblSubjectToLoan[Interest],ROW()-ROW(tblSubjectToLoan[#Headers])-1)),tblSubjectToLoan[[#This Row],[Int]]+IF(ROW()=ROW(tblSubjectToLoan[#Headers])+1,0,INDEX(tblSubjectToLoan[Interest],ROW()-ROW(tblSubjectToLoan[#Headers])-1)))</f>
        <v>34302.049999999974</v>
      </c>
      <c r="K189" s="969">
        <f>IF(tblSubjectToLoan[[#This Row],[Date]]="",0,MAX(0,tblSubjectToLoan[[#This Row],[Beginning Balance]]-tblSubjectToLoan[[#This Row],[Princ]]))</f>
        <v>25142.349999999959</v>
      </c>
      <c r="L189" s="394">
        <f t="shared" si="15"/>
        <v>14</v>
      </c>
      <c r="M189" s="394">
        <f t="shared" si="12"/>
        <v>169</v>
      </c>
      <c r="N189" s="613">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67">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4062.5500000000147</v>
      </c>
      <c r="AD189" s="276">
        <f>IF(INDEX(tblContractForDeed[End Bal],ROW()-ROW(tblBuyerOutputs[#Headers]))&lt;=0,0,($O$6+IF(ROW()=ROW(tblBuyerOutputs[#Headers])+1,0,INDEX(tblBuyerOutputs[Cumul Appr],ROW()-ROW(tblBuyerOutputs[#Headers])-1)))*$O$2/12)</f>
        <v>0</v>
      </c>
      <c r="AE189" s="276">
        <f>IF(INDEX(tblContractForDeed[End Bal],ROW()-ROW(tblBuyerOutputs[#Headers]))&lt;=0,0,IF(ROW()=ROW(tblBuyerOutputs[#Headers])+1,0,INDEX(tblBuyerOutputs[Cumul Appr],ROW()-ROW(tblBuyerOutputs[#Headers])-1))+tblBuyerOutputs[[#This Row],[Monthly Appr]])</f>
        <v>0</v>
      </c>
      <c r="AF189" s="22"/>
      <c r="AG189" s="14"/>
      <c r="AL189"/>
      <c r="AM189" s="14"/>
      <c r="AO189" s="276"/>
      <c r="AQ189" s="14"/>
      <c r="AR189"/>
    </row>
    <row r="190" spans="1:44" x14ac:dyDescent="0.25">
      <c r="A190" s="613">
        <f>IF(ROW()=ROW(tblSubjectToLoan[#Headers])+1,subjectKnownBalanceDate,IF(OR(INDEX(tblSubjectToLoan[Date],ROW()-ROW(tblSubjectToLoan[#Headers])-1)="",INDEX(tblSubjectToLoan[Date],ROW()-ROW(tblSubjectToLoan[#Headers])-1)&gt;=subjectMortgageEndDate),"",EDATE(INDEX(tblSubjectToLoan[Date],ROW()-ROW(tblSubjectToLoan[#Headers])-1),1)))</f>
        <v>51044</v>
      </c>
      <c r="B190" s="276">
        <f>IF(tblSubjectToLoan[[#This Row],[Date]]="",0,IF(ROW()=ROW(tblSubjectToLoan[#Headers])+1,subjectKnownBalance,MAX(0,INDEX(tblSubjectToLoan[Ending Balance],ROW()-ROW(tblSubjectToLoan[#Headers])-1))))</f>
        <v>25142.349999999959</v>
      </c>
      <c r="C1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0" s="14">
        <f>IF(tblSubjectToLoan[[#This Row],[Payment]]=0,0,MAX(0,MIN(tblSubjectToLoan[[#This Row],[Beginning Balance]],tblSubjectToLoan[[#This Row],[Payment]]-tblSubjectToLoan[[#This Row],[Int]])))</f>
        <v>547.24</v>
      </c>
      <c r="E190" s="14">
        <f>IF(tblSubjectToLoan[[#This Row],[Date]]="",0,ROUND(tblSubjectToLoan[[#This Row],[Beginning Balance]]*(subjectInterestRate/12),2))</f>
        <v>78.569999999999993</v>
      </c>
      <c r="F190" s="14">
        <f t="shared" si="14"/>
        <v>134.16999999999999</v>
      </c>
      <c r="G190" s="14">
        <f t="shared" si="14"/>
        <v>188.55</v>
      </c>
      <c r="H190" s="14">
        <f>SUM(tblSubjectToLoan[[#This Row],[Princ]],tblSubjectToLoan[[#This Row],[Int]],tblSubjectToLoan[[#This Row],[Ins]],tblSubjectToLoan[[#This Row],[Taxes]])</f>
        <v>948.53</v>
      </c>
      <c r="I190" s="276">
        <f>IF(tblSubjectToLoan[[#This Row],[Date]]="",IF(ROW()=ROW(tblSubjectToLoan[#Headers])+1,0,INDEX(tblSubjectToLoan[Principal],ROW()-ROW(tblSubjectToLoan[#Headers])-1)),tblSubjectToLoan[[#This Row],[Princ]]+IF(ROW()=ROW(tblSubjectToLoan[#Headers])+1,0,INDEX(tblSubjectToLoan[Principal],ROW()-ROW(tblSubjectToLoan[#Headers])-1)))</f>
        <v>72632.88999999997</v>
      </c>
      <c r="J190" s="276">
        <f>IF(tblSubjectToLoan[[#This Row],[Date]]="",IF(ROW()=ROW(tblSubjectToLoan[#Headers])+1,0,INDEX(tblSubjectToLoan[Interest],ROW()-ROW(tblSubjectToLoan[#Headers])-1)),tblSubjectToLoan[[#This Row],[Int]]+IF(ROW()=ROW(tblSubjectToLoan[#Headers])+1,0,INDEX(tblSubjectToLoan[Interest],ROW()-ROW(tblSubjectToLoan[#Headers])-1)))</f>
        <v>34380.619999999974</v>
      </c>
      <c r="K190" s="969">
        <f>IF(tblSubjectToLoan[[#This Row],[Date]]="",0,MAX(0,tblSubjectToLoan[[#This Row],[Beginning Balance]]-tblSubjectToLoan[[#This Row],[Princ]]))</f>
        <v>24595.109999999957</v>
      </c>
      <c r="L190" s="394">
        <f t="shared" si="15"/>
        <v>14</v>
      </c>
      <c r="M190" s="394">
        <f t="shared" si="12"/>
        <v>170</v>
      </c>
      <c r="N190" s="613">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67">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4096.6400000000149</v>
      </c>
      <c r="AD190" s="276">
        <f>IF(INDEX(tblContractForDeed[End Bal],ROW()-ROW(tblBuyerOutputs[#Headers]))&lt;=0,0,($O$6+IF(ROW()=ROW(tblBuyerOutputs[#Headers])+1,0,INDEX(tblBuyerOutputs[Cumul Appr],ROW()-ROW(tblBuyerOutputs[#Headers])-1)))*$O$2/12)</f>
        <v>0</v>
      </c>
      <c r="AE190" s="276">
        <f>IF(INDEX(tblContractForDeed[End Bal],ROW()-ROW(tblBuyerOutputs[#Headers]))&lt;=0,0,IF(ROW()=ROW(tblBuyerOutputs[#Headers])+1,0,INDEX(tblBuyerOutputs[Cumul Appr],ROW()-ROW(tblBuyerOutputs[#Headers])-1))+tblBuyerOutputs[[#This Row],[Monthly Appr]])</f>
        <v>0</v>
      </c>
      <c r="AF190" s="22"/>
      <c r="AG190" s="14"/>
      <c r="AL190"/>
      <c r="AM190" s="14"/>
      <c r="AO190" s="276"/>
      <c r="AQ190" s="14"/>
      <c r="AR190"/>
    </row>
    <row r="191" spans="1:44" x14ac:dyDescent="0.25">
      <c r="A191" s="613">
        <f>IF(ROW()=ROW(tblSubjectToLoan[#Headers])+1,subjectKnownBalanceDate,IF(OR(INDEX(tblSubjectToLoan[Date],ROW()-ROW(tblSubjectToLoan[#Headers])-1)="",INDEX(tblSubjectToLoan[Date],ROW()-ROW(tblSubjectToLoan[#Headers])-1)&gt;=subjectMortgageEndDate),"",EDATE(INDEX(tblSubjectToLoan[Date],ROW()-ROW(tblSubjectToLoan[#Headers])-1),1)))</f>
        <v>51075</v>
      </c>
      <c r="B191" s="276">
        <f>IF(tblSubjectToLoan[[#This Row],[Date]]="",0,IF(ROW()=ROW(tblSubjectToLoan[#Headers])+1,subjectKnownBalance,MAX(0,INDEX(tblSubjectToLoan[Ending Balance],ROW()-ROW(tblSubjectToLoan[#Headers])-1))))</f>
        <v>24595.109999999957</v>
      </c>
      <c r="C1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1" s="14">
        <f>IF(tblSubjectToLoan[[#This Row],[Payment]]=0,0,MAX(0,MIN(tblSubjectToLoan[[#This Row],[Beginning Balance]],tblSubjectToLoan[[#This Row],[Payment]]-tblSubjectToLoan[[#This Row],[Int]])))</f>
        <v>548.94999999999993</v>
      </c>
      <c r="E191" s="14">
        <f>IF(tblSubjectToLoan[[#This Row],[Date]]="",0,ROUND(tblSubjectToLoan[[#This Row],[Beginning Balance]]*(subjectInterestRate/12),2))</f>
        <v>76.86</v>
      </c>
      <c r="F191" s="14">
        <f t="shared" ref="F191:G206" si="16">+F190</f>
        <v>134.16999999999999</v>
      </c>
      <c r="G191" s="14">
        <f t="shared" si="16"/>
        <v>188.55</v>
      </c>
      <c r="H191" s="14">
        <f>SUM(tblSubjectToLoan[[#This Row],[Princ]],tblSubjectToLoan[[#This Row],[Int]],tblSubjectToLoan[[#This Row],[Ins]],tblSubjectToLoan[[#This Row],[Taxes]])</f>
        <v>948.53</v>
      </c>
      <c r="I191" s="276">
        <f>IF(tblSubjectToLoan[[#This Row],[Date]]="",IF(ROW()=ROW(tblSubjectToLoan[#Headers])+1,0,INDEX(tblSubjectToLoan[Principal],ROW()-ROW(tblSubjectToLoan[#Headers])-1)),tblSubjectToLoan[[#This Row],[Princ]]+IF(ROW()=ROW(tblSubjectToLoan[#Headers])+1,0,INDEX(tblSubjectToLoan[Principal],ROW()-ROW(tblSubjectToLoan[#Headers])-1)))</f>
        <v>73181.839999999967</v>
      </c>
      <c r="J191" s="276">
        <f>IF(tblSubjectToLoan[[#This Row],[Date]]="",IF(ROW()=ROW(tblSubjectToLoan[#Headers])+1,0,INDEX(tblSubjectToLoan[Interest],ROW()-ROW(tblSubjectToLoan[#Headers])-1)),tblSubjectToLoan[[#This Row],[Int]]+IF(ROW()=ROW(tblSubjectToLoan[#Headers])+1,0,INDEX(tblSubjectToLoan[Interest],ROW()-ROW(tblSubjectToLoan[#Headers])-1)))</f>
        <v>34457.479999999974</v>
      </c>
      <c r="K191" s="969">
        <f>IF(tblSubjectToLoan[[#This Row],[Date]]="",0,MAX(0,tblSubjectToLoan[[#This Row],[Beginning Balance]]-tblSubjectToLoan[[#This Row],[Princ]]))</f>
        <v>24046.159999999956</v>
      </c>
      <c r="L191" s="394">
        <f t="shared" si="15"/>
        <v>14</v>
      </c>
      <c r="M191" s="394">
        <f t="shared" si="12"/>
        <v>171</v>
      </c>
      <c r="N191" s="613">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67">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4130.730000000015</v>
      </c>
      <c r="AD191" s="276">
        <f>IF(INDEX(tblContractForDeed[End Bal],ROW()-ROW(tblBuyerOutputs[#Headers]))&lt;=0,0,($O$6+IF(ROW()=ROW(tblBuyerOutputs[#Headers])+1,0,INDEX(tblBuyerOutputs[Cumul Appr],ROW()-ROW(tblBuyerOutputs[#Headers])-1)))*$O$2/12)</f>
        <v>0</v>
      </c>
      <c r="AE191" s="276">
        <f>IF(INDEX(tblContractForDeed[End Bal],ROW()-ROW(tblBuyerOutputs[#Headers]))&lt;=0,0,IF(ROW()=ROW(tblBuyerOutputs[#Headers])+1,0,INDEX(tblBuyerOutputs[Cumul Appr],ROW()-ROW(tblBuyerOutputs[#Headers])-1))+tblBuyerOutputs[[#This Row],[Monthly Appr]])</f>
        <v>0</v>
      </c>
      <c r="AF191" s="22"/>
      <c r="AG191" s="14"/>
      <c r="AL191"/>
      <c r="AM191" s="14"/>
      <c r="AO191" s="276"/>
      <c r="AQ191" s="14"/>
      <c r="AR191"/>
    </row>
    <row r="192" spans="1:44" x14ac:dyDescent="0.25">
      <c r="A192" s="613">
        <f>IF(ROW()=ROW(tblSubjectToLoan[#Headers])+1,subjectKnownBalanceDate,IF(OR(INDEX(tblSubjectToLoan[Date],ROW()-ROW(tblSubjectToLoan[#Headers])-1)="",INDEX(tblSubjectToLoan[Date],ROW()-ROW(tblSubjectToLoan[#Headers])-1)&gt;=subjectMortgageEndDate),"",EDATE(INDEX(tblSubjectToLoan[Date],ROW()-ROW(tblSubjectToLoan[#Headers])-1),1)))</f>
        <v>51105</v>
      </c>
      <c r="B192" s="276">
        <f>IF(tblSubjectToLoan[[#This Row],[Date]]="",0,IF(ROW()=ROW(tblSubjectToLoan[#Headers])+1,subjectKnownBalance,MAX(0,INDEX(tblSubjectToLoan[Ending Balance],ROW()-ROW(tblSubjectToLoan[#Headers])-1))))</f>
        <v>24046.159999999956</v>
      </c>
      <c r="C1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2" s="14">
        <f>IF(tblSubjectToLoan[[#This Row],[Payment]]=0,0,MAX(0,MIN(tblSubjectToLoan[[#This Row],[Beginning Balance]],tblSubjectToLoan[[#This Row],[Payment]]-tblSubjectToLoan[[#This Row],[Int]])))</f>
        <v>550.66999999999996</v>
      </c>
      <c r="E192" s="14">
        <f>IF(tblSubjectToLoan[[#This Row],[Date]]="",0,ROUND(tblSubjectToLoan[[#This Row],[Beginning Balance]]*(subjectInterestRate/12),2))</f>
        <v>75.14</v>
      </c>
      <c r="F192" s="14">
        <f t="shared" si="16"/>
        <v>134.16999999999999</v>
      </c>
      <c r="G192" s="14">
        <f t="shared" si="16"/>
        <v>188.55</v>
      </c>
      <c r="H192" s="14">
        <f>SUM(tblSubjectToLoan[[#This Row],[Princ]],tblSubjectToLoan[[#This Row],[Int]],tblSubjectToLoan[[#This Row],[Ins]],tblSubjectToLoan[[#This Row],[Taxes]])</f>
        <v>948.53</v>
      </c>
      <c r="I192" s="276">
        <f>IF(tblSubjectToLoan[[#This Row],[Date]]="",IF(ROW()=ROW(tblSubjectToLoan[#Headers])+1,0,INDEX(tblSubjectToLoan[Principal],ROW()-ROW(tblSubjectToLoan[#Headers])-1)),tblSubjectToLoan[[#This Row],[Princ]]+IF(ROW()=ROW(tblSubjectToLoan[#Headers])+1,0,INDEX(tblSubjectToLoan[Principal],ROW()-ROW(tblSubjectToLoan[#Headers])-1)))</f>
        <v>73732.509999999966</v>
      </c>
      <c r="J192" s="276">
        <f>IF(tblSubjectToLoan[[#This Row],[Date]]="",IF(ROW()=ROW(tblSubjectToLoan[#Headers])+1,0,INDEX(tblSubjectToLoan[Interest],ROW()-ROW(tblSubjectToLoan[#Headers])-1)),tblSubjectToLoan[[#This Row],[Int]]+IF(ROW()=ROW(tblSubjectToLoan[#Headers])+1,0,INDEX(tblSubjectToLoan[Interest],ROW()-ROW(tblSubjectToLoan[#Headers])-1)))</f>
        <v>34532.619999999974</v>
      </c>
      <c r="K192" s="969">
        <f>IF(tblSubjectToLoan[[#This Row],[Date]]="",0,MAX(0,tblSubjectToLoan[[#This Row],[Beginning Balance]]-tblSubjectToLoan[[#This Row],[Princ]]))</f>
        <v>23495.489999999958</v>
      </c>
      <c r="L192" s="394">
        <f t="shared" si="15"/>
        <v>14</v>
      </c>
      <c r="M192" s="394">
        <f t="shared" si="12"/>
        <v>172</v>
      </c>
      <c r="N192" s="613">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67">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4164.8200000000152</v>
      </c>
      <c r="AD192" s="276">
        <f>IF(INDEX(tblContractForDeed[End Bal],ROW()-ROW(tblBuyerOutputs[#Headers]))&lt;=0,0,($O$6+IF(ROW()=ROW(tblBuyerOutputs[#Headers])+1,0,INDEX(tblBuyerOutputs[Cumul Appr],ROW()-ROW(tblBuyerOutputs[#Headers])-1)))*$O$2/12)</f>
        <v>0</v>
      </c>
      <c r="AE192" s="276">
        <f>IF(INDEX(tblContractForDeed[End Bal],ROW()-ROW(tblBuyerOutputs[#Headers]))&lt;=0,0,IF(ROW()=ROW(tblBuyerOutputs[#Headers])+1,0,INDEX(tblBuyerOutputs[Cumul Appr],ROW()-ROW(tblBuyerOutputs[#Headers])-1))+tblBuyerOutputs[[#This Row],[Monthly Appr]])</f>
        <v>0</v>
      </c>
      <c r="AF192" s="22"/>
      <c r="AG192" s="14"/>
      <c r="AL192"/>
      <c r="AM192" s="14"/>
      <c r="AO192" s="276"/>
      <c r="AQ192" s="14"/>
      <c r="AR192"/>
    </row>
    <row r="193" spans="1:44" x14ac:dyDescent="0.25">
      <c r="A193" s="613">
        <f>IF(ROW()=ROW(tblSubjectToLoan[#Headers])+1,subjectKnownBalanceDate,IF(OR(INDEX(tblSubjectToLoan[Date],ROW()-ROW(tblSubjectToLoan[#Headers])-1)="",INDEX(tblSubjectToLoan[Date],ROW()-ROW(tblSubjectToLoan[#Headers])-1)&gt;=subjectMortgageEndDate),"",EDATE(INDEX(tblSubjectToLoan[Date],ROW()-ROW(tblSubjectToLoan[#Headers])-1),1)))</f>
        <v>51136</v>
      </c>
      <c r="B193" s="276">
        <f>IF(tblSubjectToLoan[[#This Row],[Date]]="",0,IF(ROW()=ROW(tblSubjectToLoan[#Headers])+1,subjectKnownBalance,MAX(0,INDEX(tblSubjectToLoan[Ending Balance],ROW()-ROW(tblSubjectToLoan[#Headers])-1))))</f>
        <v>23495.489999999958</v>
      </c>
      <c r="C1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3" s="14">
        <f>IF(tblSubjectToLoan[[#This Row],[Payment]]=0,0,MAX(0,MIN(tblSubjectToLoan[[#This Row],[Beginning Balance]],tblSubjectToLoan[[#This Row],[Payment]]-tblSubjectToLoan[[#This Row],[Int]])))</f>
        <v>552.39</v>
      </c>
      <c r="E193" s="14">
        <f>IF(tblSubjectToLoan[[#This Row],[Date]]="",0,ROUND(tblSubjectToLoan[[#This Row],[Beginning Balance]]*(subjectInterestRate/12),2))</f>
        <v>73.42</v>
      </c>
      <c r="F193" s="14">
        <f t="shared" si="16"/>
        <v>134.16999999999999</v>
      </c>
      <c r="G193" s="14">
        <f t="shared" si="16"/>
        <v>188.55</v>
      </c>
      <c r="H193" s="14">
        <f>SUM(tblSubjectToLoan[[#This Row],[Princ]],tblSubjectToLoan[[#This Row],[Int]],tblSubjectToLoan[[#This Row],[Ins]],tblSubjectToLoan[[#This Row],[Taxes]])</f>
        <v>948.53</v>
      </c>
      <c r="I193" s="276">
        <f>IF(tblSubjectToLoan[[#This Row],[Date]]="",IF(ROW()=ROW(tblSubjectToLoan[#Headers])+1,0,INDEX(tblSubjectToLoan[Principal],ROW()-ROW(tblSubjectToLoan[#Headers])-1)),tblSubjectToLoan[[#This Row],[Princ]]+IF(ROW()=ROW(tblSubjectToLoan[#Headers])+1,0,INDEX(tblSubjectToLoan[Principal],ROW()-ROW(tblSubjectToLoan[#Headers])-1)))</f>
        <v>74284.899999999965</v>
      </c>
      <c r="J193" s="276">
        <f>IF(tblSubjectToLoan[[#This Row],[Date]]="",IF(ROW()=ROW(tblSubjectToLoan[#Headers])+1,0,INDEX(tblSubjectToLoan[Interest],ROW()-ROW(tblSubjectToLoan[#Headers])-1)),tblSubjectToLoan[[#This Row],[Int]]+IF(ROW()=ROW(tblSubjectToLoan[#Headers])+1,0,INDEX(tblSubjectToLoan[Interest],ROW()-ROW(tblSubjectToLoan[#Headers])-1)))</f>
        <v>34606.039999999972</v>
      </c>
      <c r="K193" s="969">
        <f>IF(tblSubjectToLoan[[#This Row],[Date]]="",0,MAX(0,tblSubjectToLoan[[#This Row],[Beginning Balance]]-tblSubjectToLoan[[#This Row],[Princ]]))</f>
        <v>22943.099999999959</v>
      </c>
      <c r="L193" s="394">
        <f t="shared" si="15"/>
        <v>14</v>
      </c>
      <c r="M193" s="394">
        <f t="shared" si="12"/>
        <v>173</v>
      </c>
      <c r="N193" s="613">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67">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4198.9100000000153</v>
      </c>
      <c r="AD193" s="276">
        <f>IF(INDEX(tblContractForDeed[End Bal],ROW()-ROW(tblBuyerOutputs[#Headers]))&lt;=0,0,($O$6+IF(ROW()=ROW(tblBuyerOutputs[#Headers])+1,0,INDEX(tblBuyerOutputs[Cumul Appr],ROW()-ROW(tblBuyerOutputs[#Headers])-1)))*$O$2/12)</f>
        <v>0</v>
      </c>
      <c r="AE193" s="276">
        <f>IF(INDEX(tblContractForDeed[End Bal],ROW()-ROW(tblBuyerOutputs[#Headers]))&lt;=0,0,IF(ROW()=ROW(tblBuyerOutputs[#Headers])+1,0,INDEX(tblBuyerOutputs[Cumul Appr],ROW()-ROW(tblBuyerOutputs[#Headers])-1))+tblBuyerOutputs[[#This Row],[Monthly Appr]])</f>
        <v>0</v>
      </c>
      <c r="AF193" s="22"/>
      <c r="AG193" s="14"/>
      <c r="AL193"/>
      <c r="AM193" s="14"/>
      <c r="AO193" s="276"/>
      <c r="AQ193" s="14"/>
      <c r="AR193"/>
    </row>
    <row r="194" spans="1:44" x14ac:dyDescent="0.25">
      <c r="A194" s="613">
        <f>IF(ROW()=ROW(tblSubjectToLoan[#Headers])+1,subjectKnownBalanceDate,IF(OR(INDEX(tblSubjectToLoan[Date],ROW()-ROW(tblSubjectToLoan[#Headers])-1)="",INDEX(tblSubjectToLoan[Date],ROW()-ROW(tblSubjectToLoan[#Headers])-1)&gt;=subjectMortgageEndDate),"",EDATE(INDEX(tblSubjectToLoan[Date],ROW()-ROW(tblSubjectToLoan[#Headers])-1),1)))</f>
        <v>51167</v>
      </c>
      <c r="B194" s="276">
        <f>IF(tblSubjectToLoan[[#This Row],[Date]]="",0,IF(ROW()=ROW(tblSubjectToLoan[#Headers])+1,subjectKnownBalance,MAX(0,INDEX(tblSubjectToLoan[Ending Balance],ROW()-ROW(tblSubjectToLoan[#Headers])-1))))</f>
        <v>22943.099999999959</v>
      </c>
      <c r="C1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4" s="14">
        <f>IF(tblSubjectToLoan[[#This Row],[Payment]]=0,0,MAX(0,MIN(tblSubjectToLoan[[#This Row],[Beginning Balance]],tblSubjectToLoan[[#This Row],[Payment]]-tblSubjectToLoan[[#This Row],[Int]])))</f>
        <v>554.1099999999999</v>
      </c>
      <c r="E194" s="14">
        <f>IF(tblSubjectToLoan[[#This Row],[Date]]="",0,ROUND(tblSubjectToLoan[[#This Row],[Beginning Balance]]*(subjectInterestRate/12),2))</f>
        <v>71.7</v>
      </c>
      <c r="F194" s="14">
        <f t="shared" si="16"/>
        <v>134.16999999999999</v>
      </c>
      <c r="G194" s="14">
        <f t="shared" si="16"/>
        <v>188.55</v>
      </c>
      <c r="H194" s="14">
        <f>SUM(tblSubjectToLoan[[#This Row],[Princ]],tblSubjectToLoan[[#This Row],[Int]],tblSubjectToLoan[[#This Row],[Ins]],tblSubjectToLoan[[#This Row],[Taxes]])</f>
        <v>948.53</v>
      </c>
      <c r="I194" s="276">
        <f>IF(tblSubjectToLoan[[#This Row],[Date]]="",IF(ROW()=ROW(tblSubjectToLoan[#Headers])+1,0,INDEX(tblSubjectToLoan[Principal],ROW()-ROW(tblSubjectToLoan[#Headers])-1)),tblSubjectToLoan[[#This Row],[Princ]]+IF(ROW()=ROW(tblSubjectToLoan[#Headers])+1,0,INDEX(tblSubjectToLoan[Principal],ROW()-ROW(tblSubjectToLoan[#Headers])-1)))</f>
        <v>74839.009999999966</v>
      </c>
      <c r="J194" s="276">
        <f>IF(tblSubjectToLoan[[#This Row],[Date]]="",IF(ROW()=ROW(tblSubjectToLoan[#Headers])+1,0,INDEX(tblSubjectToLoan[Interest],ROW()-ROW(tblSubjectToLoan[#Headers])-1)),tblSubjectToLoan[[#This Row],[Int]]+IF(ROW()=ROW(tblSubjectToLoan[#Headers])+1,0,INDEX(tblSubjectToLoan[Interest],ROW()-ROW(tblSubjectToLoan[#Headers])-1)))</f>
        <v>34677.739999999969</v>
      </c>
      <c r="K194" s="969">
        <f>IF(tblSubjectToLoan[[#This Row],[Date]]="",0,MAX(0,tblSubjectToLoan[[#This Row],[Beginning Balance]]-tblSubjectToLoan[[#This Row],[Princ]]))</f>
        <v>22388.989999999958</v>
      </c>
      <c r="L194" s="394">
        <f t="shared" si="15"/>
        <v>14</v>
      </c>
      <c r="M194" s="394">
        <f t="shared" si="12"/>
        <v>174</v>
      </c>
      <c r="N194" s="613">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67">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4233.0000000000155</v>
      </c>
      <c r="AD194" s="276">
        <f>IF(INDEX(tblContractForDeed[End Bal],ROW()-ROW(tblBuyerOutputs[#Headers]))&lt;=0,0,($O$6+IF(ROW()=ROW(tblBuyerOutputs[#Headers])+1,0,INDEX(tblBuyerOutputs[Cumul Appr],ROW()-ROW(tblBuyerOutputs[#Headers])-1)))*$O$2/12)</f>
        <v>0</v>
      </c>
      <c r="AE194" s="276">
        <f>IF(INDEX(tblContractForDeed[End Bal],ROW()-ROW(tblBuyerOutputs[#Headers]))&lt;=0,0,IF(ROW()=ROW(tblBuyerOutputs[#Headers])+1,0,INDEX(tblBuyerOutputs[Cumul Appr],ROW()-ROW(tblBuyerOutputs[#Headers])-1))+tblBuyerOutputs[[#This Row],[Monthly Appr]])</f>
        <v>0</v>
      </c>
      <c r="AF194" s="22"/>
      <c r="AG194" s="14"/>
      <c r="AL194"/>
      <c r="AM194" s="14"/>
      <c r="AO194" s="276"/>
      <c r="AQ194" s="14"/>
      <c r="AR194"/>
    </row>
    <row r="195" spans="1:44" x14ac:dyDescent="0.25">
      <c r="A195" s="613">
        <f>IF(ROW()=ROW(tblSubjectToLoan[#Headers])+1,subjectKnownBalanceDate,IF(OR(INDEX(tblSubjectToLoan[Date],ROW()-ROW(tblSubjectToLoan[#Headers])-1)="",INDEX(tblSubjectToLoan[Date],ROW()-ROW(tblSubjectToLoan[#Headers])-1)&gt;=subjectMortgageEndDate),"",EDATE(INDEX(tblSubjectToLoan[Date],ROW()-ROW(tblSubjectToLoan[#Headers])-1),1)))</f>
        <v>51196</v>
      </c>
      <c r="B195" s="276">
        <f>IF(tblSubjectToLoan[[#This Row],[Date]]="",0,IF(ROW()=ROW(tblSubjectToLoan[#Headers])+1,subjectKnownBalance,MAX(0,INDEX(tblSubjectToLoan[Ending Balance],ROW()-ROW(tblSubjectToLoan[#Headers])-1))))</f>
        <v>22388.989999999958</v>
      </c>
      <c r="C1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5" s="14">
        <f>IF(tblSubjectToLoan[[#This Row],[Payment]]=0,0,MAX(0,MIN(tblSubjectToLoan[[#This Row],[Beginning Balance]],tblSubjectToLoan[[#This Row],[Payment]]-tblSubjectToLoan[[#This Row],[Int]])))</f>
        <v>555.83999999999992</v>
      </c>
      <c r="E195" s="14">
        <f>IF(tblSubjectToLoan[[#This Row],[Date]]="",0,ROUND(tblSubjectToLoan[[#This Row],[Beginning Balance]]*(subjectInterestRate/12),2))</f>
        <v>69.97</v>
      </c>
      <c r="F195" s="14">
        <f t="shared" si="16"/>
        <v>134.16999999999999</v>
      </c>
      <c r="G195" s="14">
        <f t="shared" si="16"/>
        <v>188.55</v>
      </c>
      <c r="H195" s="14">
        <f>SUM(tblSubjectToLoan[[#This Row],[Princ]],tblSubjectToLoan[[#This Row],[Int]],tblSubjectToLoan[[#This Row],[Ins]],tblSubjectToLoan[[#This Row],[Taxes]])</f>
        <v>948.53</v>
      </c>
      <c r="I195" s="276">
        <f>IF(tblSubjectToLoan[[#This Row],[Date]]="",IF(ROW()=ROW(tblSubjectToLoan[#Headers])+1,0,INDEX(tblSubjectToLoan[Principal],ROW()-ROW(tblSubjectToLoan[#Headers])-1)),tblSubjectToLoan[[#This Row],[Princ]]+IF(ROW()=ROW(tblSubjectToLoan[#Headers])+1,0,INDEX(tblSubjectToLoan[Principal],ROW()-ROW(tblSubjectToLoan[#Headers])-1)))</f>
        <v>75394.849999999962</v>
      </c>
      <c r="J195" s="276">
        <f>IF(tblSubjectToLoan[[#This Row],[Date]]="",IF(ROW()=ROW(tblSubjectToLoan[#Headers])+1,0,INDEX(tblSubjectToLoan[Interest],ROW()-ROW(tblSubjectToLoan[#Headers])-1)),tblSubjectToLoan[[#This Row],[Int]]+IF(ROW()=ROW(tblSubjectToLoan[#Headers])+1,0,INDEX(tblSubjectToLoan[Interest],ROW()-ROW(tblSubjectToLoan[#Headers])-1)))</f>
        <v>34747.70999999997</v>
      </c>
      <c r="K195" s="969">
        <f>IF(tblSubjectToLoan[[#This Row],[Date]]="",0,MAX(0,tblSubjectToLoan[[#This Row],[Beginning Balance]]-tblSubjectToLoan[[#This Row],[Princ]]))</f>
        <v>21833.149999999958</v>
      </c>
      <c r="L195" s="394">
        <f t="shared" si="15"/>
        <v>14</v>
      </c>
      <c r="M195" s="394">
        <f t="shared" si="12"/>
        <v>175</v>
      </c>
      <c r="N195" s="613">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67">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4267.0900000000156</v>
      </c>
      <c r="AD195" s="276">
        <f>IF(INDEX(tblContractForDeed[End Bal],ROW()-ROW(tblBuyerOutputs[#Headers]))&lt;=0,0,($O$6+IF(ROW()=ROW(tblBuyerOutputs[#Headers])+1,0,INDEX(tblBuyerOutputs[Cumul Appr],ROW()-ROW(tblBuyerOutputs[#Headers])-1)))*$O$2/12)</f>
        <v>0</v>
      </c>
      <c r="AE195" s="276">
        <f>IF(INDEX(tblContractForDeed[End Bal],ROW()-ROW(tblBuyerOutputs[#Headers]))&lt;=0,0,IF(ROW()=ROW(tblBuyerOutputs[#Headers])+1,0,INDEX(tblBuyerOutputs[Cumul Appr],ROW()-ROW(tblBuyerOutputs[#Headers])-1))+tblBuyerOutputs[[#This Row],[Monthly Appr]])</f>
        <v>0</v>
      </c>
      <c r="AF195" s="22"/>
      <c r="AG195" s="14"/>
      <c r="AL195"/>
      <c r="AM195" s="14"/>
      <c r="AO195" s="276"/>
      <c r="AQ195" s="14"/>
      <c r="AR195"/>
    </row>
    <row r="196" spans="1:44" x14ac:dyDescent="0.25">
      <c r="A196" s="613">
        <f>IF(ROW()=ROW(tblSubjectToLoan[#Headers])+1,subjectKnownBalanceDate,IF(OR(INDEX(tblSubjectToLoan[Date],ROW()-ROW(tblSubjectToLoan[#Headers])-1)="",INDEX(tblSubjectToLoan[Date],ROW()-ROW(tblSubjectToLoan[#Headers])-1)&gt;=subjectMortgageEndDate),"",EDATE(INDEX(tblSubjectToLoan[Date],ROW()-ROW(tblSubjectToLoan[#Headers])-1),1)))</f>
        <v>51227</v>
      </c>
      <c r="B196" s="276">
        <f>IF(tblSubjectToLoan[[#This Row],[Date]]="",0,IF(ROW()=ROW(tblSubjectToLoan[#Headers])+1,subjectKnownBalance,MAX(0,INDEX(tblSubjectToLoan[Ending Balance],ROW()-ROW(tblSubjectToLoan[#Headers])-1))))</f>
        <v>21833.149999999958</v>
      </c>
      <c r="C1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6" s="14">
        <f>IF(tblSubjectToLoan[[#This Row],[Payment]]=0,0,MAX(0,MIN(tblSubjectToLoan[[#This Row],[Beginning Balance]],tblSubjectToLoan[[#This Row],[Payment]]-tblSubjectToLoan[[#This Row],[Int]])))</f>
        <v>557.57999999999993</v>
      </c>
      <c r="E196" s="14">
        <f>IF(tblSubjectToLoan[[#This Row],[Date]]="",0,ROUND(tblSubjectToLoan[[#This Row],[Beginning Balance]]*(subjectInterestRate/12),2))</f>
        <v>68.23</v>
      </c>
      <c r="F196" s="14">
        <f t="shared" si="16"/>
        <v>134.16999999999999</v>
      </c>
      <c r="G196" s="14">
        <f t="shared" si="16"/>
        <v>188.55</v>
      </c>
      <c r="H196" s="14">
        <f>SUM(tblSubjectToLoan[[#This Row],[Princ]],tblSubjectToLoan[[#This Row],[Int]],tblSubjectToLoan[[#This Row],[Ins]],tblSubjectToLoan[[#This Row],[Taxes]])</f>
        <v>948.53</v>
      </c>
      <c r="I196" s="276">
        <f>IF(tblSubjectToLoan[[#This Row],[Date]]="",IF(ROW()=ROW(tblSubjectToLoan[#Headers])+1,0,INDEX(tblSubjectToLoan[Principal],ROW()-ROW(tblSubjectToLoan[#Headers])-1)),tblSubjectToLoan[[#This Row],[Princ]]+IF(ROW()=ROW(tblSubjectToLoan[#Headers])+1,0,INDEX(tblSubjectToLoan[Principal],ROW()-ROW(tblSubjectToLoan[#Headers])-1)))</f>
        <v>75952.429999999964</v>
      </c>
      <c r="J196" s="276">
        <f>IF(tblSubjectToLoan[[#This Row],[Date]]="",IF(ROW()=ROW(tblSubjectToLoan[#Headers])+1,0,INDEX(tblSubjectToLoan[Interest],ROW()-ROW(tblSubjectToLoan[#Headers])-1)),tblSubjectToLoan[[#This Row],[Int]]+IF(ROW()=ROW(tblSubjectToLoan[#Headers])+1,0,INDEX(tblSubjectToLoan[Interest],ROW()-ROW(tblSubjectToLoan[#Headers])-1)))</f>
        <v>34815.939999999973</v>
      </c>
      <c r="K196" s="969">
        <f>IF(tblSubjectToLoan[[#This Row],[Date]]="",0,MAX(0,tblSubjectToLoan[[#This Row],[Beginning Balance]]-tblSubjectToLoan[[#This Row],[Princ]]))</f>
        <v>21275.569999999956</v>
      </c>
      <c r="L196" s="394">
        <f t="shared" si="15"/>
        <v>14</v>
      </c>
      <c r="M196" s="394">
        <f t="shared" si="12"/>
        <v>176</v>
      </c>
      <c r="N196" s="613">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67">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4301.1800000000158</v>
      </c>
      <c r="AD196" s="276">
        <f>IF(INDEX(tblContractForDeed[End Bal],ROW()-ROW(tblBuyerOutputs[#Headers]))&lt;=0,0,($O$6+IF(ROW()=ROW(tblBuyerOutputs[#Headers])+1,0,INDEX(tblBuyerOutputs[Cumul Appr],ROW()-ROW(tblBuyerOutputs[#Headers])-1)))*$O$2/12)</f>
        <v>0</v>
      </c>
      <c r="AE196" s="276">
        <f>IF(INDEX(tblContractForDeed[End Bal],ROW()-ROW(tblBuyerOutputs[#Headers]))&lt;=0,0,IF(ROW()=ROW(tblBuyerOutputs[#Headers])+1,0,INDEX(tblBuyerOutputs[Cumul Appr],ROW()-ROW(tblBuyerOutputs[#Headers])-1))+tblBuyerOutputs[[#This Row],[Monthly Appr]])</f>
        <v>0</v>
      </c>
      <c r="AF196" s="22"/>
      <c r="AG196" s="14"/>
      <c r="AL196"/>
      <c r="AM196" s="14"/>
      <c r="AO196" s="276"/>
      <c r="AQ196" s="14"/>
      <c r="AR196"/>
    </row>
    <row r="197" spans="1:44" x14ac:dyDescent="0.25">
      <c r="A197" s="613">
        <f>IF(ROW()=ROW(tblSubjectToLoan[#Headers])+1,subjectKnownBalanceDate,IF(OR(INDEX(tblSubjectToLoan[Date],ROW()-ROW(tblSubjectToLoan[#Headers])-1)="",INDEX(tblSubjectToLoan[Date],ROW()-ROW(tblSubjectToLoan[#Headers])-1)&gt;=subjectMortgageEndDate),"",EDATE(INDEX(tblSubjectToLoan[Date],ROW()-ROW(tblSubjectToLoan[#Headers])-1),1)))</f>
        <v>51257</v>
      </c>
      <c r="B197" s="276">
        <f>IF(tblSubjectToLoan[[#This Row],[Date]]="",0,IF(ROW()=ROW(tblSubjectToLoan[#Headers])+1,subjectKnownBalance,MAX(0,INDEX(tblSubjectToLoan[Ending Balance],ROW()-ROW(tblSubjectToLoan[#Headers])-1))))</f>
        <v>21275.569999999956</v>
      </c>
      <c r="C1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7" s="14">
        <f>IF(tblSubjectToLoan[[#This Row],[Payment]]=0,0,MAX(0,MIN(tblSubjectToLoan[[#This Row],[Beginning Balance]],tblSubjectToLoan[[#This Row],[Payment]]-tblSubjectToLoan[[#This Row],[Int]])))</f>
        <v>559.31999999999994</v>
      </c>
      <c r="E197" s="14">
        <f>IF(tblSubjectToLoan[[#This Row],[Date]]="",0,ROUND(tblSubjectToLoan[[#This Row],[Beginning Balance]]*(subjectInterestRate/12),2))</f>
        <v>66.489999999999995</v>
      </c>
      <c r="F197" s="14">
        <f t="shared" si="16"/>
        <v>134.16999999999999</v>
      </c>
      <c r="G197" s="14">
        <f t="shared" si="16"/>
        <v>188.55</v>
      </c>
      <c r="H197" s="14">
        <f>SUM(tblSubjectToLoan[[#This Row],[Princ]],tblSubjectToLoan[[#This Row],[Int]],tblSubjectToLoan[[#This Row],[Ins]],tblSubjectToLoan[[#This Row],[Taxes]])</f>
        <v>948.53</v>
      </c>
      <c r="I197" s="276">
        <f>IF(tblSubjectToLoan[[#This Row],[Date]]="",IF(ROW()=ROW(tblSubjectToLoan[#Headers])+1,0,INDEX(tblSubjectToLoan[Principal],ROW()-ROW(tblSubjectToLoan[#Headers])-1)),tblSubjectToLoan[[#This Row],[Princ]]+IF(ROW()=ROW(tblSubjectToLoan[#Headers])+1,0,INDEX(tblSubjectToLoan[Principal],ROW()-ROW(tblSubjectToLoan[#Headers])-1)))</f>
        <v>76511.749999999971</v>
      </c>
      <c r="J197" s="276">
        <f>IF(tblSubjectToLoan[[#This Row],[Date]]="",IF(ROW()=ROW(tblSubjectToLoan[#Headers])+1,0,INDEX(tblSubjectToLoan[Interest],ROW()-ROW(tblSubjectToLoan[#Headers])-1)),tblSubjectToLoan[[#This Row],[Int]]+IF(ROW()=ROW(tblSubjectToLoan[#Headers])+1,0,INDEX(tblSubjectToLoan[Interest],ROW()-ROW(tblSubjectToLoan[#Headers])-1)))</f>
        <v>34882.429999999971</v>
      </c>
      <c r="K197" s="969">
        <f>IF(tblSubjectToLoan[[#This Row],[Date]]="",0,MAX(0,tblSubjectToLoan[[#This Row],[Beginning Balance]]-tblSubjectToLoan[[#This Row],[Princ]]))</f>
        <v>20716.249999999956</v>
      </c>
      <c r="L197" s="394">
        <f t="shared" si="15"/>
        <v>14</v>
      </c>
      <c r="M197" s="394">
        <f t="shared" si="12"/>
        <v>177</v>
      </c>
      <c r="N197" s="613">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67">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4335.2700000000159</v>
      </c>
      <c r="AD197" s="276">
        <f>IF(INDEX(tblContractForDeed[End Bal],ROW()-ROW(tblBuyerOutputs[#Headers]))&lt;=0,0,($O$6+IF(ROW()=ROW(tblBuyerOutputs[#Headers])+1,0,INDEX(tblBuyerOutputs[Cumul Appr],ROW()-ROW(tblBuyerOutputs[#Headers])-1)))*$O$2/12)</f>
        <v>0</v>
      </c>
      <c r="AE197" s="276">
        <f>IF(INDEX(tblContractForDeed[End Bal],ROW()-ROW(tblBuyerOutputs[#Headers]))&lt;=0,0,IF(ROW()=ROW(tblBuyerOutputs[#Headers])+1,0,INDEX(tblBuyerOutputs[Cumul Appr],ROW()-ROW(tblBuyerOutputs[#Headers])-1))+tblBuyerOutputs[[#This Row],[Monthly Appr]])</f>
        <v>0</v>
      </c>
      <c r="AF197" s="22"/>
      <c r="AG197" s="14"/>
      <c r="AL197"/>
      <c r="AM197" s="14"/>
      <c r="AO197" s="276"/>
      <c r="AQ197" s="14"/>
      <c r="AR197"/>
    </row>
    <row r="198" spans="1:44" x14ac:dyDescent="0.25">
      <c r="A198" s="613">
        <f>IF(ROW()=ROW(tblSubjectToLoan[#Headers])+1,subjectKnownBalanceDate,IF(OR(INDEX(tblSubjectToLoan[Date],ROW()-ROW(tblSubjectToLoan[#Headers])-1)="",INDEX(tblSubjectToLoan[Date],ROW()-ROW(tblSubjectToLoan[#Headers])-1)&gt;=subjectMortgageEndDate),"",EDATE(INDEX(tblSubjectToLoan[Date],ROW()-ROW(tblSubjectToLoan[#Headers])-1),1)))</f>
        <v>51288</v>
      </c>
      <c r="B198" s="276">
        <f>IF(tblSubjectToLoan[[#This Row],[Date]]="",0,IF(ROW()=ROW(tblSubjectToLoan[#Headers])+1,subjectKnownBalance,MAX(0,INDEX(tblSubjectToLoan[Ending Balance],ROW()-ROW(tblSubjectToLoan[#Headers])-1))))</f>
        <v>20716.249999999956</v>
      </c>
      <c r="C1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8" s="14">
        <f>IF(tblSubjectToLoan[[#This Row],[Payment]]=0,0,MAX(0,MIN(tblSubjectToLoan[[#This Row],[Beginning Balance]],tblSubjectToLoan[[#This Row],[Payment]]-tblSubjectToLoan[[#This Row],[Int]])))</f>
        <v>561.06999999999994</v>
      </c>
      <c r="E198" s="14">
        <f>IF(tblSubjectToLoan[[#This Row],[Date]]="",0,ROUND(tblSubjectToLoan[[#This Row],[Beginning Balance]]*(subjectInterestRate/12),2))</f>
        <v>64.739999999999995</v>
      </c>
      <c r="F198" s="14">
        <f t="shared" si="16"/>
        <v>134.16999999999999</v>
      </c>
      <c r="G198" s="14">
        <f t="shared" si="16"/>
        <v>188.55</v>
      </c>
      <c r="H198" s="14">
        <f>SUM(tblSubjectToLoan[[#This Row],[Princ]],tblSubjectToLoan[[#This Row],[Int]],tblSubjectToLoan[[#This Row],[Ins]],tblSubjectToLoan[[#This Row],[Taxes]])</f>
        <v>948.53</v>
      </c>
      <c r="I198" s="276">
        <f>IF(tblSubjectToLoan[[#This Row],[Date]]="",IF(ROW()=ROW(tblSubjectToLoan[#Headers])+1,0,INDEX(tblSubjectToLoan[Principal],ROW()-ROW(tblSubjectToLoan[#Headers])-1)),tblSubjectToLoan[[#This Row],[Princ]]+IF(ROW()=ROW(tblSubjectToLoan[#Headers])+1,0,INDEX(tblSubjectToLoan[Principal],ROW()-ROW(tblSubjectToLoan[#Headers])-1)))</f>
        <v>77072.819999999978</v>
      </c>
      <c r="J198" s="276">
        <f>IF(tblSubjectToLoan[[#This Row],[Date]]="",IF(ROW()=ROW(tblSubjectToLoan[#Headers])+1,0,INDEX(tblSubjectToLoan[Interest],ROW()-ROW(tblSubjectToLoan[#Headers])-1)),tblSubjectToLoan[[#This Row],[Int]]+IF(ROW()=ROW(tblSubjectToLoan[#Headers])+1,0,INDEX(tblSubjectToLoan[Interest],ROW()-ROW(tblSubjectToLoan[#Headers])-1)))</f>
        <v>34947.169999999969</v>
      </c>
      <c r="K198" s="969">
        <f>IF(tblSubjectToLoan[[#This Row],[Date]]="",0,MAX(0,tblSubjectToLoan[[#This Row],[Beginning Balance]]-tblSubjectToLoan[[#This Row],[Princ]]))</f>
        <v>20155.179999999957</v>
      </c>
      <c r="L198" s="394">
        <f t="shared" si="15"/>
        <v>14</v>
      </c>
      <c r="M198" s="394">
        <f t="shared" si="12"/>
        <v>178</v>
      </c>
      <c r="N198" s="613">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67">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4369.360000000016</v>
      </c>
      <c r="AD198" s="276">
        <f>IF(INDEX(tblContractForDeed[End Bal],ROW()-ROW(tblBuyerOutputs[#Headers]))&lt;=0,0,($O$6+IF(ROW()=ROW(tblBuyerOutputs[#Headers])+1,0,INDEX(tblBuyerOutputs[Cumul Appr],ROW()-ROW(tblBuyerOutputs[#Headers])-1)))*$O$2/12)</f>
        <v>0</v>
      </c>
      <c r="AE198" s="276">
        <f>IF(INDEX(tblContractForDeed[End Bal],ROW()-ROW(tblBuyerOutputs[#Headers]))&lt;=0,0,IF(ROW()=ROW(tblBuyerOutputs[#Headers])+1,0,INDEX(tblBuyerOutputs[Cumul Appr],ROW()-ROW(tblBuyerOutputs[#Headers])-1))+tblBuyerOutputs[[#This Row],[Monthly Appr]])</f>
        <v>0</v>
      </c>
      <c r="AF198" s="22"/>
      <c r="AG198" s="14"/>
      <c r="AL198"/>
      <c r="AM198" s="14"/>
      <c r="AO198" s="276"/>
      <c r="AQ198" s="14"/>
      <c r="AR198"/>
    </row>
    <row r="199" spans="1:44" ht="15.75" thickBot="1" x14ac:dyDescent="0.3">
      <c r="A199" s="614">
        <f>IF(ROW()=ROW(tblSubjectToLoan[#Headers])+1,subjectKnownBalanceDate,IF(OR(INDEX(tblSubjectToLoan[Date],ROW()-ROW(tblSubjectToLoan[#Headers])-1)="",INDEX(tblSubjectToLoan[Date],ROW()-ROW(tblSubjectToLoan[#Headers])-1)&gt;=subjectMortgageEndDate),"",EDATE(INDEX(tblSubjectToLoan[Date],ROW()-ROW(tblSubjectToLoan[#Headers])-1),1)))</f>
        <v>51318</v>
      </c>
      <c r="B199" s="332">
        <f>IF(tblSubjectToLoan[[#This Row],[Date]]="",0,IF(ROW()=ROW(tblSubjectToLoan[#Headers])+1,subjectKnownBalance,MAX(0,INDEX(tblSubjectToLoan[Ending Balance],ROW()-ROW(tblSubjectToLoan[#Headers])-1))))</f>
        <v>20155.179999999957</v>
      </c>
      <c r="C19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9" s="21">
        <f>IF(tblSubjectToLoan[[#This Row],[Payment]]=0,0,MAX(0,MIN(tblSubjectToLoan[[#This Row],[Beginning Balance]],tblSubjectToLoan[[#This Row],[Payment]]-tblSubjectToLoan[[#This Row],[Int]])))</f>
        <v>562.82999999999993</v>
      </c>
      <c r="E199" s="21">
        <f>IF(tblSubjectToLoan[[#This Row],[Date]]="",0,ROUND(tblSubjectToLoan[[#This Row],[Beginning Balance]]*(subjectInterestRate/12),2))</f>
        <v>62.98</v>
      </c>
      <c r="F199" s="21">
        <f t="shared" si="16"/>
        <v>134.16999999999999</v>
      </c>
      <c r="G199" s="21">
        <f t="shared" si="16"/>
        <v>188.55</v>
      </c>
      <c r="H199" s="21">
        <f>SUM(tblSubjectToLoan[[#This Row],[Princ]],tblSubjectToLoan[[#This Row],[Int]],tblSubjectToLoan[[#This Row],[Ins]],tblSubjectToLoan[[#This Row],[Taxes]])</f>
        <v>948.53</v>
      </c>
      <c r="I199" s="332">
        <f>IF(tblSubjectToLoan[[#This Row],[Date]]="",IF(ROW()=ROW(tblSubjectToLoan[#Headers])+1,0,INDEX(tblSubjectToLoan[Principal],ROW()-ROW(tblSubjectToLoan[#Headers])-1)),tblSubjectToLoan[[#This Row],[Princ]]+IF(ROW()=ROW(tblSubjectToLoan[#Headers])+1,0,INDEX(tblSubjectToLoan[Principal],ROW()-ROW(tblSubjectToLoan[#Headers])-1)))</f>
        <v>77635.64999999998</v>
      </c>
      <c r="J199" s="332">
        <f>IF(tblSubjectToLoan[[#This Row],[Date]]="",IF(ROW()=ROW(tblSubjectToLoan[#Headers])+1,0,INDEX(tblSubjectToLoan[Interest],ROW()-ROW(tblSubjectToLoan[#Headers])-1)),tblSubjectToLoan[[#This Row],[Int]]+IF(ROW()=ROW(tblSubjectToLoan[#Headers])+1,0,INDEX(tblSubjectToLoan[Interest],ROW()-ROW(tblSubjectToLoan[#Headers])-1)))</f>
        <v>35010.149999999972</v>
      </c>
      <c r="K199" s="970">
        <f>IF(tblSubjectToLoan[[#This Row],[Date]]="",0,MAX(0,tblSubjectToLoan[[#This Row],[Beginning Balance]]-tblSubjectToLoan[[#This Row],[Princ]]))</f>
        <v>19592.349999999955</v>
      </c>
      <c r="L199" s="395">
        <f t="shared" si="15"/>
        <v>14</v>
      </c>
      <c r="M199" s="395">
        <f t="shared" si="12"/>
        <v>179</v>
      </c>
      <c r="N199" s="614">
        <f>INDEX(tblSubjectToLoan[Date],ROW()-ROW(tblContractForDeed[#Headers]))</f>
        <v>51318</v>
      </c>
      <c r="O199" s="332">
        <f>IF(ROW()=ROW(tblContractForDeed[#Headers])+1,$O$6,IF(INDEX(tblContractForDeed[End Bal],ROW()-ROW(tblContractForDeed[#Headers])-1)&lt;0,0,INDEX(tblContractForDeed[End Bal],ROW()-ROW(tblContractForDeed[#Headers])-1)))</f>
        <v>7636.7000000000335</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616.93999999999994</v>
      </c>
      <c r="S199" s="332">
        <f>IF(OR(tblContractForDeed[[#This Row],[Date]]&lt;cfdContractDate,tblContractForDeed[[#This Row],[Date]]&gt;cfdEndDate),0,ROUND(tblContractForDeed[[#This Row],[Beg]]*(tblContractForDeed[[#This Row],[Int Rate]]/12),2))</f>
        <v>42.96</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68238.240000000005</v>
      </c>
      <c r="X199" s="332">
        <f>IF(tblContractForDeed[[#This Row],[Beg]]&lt;=0,0,tblContractForDeed[[#This Row],[Beg]]-tblContractForDeed[[#This Row],[Princ]])</f>
        <v>7019.7600000000339</v>
      </c>
      <c r="Y19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68">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4403.4500000000162</v>
      </c>
      <c r="AD199" s="332">
        <f>IF(INDEX(tblContractForDeed[End Bal],ROW()-ROW(tblBuyerOutputs[#Headers]))&lt;=0,0,($O$6+IF(ROW()=ROW(tblBuyerOutputs[#Headers])+1,0,INDEX(tblBuyerOutputs[Cumul Appr],ROW()-ROW(tblBuyerOutputs[#Headers])-1)))*$O$2/12)</f>
        <v>0</v>
      </c>
      <c r="AE199" s="332">
        <f>IF(INDEX(tblContractForDeed[End Bal],ROW()-ROW(tblBuyerOutputs[#Headers]))&lt;=0,0,IF(ROW()=ROW(tblBuyerOutputs[#Headers])+1,0,INDEX(tblBuyerOutputs[Cumul Appr],ROW()-ROW(tblBuyerOutputs[#Headers])-1))+tblBuyerOutputs[[#This Row],[Monthly Appr]])</f>
        <v>0</v>
      </c>
      <c r="AF199" s="22"/>
      <c r="AG199" s="14"/>
      <c r="AL199"/>
      <c r="AM199" s="14"/>
      <c r="AO199" s="276"/>
      <c r="AQ199" s="14"/>
      <c r="AR199"/>
    </row>
    <row r="200" spans="1:44" x14ac:dyDescent="0.25">
      <c r="A200" s="613">
        <f>IF(ROW()=ROW(tblSubjectToLoan[#Headers])+1,subjectKnownBalanceDate,IF(OR(INDEX(tblSubjectToLoan[Date],ROW()-ROW(tblSubjectToLoan[#Headers])-1)="",INDEX(tblSubjectToLoan[Date],ROW()-ROW(tblSubjectToLoan[#Headers])-1)&gt;=subjectMortgageEndDate),"",EDATE(INDEX(tblSubjectToLoan[Date],ROW()-ROW(tblSubjectToLoan[#Headers])-1),1)))</f>
        <v>51349</v>
      </c>
      <c r="B200" s="276">
        <f>IF(tblSubjectToLoan[[#This Row],[Date]]="",0,IF(ROW()=ROW(tblSubjectToLoan[#Headers])+1,subjectKnownBalance,MAX(0,INDEX(tblSubjectToLoan[Ending Balance],ROW()-ROW(tblSubjectToLoan[#Headers])-1))))</f>
        <v>19592.349999999955</v>
      </c>
      <c r="C2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0" s="14">
        <f>IF(tblSubjectToLoan[[#This Row],[Payment]]=0,0,MAX(0,MIN(tblSubjectToLoan[[#This Row],[Beginning Balance]],tblSubjectToLoan[[#This Row],[Payment]]-tblSubjectToLoan[[#This Row],[Int]])))</f>
        <v>564.57999999999993</v>
      </c>
      <c r="E200" s="14">
        <f>IF(tblSubjectToLoan[[#This Row],[Date]]="",0,ROUND(tblSubjectToLoan[[#This Row],[Beginning Balance]]*(subjectInterestRate/12),2))</f>
        <v>61.23</v>
      </c>
      <c r="F200" s="14">
        <f t="shared" si="16"/>
        <v>134.16999999999999</v>
      </c>
      <c r="G200" s="14">
        <f t="shared" si="16"/>
        <v>188.55</v>
      </c>
      <c r="H200" s="14">
        <f>SUM(tblSubjectToLoan[[#This Row],[Princ]],tblSubjectToLoan[[#This Row],[Int]],tblSubjectToLoan[[#This Row],[Ins]],tblSubjectToLoan[[#This Row],[Taxes]])</f>
        <v>948.53</v>
      </c>
      <c r="I200" s="276">
        <f>IF(tblSubjectToLoan[[#This Row],[Date]]="",IF(ROW()=ROW(tblSubjectToLoan[#Headers])+1,0,INDEX(tblSubjectToLoan[Principal],ROW()-ROW(tblSubjectToLoan[#Headers])-1)),tblSubjectToLoan[[#This Row],[Princ]]+IF(ROW()=ROW(tblSubjectToLoan[#Headers])+1,0,INDEX(tblSubjectToLoan[Principal],ROW()-ROW(tblSubjectToLoan[#Headers])-1)))</f>
        <v>78200.229999999981</v>
      </c>
      <c r="J200" s="276">
        <f>IF(tblSubjectToLoan[[#This Row],[Date]]="",IF(ROW()=ROW(tblSubjectToLoan[#Headers])+1,0,INDEX(tblSubjectToLoan[Interest],ROW()-ROW(tblSubjectToLoan[#Headers])-1)),tblSubjectToLoan[[#This Row],[Int]]+IF(ROW()=ROW(tblSubjectToLoan[#Headers])+1,0,INDEX(tblSubjectToLoan[Interest],ROW()-ROW(tblSubjectToLoan[#Headers])-1)))</f>
        <v>35071.379999999976</v>
      </c>
      <c r="K200" s="969">
        <f>IF(tblSubjectToLoan[[#This Row],[Date]]="",0,MAX(0,tblSubjectToLoan[[#This Row],[Beginning Balance]]-tblSubjectToLoan[[#This Row],[Princ]]))</f>
        <v>19027.769999999953</v>
      </c>
      <c r="L200" s="394">
        <f t="shared" si="15"/>
        <v>15</v>
      </c>
      <c r="M200" s="394">
        <f t="shared" si="12"/>
        <v>180</v>
      </c>
      <c r="N200" s="613">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67">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4437.5400000000163</v>
      </c>
      <c r="AD200" s="276">
        <f>IF(INDEX(tblContractForDeed[End Bal],ROW()-ROW(tblBuyerOutputs[#Headers]))&lt;=0,0,($O$6+IF(ROW()=ROW(tblBuyerOutputs[#Headers])+1,0,INDEX(tblBuyerOutputs[Cumul Appr],ROW()-ROW(tblBuyerOutputs[#Headers])-1)))*$O$2/12)</f>
        <v>0</v>
      </c>
      <c r="AE200" s="276">
        <f>IF(INDEX(tblContractForDeed[End Bal],ROW()-ROW(tblBuyerOutputs[#Headers]))&lt;=0,0,IF(ROW()=ROW(tblBuyerOutputs[#Headers])+1,0,INDEX(tblBuyerOutputs[Cumul Appr],ROW()-ROW(tblBuyerOutputs[#Headers])-1))+tblBuyerOutputs[[#This Row],[Monthly Appr]])</f>
        <v>0</v>
      </c>
      <c r="AF200" s="22"/>
      <c r="AG200" s="14"/>
      <c r="AL200"/>
      <c r="AM200" s="14"/>
      <c r="AO200" s="276"/>
      <c r="AQ200" s="14"/>
      <c r="AR200"/>
    </row>
    <row r="201" spans="1:44" x14ac:dyDescent="0.25">
      <c r="A201" s="613">
        <f>IF(ROW()=ROW(tblSubjectToLoan[#Headers])+1,subjectKnownBalanceDate,IF(OR(INDEX(tblSubjectToLoan[Date],ROW()-ROW(tblSubjectToLoan[#Headers])-1)="",INDEX(tblSubjectToLoan[Date],ROW()-ROW(tblSubjectToLoan[#Headers])-1)&gt;=subjectMortgageEndDate),"",EDATE(INDEX(tblSubjectToLoan[Date],ROW()-ROW(tblSubjectToLoan[#Headers])-1),1)))</f>
        <v>51380</v>
      </c>
      <c r="B201" s="276">
        <f>IF(tblSubjectToLoan[[#This Row],[Date]]="",0,IF(ROW()=ROW(tblSubjectToLoan[#Headers])+1,subjectKnownBalance,MAX(0,INDEX(tblSubjectToLoan[Ending Balance],ROW()-ROW(tblSubjectToLoan[#Headers])-1))))</f>
        <v>19027.769999999953</v>
      </c>
      <c r="C2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1" s="14">
        <f>IF(tblSubjectToLoan[[#This Row],[Payment]]=0,0,MAX(0,MIN(tblSubjectToLoan[[#This Row],[Beginning Balance]],tblSubjectToLoan[[#This Row],[Payment]]-tblSubjectToLoan[[#This Row],[Int]])))</f>
        <v>566.34999999999991</v>
      </c>
      <c r="E201" s="14">
        <f>IF(tblSubjectToLoan[[#This Row],[Date]]="",0,ROUND(tblSubjectToLoan[[#This Row],[Beginning Balance]]*(subjectInterestRate/12),2))</f>
        <v>59.46</v>
      </c>
      <c r="F201" s="14">
        <f t="shared" si="16"/>
        <v>134.16999999999999</v>
      </c>
      <c r="G201" s="14">
        <f t="shared" si="16"/>
        <v>188.55</v>
      </c>
      <c r="H201" s="14">
        <f>SUM(tblSubjectToLoan[[#This Row],[Princ]],tblSubjectToLoan[[#This Row],[Int]],tblSubjectToLoan[[#This Row],[Ins]],tblSubjectToLoan[[#This Row],[Taxes]])</f>
        <v>948.53</v>
      </c>
      <c r="I201" s="276">
        <f>IF(tblSubjectToLoan[[#This Row],[Date]]="",IF(ROW()=ROW(tblSubjectToLoan[#Headers])+1,0,INDEX(tblSubjectToLoan[Principal],ROW()-ROW(tblSubjectToLoan[#Headers])-1)),tblSubjectToLoan[[#This Row],[Princ]]+IF(ROW()=ROW(tblSubjectToLoan[#Headers])+1,0,INDEX(tblSubjectToLoan[Principal],ROW()-ROW(tblSubjectToLoan[#Headers])-1)))</f>
        <v>78766.579999999987</v>
      </c>
      <c r="J201" s="276">
        <f>IF(tblSubjectToLoan[[#This Row],[Date]]="",IF(ROW()=ROW(tblSubjectToLoan[#Headers])+1,0,INDEX(tblSubjectToLoan[Interest],ROW()-ROW(tblSubjectToLoan[#Headers])-1)),tblSubjectToLoan[[#This Row],[Int]]+IF(ROW()=ROW(tblSubjectToLoan[#Headers])+1,0,INDEX(tblSubjectToLoan[Interest],ROW()-ROW(tblSubjectToLoan[#Headers])-1)))</f>
        <v>35130.839999999975</v>
      </c>
      <c r="K201" s="969">
        <f>IF(tblSubjectToLoan[[#This Row],[Date]]="",0,MAX(0,tblSubjectToLoan[[#This Row],[Beginning Balance]]-tblSubjectToLoan[[#This Row],[Princ]]))</f>
        <v>18461.419999999955</v>
      </c>
      <c r="L201" s="394">
        <f t="shared" si="15"/>
        <v>15</v>
      </c>
      <c r="M201" s="394">
        <f t="shared" si="12"/>
        <v>181</v>
      </c>
      <c r="N201" s="613">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67">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4471.6300000000165</v>
      </c>
      <c r="AD201" s="276">
        <f>IF(INDEX(tblContractForDeed[End Bal],ROW()-ROW(tblBuyerOutputs[#Headers]))&lt;=0,0,($O$6+IF(ROW()=ROW(tblBuyerOutputs[#Headers])+1,0,INDEX(tblBuyerOutputs[Cumul Appr],ROW()-ROW(tblBuyerOutputs[#Headers])-1)))*$O$2/12)</f>
        <v>0</v>
      </c>
      <c r="AE201" s="276">
        <f>IF(INDEX(tblContractForDeed[End Bal],ROW()-ROW(tblBuyerOutputs[#Headers]))&lt;=0,0,IF(ROW()=ROW(tblBuyerOutputs[#Headers])+1,0,INDEX(tblBuyerOutputs[Cumul Appr],ROW()-ROW(tblBuyerOutputs[#Headers])-1))+tblBuyerOutputs[[#This Row],[Monthly Appr]])</f>
        <v>0</v>
      </c>
      <c r="AF201" s="22"/>
      <c r="AG201" s="14"/>
      <c r="AL201"/>
      <c r="AM201" s="14"/>
      <c r="AO201" s="276"/>
      <c r="AQ201" s="14"/>
      <c r="AR201"/>
    </row>
    <row r="202" spans="1:44" x14ac:dyDescent="0.25">
      <c r="A202" s="613">
        <f>IF(ROW()=ROW(tblSubjectToLoan[#Headers])+1,subjectKnownBalanceDate,IF(OR(INDEX(tblSubjectToLoan[Date],ROW()-ROW(tblSubjectToLoan[#Headers])-1)="",INDEX(tblSubjectToLoan[Date],ROW()-ROW(tblSubjectToLoan[#Headers])-1)&gt;=subjectMortgageEndDate),"",EDATE(INDEX(tblSubjectToLoan[Date],ROW()-ROW(tblSubjectToLoan[#Headers])-1),1)))</f>
        <v>51410</v>
      </c>
      <c r="B202" s="276">
        <f>IF(tblSubjectToLoan[[#This Row],[Date]]="",0,IF(ROW()=ROW(tblSubjectToLoan[#Headers])+1,subjectKnownBalance,MAX(0,INDEX(tblSubjectToLoan[Ending Balance],ROW()-ROW(tblSubjectToLoan[#Headers])-1))))</f>
        <v>18461.419999999955</v>
      </c>
      <c r="C2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2" s="14">
        <f>IF(tblSubjectToLoan[[#This Row],[Payment]]=0,0,MAX(0,MIN(tblSubjectToLoan[[#This Row],[Beginning Balance]],tblSubjectToLoan[[#This Row],[Payment]]-tblSubjectToLoan[[#This Row],[Int]])))</f>
        <v>568.11999999999989</v>
      </c>
      <c r="E202" s="14">
        <f>IF(tblSubjectToLoan[[#This Row],[Date]]="",0,ROUND(tblSubjectToLoan[[#This Row],[Beginning Balance]]*(subjectInterestRate/12),2))</f>
        <v>57.69</v>
      </c>
      <c r="F202" s="14">
        <f t="shared" si="16"/>
        <v>134.16999999999999</v>
      </c>
      <c r="G202" s="14">
        <f t="shared" si="16"/>
        <v>188.55</v>
      </c>
      <c r="H202" s="14">
        <f>SUM(tblSubjectToLoan[[#This Row],[Princ]],tblSubjectToLoan[[#This Row],[Int]],tblSubjectToLoan[[#This Row],[Ins]],tblSubjectToLoan[[#This Row],[Taxes]])</f>
        <v>948.53</v>
      </c>
      <c r="I202" s="276">
        <f>IF(tblSubjectToLoan[[#This Row],[Date]]="",IF(ROW()=ROW(tblSubjectToLoan[#Headers])+1,0,INDEX(tblSubjectToLoan[Principal],ROW()-ROW(tblSubjectToLoan[#Headers])-1)),tblSubjectToLoan[[#This Row],[Princ]]+IF(ROW()=ROW(tblSubjectToLoan[#Headers])+1,0,INDEX(tblSubjectToLoan[Principal],ROW()-ROW(tblSubjectToLoan[#Headers])-1)))</f>
        <v>79334.699999999983</v>
      </c>
      <c r="J202" s="276">
        <f>IF(tblSubjectToLoan[[#This Row],[Date]]="",IF(ROW()=ROW(tblSubjectToLoan[#Headers])+1,0,INDEX(tblSubjectToLoan[Interest],ROW()-ROW(tblSubjectToLoan[#Headers])-1)),tblSubjectToLoan[[#This Row],[Int]]+IF(ROW()=ROW(tblSubjectToLoan[#Headers])+1,0,INDEX(tblSubjectToLoan[Interest],ROW()-ROW(tblSubjectToLoan[#Headers])-1)))</f>
        <v>35188.529999999977</v>
      </c>
      <c r="K202" s="969">
        <f>IF(tblSubjectToLoan[[#This Row],[Date]]="",0,MAX(0,tblSubjectToLoan[[#This Row],[Beginning Balance]]-tblSubjectToLoan[[#This Row],[Princ]]))</f>
        <v>17893.299999999956</v>
      </c>
      <c r="L202" s="394">
        <f t="shared" si="15"/>
        <v>15</v>
      </c>
      <c r="M202" s="394">
        <f t="shared" si="12"/>
        <v>182</v>
      </c>
      <c r="N202" s="613">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67">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4505.7200000000166</v>
      </c>
      <c r="AD202" s="276">
        <f>IF(INDEX(tblContractForDeed[End Bal],ROW()-ROW(tblBuyerOutputs[#Headers]))&lt;=0,0,($O$6+IF(ROW()=ROW(tblBuyerOutputs[#Headers])+1,0,INDEX(tblBuyerOutputs[Cumul Appr],ROW()-ROW(tblBuyerOutputs[#Headers])-1)))*$O$2/12)</f>
        <v>0</v>
      </c>
      <c r="AE202" s="276">
        <f>IF(INDEX(tblContractForDeed[End Bal],ROW()-ROW(tblBuyerOutputs[#Headers]))&lt;=0,0,IF(ROW()=ROW(tblBuyerOutputs[#Headers])+1,0,INDEX(tblBuyerOutputs[Cumul Appr],ROW()-ROW(tblBuyerOutputs[#Headers])-1))+tblBuyerOutputs[[#This Row],[Monthly Appr]])</f>
        <v>0</v>
      </c>
      <c r="AF202" s="22"/>
      <c r="AG202" s="14"/>
      <c r="AL202"/>
      <c r="AM202" s="14"/>
      <c r="AO202" s="276"/>
      <c r="AQ202" s="14"/>
      <c r="AR202"/>
    </row>
    <row r="203" spans="1:44" x14ac:dyDescent="0.25">
      <c r="A203" s="613">
        <f>IF(ROW()=ROW(tblSubjectToLoan[#Headers])+1,subjectKnownBalanceDate,IF(OR(INDEX(tblSubjectToLoan[Date],ROW()-ROW(tblSubjectToLoan[#Headers])-1)="",INDEX(tblSubjectToLoan[Date],ROW()-ROW(tblSubjectToLoan[#Headers])-1)&gt;=subjectMortgageEndDate),"",EDATE(INDEX(tblSubjectToLoan[Date],ROW()-ROW(tblSubjectToLoan[#Headers])-1),1)))</f>
        <v>51441</v>
      </c>
      <c r="B203" s="276">
        <f>IF(tblSubjectToLoan[[#This Row],[Date]]="",0,IF(ROW()=ROW(tblSubjectToLoan[#Headers])+1,subjectKnownBalance,MAX(0,INDEX(tblSubjectToLoan[Ending Balance],ROW()-ROW(tblSubjectToLoan[#Headers])-1))))</f>
        <v>17893.299999999956</v>
      </c>
      <c r="C2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3" s="14">
        <f>IF(tblSubjectToLoan[[#This Row],[Payment]]=0,0,MAX(0,MIN(tblSubjectToLoan[[#This Row],[Beginning Balance]],tblSubjectToLoan[[#This Row],[Payment]]-tblSubjectToLoan[[#This Row],[Int]])))</f>
        <v>569.89</v>
      </c>
      <c r="E203" s="14">
        <f>IF(tblSubjectToLoan[[#This Row],[Date]]="",0,ROUND(tblSubjectToLoan[[#This Row],[Beginning Balance]]*(subjectInterestRate/12),2))</f>
        <v>55.92</v>
      </c>
      <c r="F203" s="14">
        <f t="shared" si="16"/>
        <v>134.16999999999999</v>
      </c>
      <c r="G203" s="14">
        <f t="shared" si="16"/>
        <v>188.55</v>
      </c>
      <c r="H203" s="14">
        <f>SUM(tblSubjectToLoan[[#This Row],[Princ]],tblSubjectToLoan[[#This Row],[Int]],tblSubjectToLoan[[#This Row],[Ins]],tblSubjectToLoan[[#This Row],[Taxes]])</f>
        <v>948.53</v>
      </c>
      <c r="I203" s="276">
        <f>IF(tblSubjectToLoan[[#This Row],[Date]]="",IF(ROW()=ROW(tblSubjectToLoan[#Headers])+1,0,INDEX(tblSubjectToLoan[Principal],ROW()-ROW(tblSubjectToLoan[#Headers])-1)),tblSubjectToLoan[[#This Row],[Princ]]+IF(ROW()=ROW(tblSubjectToLoan[#Headers])+1,0,INDEX(tblSubjectToLoan[Principal],ROW()-ROW(tblSubjectToLoan[#Headers])-1)))</f>
        <v>79904.589999999982</v>
      </c>
      <c r="J203" s="276">
        <f>IF(tblSubjectToLoan[[#This Row],[Date]]="",IF(ROW()=ROW(tblSubjectToLoan[#Headers])+1,0,INDEX(tblSubjectToLoan[Interest],ROW()-ROW(tblSubjectToLoan[#Headers])-1)),tblSubjectToLoan[[#This Row],[Int]]+IF(ROW()=ROW(tblSubjectToLoan[#Headers])+1,0,INDEX(tblSubjectToLoan[Interest],ROW()-ROW(tblSubjectToLoan[#Headers])-1)))</f>
        <v>35244.449999999975</v>
      </c>
      <c r="K203" s="969">
        <f>IF(tblSubjectToLoan[[#This Row],[Date]]="",0,MAX(0,tblSubjectToLoan[[#This Row],[Beginning Balance]]-tblSubjectToLoan[[#This Row],[Princ]]))</f>
        <v>17323.409999999956</v>
      </c>
      <c r="L203" s="394">
        <f t="shared" si="15"/>
        <v>15</v>
      </c>
      <c r="M203" s="394">
        <f t="shared" si="12"/>
        <v>183</v>
      </c>
      <c r="N203" s="613">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67">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4539.8100000000168</v>
      </c>
      <c r="AD203" s="276">
        <f>IF(INDEX(tblContractForDeed[End Bal],ROW()-ROW(tblBuyerOutputs[#Headers]))&lt;=0,0,($O$6+IF(ROW()=ROW(tblBuyerOutputs[#Headers])+1,0,INDEX(tblBuyerOutputs[Cumul Appr],ROW()-ROW(tblBuyerOutputs[#Headers])-1)))*$O$2/12)</f>
        <v>0</v>
      </c>
      <c r="AE203" s="276">
        <f>IF(INDEX(tblContractForDeed[End Bal],ROW()-ROW(tblBuyerOutputs[#Headers]))&lt;=0,0,IF(ROW()=ROW(tblBuyerOutputs[#Headers])+1,0,INDEX(tblBuyerOutputs[Cumul Appr],ROW()-ROW(tblBuyerOutputs[#Headers])-1))+tblBuyerOutputs[[#This Row],[Monthly Appr]])</f>
        <v>0</v>
      </c>
      <c r="AF203" s="22"/>
      <c r="AG203" s="14"/>
      <c r="AL203"/>
      <c r="AM203" s="14"/>
      <c r="AO203" s="276"/>
      <c r="AQ203" s="14"/>
      <c r="AR203"/>
    </row>
    <row r="204" spans="1:44" x14ac:dyDescent="0.25">
      <c r="A204" s="613">
        <f>IF(ROW()=ROW(tblSubjectToLoan[#Headers])+1,subjectKnownBalanceDate,IF(OR(INDEX(tblSubjectToLoan[Date],ROW()-ROW(tblSubjectToLoan[#Headers])-1)="",INDEX(tblSubjectToLoan[Date],ROW()-ROW(tblSubjectToLoan[#Headers])-1)&gt;=subjectMortgageEndDate),"",EDATE(INDEX(tblSubjectToLoan[Date],ROW()-ROW(tblSubjectToLoan[#Headers])-1),1)))</f>
        <v>51471</v>
      </c>
      <c r="B204" s="276">
        <f>IF(tblSubjectToLoan[[#This Row],[Date]]="",0,IF(ROW()=ROW(tblSubjectToLoan[#Headers])+1,subjectKnownBalance,MAX(0,INDEX(tblSubjectToLoan[Ending Balance],ROW()-ROW(tblSubjectToLoan[#Headers])-1))))</f>
        <v>17323.409999999956</v>
      </c>
      <c r="C2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4" s="14">
        <f>IF(tblSubjectToLoan[[#This Row],[Payment]]=0,0,MAX(0,MIN(tblSubjectToLoan[[#This Row],[Beginning Balance]],tblSubjectToLoan[[#This Row],[Payment]]-tblSubjectToLoan[[#This Row],[Int]])))</f>
        <v>571.66999999999996</v>
      </c>
      <c r="E204" s="14">
        <f>IF(tblSubjectToLoan[[#This Row],[Date]]="",0,ROUND(tblSubjectToLoan[[#This Row],[Beginning Balance]]*(subjectInterestRate/12),2))</f>
        <v>54.14</v>
      </c>
      <c r="F204" s="14">
        <f t="shared" si="16"/>
        <v>134.16999999999999</v>
      </c>
      <c r="G204" s="14">
        <f t="shared" si="16"/>
        <v>188.55</v>
      </c>
      <c r="H204" s="14">
        <f>SUM(tblSubjectToLoan[[#This Row],[Princ]],tblSubjectToLoan[[#This Row],[Int]],tblSubjectToLoan[[#This Row],[Ins]],tblSubjectToLoan[[#This Row],[Taxes]])</f>
        <v>948.53</v>
      </c>
      <c r="I204" s="276">
        <f>IF(tblSubjectToLoan[[#This Row],[Date]]="",IF(ROW()=ROW(tblSubjectToLoan[#Headers])+1,0,INDEX(tblSubjectToLoan[Principal],ROW()-ROW(tblSubjectToLoan[#Headers])-1)),tblSubjectToLoan[[#This Row],[Princ]]+IF(ROW()=ROW(tblSubjectToLoan[#Headers])+1,0,INDEX(tblSubjectToLoan[Principal],ROW()-ROW(tblSubjectToLoan[#Headers])-1)))</f>
        <v>80476.25999999998</v>
      </c>
      <c r="J204" s="276">
        <f>IF(tblSubjectToLoan[[#This Row],[Date]]="",IF(ROW()=ROW(tblSubjectToLoan[#Headers])+1,0,INDEX(tblSubjectToLoan[Interest],ROW()-ROW(tblSubjectToLoan[#Headers])-1)),tblSubjectToLoan[[#This Row],[Int]]+IF(ROW()=ROW(tblSubjectToLoan[#Headers])+1,0,INDEX(tblSubjectToLoan[Interest],ROW()-ROW(tblSubjectToLoan[#Headers])-1)))</f>
        <v>35298.589999999975</v>
      </c>
      <c r="K204" s="969">
        <f>IF(tblSubjectToLoan[[#This Row],[Date]]="",0,MAX(0,tblSubjectToLoan[[#This Row],[Beginning Balance]]-tblSubjectToLoan[[#This Row],[Princ]]))</f>
        <v>16751.739999999958</v>
      </c>
      <c r="L204" s="394">
        <f t="shared" si="15"/>
        <v>15</v>
      </c>
      <c r="M204" s="394">
        <f t="shared" si="12"/>
        <v>184</v>
      </c>
      <c r="N204" s="613">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67">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4573.9000000000169</v>
      </c>
      <c r="AD204" s="276">
        <f>IF(INDEX(tblContractForDeed[End Bal],ROW()-ROW(tblBuyerOutputs[#Headers]))&lt;=0,0,($O$6+IF(ROW()=ROW(tblBuyerOutputs[#Headers])+1,0,INDEX(tblBuyerOutputs[Cumul Appr],ROW()-ROW(tblBuyerOutputs[#Headers])-1)))*$O$2/12)</f>
        <v>0</v>
      </c>
      <c r="AE204" s="276">
        <f>IF(INDEX(tblContractForDeed[End Bal],ROW()-ROW(tblBuyerOutputs[#Headers]))&lt;=0,0,IF(ROW()=ROW(tblBuyerOutputs[#Headers])+1,0,INDEX(tblBuyerOutputs[Cumul Appr],ROW()-ROW(tblBuyerOutputs[#Headers])-1))+tblBuyerOutputs[[#This Row],[Monthly Appr]])</f>
        <v>0</v>
      </c>
      <c r="AF204" s="22"/>
      <c r="AG204" s="14"/>
      <c r="AL204"/>
      <c r="AM204" s="14"/>
      <c r="AO204" s="276"/>
      <c r="AQ204" s="14"/>
      <c r="AR204"/>
    </row>
    <row r="205" spans="1:44" x14ac:dyDescent="0.25">
      <c r="A205" s="613">
        <f>IF(ROW()=ROW(tblSubjectToLoan[#Headers])+1,subjectKnownBalanceDate,IF(OR(INDEX(tblSubjectToLoan[Date],ROW()-ROW(tblSubjectToLoan[#Headers])-1)="",INDEX(tblSubjectToLoan[Date],ROW()-ROW(tblSubjectToLoan[#Headers])-1)&gt;=subjectMortgageEndDate),"",EDATE(INDEX(tblSubjectToLoan[Date],ROW()-ROW(tblSubjectToLoan[#Headers])-1),1)))</f>
        <v>51502</v>
      </c>
      <c r="B205" s="276">
        <f>IF(tblSubjectToLoan[[#This Row],[Date]]="",0,IF(ROW()=ROW(tblSubjectToLoan[#Headers])+1,subjectKnownBalance,MAX(0,INDEX(tblSubjectToLoan[Ending Balance],ROW()-ROW(tblSubjectToLoan[#Headers])-1))))</f>
        <v>16751.739999999958</v>
      </c>
      <c r="C2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5" s="14">
        <f>IF(tblSubjectToLoan[[#This Row],[Payment]]=0,0,MAX(0,MIN(tblSubjectToLoan[[#This Row],[Beginning Balance]],tblSubjectToLoan[[#This Row],[Payment]]-tblSubjectToLoan[[#This Row],[Int]])))</f>
        <v>573.45999999999992</v>
      </c>
      <c r="E205" s="14">
        <f>IF(tblSubjectToLoan[[#This Row],[Date]]="",0,ROUND(tblSubjectToLoan[[#This Row],[Beginning Balance]]*(subjectInterestRate/12),2))</f>
        <v>52.35</v>
      </c>
      <c r="F205" s="14">
        <f t="shared" si="16"/>
        <v>134.16999999999999</v>
      </c>
      <c r="G205" s="14">
        <f t="shared" si="16"/>
        <v>188.55</v>
      </c>
      <c r="H205" s="14">
        <f>SUM(tblSubjectToLoan[[#This Row],[Princ]],tblSubjectToLoan[[#This Row],[Int]],tblSubjectToLoan[[#This Row],[Ins]],tblSubjectToLoan[[#This Row],[Taxes]])</f>
        <v>948.53</v>
      </c>
      <c r="I205" s="276">
        <f>IF(tblSubjectToLoan[[#This Row],[Date]]="",IF(ROW()=ROW(tblSubjectToLoan[#Headers])+1,0,INDEX(tblSubjectToLoan[Principal],ROW()-ROW(tblSubjectToLoan[#Headers])-1)),tblSubjectToLoan[[#This Row],[Princ]]+IF(ROW()=ROW(tblSubjectToLoan[#Headers])+1,0,INDEX(tblSubjectToLoan[Principal],ROW()-ROW(tblSubjectToLoan[#Headers])-1)))</f>
        <v>81049.719999999987</v>
      </c>
      <c r="J205" s="276">
        <f>IF(tblSubjectToLoan[[#This Row],[Date]]="",IF(ROW()=ROW(tblSubjectToLoan[#Headers])+1,0,INDEX(tblSubjectToLoan[Interest],ROW()-ROW(tblSubjectToLoan[#Headers])-1)),tblSubjectToLoan[[#This Row],[Int]]+IF(ROW()=ROW(tblSubjectToLoan[#Headers])+1,0,INDEX(tblSubjectToLoan[Interest],ROW()-ROW(tblSubjectToLoan[#Headers])-1)))</f>
        <v>35350.939999999973</v>
      </c>
      <c r="K205" s="969">
        <f>IF(tblSubjectToLoan[[#This Row],[Date]]="",0,MAX(0,tblSubjectToLoan[[#This Row],[Beginning Balance]]-tblSubjectToLoan[[#This Row],[Princ]]))</f>
        <v>16178.279999999959</v>
      </c>
      <c r="L205" s="394">
        <f t="shared" si="15"/>
        <v>15</v>
      </c>
      <c r="M205" s="394">
        <f t="shared" si="12"/>
        <v>185</v>
      </c>
      <c r="N205" s="613">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67">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4607.9900000000171</v>
      </c>
      <c r="AD205" s="276">
        <f>IF(INDEX(tblContractForDeed[End Bal],ROW()-ROW(tblBuyerOutputs[#Headers]))&lt;=0,0,($O$6+IF(ROW()=ROW(tblBuyerOutputs[#Headers])+1,0,INDEX(tblBuyerOutputs[Cumul Appr],ROW()-ROW(tblBuyerOutputs[#Headers])-1)))*$O$2/12)</f>
        <v>0</v>
      </c>
      <c r="AE205" s="276">
        <f>IF(INDEX(tblContractForDeed[End Bal],ROW()-ROW(tblBuyerOutputs[#Headers]))&lt;=0,0,IF(ROW()=ROW(tblBuyerOutputs[#Headers])+1,0,INDEX(tblBuyerOutputs[Cumul Appr],ROW()-ROW(tblBuyerOutputs[#Headers])-1))+tblBuyerOutputs[[#This Row],[Monthly Appr]])</f>
        <v>0</v>
      </c>
      <c r="AF205" s="22"/>
      <c r="AG205" s="14"/>
      <c r="AL205"/>
      <c r="AM205" s="14"/>
      <c r="AO205" s="276"/>
      <c r="AQ205" s="14"/>
      <c r="AR205"/>
    </row>
    <row r="206" spans="1:44" x14ac:dyDescent="0.25">
      <c r="A206" s="613">
        <f>IF(ROW()=ROW(tblSubjectToLoan[#Headers])+1,subjectKnownBalanceDate,IF(OR(INDEX(tblSubjectToLoan[Date],ROW()-ROW(tblSubjectToLoan[#Headers])-1)="",INDEX(tblSubjectToLoan[Date],ROW()-ROW(tblSubjectToLoan[#Headers])-1)&gt;=subjectMortgageEndDate),"",EDATE(INDEX(tblSubjectToLoan[Date],ROW()-ROW(tblSubjectToLoan[#Headers])-1),1)))</f>
        <v>51533</v>
      </c>
      <c r="B206" s="276">
        <f>IF(tblSubjectToLoan[[#This Row],[Date]]="",0,IF(ROW()=ROW(tblSubjectToLoan[#Headers])+1,subjectKnownBalance,MAX(0,INDEX(tblSubjectToLoan[Ending Balance],ROW()-ROW(tblSubjectToLoan[#Headers])-1))))</f>
        <v>16178.279999999959</v>
      </c>
      <c r="C2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6" s="14">
        <f>IF(tblSubjectToLoan[[#This Row],[Payment]]=0,0,MAX(0,MIN(tblSubjectToLoan[[#This Row],[Beginning Balance]],tblSubjectToLoan[[#This Row],[Payment]]-tblSubjectToLoan[[#This Row],[Int]])))</f>
        <v>575.25</v>
      </c>
      <c r="E206" s="14">
        <f>IF(tblSubjectToLoan[[#This Row],[Date]]="",0,ROUND(tblSubjectToLoan[[#This Row],[Beginning Balance]]*(subjectInterestRate/12),2))</f>
        <v>50.56</v>
      </c>
      <c r="F206" s="14">
        <f t="shared" si="16"/>
        <v>134.16999999999999</v>
      </c>
      <c r="G206" s="14">
        <f t="shared" si="16"/>
        <v>188.55</v>
      </c>
      <c r="H206" s="14">
        <f>SUM(tblSubjectToLoan[[#This Row],[Princ]],tblSubjectToLoan[[#This Row],[Int]],tblSubjectToLoan[[#This Row],[Ins]],tblSubjectToLoan[[#This Row],[Taxes]])</f>
        <v>948.53</v>
      </c>
      <c r="I206" s="276">
        <f>IF(tblSubjectToLoan[[#This Row],[Date]]="",IF(ROW()=ROW(tblSubjectToLoan[#Headers])+1,0,INDEX(tblSubjectToLoan[Principal],ROW()-ROW(tblSubjectToLoan[#Headers])-1)),tblSubjectToLoan[[#This Row],[Princ]]+IF(ROW()=ROW(tblSubjectToLoan[#Headers])+1,0,INDEX(tblSubjectToLoan[Principal],ROW()-ROW(tblSubjectToLoan[#Headers])-1)))</f>
        <v>81624.969999999987</v>
      </c>
      <c r="J206" s="276">
        <f>IF(tblSubjectToLoan[[#This Row],[Date]]="",IF(ROW()=ROW(tblSubjectToLoan[#Headers])+1,0,INDEX(tblSubjectToLoan[Interest],ROW()-ROW(tblSubjectToLoan[#Headers])-1)),tblSubjectToLoan[[#This Row],[Int]]+IF(ROW()=ROW(tblSubjectToLoan[#Headers])+1,0,INDEX(tblSubjectToLoan[Interest],ROW()-ROW(tblSubjectToLoan[#Headers])-1)))</f>
        <v>35401.499999999971</v>
      </c>
      <c r="K206" s="969">
        <f>IF(tblSubjectToLoan[[#This Row],[Date]]="",0,MAX(0,tblSubjectToLoan[[#This Row],[Beginning Balance]]-tblSubjectToLoan[[#This Row],[Princ]]))</f>
        <v>15603.029999999959</v>
      </c>
      <c r="L206" s="394">
        <f t="shared" si="15"/>
        <v>15</v>
      </c>
      <c r="M206" s="394">
        <f t="shared" si="12"/>
        <v>186</v>
      </c>
      <c r="N206" s="613">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67">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4642.0800000000172</v>
      </c>
      <c r="AD206" s="276">
        <f>IF(INDEX(tblContractForDeed[End Bal],ROW()-ROW(tblBuyerOutputs[#Headers]))&lt;=0,0,($O$6+IF(ROW()=ROW(tblBuyerOutputs[#Headers])+1,0,INDEX(tblBuyerOutputs[Cumul Appr],ROW()-ROW(tblBuyerOutputs[#Headers])-1)))*$O$2/12)</f>
        <v>0</v>
      </c>
      <c r="AE206" s="276">
        <f>IF(INDEX(tblContractForDeed[End Bal],ROW()-ROW(tblBuyerOutputs[#Headers]))&lt;=0,0,IF(ROW()=ROW(tblBuyerOutputs[#Headers])+1,0,INDEX(tblBuyerOutputs[Cumul Appr],ROW()-ROW(tblBuyerOutputs[#Headers])-1))+tblBuyerOutputs[[#This Row],[Monthly Appr]])</f>
        <v>0</v>
      </c>
      <c r="AF206" s="22"/>
      <c r="AG206" s="14"/>
      <c r="AL206"/>
      <c r="AM206" s="14"/>
      <c r="AO206" s="276"/>
      <c r="AQ206" s="14"/>
      <c r="AR206"/>
    </row>
    <row r="207" spans="1:44" x14ac:dyDescent="0.25">
      <c r="A207" s="613">
        <f>IF(ROW()=ROW(tblSubjectToLoan[#Headers])+1,subjectKnownBalanceDate,IF(OR(INDEX(tblSubjectToLoan[Date],ROW()-ROW(tblSubjectToLoan[#Headers])-1)="",INDEX(tblSubjectToLoan[Date],ROW()-ROW(tblSubjectToLoan[#Headers])-1)&gt;=subjectMortgageEndDate),"",EDATE(INDEX(tblSubjectToLoan[Date],ROW()-ROW(tblSubjectToLoan[#Headers])-1),1)))</f>
        <v>51561</v>
      </c>
      <c r="B207" s="276">
        <f>IF(tblSubjectToLoan[[#This Row],[Date]]="",0,IF(ROW()=ROW(tblSubjectToLoan[#Headers])+1,subjectKnownBalance,MAX(0,INDEX(tblSubjectToLoan[Ending Balance],ROW()-ROW(tblSubjectToLoan[#Headers])-1))))</f>
        <v>15603.029999999959</v>
      </c>
      <c r="C2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7" s="14">
        <f>IF(tblSubjectToLoan[[#This Row],[Payment]]=0,0,MAX(0,MIN(tblSubjectToLoan[[#This Row],[Beginning Balance]],tblSubjectToLoan[[#This Row],[Payment]]-tblSubjectToLoan[[#This Row],[Int]])))</f>
        <v>577.04999999999995</v>
      </c>
      <c r="E207" s="14">
        <f>IF(tblSubjectToLoan[[#This Row],[Date]]="",0,ROUND(tblSubjectToLoan[[#This Row],[Beginning Balance]]*(subjectInterestRate/12),2))</f>
        <v>48.76</v>
      </c>
      <c r="F207" s="14">
        <f t="shared" ref="F207:G222" si="17">+F206</f>
        <v>134.16999999999999</v>
      </c>
      <c r="G207" s="14">
        <f t="shared" si="17"/>
        <v>188.55</v>
      </c>
      <c r="H207" s="14">
        <f>SUM(tblSubjectToLoan[[#This Row],[Princ]],tblSubjectToLoan[[#This Row],[Int]],tblSubjectToLoan[[#This Row],[Ins]],tblSubjectToLoan[[#This Row],[Taxes]])</f>
        <v>948.53</v>
      </c>
      <c r="I207" s="276">
        <f>IF(tblSubjectToLoan[[#This Row],[Date]]="",IF(ROW()=ROW(tblSubjectToLoan[#Headers])+1,0,INDEX(tblSubjectToLoan[Principal],ROW()-ROW(tblSubjectToLoan[#Headers])-1)),tblSubjectToLoan[[#This Row],[Princ]]+IF(ROW()=ROW(tblSubjectToLoan[#Headers])+1,0,INDEX(tblSubjectToLoan[Principal],ROW()-ROW(tblSubjectToLoan[#Headers])-1)))</f>
        <v>82202.01999999999</v>
      </c>
      <c r="J207" s="276">
        <f>IF(tblSubjectToLoan[[#This Row],[Date]]="",IF(ROW()=ROW(tblSubjectToLoan[#Headers])+1,0,INDEX(tblSubjectToLoan[Interest],ROW()-ROW(tblSubjectToLoan[#Headers])-1)),tblSubjectToLoan[[#This Row],[Int]]+IF(ROW()=ROW(tblSubjectToLoan[#Headers])+1,0,INDEX(tblSubjectToLoan[Interest],ROW()-ROW(tblSubjectToLoan[#Headers])-1)))</f>
        <v>35450.259999999973</v>
      </c>
      <c r="K207" s="969">
        <f>IF(tblSubjectToLoan[[#This Row],[Date]]="",0,MAX(0,tblSubjectToLoan[[#This Row],[Beginning Balance]]-tblSubjectToLoan[[#This Row],[Princ]]))</f>
        <v>15025.97999999996</v>
      </c>
      <c r="L207" s="394">
        <f t="shared" si="15"/>
        <v>15</v>
      </c>
      <c r="M207" s="394">
        <f t="shared" si="12"/>
        <v>187</v>
      </c>
      <c r="N207" s="613">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67">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4676.1700000000174</v>
      </c>
      <c r="AD207" s="276">
        <f>IF(INDEX(tblContractForDeed[End Bal],ROW()-ROW(tblBuyerOutputs[#Headers]))&lt;=0,0,($O$6+IF(ROW()=ROW(tblBuyerOutputs[#Headers])+1,0,INDEX(tblBuyerOutputs[Cumul Appr],ROW()-ROW(tblBuyerOutputs[#Headers])-1)))*$O$2/12)</f>
        <v>0</v>
      </c>
      <c r="AE207" s="276">
        <f>IF(INDEX(tblContractForDeed[End Bal],ROW()-ROW(tblBuyerOutputs[#Headers]))&lt;=0,0,IF(ROW()=ROW(tblBuyerOutputs[#Headers])+1,0,INDEX(tblBuyerOutputs[Cumul Appr],ROW()-ROW(tblBuyerOutputs[#Headers])-1))+tblBuyerOutputs[[#This Row],[Monthly Appr]])</f>
        <v>0</v>
      </c>
      <c r="AF207" s="22"/>
      <c r="AG207" s="14"/>
      <c r="AL207"/>
      <c r="AM207" s="14"/>
      <c r="AO207" s="276"/>
      <c r="AQ207" s="14"/>
      <c r="AR207"/>
    </row>
    <row r="208" spans="1:44" x14ac:dyDescent="0.25">
      <c r="A208" s="613">
        <f>IF(ROW()=ROW(tblSubjectToLoan[#Headers])+1,subjectKnownBalanceDate,IF(OR(INDEX(tblSubjectToLoan[Date],ROW()-ROW(tblSubjectToLoan[#Headers])-1)="",INDEX(tblSubjectToLoan[Date],ROW()-ROW(tblSubjectToLoan[#Headers])-1)&gt;=subjectMortgageEndDate),"",EDATE(INDEX(tblSubjectToLoan[Date],ROW()-ROW(tblSubjectToLoan[#Headers])-1),1)))</f>
        <v>51592</v>
      </c>
      <c r="B208" s="276">
        <f>IF(tblSubjectToLoan[[#This Row],[Date]]="",0,IF(ROW()=ROW(tblSubjectToLoan[#Headers])+1,subjectKnownBalance,MAX(0,INDEX(tblSubjectToLoan[Ending Balance],ROW()-ROW(tblSubjectToLoan[#Headers])-1))))</f>
        <v>15025.97999999996</v>
      </c>
      <c r="C2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8" s="14">
        <f>IF(tblSubjectToLoan[[#This Row],[Payment]]=0,0,MAX(0,MIN(tblSubjectToLoan[[#This Row],[Beginning Balance]],tblSubjectToLoan[[#This Row],[Payment]]-tblSubjectToLoan[[#This Row],[Int]])))</f>
        <v>578.84999999999991</v>
      </c>
      <c r="E208" s="14">
        <f>IF(tblSubjectToLoan[[#This Row],[Date]]="",0,ROUND(tblSubjectToLoan[[#This Row],[Beginning Balance]]*(subjectInterestRate/12),2))</f>
        <v>46.96</v>
      </c>
      <c r="F208" s="14">
        <f t="shared" si="17"/>
        <v>134.16999999999999</v>
      </c>
      <c r="G208" s="14">
        <f t="shared" si="17"/>
        <v>188.55</v>
      </c>
      <c r="H208" s="14">
        <f>SUM(tblSubjectToLoan[[#This Row],[Princ]],tblSubjectToLoan[[#This Row],[Int]],tblSubjectToLoan[[#This Row],[Ins]],tblSubjectToLoan[[#This Row],[Taxes]])</f>
        <v>948.53</v>
      </c>
      <c r="I208" s="276">
        <f>IF(tblSubjectToLoan[[#This Row],[Date]]="",IF(ROW()=ROW(tblSubjectToLoan[#Headers])+1,0,INDEX(tblSubjectToLoan[Principal],ROW()-ROW(tblSubjectToLoan[#Headers])-1)),tblSubjectToLoan[[#This Row],[Princ]]+IF(ROW()=ROW(tblSubjectToLoan[#Headers])+1,0,INDEX(tblSubjectToLoan[Principal],ROW()-ROW(tblSubjectToLoan[#Headers])-1)))</f>
        <v>82780.87</v>
      </c>
      <c r="J208" s="276">
        <f>IF(tblSubjectToLoan[[#This Row],[Date]]="",IF(ROW()=ROW(tblSubjectToLoan[#Headers])+1,0,INDEX(tblSubjectToLoan[Interest],ROW()-ROW(tblSubjectToLoan[#Headers])-1)),tblSubjectToLoan[[#This Row],[Int]]+IF(ROW()=ROW(tblSubjectToLoan[#Headers])+1,0,INDEX(tblSubjectToLoan[Interest],ROW()-ROW(tblSubjectToLoan[#Headers])-1)))</f>
        <v>35497.219999999972</v>
      </c>
      <c r="K208" s="969">
        <f>IF(tblSubjectToLoan[[#This Row],[Date]]="",0,MAX(0,tblSubjectToLoan[[#This Row],[Beginning Balance]]-tblSubjectToLoan[[#This Row],[Princ]]))</f>
        <v>14447.129999999959</v>
      </c>
      <c r="L208" s="394">
        <f t="shared" si="15"/>
        <v>15</v>
      </c>
      <c r="M208" s="394">
        <f t="shared" si="12"/>
        <v>188</v>
      </c>
      <c r="N208" s="613">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67">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4710.2600000000175</v>
      </c>
      <c r="AD208" s="276">
        <f>IF(INDEX(tblContractForDeed[End Bal],ROW()-ROW(tblBuyerOutputs[#Headers]))&lt;=0,0,($O$6+IF(ROW()=ROW(tblBuyerOutputs[#Headers])+1,0,INDEX(tblBuyerOutputs[Cumul Appr],ROW()-ROW(tblBuyerOutputs[#Headers])-1)))*$O$2/12)</f>
        <v>0</v>
      </c>
      <c r="AE208" s="276">
        <f>IF(INDEX(tblContractForDeed[End Bal],ROW()-ROW(tblBuyerOutputs[#Headers]))&lt;=0,0,IF(ROW()=ROW(tblBuyerOutputs[#Headers])+1,0,INDEX(tblBuyerOutputs[Cumul Appr],ROW()-ROW(tblBuyerOutputs[#Headers])-1))+tblBuyerOutputs[[#This Row],[Monthly Appr]])</f>
        <v>0</v>
      </c>
      <c r="AF208" s="22"/>
      <c r="AG208" s="14"/>
      <c r="AL208"/>
      <c r="AM208" s="14"/>
      <c r="AO208" s="276"/>
      <c r="AQ208" s="14"/>
      <c r="AR208"/>
    </row>
    <row r="209" spans="1:44" x14ac:dyDescent="0.25">
      <c r="A209" s="613">
        <f>IF(ROW()=ROW(tblSubjectToLoan[#Headers])+1,subjectKnownBalanceDate,IF(OR(INDEX(tblSubjectToLoan[Date],ROW()-ROW(tblSubjectToLoan[#Headers])-1)="",INDEX(tblSubjectToLoan[Date],ROW()-ROW(tblSubjectToLoan[#Headers])-1)&gt;=subjectMortgageEndDate),"",EDATE(INDEX(tblSubjectToLoan[Date],ROW()-ROW(tblSubjectToLoan[#Headers])-1),1)))</f>
        <v>51622</v>
      </c>
      <c r="B209" s="276">
        <f>IF(tblSubjectToLoan[[#This Row],[Date]]="",0,IF(ROW()=ROW(tblSubjectToLoan[#Headers])+1,subjectKnownBalance,MAX(0,INDEX(tblSubjectToLoan[Ending Balance],ROW()-ROW(tblSubjectToLoan[#Headers])-1))))</f>
        <v>14447.129999999959</v>
      </c>
      <c r="C2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9" s="14">
        <f>IF(tblSubjectToLoan[[#This Row],[Payment]]=0,0,MAX(0,MIN(tblSubjectToLoan[[#This Row],[Beginning Balance]],tblSubjectToLoan[[#This Row],[Payment]]-tblSubjectToLoan[[#This Row],[Int]])))</f>
        <v>580.66</v>
      </c>
      <c r="E209" s="14">
        <f>IF(tblSubjectToLoan[[#This Row],[Date]]="",0,ROUND(tblSubjectToLoan[[#This Row],[Beginning Balance]]*(subjectInterestRate/12),2))</f>
        <v>45.15</v>
      </c>
      <c r="F209" s="14">
        <f t="shared" si="17"/>
        <v>134.16999999999999</v>
      </c>
      <c r="G209" s="14">
        <f t="shared" si="17"/>
        <v>188.55</v>
      </c>
      <c r="H209" s="14">
        <f>SUM(tblSubjectToLoan[[#This Row],[Princ]],tblSubjectToLoan[[#This Row],[Int]],tblSubjectToLoan[[#This Row],[Ins]],tblSubjectToLoan[[#This Row],[Taxes]])</f>
        <v>948.53</v>
      </c>
      <c r="I209" s="276">
        <f>IF(tblSubjectToLoan[[#This Row],[Date]]="",IF(ROW()=ROW(tblSubjectToLoan[#Headers])+1,0,INDEX(tblSubjectToLoan[Principal],ROW()-ROW(tblSubjectToLoan[#Headers])-1)),tblSubjectToLoan[[#This Row],[Princ]]+IF(ROW()=ROW(tblSubjectToLoan[#Headers])+1,0,INDEX(tblSubjectToLoan[Principal],ROW()-ROW(tblSubjectToLoan[#Headers])-1)))</f>
        <v>83361.53</v>
      </c>
      <c r="J209" s="276">
        <f>IF(tblSubjectToLoan[[#This Row],[Date]]="",IF(ROW()=ROW(tblSubjectToLoan[#Headers])+1,0,INDEX(tblSubjectToLoan[Interest],ROW()-ROW(tblSubjectToLoan[#Headers])-1)),tblSubjectToLoan[[#This Row],[Int]]+IF(ROW()=ROW(tblSubjectToLoan[#Headers])+1,0,INDEX(tblSubjectToLoan[Interest],ROW()-ROW(tblSubjectToLoan[#Headers])-1)))</f>
        <v>35542.369999999974</v>
      </c>
      <c r="K209" s="969">
        <f>IF(tblSubjectToLoan[[#This Row],[Date]]="",0,MAX(0,tblSubjectToLoan[[#This Row],[Beginning Balance]]-tblSubjectToLoan[[#This Row],[Princ]]))</f>
        <v>13866.469999999959</v>
      </c>
      <c r="L209" s="394">
        <f t="shared" si="15"/>
        <v>15</v>
      </c>
      <c r="M209" s="394">
        <f t="shared" si="12"/>
        <v>189</v>
      </c>
      <c r="N209" s="613">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67">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4744.3500000000176</v>
      </c>
      <c r="AD209" s="276">
        <f>IF(INDEX(tblContractForDeed[End Bal],ROW()-ROW(tblBuyerOutputs[#Headers]))&lt;=0,0,($O$6+IF(ROW()=ROW(tblBuyerOutputs[#Headers])+1,0,INDEX(tblBuyerOutputs[Cumul Appr],ROW()-ROW(tblBuyerOutputs[#Headers])-1)))*$O$2/12)</f>
        <v>0</v>
      </c>
      <c r="AE209" s="276">
        <f>IF(INDEX(tblContractForDeed[End Bal],ROW()-ROW(tblBuyerOutputs[#Headers]))&lt;=0,0,IF(ROW()=ROW(tblBuyerOutputs[#Headers])+1,0,INDEX(tblBuyerOutputs[Cumul Appr],ROW()-ROW(tblBuyerOutputs[#Headers])-1))+tblBuyerOutputs[[#This Row],[Monthly Appr]])</f>
        <v>0</v>
      </c>
      <c r="AF209" s="22"/>
      <c r="AG209" s="14"/>
      <c r="AL209"/>
      <c r="AM209" s="14"/>
      <c r="AO209" s="276"/>
      <c r="AQ209" s="14"/>
      <c r="AR209"/>
    </row>
    <row r="210" spans="1:44" x14ac:dyDescent="0.25">
      <c r="A210" s="613">
        <f>IF(ROW()=ROW(tblSubjectToLoan[#Headers])+1,subjectKnownBalanceDate,IF(OR(INDEX(tblSubjectToLoan[Date],ROW()-ROW(tblSubjectToLoan[#Headers])-1)="",INDEX(tblSubjectToLoan[Date],ROW()-ROW(tblSubjectToLoan[#Headers])-1)&gt;=subjectMortgageEndDate),"",EDATE(INDEX(tblSubjectToLoan[Date],ROW()-ROW(tblSubjectToLoan[#Headers])-1),1)))</f>
        <v>51653</v>
      </c>
      <c r="B210" s="276">
        <f>IF(tblSubjectToLoan[[#This Row],[Date]]="",0,IF(ROW()=ROW(tblSubjectToLoan[#Headers])+1,subjectKnownBalance,MAX(0,INDEX(tblSubjectToLoan[Ending Balance],ROW()-ROW(tblSubjectToLoan[#Headers])-1))))</f>
        <v>13866.469999999959</v>
      </c>
      <c r="C2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0" s="14">
        <f>IF(tblSubjectToLoan[[#This Row],[Payment]]=0,0,MAX(0,MIN(tblSubjectToLoan[[#This Row],[Beginning Balance]],tblSubjectToLoan[[#This Row],[Payment]]-tblSubjectToLoan[[#This Row],[Int]])))</f>
        <v>582.4799999999999</v>
      </c>
      <c r="E210" s="14">
        <f>IF(tblSubjectToLoan[[#This Row],[Date]]="",0,ROUND(tblSubjectToLoan[[#This Row],[Beginning Balance]]*(subjectInterestRate/12),2))</f>
        <v>43.33</v>
      </c>
      <c r="F210" s="14">
        <f t="shared" si="17"/>
        <v>134.16999999999999</v>
      </c>
      <c r="G210" s="14">
        <f t="shared" si="17"/>
        <v>188.55</v>
      </c>
      <c r="H210" s="14">
        <f>SUM(tblSubjectToLoan[[#This Row],[Princ]],tblSubjectToLoan[[#This Row],[Int]],tblSubjectToLoan[[#This Row],[Ins]],tblSubjectToLoan[[#This Row],[Taxes]])</f>
        <v>948.53</v>
      </c>
      <c r="I210" s="276">
        <f>IF(tblSubjectToLoan[[#This Row],[Date]]="",IF(ROW()=ROW(tblSubjectToLoan[#Headers])+1,0,INDEX(tblSubjectToLoan[Principal],ROW()-ROW(tblSubjectToLoan[#Headers])-1)),tblSubjectToLoan[[#This Row],[Princ]]+IF(ROW()=ROW(tblSubjectToLoan[#Headers])+1,0,INDEX(tblSubjectToLoan[Principal],ROW()-ROW(tblSubjectToLoan[#Headers])-1)))</f>
        <v>83944.01</v>
      </c>
      <c r="J210" s="276">
        <f>IF(tblSubjectToLoan[[#This Row],[Date]]="",IF(ROW()=ROW(tblSubjectToLoan[#Headers])+1,0,INDEX(tblSubjectToLoan[Interest],ROW()-ROW(tblSubjectToLoan[#Headers])-1)),tblSubjectToLoan[[#This Row],[Int]]+IF(ROW()=ROW(tblSubjectToLoan[#Headers])+1,0,INDEX(tblSubjectToLoan[Interest],ROW()-ROW(tblSubjectToLoan[#Headers])-1)))</f>
        <v>35585.699999999975</v>
      </c>
      <c r="K210" s="969">
        <f>IF(tblSubjectToLoan[[#This Row],[Date]]="",0,MAX(0,tblSubjectToLoan[[#This Row],[Beginning Balance]]-tblSubjectToLoan[[#This Row],[Princ]]))</f>
        <v>13283.98999999996</v>
      </c>
      <c r="L210" s="394">
        <f t="shared" si="15"/>
        <v>15</v>
      </c>
      <c r="M210" s="394">
        <f t="shared" si="12"/>
        <v>190</v>
      </c>
      <c r="N210" s="613">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67">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0" s="276">
        <f>IF(INDEX(tblContractForDeed[End Bal],ROW()-ROW(tblBuyerOutputs[#Headers]))&lt;=0,0,($O$6+IF(ROW()=ROW(tblBuyerOutputs[#Headers])+1,0,INDEX(tblBuyerOutputs[Cumul Appr],ROW()-ROW(tblBuyerOutputs[#Headers])-1)))*$O$2/12)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614">
        <f>IF(ROW()=ROW(tblSubjectToLoan[#Headers])+1,subjectKnownBalanceDate,IF(OR(INDEX(tblSubjectToLoan[Date],ROW()-ROW(tblSubjectToLoan[#Headers])-1)="",INDEX(tblSubjectToLoan[Date],ROW()-ROW(tblSubjectToLoan[#Headers])-1)&gt;=subjectMortgageEndDate),"",EDATE(INDEX(tblSubjectToLoan[Date],ROW()-ROW(tblSubjectToLoan[#Headers])-1),1)))</f>
        <v>51683</v>
      </c>
      <c r="B211" s="332">
        <f>IF(tblSubjectToLoan[[#This Row],[Date]]="",0,IF(ROW()=ROW(tblSubjectToLoan[#Headers])+1,subjectKnownBalance,MAX(0,INDEX(tblSubjectToLoan[Ending Balance],ROW()-ROW(tblSubjectToLoan[#Headers])-1))))</f>
        <v>13283.98999999996</v>
      </c>
      <c r="C21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1" s="21">
        <f>IF(tblSubjectToLoan[[#This Row],[Payment]]=0,0,MAX(0,MIN(tblSubjectToLoan[[#This Row],[Beginning Balance]],tblSubjectToLoan[[#This Row],[Payment]]-tblSubjectToLoan[[#This Row],[Int]])))</f>
        <v>584.29999999999995</v>
      </c>
      <c r="E211" s="21">
        <f>IF(tblSubjectToLoan[[#This Row],[Date]]="",0,ROUND(tblSubjectToLoan[[#This Row],[Beginning Balance]]*(subjectInterestRate/12),2))</f>
        <v>41.51</v>
      </c>
      <c r="F211" s="21">
        <f t="shared" si="17"/>
        <v>134.16999999999999</v>
      </c>
      <c r="G211" s="21">
        <f t="shared" si="17"/>
        <v>188.55</v>
      </c>
      <c r="H211" s="21">
        <f>SUM(tblSubjectToLoan[[#This Row],[Princ]],tblSubjectToLoan[[#This Row],[Int]],tblSubjectToLoan[[#This Row],[Ins]],tblSubjectToLoan[[#This Row],[Taxes]])</f>
        <v>948.53</v>
      </c>
      <c r="I211" s="332">
        <f>IF(tblSubjectToLoan[[#This Row],[Date]]="",IF(ROW()=ROW(tblSubjectToLoan[#Headers])+1,0,INDEX(tblSubjectToLoan[Principal],ROW()-ROW(tblSubjectToLoan[#Headers])-1)),tblSubjectToLoan[[#This Row],[Princ]]+IF(ROW()=ROW(tblSubjectToLoan[#Headers])+1,0,INDEX(tblSubjectToLoan[Principal],ROW()-ROW(tblSubjectToLoan[#Headers])-1)))</f>
        <v>84528.31</v>
      </c>
      <c r="J211" s="332">
        <f>IF(tblSubjectToLoan[[#This Row],[Date]]="",IF(ROW()=ROW(tblSubjectToLoan[#Headers])+1,0,INDEX(tblSubjectToLoan[Interest],ROW()-ROW(tblSubjectToLoan[#Headers])-1)),tblSubjectToLoan[[#This Row],[Int]]+IF(ROW()=ROW(tblSubjectToLoan[#Headers])+1,0,INDEX(tblSubjectToLoan[Interest],ROW()-ROW(tblSubjectToLoan[#Headers])-1)))</f>
        <v>35627.209999999977</v>
      </c>
      <c r="K211" s="970">
        <f>IF(tblSubjectToLoan[[#This Row],[Date]]="",0,MAX(0,tblSubjectToLoan[[#This Row],[Beginning Balance]]-tblSubjectToLoan[[#This Row],[Princ]]))</f>
        <v>12699.68999999996</v>
      </c>
      <c r="L211" s="395">
        <f t="shared" si="15"/>
        <v>15</v>
      </c>
      <c r="M211" s="395">
        <f t="shared" si="12"/>
        <v>191</v>
      </c>
      <c r="N211" s="614">
        <f>INDEX(tblSubjectToLoan[Date],ROW()-ROW(tblContractForDeed[#Headers]))</f>
        <v>51683</v>
      </c>
      <c r="O211" s="332">
        <f>IF(ROW()=ROW(tblContractForDeed[#Headers])+1,$O$6,IF(INDEX(tblContractForDeed[End Bal],ROW()-ROW(tblContractForDeed[#Headers])-1)&lt;0,0,INDEX(tblContractForDeed[End Bal],ROW()-ROW(tblContractForDeed[#Headers])-1)))</f>
        <v>0</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32">
        <f>IF(tblContractForDeed[[#This Row],[Payment]]=0,0,MAX(0,MIN(tblContractForDeed[[#This Row],[Beg]],tblContractForDeed[[#This Row],[Payment]]-tblContractForDeed[[#This Row],[Int]])))</f>
        <v>0</v>
      </c>
      <c r="S211" s="332">
        <f>IF(OR(tblContractForDeed[[#This Row],[Date]]&lt;cfdContractDate,tblContractForDeed[[#This Row],[Date]]&gt;cfdEndDate),0,ROUND(tblContractForDeed[[#This Row],[Beg]]*(tblContractForDeed[[#This Row],[Int Rate]]/12),2))</f>
        <v>0</v>
      </c>
      <c r="T211" s="332">
        <f>IF(tblContractForDeed[[#This Row],[Payment]]=0,0,$W$2)</f>
        <v>0</v>
      </c>
      <c r="U211" s="332">
        <f>IF(tblContractForDeed[[#This Row],[Princ]]=0,0,$W$3)</f>
        <v>0</v>
      </c>
      <c r="V211" s="332">
        <f>SUM(tblContractForDeed[[#This Row],[Princ]],tblContractForDeed[[#This Row],[Int]],tblContractForDeed[[#This Row],[Ins]],tblContractForDeed[[#This Row],[Taxes]])</f>
        <v>0</v>
      </c>
      <c r="W211" s="332">
        <f>SUM(INDEX(tblContractForDeed[Princ],1):INDEX(tblContractForDeed[Princ],ROW()-ROW(tblContractForDeed[#Headers])))</f>
        <v>75258.000000000029</v>
      </c>
      <c r="X211" s="332">
        <f>IF(tblContractForDeed[[#This Row],[Beg]]&lt;=0,0,tblContractForDeed[[#This Row],[Beg]]-tblContractForDeed[[#This Row],[Princ]])</f>
        <v>0</v>
      </c>
      <c r="Y2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68">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1" s="332">
        <f>IF(INDEX(tblContractForDeed[End Bal],ROW()-ROW(tblBuyerOutputs[#Headers]))&lt;=0,0,($O$6+IF(ROW()=ROW(tblBuyerOutputs[#Headers])+1,0,INDEX(tblBuyerOutputs[Cumul Appr],ROW()-ROW(tblBuyerOutputs[#Headers])-1)))*$O$2/12)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13">
        <f>IF(ROW()=ROW(tblSubjectToLoan[#Headers])+1,subjectKnownBalanceDate,IF(OR(INDEX(tblSubjectToLoan[Date],ROW()-ROW(tblSubjectToLoan[#Headers])-1)="",INDEX(tblSubjectToLoan[Date],ROW()-ROW(tblSubjectToLoan[#Headers])-1)&gt;=subjectMortgageEndDate),"",EDATE(INDEX(tblSubjectToLoan[Date],ROW()-ROW(tblSubjectToLoan[#Headers])-1),1)))</f>
        <v>51714</v>
      </c>
      <c r="B212" s="276">
        <f>IF(tblSubjectToLoan[[#This Row],[Date]]="",0,IF(ROW()=ROW(tblSubjectToLoan[#Headers])+1,subjectKnownBalance,MAX(0,INDEX(tblSubjectToLoan[Ending Balance],ROW()-ROW(tblSubjectToLoan[#Headers])-1))))</f>
        <v>12699.68999999996</v>
      </c>
      <c r="C2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2" s="14">
        <f>IF(tblSubjectToLoan[[#This Row],[Payment]]=0,0,MAX(0,MIN(tblSubjectToLoan[[#This Row],[Beginning Balance]],tblSubjectToLoan[[#This Row],[Payment]]-tblSubjectToLoan[[#This Row],[Int]])))</f>
        <v>586.11999999999989</v>
      </c>
      <c r="E212" s="14">
        <f>IF(tblSubjectToLoan[[#This Row],[Date]]="",0,ROUND(tblSubjectToLoan[[#This Row],[Beginning Balance]]*(subjectInterestRate/12),2))</f>
        <v>39.69</v>
      </c>
      <c r="F212" s="14">
        <f t="shared" si="17"/>
        <v>134.16999999999999</v>
      </c>
      <c r="G212" s="14">
        <f t="shared" si="17"/>
        <v>188.55</v>
      </c>
      <c r="H212" s="14">
        <f>SUM(tblSubjectToLoan[[#This Row],[Princ]],tblSubjectToLoan[[#This Row],[Int]],tblSubjectToLoan[[#This Row],[Ins]],tblSubjectToLoan[[#This Row],[Taxes]])</f>
        <v>948.53</v>
      </c>
      <c r="I212" s="276">
        <f>IF(tblSubjectToLoan[[#This Row],[Date]]="",IF(ROW()=ROW(tblSubjectToLoan[#Headers])+1,0,INDEX(tblSubjectToLoan[Principal],ROW()-ROW(tblSubjectToLoan[#Headers])-1)),tblSubjectToLoan[[#This Row],[Princ]]+IF(ROW()=ROW(tblSubjectToLoan[#Headers])+1,0,INDEX(tblSubjectToLoan[Principal],ROW()-ROW(tblSubjectToLoan[#Headers])-1)))</f>
        <v>85114.43</v>
      </c>
      <c r="J212" s="276">
        <f>IF(tblSubjectToLoan[[#This Row],[Date]]="",IF(ROW()=ROW(tblSubjectToLoan[#Headers])+1,0,INDEX(tblSubjectToLoan[Interest],ROW()-ROW(tblSubjectToLoan[#Headers])-1)),tblSubjectToLoan[[#This Row],[Int]]+IF(ROW()=ROW(tblSubjectToLoan[#Headers])+1,0,INDEX(tblSubjectToLoan[Interest],ROW()-ROW(tblSubjectToLoan[#Headers])-1)))</f>
        <v>35666.89999999998</v>
      </c>
      <c r="K212" s="969">
        <f>IF(tblSubjectToLoan[[#This Row],[Date]]="",0,MAX(0,tblSubjectToLoan[[#This Row],[Beginning Balance]]-tblSubjectToLoan[[#This Row],[Princ]]))</f>
        <v>12113.56999999996</v>
      </c>
      <c r="L212" s="394">
        <f t="shared" si="15"/>
        <v>16</v>
      </c>
      <c r="M212" s="394">
        <f t="shared" si="12"/>
        <v>192</v>
      </c>
      <c r="N212" s="613">
        <f>INDEX(tblSubjectToLoan[Date],ROW()-ROW(tblContractForDeed[#Headers]))</f>
        <v>51714</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2" s="276">
        <f>IF(INDEX(tblContractForDeed[End Bal],ROW()-ROW(tblBuyerOutputs[#Headers]))&lt;=0,0,($O$6+IF(ROW()=ROW(tblBuyerOutputs[#Headers])+1,0,INDEX(tblBuyerOutputs[Cumul Appr],ROW()-ROW(tblBuyerOutputs[#Headers])-1)))*$O$2/12)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13">
        <f>IF(ROW()=ROW(tblSubjectToLoan[#Headers])+1,subjectKnownBalanceDate,IF(OR(INDEX(tblSubjectToLoan[Date],ROW()-ROW(tblSubjectToLoan[#Headers])-1)="",INDEX(tblSubjectToLoan[Date],ROW()-ROW(tblSubjectToLoan[#Headers])-1)&gt;=subjectMortgageEndDate),"",EDATE(INDEX(tblSubjectToLoan[Date],ROW()-ROW(tblSubjectToLoan[#Headers])-1),1)))</f>
        <v>51745</v>
      </c>
      <c r="B213" s="276">
        <f>IF(tblSubjectToLoan[[#This Row],[Date]]="",0,IF(ROW()=ROW(tblSubjectToLoan[#Headers])+1,subjectKnownBalance,MAX(0,INDEX(tblSubjectToLoan[Ending Balance],ROW()-ROW(tblSubjectToLoan[#Headers])-1))))</f>
        <v>12113.56999999996</v>
      </c>
      <c r="C2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3" s="14">
        <f>IF(tblSubjectToLoan[[#This Row],[Payment]]=0,0,MAX(0,MIN(tblSubjectToLoan[[#This Row],[Beginning Balance]],tblSubjectToLoan[[#This Row],[Payment]]-tblSubjectToLoan[[#This Row],[Int]])))</f>
        <v>587.95999999999992</v>
      </c>
      <c r="E213" s="14">
        <f>IF(tblSubjectToLoan[[#This Row],[Date]]="",0,ROUND(tblSubjectToLoan[[#This Row],[Beginning Balance]]*(subjectInterestRate/12),2))</f>
        <v>37.85</v>
      </c>
      <c r="F213" s="14">
        <f t="shared" si="17"/>
        <v>134.16999999999999</v>
      </c>
      <c r="G213" s="14">
        <f t="shared" si="17"/>
        <v>188.55</v>
      </c>
      <c r="H213" s="14">
        <f>SUM(tblSubjectToLoan[[#This Row],[Princ]],tblSubjectToLoan[[#This Row],[Int]],tblSubjectToLoan[[#This Row],[Ins]],tblSubjectToLoan[[#This Row],[Taxes]])</f>
        <v>948.53</v>
      </c>
      <c r="I213" s="276">
        <f>IF(tblSubjectToLoan[[#This Row],[Date]]="",IF(ROW()=ROW(tblSubjectToLoan[#Headers])+1,0,INDEX(tblSubjectToLoan[Principal],ROW()-ROW(tblSubjectToLoan[#Headers])-1)),tblSubjectToLoan[[#This Row],[Princ]]+IF(ROW()=ROW(tblSubjectToLoan[#Headers])+1,0,INDEX(tblSubjectToLoan[Principal],ROW()-ROW(tblSubjectToLoan[#Headers])-1)))</f>
        <v>85702.39</v>
      </c>
      <c r="J213" s="276">
        <f>IF(tblSubjectToLoan[[#This Row],[Date]]="",IF(ROW()=ROW(tblSubjectToLoan[#Headers])+1,0,INDEX(tblSubjectToLoan[Interest],ROW()-ROW(tblSubjectToLoan[#Headers])-1)),tblSubjectToLoan[[#This Row],[Int]]+IF(ROW()=ROW(tblSubjectToLoan[#Headers])+1,0,INDEX(tblSubjectToLoan[Interest],ROW()-ROW(tblSubjectToLoan[#Headers])-1)))</f>
        <v>35704.749999999978</v>
      </c>
      <c r="K213" s="969">
        <f>IF(tblSubjectToLoan[[#This Row],[Date]]="",0,MAX(0,tblSubjectToLoan[[#This Row],[Beginning Balance]]-tblSubjectToLoan[[#This Row],[Princ]]))</f>
        <v>11525.609999999961</v>
      </c>
      <c r="L213" s="394">
        <f t="shared" si="15"/>
        <v>16</v>
      </c>
      <c r="M213" s="394">
        <f t="shared" ref="M213:M276" si="18">IF($A213&lt;&gt;"",M212+1,0)</f>
        <v>193</v>
      </c>
      <c r="N213" s="613">
        <f>INDEX(tblSubjectToLoan[Date],ROW()-ROW(tblContractForDeed[#Headers]))</f>
        <v>51745</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3" s="276">
        <f>IF(INDEX(tblContractForDeed[End Bal],ROW()-ROW(tblBuyerOutputs[#Headers]))&lt;=0,0,($O$6+IF(ROW()=ROW(tblBuyerOutputs[#Headers])+1,0,INDEX(tblBuyerOutputs[Cumul Appr],ROW()-ROW(tblBuyerOutputs[#Headers])-1)))*$O$2/12)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13">
        <f>IF(ROW()=ROW(tblSubjectToLoan[#Headers])+1,subjectKnownBalanceDate,IF(OR(INDEX(tblSubjectToLoan[Date],ROW()-ROW(tblSubjectToLoan[#Headers])-1)="",INDEX(tblSubjectToLoan[Date],ROW()-ROW(tblSubjectToLoan[#Headers])-1)&gt;=subjectMortgageEndDate),"",EDATE(INDEX(tblSubjectToLoan[Date],ROW()-ROW(tblSubjectToLoan[#Headers])-1),1)))</f>
        <v>51775</v>
      </c>
      <c r="B214" s="276">
        <f>IF(tblSubjectToLoan[[#This Row],[Date]]="",0,IF(ROW()=ROW(tblSubjectToLoan[#Headers])+1,subjectKnownBalance,MAX(0,INDEX(tblSubjectToLoan[Ending Balance],ROW()-ROW(tblSubjectToLoan[#Headers])-1))))</f>
        <v>11525.609999999961</v>
      </c>
      <c r="C2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4" s="14">
        <f>IF(tblSubjectToLoan[[#This Row],[Payment]]=0,0,MAX(0,MIN(tblSubjectToLoan[[#This Row],[Beginning Balance]],tblSubjectToLoan[[#This Row],[Payment]]-tblSubjectToLoan[[#This Row],[Int]])))</f>
        <v>589.79</v>
      </c>
      <c r="E214" s="14">
        <f>IF(tblSubjectToLoan[[#This Row],[Date]]="",0,ROUND(tblSubjectToLoan[[#This Row],[Beginning Balance]]*(subjectInterestRate/12),2))</f>
        <v>36.020000000000003</v>
      </c>
      <c r="F214" s="14">
        <f t="shared" si="17"/>
        <v>134.16999999999999</v>
      </c>
      <c r="G214" s="14">
        <f t="shared" si="17"/>
        <v>188.55</v>
      </c>
      <c r="H214" s="14">
        <f>SUM(tblSubjectToLoan[[#This Row],[Princ]],tblSubjectToLoan[[#This Row],[Int]],tblSubjectToLoan[[#This Row],[Ins]],tblSubjectToLoan[[#This Row],[Taxes]])</f>
        <v>948.53</v>
      </c>
      <c r="I214" s="276">
        <f>IF(tblSubjectToLoan[[#This Row],[Date]]="",IF(ROW()=ROW(tblSubjectToLoan[#Headers])+1,0,INDEX(tblSubjectToLoan[Principal],ROW()-ROW(tblSubjectToLoan[#Headers])-1)),tblSubjectToLoan[[#This Row],[Princ]]+IF(ROW()=ROW(tblSubjectToLoan[#Headers])+1,0,INDEX(tblSubjectToLoan[Principal],ROW()-ROW(tblSubjectToLoan[#Headers])-1)))</f>
        <v>86292.18</v>
      </c>
      <c r="J214" s="276">
        <f>IF(tblSubjectToLoan[[#This Row],[Date]]="",IF(ROW()=ROW(tblSubjectToLoan[#Headers])+1,0,INDEX(tblSubjectToLoan[Interest],ROW()-ROW(tblSubjectToLoan[#Headers])-1)),tblSubjectToLoan[[#This Row],[Int]]+IF(ROW()=ROW(tblSubjectToLoan[#Headers])+1,0,INDEX(tblSubjectToLoan[Interest],ROW()-ROW(tblSubjectToLoan[#Headers])-1)))</f>
        <v>35740.769999999975</v>
      </c>
      <c r="K214" s="969">
        <f>IF(tblSubjectToLoan[[#This Row],[Date]]="",0,MAX(0,tblSubjectToLoan[[#This Row],[Beginning Balance]]-tblSubjectToLoan[[#This Row],[Princ]]))</f>
        <v>10935.81999999996</v>
      </c>
      <c r="L214" s="394">
        <f t="shared" si="15"/>
        <v>16</v>
      </c>
      <c r="M214" s="394">
        <f t="shared" si="18"/>
        <v>194</v>
      </c>
      <c r="N214" s="613">
        <f>INDEX(tblSubjectToLoan[Date],ROW()-ROW(tblContractForDeed[#Headers]))</f>
        <v>51775</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4" s="276">
        <f>IF(INDEX(tblContractForDeed[End Bal],ROW()-ROW(tblBuyerOutputs[#Headers]))&lt;=0,0,($O$6+IF(ROW()=ROW(tblBuyerOutputs[#Headers])+1,0,INDEX(tblBuyerOutputs[Cumul Appr],ROW()-ROW(tblBuyerOutputs[#Headers])-1)))*$O$2/12)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13">
        <f>IF(ROW()=ROW(tblSubjectToLoan[#Headers])+1,subjectKnownBalanceDate,IF(OR(INDEX(tblSubjectToLoan[Date],ROW()-ROW(tblSubjectToLoan[#Headers])-1)="",INDEX(tblSubjectToLoan[Date],ROW()-ROW(tblSubjectToLoan[#Headers])-1)&gt;=subjectMortgageEndDate),"",EDATE(INDEX(tblSubjectToLoan[Date],ROW()-ROW(tblSubjectToLoan[#Headers])-1),1)))</f>
        <v>51806</v>
      </c>
      <c r="B215" s="276">
        <f>IF(tblSubjectToLoan[[#This Row],[Date]]="",0,IF(ROW()=ROW(tblSubjectToLoan[#Headers])+1,subjectKnownBalance,MAX(0,INDEX(tblSubjectToLoan[Ending Balance],ROW()-ROW(tblSubjectToLoan[#Headers])-1))))</f>
        <v>10935.81999999996</v>
      </c>
      <c r="C2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5" s="14">
        <f>IF(tblSubjectToLoan[[#This Row],[Payment]]=0,0,MAX(0,MIN(tblSubjectToLoan[[#This Row],[Beginning Balance]],tblSubjectToLoan[[#This Row],[Payment]]-tblSubjectToLoan[[#This Row],[Int]])))</f>
        <v>591.64</v>
      </c>
      <c r="E215" s="14">
        <f>IF(tblSubjectToLoan[[#This Row],[Date]]="",0,ROUND(tblSubjectToLoan[[#This Row],[Beginning Balance]]*(subjectInterestRate/12),2))</f>
        <v>34.17</v>
      </c>
      <c r="F215" s="14">
        <f t="shared" si="17"/>
        <v>134.16999999999999</v>
      </c>
      <c r="G215" s="14">
        <f t="shared" si="17"/>
        <v>188.55</v>
      </c>
      <c r="H215" s="14">
        <f>SUM(tblSubjectToLoan[[#This Row],[Princ]],tblSubjectToLoan[[#This Row],[Int]],tblSubjectToLoan[[#This Row],[Ins]],tblSubjectToLoan[[#This Row],[Taxes]])</f>
        <v>948.53</v>
      </c>
      <c r="I215" s="276">
        <f>IF(tblSubjectToLoan[[#This Row],[Date]]="",IF(ROW()=ROW(tblSubjectToLoan[#Headers])+1,0,INDEX(tblSubjectToLoan[Principal],ROW()-ROW(tblSubjectToLoan[#Headers])-1)),tblSubjectToLoan[[#This Row],[Princ]]+IF(ROW()=ROW(tblSubjectToLoan[#Headers])+1,0,INDEX(tblSubjectToLoan[Principal],ROW()-ROW(tblSubjectToLoan[#Headers])-1)))</f>
        <v>86883.819999999992</v>
      </c>
      <c r="J215" s="276">
        <f>IF(tblSubjectToLoan[[#This Row],[Date]]="",IF(ROW()=ROW(tblSubjectToLoan[#Headers])+1,0,INDEX(tblSubjectToLoan[Interest],ROW()-ROW(tblSubjectToLoan[#Headers])-1)),tblSubjectToLoan[[#This Row],[Int]]+IF(ROW()=ROW(tblSubjectToLoan[#Headers])+1,0,INDEX(tblSubjectToLoan[Interest],ROW()-ROW(tblSubjectToLoan[#Headers])-1)))</f>
        <v>35774.939999999973</v>
      </c>
      <c r="K215" s="969">
        <f>IF(tblSubjectToLoan[[#This Row],[Date]]="",0,MAX(0,tblSubjectToLoan[[#This Row],[Beginning Balance]]-tblSubjectToLoan[[#This Row],[Princ]]))</f>
        <v>10344.17999999996</v>
      </c>
      <c r="L215" s="394">
        <f t="shared" si="15"/>
        <v>16</v>
      </c>
      <c r="M215" s="394">
        <f t="shared" si="18"/>
        <v>195</v>
      </c>
      <c r="N215" s="613">
        <f>INDEX(tblSubjectToLoan[Date],ROW()-ROW(tblContractForDeed[#Headers]))</f>
        <v>51806</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5" s="276">
        <f>IF(INDEX(tblContractForDeed[End Bal],ROW()-ROW(tblBuyerOutputs[#Headers]))&lt;=0,0,($O$6+IF(ROW()=ROW(tblBuyerOutputs[#Headers])+1,0,INDEX(tblBuyerOutputs[Cumul Appr],ROW()-ROW(tblBuyerOutputs[#Headers])-1)))*$O$2/12)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13">
        <f>IF(ROW()=ROW(tblSubjectToLoan[#Headers])+1,subjectKnownBalanceDate,IF(OR(INDEX(tblSubjectToLoan[Date],ROW()-ROW(tblSubjectToLoan[#Headers])-1)="",INDEX(tblSubjectToLoan[Date],ROW()-ROW(tblSubjectToLoan[#Headers])-1)&gt;=subjectMortgageEndDate),"",EDATE(INDEX(tblSubjectToLoan[Date],ROW()-ROW(tblSubjectToLoan[#Headers])-1),1)))</f>
        <v>51836</v>
      </c>
      <c r="B216" s="276">
        <f>IF(tblSubjectToLoan[[#This Row],[Date]]="",0,IF(ROW()=ROW(tblSubjectToLoan[#Headers])+1,subjectKnownBalance,MAX(0,INDEX(tblSubjectToLoan[Ending Balance],ROW()-ROW(tblSubjectToLoan[#Headers])-1))))</f>
        <v>10344.17999999996</v>
      </c>
      <c r="C2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6" s="14">
        <f>IF(tblSubjectToLoan[[#This Row],[Payment]]=0,0,MAX(0,MIN(tblSubjectToLoan[[#This Row],[Beginning Balance]],tblSubjectToLoan[[#This Row],[Payment]]-tblSubjectToLoan[[#This Row],[Int]])))</f>
        <v>593.4799999999999</v>
      </c>
      <c r="E216" s="14">
        <f>IF(tblSubjectToLoan[[#This Row],[Date]]="",0,ROUND(tblSubjectToLoan[[#This Row],[Beginning Balance]]*(subjectInterestRate/12),2))</f>
        <v>32.33</v>
      </c>
      <c r="F216" s="14">
        <f t="shared" si="17"/>
        <v>134.16999999999999</v>
      </c>
      <c r="G216" s="14">
        <f t="shared" si="17"/>
        <v>188.55</v>
      </c>
      <c r="H216" s="14">
        <f>SUM(tblSubjectToLoan[[#This Row],[Princ]],tblSubjectToLoan[[#This Row],[Int]],tblSubjectToLoan[[#This Row],[Ins]],tblSubjectToLoan[[#This Row],[Taxes]])</f>
        <v>948.53</v>
      </c>
      <c r="I216" s="276">
        <f>IF(tblSubjectToLoan[[#This Row],[Date]]="",IF(ROW()=ROW(tblSubjectToLoan[#Headers])+1,0,INDEX(tblSubjectToLoan[Principal],ROW()-ROW(tblSubjectToLoan[#Headers])-1)),tblSubjectToLoan[[#This Row],[Princ]]+IF(ROW()=ROW(tblSubjectToLoan[#Headers])+1,0,INDEX(tblSubjectToLoan[Principal],ROW()-ROW(tblSubjectToLoan[#Headers])-1)))</f>
        <v>87477.299999999988</v>
      </c>
      <c r="J216" s="276">
        <f>IF(tblSubjectToLoan[[#This Row],[Date]]="",IF(ROW()=ROW(tblSubjectToLoan[#Headers])+1,0,INDEX(tblSubjectToLoan[Interest],ROW()-ROW(tblSubjectToLoan[#Headers])-1)),tblSubjectToLoan[[#This Row],[Int]]+IF(ROW()=ROW(tblSubjectToLoan[#Headers])+1,0,INDEX(tblSubjectToLoan[Interest],ROW()-ROW(tblSubjectToLoan[#Headers])-1)))</f>
        <v>35807.269999999975</v>
      </c>
      <c r="K216" s="969">
        <f>IF(tblSubjectToLoan[[#This Row],[Date]]="",0,MAX(0,tblSubjectToLoan[[#This Row],[Beginning Balance]]-tblSubjectToLoan[[#This Row],[Princ]]))</f>
        <v>9750.6999999999607</v>
      </c>
      <c r="L216" s="394">
        <f t="shared" si="15"/>
        <v>16</v>
      </c>
      <c r="M216" s="394">
        <f t="shared" si="18"/>
        <v>196</v>
      </c>
      <c r="N216" s="613">
        <f>INDEX(tblSubjectToLoan[Date],ROW()-ROW(tblContractForDeed[#Headers]))</f>
        <v>51836</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6" s="276">
        <f>IF(INDEX(tblContractForDeed[End Bal],ROW()-ROW(tblBuyerOutputs[#Headers]))&lt;=0,0,($O$6+IF(ROW()=ROW(tblBuyerOutputs[#Headers])+1,0,INDEX(tblBuyerOutputs[Cumul Appr],ROW()-ROW(tblBuyerOutputs[#Headers])-1)))*$O$2/12)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13">
        <f>IF(ROW()=ROW(tblSubjectToLoan[#Headers])+1,subjectKnownBalanceDate,IF(OR(INDEX(tblSubjectToLoan[Date],ROW()-ROW(tblSubjectToLoan[#Headers])-1)="",INDEX(tblSubjectToLoan[Date],ROW()-ROW(tblSubjectToLoan[#Headers])-1)&gt;=subjectMortgageEndDate),"",EDATE(INDEX(tblSubjectToLoan[Date],ROW()-ROW(tblSubjectToLoan[#Headers])-1),1)))</f>
        <v>51867</v>
      </c>
      <c r="B217" s="276">
        <f>IF(tblSubjectToLoan[[#This Row],[Date]]="",0,IF(ROW()=ROW(tblSubjectToLoan[#Headers])+1,subjectKnownBalance,MAX(0,INDEX(tblSubjectToLoan[Ending Balance],ROW()-ROW(tblSubjectToLoan[#Headers])-1))))</f>
        <v>9750.6999999999607</v>
      </c>
      <c r="C2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7" s="14">
        <f>IF(tblSubjectToLoan[[#This Row],[Payment]]=0,0,MAX(0,MIN(tblSubjectToLoan[[#This Row],[Beginning Balance]],tblSubjectToLoan[[#This Row],[Payment]]-tblSubjectToLoan[[#This Row],[Int]])))</f>
        <v>595.33999999999992</v>
      </c>
      <c r="E217" s="14">
        <f>IF(tblSubjectToLoan[[#This Row],[Date]]="",0,ROUND(tblSubjectToLoan[[#This Row],[Beginning Balance]]*(subjectInterestRate/12),2))</f>
        <v>30.47</v>
      </c>
      <c r="F217" s="14">
        <f t="shared" si="17"/>
        <v>134.16999999999999</v>
      </c>
      <c r="G217" s="14">
        <f t="shared" si="17"/>
        <v>188.55</v>
      </c>
      <c r="H217" s="14">
        <f>SUM(tblSubjectToLoan[[#This Row],[Princ]],tblSubjectToLoan[[#This Row],[Int]],tblSubjectToLoan[[#This Row],[Ins]],tblSubjectToLoan[[#This Row],[Taxes]])</f>
        <v>948.53</v>
      </c>
      <c r="I217" s="276">
        <f>IF(tblSubjectToLoan[[#This Row],[Date]]="",IF(ROW()=ROW(tblSubjectToLoan[#Headers])+1,0,INDEX(tblSubjectToLoan[Principal],ROW()-ROW(tblSubjectToLoan[#Headers])-1)),tblSubjectToLoan[[#This Row],[Princ]]+IF(ROW()=ROW(tblSubjectToLoan[#Headers])+1,0,INDEX(tblSubjectToLoan[Principal],ROW()-ROW(tblSubjectToLoan[#Headers])-1)))</f>
        <v>88072.639999999985</v>
      </c>
      <c r="J217" s="276">
        <f>IF(tblSubjectToLoan[[#This Row],[Date]]="",IF(ROW()=ROW(tblSubjectToLoan[#Headers])+1,0,INDEX(tblSubjectToLoan[Interest],ROW()-ROW(tblSubjectToLoan[#Headers])-1)),tblSubjectToLoan[[#This Row],[Int]]+IF(ROW()=ROW(tblSubjectToLoan[#Headers])+1,0,INDEX(tblSubjectToLoan[Interest],ROW()-ROW(tblSubjectToLoan[#Headers])-1)))</f>
        <v>35837.739999999976</v>
      </c>
      <c r="K217" s="969">
        <f>IF(tblSubjectToLoan[[#This Row],[Date]]="",0,MAX(0,tblSubjectToLoan[[#This Row],[Beginning Balance]]-tblSubjectToLoan[[#This Row],[Princ]]))</f>
        <v>9155.3599999999606</v>
      </c>
      <c r="L217" s="394">
        <f t="shared" si="15"/>
        <v>16</v>
      </c>
      <c r="M217" s="394">
        <f t="shared" si="18"/>
        <v>197</v>
      </c>
      <c r="N217" s="613">
        <f>INDEX(tblSubjectToLoan[Date],ROW()-ROW(tblContractForDeed[#Headers]))</f>
        <v>51867</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7" s="276">
        <f>IF(INDEX(tblContractForDeed[End Bal],ROW()-ROW(tblBuyerOutputs[#Headers]))&lt;=0,0,($O$6+IF(ROW()=ROW(tblBuyerOutputs[#Headers])+1,0,INDEX(tblBuyerOutputs[Cumul Appr],ROW()-ROW(tblBuyerOutputs[#Headers])-1)))*$O$2/12)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13">
        <f>IF(ROW()=ROW(tblSubjectToLoan[#Headers])+1,subjectKnownBalanceDate,IF(OR(INDEX(tblSubjectToLoan[Date],ROW()-ROW(tblSubjectToLoan[#Headers])-1)="",INDEX(tblSubjectToLoan[Date],ROW()-ROW(tblSubjectToLoan[#Headers])-1)&gt;=subjectMortgageEndDate),"",EDATE(INDEX(tblSubjectToLoan[Date],ROW()-ROW(tblSubjectToLoan[#Headers])-1),1)))</f>
        <v>51898</v>
      </c>
      <c r="B218" s="276">
        <f>IF(tblSubjectToLoan[[#This Row],[Date]]="",0,IF(ROW()=ROW(tblSubjectToLoan[#Headers])+1,subjectKnownBalance,MAX(0,INDEX(tblSubjectToLoan[Ending Balance],ROW()-ROW(tblSubjectToLoan[#Headers])-1))))</f>
        <v>9155.3599999999606</v>
      </c>
      <c r="C2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8" s="14">
        <f>IF(tblSubjectToLoan[[#This Row],[Payment]]=0,0,MAX(0,MIN(tblSubjectToLoan[[#This Row],[Beginning Balance]],tblSubjectToLoan[[#This Row],[Payment]]-tblSubjectToLoan[[#This Row],[Int]])))</f>
        <v>597.19999999999993</v>
      </c>
      <c r="E218" s="14">
        <f>IF(tblSubjectToLoan[[#This Row],[Date]]="",0,ROUND(tblSubjectToLoan[[#This Row],[Beginning Balance]]*(subjectInterestRate/12),2))</f>
        <v>28.61</v>
      </c>
      <c r="F218" s="14">
        <f t="shared" si="17"/>
        <v>134.16999999999999</v>
      </c>
      <c r="G218" s="14">
        <f t="shared" si="17"/>
        <v>188.55</v>
      </c>
      <c r="H218" s="14">
        <f>SUM(tblSubjectToLoan[[#This Row],[Princ]],tblSubjectToLoan[[#This Row],[Int]],tblSubjectToLoan[[#This Row],[Ins]],tblSubjectToLoan[[#This Row],[Taxes]])</f>
        <v>948.53</v>
      </c>
      <c r="I218" s="276">
        <f>IF(tblSubjectToLoan[[#This Row],[Date]]="",IF(ROW()=ROW(tblSubjectToLoan[#Headers])+1,0,INDEX(tblSubjectToLoan[Principal],ROW()-ROW(tblSubjectToLoan[#Headers])-1)),tblSubjectToLoan[[#This Row],[Princ]]+IF(ROW()=ROW(tblSubjectToLoan[#Headers])+1,0,INDEX(tblSubjectToLoan[Principal],ROW()-ROW(tblSubjectToLoan[#Headers])-1)))</f>
        <v>88669.839999999982</v>
      </c>
      <c r="J218" s="276">
        <f>IF(tblSubjectToLoan[[#This Row],[Date]]="",IF(ROW()=ROW(tblSubjectToLoan[#Headers])+1,0,INDEX(tblSubjectToLoan[Interest],ROW()-ROW(tblSubjectToLoan[#Headers])-1)),tblSubjectToLoan[[#This Row],[Int]]+IF(ROW()=ROW(tblSubjectToLoan[#Headers])+1,0,INDEX(tblSubjectToLoan[Interest],ROW()-ROW(tblSubjectToLoan[#Headers])-1)))</f>
        <v>35866.349999999977</v>
      </c>
      <c r="K218" s="969">
        <f>IF(tblSubjectToLoan[[#This Row],[Date]]="",0,MAX(0,tblSubjectToLoan[[#This Row],[Beginning Balance]]-tblSubjectToLoan[[#This Row],[Princ]]))</f>
        <v>8558.1599999999598</v>
      </c>
      <c r="L218" s="394">
        <f t="shared" si="15"/>
        <v>16</v>
      </c>
      <c r="M218" s="394">
        <f t="shared" si="18"/>
        <v>198</v>
      </c>
      <c r="N218" s="613">
        <f>INDEX(tblSubjectToLoan[Date],ROW()-ROW(tblContractForDeed[#Headers]))</f>
        <v>51898</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8" s="276">
        <f>IF(INDEX(tblContractForDeed[End Bal],ROW()-ROW(tblBuyerOutputs[#Headers]))&lt;=0,0,($O$6+IF(ROW()=ROW(tblBuyerOutputs[#Headers])+1,0,INDEX(tblBuyerOutputs[Cumul Appr],ROW()-ROW(tblBuyerOutputs[#Headers])-1)))*$O$2/12)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13">
        <f>IF(ROW()=ROW(tblSubjectToLoan[#Headers])+1,subjectKnownBalanceDate,IF(OR(INDEX(tblSubjectToLoan[Date],ROW()-ROW(tblSubjectToLoan[#Headers])-1)="",INDEX(tblSubjectToLoan[Date],ROW()-ROW(tblSubjectToLoan[#Headers])-1)&gt;=subjectMortgageEndDate),"",EDATE(INDEX(tblSubjectToLoan[Date],ROW()-ROW(tblSubjectToLoan[#Headers])-1),1)))</f>
        <v>51926</v>
      </c>
      <c r="B219" s="276">
        <f>IF(tblSubjectToLoan[[#This Row],[Date]]="",0,IF(ROW()=ROW(tblSubjectToLoan[#Headers])+1,subjectKnownBalance,MAX(0,INDEX(tblSubjectToLoan[Ending Balance],ROW()-ROW(tblSubjectToLoan[#Headers])-1))))</f>
        <v>8558.1599999999598</v>
      </c>
      <c r="C2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9" s="14">
        <f>IF(tblSubjectToLoan[[#This Row],[Payment]]=0,0,MAX(0,MIN(tblSubjectToLoan[[#This Row],[Beginning Balance]],tblSubjectToLoan[[#This Row],[Payment]]-tblSubjectToLoan[[#This Row],[Int]])))</f>
        <v>599.06999999999994</v>
      </c>
      <c r="E219" s="14">
        <f>IF(tblSubjectToLoan[[#This Row],[Date]]="",0,ROUND(tblSubjectToLoan[[#This Row],[Beginning Balance]]*(subjectInterestRate/12),2))</f>
        <v>26.74</v>
      </c>
      <c r="F219" s="14">
        <f t="shared" si="17"/>
        <v>134.16999999999999</v>
      </c>
      <c r="G219" s="14">
        <f t="shared" si="17"/>
        <v>188.55</v>
      </c>
      <c r="H219" s="14">
        <f>SUM(tblSubjectToLoan[[#This Row],[Princ]],tblSubjectToLoan[[#This Row],[Int]],tblSubjectToLoan[[#This Row],[Ins]],tblSubjectToLoan[[#This Row],[Taxes]])</f>
        <v>948.53</v>
      </c>
      <c r="I219" s="276">
        <f>IF(tblSubjectToLoan[[#This Row],[Date]]="",IF(ROW()=ROW(tblSubjectToLoan[#Headers])+1,0,INDEX(tblSubjectToLoan[Principal],ROW()-ROW(tblSubjectToLoan[#Headers])-1)),tblSubjectToLoan[[#This Row],[Princ]]+IF(ROW()=ROW(tblSubjectToLoan[#Headers])+1,0,INDEX(tblSubjectToLoan[Principal],ROW()-ROW(tblSubjectToLoan[#Headers])-1)))</f>
        <v>89268.909999999989</v>
      </c>
      <c r="J219" s="276">
        <f>IF(tblSubjectToLoan[[#This Row],[Date]]="",IF(ROW()=ROW(tblSubjectToLoan[#Headers])+1,0,INDEX(tblSubjectToLoan[Interest],ROW()-ROW(tblSubjectToLoan[#Headers])-1)),tblSubjectToLoan[[#This Row],[Int]]+IF(ROW()=ROW(tblSubjectToLoan[#Headers])+1,0,INDEX(tblSubjectToLoan[Interest],ROW()-ROW(tblSubjectToLoan[#Headers])-1)))</f>
        <v>35893.089999999975</v>
      </c>
      <c r="K219" s="969">
        <f>IF(tblSubjectToLoan[[#This Row],[Date]]="",0,MAX(0,tblSubjectToLoan[[#This Row],[Beginning Balance]]-tblSubjectToLoan[[#This Row],[Princ]]))</f>
        <v>7959.0899999999601</v>
      </c>
      <c r="L219" s="394">
        <f t="shared" si="15"/>
        <v>16</v>
      </c>
      <c r="M219" s="394">
        <f t="shared" si="18"/>
        <v>199</v>
      </c>
      <c r="N219" s="613">
        <f>INDEX(tblSubjectToLoan[Date],ROW()-ROW(tblContractForDeed[#Headers]))</f>
        <v>51926</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9" s="276">
        <f>IF(INDEX(tblContractForDeed[End Bal],ROW()-ROW(tblBuyerOutputs[#Headers]))&lt;=0,0,($O$6+IF(ROW()=ROW(tblBuyerOutputs[#Headers])+1,0,INDEX(tblBuyerOutputs[Cumul Appr],ROW()-ROW(tblBuyerOutputs[#Headers])-1)))*$O$2/12)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13">
        <f>IF(ROW()=ROW(tblSubjectToLoan[#Headers])+1,subjectKnownBalanceDate,IF(OR(INDEX(tblSubjectToLoan[Date],ROW()-ROW(tblSubjectToLoan[#Headers])-1)="",INDEX(tblSubjectToLoan[Date],ROW()-ROW(tblSubjectToLoan[#Headers])-1)&gt;=subjectMortgageEndDate),"",EDATE(INDEX(tblSubjectToLoan[Date],ROW()-ROW(tblSubjectToLoan[#Headers])-1),1)))</f>
        <v>51957</v>
      </c>
      <c r="B220" s="276">
        <f>IF(tblSubjectToLoan[[#This Row],[Date]]="",0,IF(ROW()=ROW(tblSubjectToLoan[#Headers])+1,subjectKnownBalance,MAX(0,INDEX(tblSubjectToLoan[Ending Balance],ROW()-ROW(tblSubjectToLoan[#Headers])-1))))</f>
        <v>7959.0899999999601</v>
      </c>
      <c r="C2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0" s="14">
        <f>IF(tblSubjectToLoan[[#This Row],[Payment]]=0,0,MAX(0,MIN(tblSubjectToLoan[[#This Row],[Beginning Balance]],tblSubjectToLoan[[#This Row],[Payment]]-tblSubjectToLoan[[#This Row],[Int]])))</f>
        <v>600.93999999999994</v>
      </c>
      <c r="E220" s="14">
        <f>IF(tblSubjectToLoan[[#This Row],[Date]]="",0,ROUND(tblSubjectToLoan[[#This Row],[Beginning Balance]]*(subjectInterestRate/12),2))</f>
        <v>24.87</v>
      </c>
      <c r="F220" s="14">
        <f t="shared" si="17"/>
        <v>134.16999999999999</v>
      </c>
      <c r="G220" s="14">
        <f t="shared" si="17"/>
        <v>188.55</v>
      </c>
      <c r="H220" s="14">
        <f>SUM(tblSubjectToLoan[[#This Row],[Princ]],tblSubjectToLoan[[#This Row],[Int]],tblSubjectToLoan[[#This Row],[Ins]],tblSubjectToLoan[[#This Row],[Taxes]])</f>
        <v>948.53</v>
      </c>
      <c r="I220" s="276">
        <f>IF(tblSubjectToLoan[[#This Row],[Date]]="",IF(ROW()=ROW(tblSubjectToLoan[#Headers])+1,0,INDEX(tblSubjectToLoan[Principal],ROW()-ROW(tblSubjectToLoan[#Headers])-1)),tblSubjectToLoan[[#This Row],[Princ]]+IF(ROW()=ROW(tblSubjectToLoan[#Headers])+1,0,INDEX(tblSubjectToLoan[Principal],ROW()-ROW(tblSubjectToLoan[#Headers])-1)))</f>
        <v>89869.849999999991</v>
      </c>
      <c r="J220" s="276">
        <f>IF(tblSubjectToLoan[[#This Row],[Date]]="",IF(ROW()=ROW(tblSubjectToLoan[#Headers])+1,0,INDEX(tblSubjectToLoan[Interest],ROW()-ROW(tblSubjectToLoan[#Headers])-1)),tblSubjectToLoan[[#This Row],[Int]]+IF(ROW()=ROW(tblSubjectToLoan[#Headers])+1,0,INDEX(tblSubjectToLoan[Interest],ROW()-ROW(tblSubjectToLoan[#Headers])-1)))</f>
        <v>35917.959999999977</v>
      </c>
      <c r="K220" s="969">
        <f>IF(tblSubjectToLoan[[#This Row],[Date]]="",0,MAX(0,tblSubjectToLoan[[#This Row],[Beginning Balance]]-tblSubjectToLoan[[#This Row],[Princ]]))</f>
        <v>7358.1499999999605</v>
      </c>
      <c r="L220" s="394">
        <f t="shared" si="15"/>
        <v>16</v>
      </c>
      <c r="M220" s="394">
        <f t="shared" si="18"/>
        <v>200</v>
      </c>
      <c r="N220" s="613">
        <f>INDEX(tblSubjectToLoan[Date],ROW()-ROW(tblContractForDeed[#Headers]))</f>
        <v>51957</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0" s="276">
        <f>IF(INDEX(tblContractForDeed[End Bal],ROW()-ROW(tblBuyerOutputs[#Headers]))&lt;=0,0,($O$6+IF(ROW()=ROW(tblBuyerOutputs[#Headers])+1,0,INDEX(tblBuyerOutputs[Cumul Appr],ROW()-ROW(tblBuyerOutputs[#Headers])-1)))*$O$2/12)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13">
        <f>IF(ROW()=ROW(tblSubjectToLoan[#Headers])+1,subjectKnownBalanceDate,IF(OR(INDEX(tblSubjectToLoan[Date],ROW()-ROW(tblSubjectToLoan[#Headers])-1)="",INDEX(tblSubjectToLoan[Date],ROW()-ROW(tblSubjectToLoan[#Headers])-1)&gt;=subjectMortgageEndDate),"",EDATE(INDEX(tblSubjectToLoan[Date],ROW()-ROW(tblSubjectToLoan[#Headers])-1),1)))</f>
        <v>51987</v>
      </c>
      <c r="B221" s="276">
        <f>IF(tblSubjectToLoan[[#This Row],[Date]]="",0,IF(ROW()=ROW(tblSubjectToLoan[#Headers])+1,subjectKnownBalance,MAX(0,INDEX(tblSubjectToLoan[Ending Balance],ROW()-ROW(tblSubjectToLoan[#Headers])-1))))</f>
        <v>7358.1499999999605</v>
      </c>
      <c r="C2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1" s="14">
        <f>IF(tblSubjectToLoan[[#This Row],[Payment]]=0,0,MAX(0,MIN(tblSubjectToLoan[[#This Row],[Beginning Balance]],tblSubjectToLoan[[#This Row],[Payment]]-tblSubjectToLoan[[#This Row],[Int]])))</f>
        <v>602.81999999999994</v>
      </c>
      <c r="E221" s="14">
        <f>IF(tblSubjectToLoan[[#This Row],[Date]]="",0,ROUND(tblSubjectToLoan[[#This Row],[Beginning Balance]]*(subjectInterestRate/12),2))</f>
        <v>22.99</v>
      </c>
      <c r="F221" s="14">
        <f t="shared" si="17"/>
        <v>134.16999999999999</v>
      </c>
      <c r="G221" s="14">
        <f t="shared" si="17"/>
        <v>188.55</v>
      </c>
      <c r="H221" s="14">
        <f>SUM(tblSubjectToLoan[[#This Row],[Princ]],tblSubjectToLoan[[#This Row],[Int]],tblSubjectToLoan[[#This Row],[Ins]],tblSubjectToLoan[[#This Row],[Taxes]])</f>
        <v>948.53</v>
      </c>
      <c r="I221" s="276">
        <f>IF(tblSubjectToLoan[[#This Row],[Date]]="",IF(ROW()=ROW(tblSubjectToLoan[#Headers])+1,0,INDEX(tblSubjectToLoan[Principal],ROW()-ROW(tblSubjectToLoan[#Headers])-1)),tblSubjectToLoan[[#This Row],[Princ]]+IF(ROW()=ROW(tblSubjectToLoan[#Headers])+1,0,INDEX(tblSubjectToLoan[Principal],ROW()-ROW(tblSubjectToLoan[#Headers])-1)))</f>
        <v>90472.67</v>
      </c>
      <c r="J221" s="276">
        <f>IF(tblSubjectToLoan[[#This Row],[Date]]="",IF(ROW()=ROW(tblSubjectToLoan[#Headers])+1,0,INDEX(tblSubjectToLoan[Interest],ROW()-ROW(tblSubjectToLoan[#Headers])-1)),tblSubjectToLoan[[#This Row],[Int]]+IF(ROW()=ROW(tblSubjectToLoan[#Headers])+1,0,INDEX(tblSubjectToLoan[Interest],ROW()-ROW(tblSubjectToLoan[#Headers])-1)))</f>
        <v>35940.949999999975</v>
      </c>
      <c r="K221" s="969">
        <f>IF(tblSubjectToLoan[[#This Row],[Date]]="",0,MAX(0,tblSubjectToLoan[[#This Row],[Beginning Balance]]-tblSubjectToLoan[[#This Row],[Princ]]))</f>
        <v>6755.3299999999608</v>
      </c>
      <c r="L221" s="394">
        <f t="shared" si="15"/>
        <v>16</v>
      </c>
      <c r="M221" s="394">
        <f t="shared" si="18"/>
        <v>201</v>
      </c>
      <c r="N221" s="613">
        <f>INDEX(tblSubjectToLoan[Date],ROW()-ROW(tblContractForDeed[#Headers]))</f>
        <v>51987</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1" s="276">
        <f>IF(INDEX(tblContractForDeed[End Bal],ROW()-ROW(tblBuyerOutputs[#Headers]))&lt;=0,0,($O$6+IF(ROW()=ROW(tblBuyerOutputs[#Headers])+1,0,INDEX(tblBuyerOutputs[Cumul Appr],ROW()-ROW(tblBuyerOutputs[#Headers])-1)))*$O$2/12)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13">
        <f>IF(ROW()=ROW(tblSubjectToLoan[#Headers])+1,subjectKnownBalanceDate,IF(OR(INDEX(tblSubjectToLoan[Date],ROW()-ROW(tblSubjectToLoan[#Headers])-1)="",INDEX(tblSubjectToLoan[Date],ROW()-ROW(tblSubjectToLoan[#Headers])-1)&gt;=subjectMortgageEndDate),"",EDATE(INDEX(tblSubjectToLoan[Date],ROW()-ROW(tblSubjectToLoan[#Headers])-1),1)))</f>
        <v>52018</v>
      </c>
      <c r="B222" s="276">
        <f>IF(tblSubjectToLoan[[#This Row],[Date]]="",0,IF(ROW()=ROW(tblSubjectToLoan[#Headers])+1,subjectKnownBalance,MAX(0,INDEX(tblSubjectToLoan[Ending Balance],ROW()-ROW(tblSubjectToLoan[#Headers])-1))))</f>
        <v>6755.3299999999608</v>
      </c>
      <c r="C2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2" s="14">
        <f>IF(tblSubjectToLoan[[#This Row],[Payment]]=0,0,MAX(0,MIN(tblSubjectToLoan[[#This Row],[Beginning Balance]],tblSubjectToLoan[[#This Row],[Payment]]-tblSubjectToLoan[[#This Row],[Int]])))</f>
        <v>604.69999999999993</v>
      </c>
      <c r="E222" s="14">
        <f>IF(tblSubjectToLoan[[#This Row],[Date]]="",0,ROUND(tblSubjectToLoan[[#This Row],[Beginning Balance]]*(subjectInterestRate/12),2))</f>
        <v>21.11</v>
      </c>
      <c r="F222" s="14">
        <f t="shared" si="17"/>
        <v>134.16999999999999</v>
      </c>
      <c r="G222" s="14">
        <f t="shared" si="17"/>
        <v>188.55</v>
      </c>
      <c r="H222" s="14">
        <f>SUM(tblSubjectToLoan[[#This Row],[Princ]],tblSubjectToLoan[[#This Row],[Int]],tblSubjectToLoan[[#This Row],[Ins]],tblSubjectToLoan[[#This Row],[Taxes]])</f>
        <v>948.53</v>
      </c>
      <c r="I222" s="276">
        <f>IF(tblSubjectToLoan[[#This Row],[Date]]="",IF(ROW()=ROW(tblSubjectToLoan[#Headers])+1,0,INDEX(tblSubjectToLoan[Principal],ROW()-ROW(tblSubjectToLoan[#Headers])-1)),tblSubjectToLoan[[#This Row],[Princ]]+IF(ROW()=ROW(tblSubjectToLoan[#Headers])+1,0,INDEX(tblSubjectToLoan[Principal],ROW()-ROW(tblSubjectToLoan[#Headers])-1)))</f>
        <v>91077.37</v>
      </c>
      <c r="J222" s="276">
        <f>IF(tblSubjectToLoan[[#This Row],[Date]]="",IF(ROW()=ROW(tblSubjectToLoan[#Headers])+1,0,INDEX(tblSubjectToLoan[Interest],ROW()-ROW(tblSubjectToLoan[#Headers])-1)),tblSubjectToLoan[[#This Row],[Int]]+IF(ROW()=ROW(tblSubjectToLoan[#Headers])+1,0,INDEX(tblSubjectToLoan[Interest],ROW()-ROW(tblSubjectToLoan[#Headers])-1)))</f>
        <v>35962.059999999976</v>
      </c>
      <c r="K222" s="969">
        <f>IF(tblSubjectToLoan[[#This Row],[Date]]="",0,MAX(0,tblSubjectToLoan[[#This Row],[Beginning Balance]]-tblSubjectToLoan[[#This Row],[Princ]]))</f>
        <v>6150.629999999961</v>
      </c>
      <c r="L222" s="394">
        <f t="shared" si="15"/>
        <v>16</v>
      </c>
      <c r="M222" s="394">
        <f t="shared" si="18"/>
        <v>202</v>
      </c>
      <c r="N222" s="613">
        <f>INDEX(tblSubjectToLoan[Date],ROW()-ROW(tblContractForDeed[#Headers]))</f>
        <v>52018</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2" s="276">
        <f>IF(INDEX(tblContractForDeed[End Bal],ROW()-ROW(tblBuyerOutputs[#Headers]))&lt;=0,0,($O$6+IF(ROW()=ROW(tblBuyerOutputs[#Headers])+1,0,INDEX(tblBuyerOutputs[Cumul Appr],ROW()-ROW(tblBuyerOutputs[#Headers])-1)))*$O$2/12)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14">
        <f>IF(ROW()=ROW(tblSubjectToLoan[#Headers])+1,subjectKnownBalanceDate,IF(OR(INDEX(tblSubjectToLoan[Date],ROW()-ROW(tblSubjectToLoan[#Headers])-1)="",INDEX(tblSubjectToLoan[Date],ROW()-ROW(tblSubjectToLoan[#Headers])-1)&gt;=subjectMortgageEndDate),"",EDATE(INDEX(tblSubjectToLoan[Date],ROW()-ROW(tblSubjectToLoan[#Headers])-1),1)))</f>
        <v>52048</v>
      </c>
      <c r="B223" s="332">
        <f>IF(tblSubjectToLoan[[#This Row],[Date]]="",0,IF(ROW()=ROW(tblSubjectToLoan[#Headers])+1,subjectKnownBalance,MAX(0,INDEX(tblSubjectToLoan[Ending Balance],ROW()-ROW(tblSubjectToLoan[#Headers])-1))))</f>
        <v>6150.629999999961</v>
      </c>
      <c r="C22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3" s="21">
        <f>IF(tblSubjectToLoan[[#This Row],[Payment]]=0,0,MAX(0,MIN(tblSubjectToLoan[[#This Row],[Beginning Balance]],tblSubjectToLoan[[#This Row],[Payment]]-tblSubjectToLoan[[#This Row],[Int]])))</f>
        <v>606.58999999999992</v>
      </c>
      <c r="E223" s="21">
        <f>IF(tblSubjectToLoan[[#This Row],[Date]]="",0,ROUND(tblSubjectToLoan[[#This Row],[Beginning Balance]]*(subjectInterestRate/12),2))</f>
        <v>19.22</v>
      </c>
      <c r="F223" s="21">
        <f t="shared" ref="F223:G238" si="19">+F222</f>
        <v>134.16999999999999</v>
      </c>
      <c r="G223" s="21">
        <f t="shared" si="19"/>
        <v>188.55</v>
      </c>
      <c r="H223" s="21">
        <f>SUM(tblSubjectToLoan[[#This Row],[Princ]],tblSubjectToLoan[[#This Row],[Int]],tblSubjectToLoan[[#This Row],[Ins]],tblSubjectToLoan[[#This Row],[Taxes]])</f>
        <v>948.53</v>
      </c>
      <c r="I223" s="332">
        <f>IF(tblSubjectToLoan[[#This Row],[Date]]="",IF(ROW()=ROW(tblSubjectToLoan[#Headers])+1,0,INDEX(tblSubjectToLoan[Principal],ROW()-ROW(tblSubjectToLoan[#Headers])-1)),tblSubjectToLoan[[#This Row],[Princ]]+IF(ROW()=ROW(tblSubjectToLoan[#Headers])+1,0,INDEX(tblSubjectToLoan[Principal],ROW()-ROW(tblSubjectToLoan[#Headers])-1)))</f>
        <v>91683.959999999992</v>
      </c>
      <c r="J223" s="332">
        <f>IF(tblSubjectToLoan[[#This Row],[Date]]="",IF(ROW()=ROW(tblSubjectToLoan[#Headers])+1,0,INDEX(tblSubjectToLoan[Interest],ROW()-ROW(tblSubjectToLoan[#Headers])-1)),tblSubjectToLoan[[#This Row],[Int]]+IF(ROW()=ROW(tblSubjectToLoan[#Headers])+1,0,INDEX(tblSubjectToLoan[Interest],ROW()-ROW(tblSubjectToLoan[#Headers])-1)))</f>
        <v>35981.279999999977</v>
      </c>
      <c r="K223" s="970">
        <f>IF(tblSubjectToLoan[[#This Row],[Date]]="",0,MAX(0,tblSubjectToLoan[[#This Row],[Beginning Balance]]-tblSubjectToLoan[[#This Row],[Princ]]))</f>
        <v>5544.0399999999609</v>
      </c>
      <c r="L223" s="395">
        <f t="shared" si="15"/>
        <v>16</v>
      </c>
      <c r="M223" s="395">
        <f t="shared" si="18"/>
        <v>203</v>
      </c>
      <c r="N223" s="614">
        <f>INDEX(tblSubjectToLoan[Date],ROW()-ROW(tblContractForDeed[#Headers]))</f>
        <v>52048</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3" s="332">
        <f>IF(INDEX(tblContractForDeed[End Bal],ROW()-ROW(tblBuyerOutputs[#Headers]))&lt;=0,0,($O$6+IF(ROW()=ROW(tblBuyerOutputs[#Headers])+1,0,INDEX(tblBuyerOutputs[Cumul Appr],ROW()-ROW(tblBuyerOutputs[#Headers])-1)))*$O$2/12)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13">
        <f>IF(ROW()=ROW(tblSubjectToLoan[#Headers])+1,subjectKnownBalanceDate,IF(OR(INDEX(tblSubjectToLoan[Date],ROW()-ROW(tblSubjectToLoan[#Headers])-1)="",INDEX(tblSubjectToLoan[Date],ROW()-ROW(tblSubjectToLoan[#Headers])-1)&gt;=subjectMortgageEndDate),"",EDATE(INDEX(tblSubjectToLoan[Date],ROW()-ROW(tblSubjectToLoan[#Headers])-1),1)))</f>
        <v>52079</v>
      </c>
      <c r="B224" s="276">
        <f>IF(tblSubjectToLoan[[#This Row],[Date]]="",0,IF(ROW()=ROW(tblSubjectToLoan[#Headers])+1,subjectKnownBalance,MAX(0,INDEX(tblSubjectToLoan[Ending Balance],ROW()-ROW(tblSubjectToLoan[#Headers])-1))))</f>
        <v>5544.0399999999609</v>
      </c>
      <c r="C2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4" s="14">
        <f>IF(tblSubjectToLoan[[#This Row],[Payment]]=0,0,MAX(0,MIN(tblSubjectToLoan[[#This Row],[Beginning Balance]],tblSubjectToLoan[[#This Row],[Payment]]-tblSubjectToLoan[[#This Row],[Int]])))</f>
        <v>608.4799999999999</v>
      </c>
      <c r="E224" s="14">
        <f>IF(tblSubjectToLoan[[#This Row],[Date]]="",0,ROUND(tblSubjectToLoan[[#This Row],[Beginning Balance]]*(subjectInterestRate/12),2))</f>
        <v>17.329999999999998</v>
      </c>
      <c r="F224" s="14">
        <f t="shared" si="19"/>
        <v>134.16999999999999</v>
      </c>
      <c r="G224" s="14">
        <f t="shared" si="19"/>
        <v>188.55</v>
      </c>
      <c r="H224" s="14">
        <f>SUM(tblSubjectToLoan[[#This Row],[Princ]],tblSubjectToLoan[[#This Row],[Int]],tblSubjectToLoan[[#This Row],[Ins]],tblSubjectToLoan[[#This Row],[Taxes]])</f>
        <v>948.53</v>
      </c>
      <c r="I224" s="276">
        <f>IF(tblSubjectToLoan[[#This Row],[Date]]="",IF(ROW()=ROW(tblSubjectToLoan[#Headers])+1,0,INDEX(tblSubjectToLoan[Principal],ROW()-ROW(tblSubjectToLoan[#Headers])-1)),tblSubjectToLoan[[#This Row],[Princ]]+IF(ROW()=ROW(tblSubjectToLoan[#Headers])+1,0,INDEX(tblSubjectToLoan[Principal],ROW()-ROW(tblSubjectToLoan[#Headers])-1)))</f>
        <v>92292.439999999988</v>
      </c>
      <c r="J224" s="276">
        <f>IF(tblSubjectToLoan[[#This Row],[Date]]="",IF(ROW()=ROW(tblSubjectToLoan[#Headers])+1,0,INDEX(tblSubjectToLoan[Interest],ROW()-ROW(tblSubjectToLoan[#Headers])-1)),tblSubjectToLoan[[#This Row],[Int]]+IF(ROW()=ROW(tblSubjectToLoan[#Headers])+1,0,INDEX(tblSubjectToLoan[Interest],ROW()-ROW(tblSubjectToLoan[#Headers])-1)))</f>
        <v>35998.609999999979</v>
      </c>
      <c r="K224" s="969">
        <f>IF(tblSubjectToLoan[[#This Row],[Date]]="",0,MAX(0,tblSubjectToLoan[[#This Row],[Beginning Balance]]-tblSubjectToLoan[[#This Row],[Princ]]))</f>
        <v>4935.5599999999613</v>
      </c>
      <c r="L224" s="394">
        <f t="shared" si="15"/>
        <v>17</v>
      </c>
      <c r="M224" s="394">
        <f t="shared" si="18"/>
        <v>204</v>
      </c>
      <c r="N224" s="613">
        <f>INDEX(tblSubjectToLoan[Date],ROW()-ROW(tblContractForDeed[#Headers]))</f>
        <v>52079</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4" s="276">
        <f>IF(INDEX(tblContractForDeed[End Bal],ROW()-ROW(tblBuyerOutputs[#Headers]))&lt;=0,0,($O$6+IF(ROW()=ROW(tblBuyerOutputs[#Headers])+1,0,INDEX(tblBuyerOutputs[Cumul Appr],ROW()-ROW(tblBuyerOutputs[#Headers])-1)))*$O$2/12)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13">
        <f>IF(ROW()=ROW(tblSubjectToLoan[#Headers])+1,subjectKnownBalanceDate,IF(OR(INDEX(tblSubjectToLoan[Date],ROW()-ROW(tblSubjectToLoan[#Headers])-1)="",INDEX(tblSubjectToLoan[Date],ROW()-ROW(tblSubjectToLoan[#Headers])-1)&gt;=subjectMortgageEndDate),"",EDATE(INDEX(tblSubjectToLoan[Date],ROW()-ROW(tblSubjectToLoan[#Headers])-1),1)))</f>
        <v>52110</v>
      </c>
      <c r="B225" s="276">
        <f>IF(tblSubjectToLoan[[#This Row],[Date]]="",0,IF(ROW()=ROW(tblSubjectToLoan[#Headers])+1,subjectKnownBalance,MAX(0,INDEX(tblSubjectToLoan[Ending Balance],ROW()-ROW(tblSubjectToLoan[#Headers])-1))))</f>
        <v>4935.5599999999613</v>
      </c>
      <c r="C2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5" s="14">
        <f>IF(tblSubjectToLoan[[#This Row],[Payment]]=0,0,MAX(0,MIN(tblSubjectToLoan[[#This Row],[Beginning Balance]],tblSubjectToLoan[[#This Row],[Payment]]-tblSubjectToLoan[[#This Row],[Int]])))</f>
        <v>610.39</v>
      </c>
      <c r="E225" s="14">
        <f>IF(tblSubjectToLoan[[#This Row],[Date]]="",0,ROUND(tblSubjectToLoan[[#This Row],[Beginning Balance]]*(subjectInterestRate/12),2))</f>
        <v>15.42</v>
      </c>
      <c r="F225" s="14">
        <f t="shared" si="19"/>
        <v>134.16999999999999</v>
      </c>
      <c r="G225" s="14">
        <f t="shared" si="19"/>
        <v>188.55</v>
      </c>
      <c r="H225" s="14">
        <f>SUM(tblSubjectToLoan[[#This Row],[Princ]],tblSubjectToLoan[[#This Row],[Int]],tblSubjectToLoan[[#This Row],[Ins]],tblSubjectToLoan[[#This Row],[Taxes]])</f>
        <v>948.53</v>
      </c>
      <c r="I225" s="276">
        <f>IF(tblSubjectToLoan[[#This Row],[Date]]="",IF(ROW()=ROW(tblSubjectToLoan[#Headers])+1,0,INDEX(tblSubjectToLoan[Principal],ROW()-ROW(tblSubjectToLoan[#Headers])-1)),tblSubjectToLoan[[#This Row],[Princ]]+IF(ROW()=ROW(tblSubjectToLoan[#Headers])+1,0,INDEX(tblSubjectToLoan[Principal],ROW()-ROW(tblSubjectToLoan[#Headers])-1)))</f>
        <v>92902.829999999987</v>
      </c>
      <c r="J225" s="276">
        <f>IF(tblSubjectToLoan[[#This Row],[Date]]="",IF(ROW()=ROW(tblSubjectToLoan[#Headers])+1,0,INDEX(tblSubjectToLoan[Interest],ROW()-ROW(tblSubjectToLoan[#Headers])-1)),tblSubjectToLoan[[#This Row],[Int]]+IF(ROW()=ROW(tblSubjectToLoan[#Headers])+1,0,INDEX(tblSubjectToLoan[Interest],ROW()-ROW(tblSubjectToLoan[#Headers])-1)))</f>
        <v>36014.029999999977</v>
      </c>
      <c r="K225" s="969">
        <f>IF(tblSubjectToLoan[[#This Row],[Date]]="",0,MAX(0,tblSubjectToLoan[[#This Row],[Beginning Balance]]-tblSubjectToLoan[[#This Row],[Princ]]))</f>
        <v>4325.169999999961</v>
      </c>
      <c r="L225" s="394">
        <f t="shared" si="15"/>
        <v>17</v>
      </c>
      <c r="M225" s="394">
        <f t="shared" si="18"/>
        <v>205</v>
      </c>
      <c r="N225" s="613">
        <f>INDEX(tblSubjectToLoan[Date],ROW()-ROW(tblContractForDeed[#Headers]))</f>
        <v>52110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5" s="276">
        <f>IF(INDEX(tblContractForDeed[End Bal],ROW()-ROW(tblBuyerOutputs[#Headers]))&lt;=0,0,($O$6+IF(ROW()=ROW(tblBuyerOutputs[#Headers])+1,0,INDEX(tblBuyerOutputs[Cumul Appr],ROW()-ROW(tblBuyerOutputs[#Headers])-1)))*$O$2/12)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13">
        <f>IF(ROW()=ROW(tblSubjectToLoan[#Headers])+1,subjectKnownBalanceDate,IF(OR(INDEX(tblSubjectToLoan[Date],ROW()-ROW(tblSubjectToLoan[#Headers])-1)="",INDEX(tblSubjectToLoan[Date],ROW()-ROW(tblSubjectToLoan[#Headers])-1)&gt;=subjectMortgageEndDate),"",EDATE(INDEX(tblSubjectToLoan[Date],ROW()-ROW(tblSubjectToLoan[#Headers])-1),1)))</f>
        <v>52140</v>
      </c>
      <c r="B226" s="276">
        <f>IF(tblSubjectToLoan[[#This Row],[Date]]="",0,IF(ROW()=ROW(tblSubjectToLoan[#Headers])+1,subjectKnownBalance,MAX(0,INDEX(tblSubjectToLoan[Ending Balance],ROW()-ROW(tblSubjectToLoan[#Headers])-1))))</f>
        <v>4325.169999999961</v>
      </c>
      <c r="C2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6" s="14">
        <f>IF(tblSubjectToLoan[[#This Row],[Payment]]=0,0,MAX(0,MIN(tblSubjectToLoan[[#This Row],[Beginning Balance]],tblSubjectToLoan[[#This Row],[Payment]]-tblSubjectToLoan[[#This Row],[Int]])))</f>
        <v>612.29</v>
      </c>
      <c r="E226" s="14">
        <f>IF(tblSubjectToLoan[[#This Row],[Date]]="",0,ROUND(tblSubjectToLoan[[#This Row],[Beginning Balance]]*(subjectInterestRate/12),2))</f>
        <v>13.52</v>
      </c>
      <c r="F226" s="14">
        <f t="shared" si="19"/>
        <v>134.16999999999999</v>
      </c>
      <c r="G226" s="14">
        <f t="shared" si="19"/>
        <v>188.55</v>
      </c>
      <c r="H226" s="14">
        <f>SUM(tblSubjectToLoan[[#This Row],[Princ]],tblSubjectToLoan[[#This Row],[Int]],tblSubjectToLoan[[#This Row],[Ins]],tblSubjectToLoan[[#This Row],[Taxes]])</f>
        <v>948.53</v>
      </c>
      <c r="I226" s="276">
        <f>IF(tblSubjectToLoan[[#This Row],[Date]]="",IF(ROW()=ROW(tblSubjectToLoan[#Headers])+1,0,INDEX(tblSubjectToLoan[Principal],ROW()-ROW(tblSubjectToLoan[#Headers])-1)),tblSubjectToLoan[[#This Row],[Princ]]+IF(ROW()=ROW(tblSubjectToLoan[#Headers])+1,0,INDEX(tblSubjectToLoan[Principal],ROW()-ROW(tblSubjectToLoan[#Headers])-1)))</f>
        <v>93515.119999999981</v>
      </c>
      <c r="J226" s="276">
        <f>IF(tblSubjectToLoan[[#This Row],[Date]]="",IF(ROW()=ROW(tblSubjectToLoan[#Headers])+1,0,INDEX(tblSubjectToLoan[Interest],ROW()-ROW(tblSubjectToLoan[#Headers])-1)),tblSubjectToLoan[[#This Row],[Int]]+IF(ROW()=ROW(tblSubjectToLoan[#Headers])+1,0,INDEX(tblSubjectToLoan[Interest],ROW()-ROW(tblSubjectToLoan[#Headers])-1)))</f>
        <v>36027.549999999974</v>
      </c>
      <c r="K226" s="969">
        <f>IF(tblSubjectToLoan[[#This Row],[Date]]="",0,MAX(0,tblSubjectToLoan[[#This Row],[Beginning Balance]]-tblSubjectToLoan[[#This Row],[Princ]]))</f>
        <v>3712.879999999961</v>
      </c>
      <c r="L226" s="394">
        <f t="shared" si="15"/>
        <v>17</v>
      </c>
      <c r="M226" s="394">
        <f t="shared" si="18"/>
        <v>206</v>
      </c>
      <c r="N226" s="613">
        <f>INDEX(tblSubjectToLoan[Date],ROW()-ROW(tblContractForDeed[#Headers]))</f>
        <v>52140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6" s="276">
        <f>IF(INDEX(tblContractForDeed[End Bal],ROW()-ROW(tblBuyerOutputs[#Headers]))&lt;=0,0,($O$6+IF(ROW()=ROW(tblBuyerOutputs[#Headers])+1,0,INDEX(tblBuyerOutputs[Cumul Appr],ROW()-ROW(tblBuyerOutputs[#Headers])-1)))*$O$2/12)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13">
        <f>IF(ROW()=ROW(tblSubjectToLoan[#Headers])+1,subjectKnownBalanceDate,IF(OR(INDEX(tblSubjectToLoan[Date],ROW()-ROW(tblSubjectToLoan[#Headers])-1)="",INDEX(tblSubjectToLoan[Date],ROW()-ROW(tblSubjectToLoan[#Headers])-1)&gt;=subjectMortgageEndDate),"",EDATE(INDEX(tblSubjectToLoan[Date],ROW()-ROW(tblSubjectToLoan[#Headers])-1),1)))</f>
        <v>52171</v>
      </c>
      <c r="B227" s="276">
        <f>IF(tblSubjectToLoan[[#This Row],[Date]]="",0,IF(ROW()=ROW(tblSubjectToLoan[#Headers])+1,subjectKnownBalance,MAX(0,INDEX(tblSubjectToLoan[Ending Balance],ROW()-ROW(tblSubjectToLoan[#Headers])-1))))</f>
        <v>3712.879999999961</v>
      </c>
      <c r="C2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7" s="14">
        <f>IF(tblSubjectToLoan[[#This Row],[Payment]]=0,0,MAX(0,MIN(tblSubjectToLoan[[#This Row],[Beginning Balance]],tblSubjectToLoan[[#This Row],[Payment]]-tblSubjectToLoan[[#This Row],[Int]])))</f>
        <v>614.20999999999992</v>
      </c>
      <c r="E227" s="14">
        <f>IF(tblSubjectToLoan[[#This Row],[Date]]="",0,ROUND(tblSubjectToLoan[[#This Row],[Beginning Balance]]*(subjectInterestRate/12),2))</f>
        <v>11.6</v>
      </c>
      <c r="F227" s="14">
        <f t="shared" si="19"/>
        <v>134.16999999999999</v>
      </c>
      <c r="G227" s="14">
        <f t="shared" si="19"/>
        <v>188.55</v>
      </c>
      <c r="H227" s="14">
        <f>SUM(tblSubjectToLoan[[#This Row],[Princ]],tblSubjectToLoan[[#This Row],[Int]],tblSubjectToLoan[[#This Row],[Ins]],tblSubjectToLoan[[#This Row],[Taxes]])</f>
        <v>948.53</v>
      </c>
      <c r="I227" s="276">
        <f>IF(tblSubjectToLoan[[#This Row],[Date]]="",IF(ROW()=ROW(tblSubjectToLoan[#Headers])+1,0,INDEX(tblSubjectToLoan[Principal],ROW()-ROW(tblSubjectToLoan[#Headers])-1)),tblSubjectToLoan[[#This Row],[Princ]]+IF(ROW()=ROW(tblSubjectToLoan[#Headers])+1,0,INDEX(tblSubjectToLoan[Principal],ROW()-ROW(tblSubjectToLoan[#Headers])-1)))</f>
        <v>94129.329999999987</v>
      </c>
      <c r="J227" s="276">
        <f>IF(tblSubjectToLoan[[#This Row],[Date]]="",IF(ROW()=ROW(tblSubjectToLoan[#Headers])+1,0,INDEX(tblSubjectToLoan[Interest],ROW()-ROW(tblSubjectToLoan[#Headers])-1)),tblSubjectToLoan[[#This Row],[Int]]+IF(ROW()=ROW(tblSubjectToLoan[#Headers])+1,0,INDEX(tblSubjectToLoan[Interest],ROW()-ROW(tblSubjectToLoan[#Headers])-1)))</f>
        <v>36039.149999999972</v>
      </c>
      <c r="K227" s="969">
        <f>IF(tblSubjectToLoan[[#This Row],[Date]]="",0,MAX(0,tblSubjectToLoan[[#This Row],[Beginning Balance]]-tblSubjectToLoan[[#This Row],[Princ]]))</f>
        <v>3098.669999999961</v>
      </c>
      <c r="L227" s="394">
        <f t="shared" si="15"/>
        <v>17</v>
      </c>
      <c r="M227" s="394">
        <f t="shared" si="18"/>
        <v>207</v>
      </c>
      <c r="N227" s="613">
        <f>INDEX(tblSubjectToLoan[Date],ROW()-ROW(tblContractForDeed[#Headers]))</f>
        <v>52171</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7" s="276">
        <f>IF(INDEX(tblContractForDeed[End Bal],ROW()-ROW(tblBuyerOutputs[#Headers]))&lt;=0,0,($O$6+IF(ROW()=ROW(tblBuyerOutputs[#Headers])+1,0,INDEX(tblBuyerOutputs[Cumul Appr],ROW()-ROW(tblBuyerOutputs[#Headers])-1)))*$O$2/12)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13">
        <f>IF(ROW()=ROW(tblSubjectToLoan[#Headers])+1,subjectKnownBalanceDate,IF(OR(INDEX(tblSubjectToLoan[Date],ROW()-ROW(tblSubjectToLoan[#Headers])-1)="",INDEX(tblSubjectToLoan[Date],ROW()-ROW(tblSubjectToLoan[#Headers])-1)&gt;=subjectMortgageEndDate),"",EDATE(INDEX(tblSubjectToLoan[Date],ROW()-ROW(tblSubjectToLoan[#Headers])-1),1)))</f>
        <v>52201</v>
      </c>
      <c r="B228" s="276">
        <f>IF(tblSubjectToLoan[[#This Row],[Date]]="",0,IF(ROW()=ROW(tblSubjectToLoan[#Headers])+1,subjectKnownBalance,MAX(0,INDEX(tblSubjectToLoan[Ending Balance],ROW()-ROW(tblSubjectToLoan[#Headers])-1))))</f>
        <v>3098.669999999961</v>
      </c>
      <c r="C2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8" s="14">
        <f>IF(tblSubjectToLoan[[#This Row],[Payment]]=0,0,MAX(0,MIN(tblSubjectToLoan[[#This Row],[Beginning Balance]],tblSubjectToLoan[[#This Row],[Payment]]-tblSubjectToLoan[[#This Row],[Int]])))</f>
        <v>616.13</v>
      </c>
      <c r="E228" s="14">
        <f>IF(tblSubjectToLoan[[#This Row],[Date]]="",0,ROUND(tblSubjectToLoan[[#This Row],[Beginning Balance]]*(subjectInterestRate/12),2))</f>
        <v>9.68</v>
      </c>
      <c r="F228" s="14">
        <f t="shared" si="19"/>
        <v>134.16999999999999</v>
      </c>
      <c r="G228" s="14">
        <f t="shared" si="19"/>
        <v>188.55</v>
      </c>
      <c r="H228" s="14">
        <f>SUM(tblSubjectToLoan[[#This Row],[Princ]],tblSubjectToLoan[[#This Row],[Int]],tblSubjectToLoan[[#This Row],[Ins]],tblSubjectToLoan[[#This Row],[Taxes]])</f>
        <v>948.53</v>
      </c>
      <c r="I228" s="276">
        <f>IF(tblSubjectToLoan[[#This Row],[Date]]="",IF(ROW()=ROW(tblSubjectToLoan[#Headers])+1,0,INDEX(tblSubjectToLoan[Principal],ROW()-ROW(tblSubjectToLoan[#Headers])-1)),tblSubjectToLoan[[#This Row],[Princ]]+IF(ROW()=ROW(tblSubjectToLoan[#Headers])+1,0,INDEX(tblSubjectToLoan[Principal],ROW()-ROW(tblSubjectToLoan[#Headers])-1)))</f>
        <v>94745.459999999992</v>
      </c>
      <c r="J228" s="276">
        <f>IF(tblSubjectToLoan[[#This Row],[Date]]="",IF(ROW()=ROW(tblSubjectToLoan[#Headers])+1,0,INDEX(tblSubjectToLoan[Interest],ROW()-ROW(tblSubjectToLoan[#Headers])-1)),tblSubjectToLoan[[#This Row],[Int]]+IF(ROW()=ROW(tblSubjectToLoan[#Headers])+1,0,INDEX(tblSubjectToLoan[Interest],ROW()-ROW(tblSubjectToLoan[#Headers])-1)))</f>
        <v>36048.829999999973</v>
      </c>
      <c r="K228" s="969">
        <f>IF(tblSubjectToLoan[[#This Row],[Date]]="",0,MAX(0,tblSubjectToLoan[[#This Row],[Beginning Balance]]-tblSubjectToLoan[[#This Row],[Princ]]))</f>
        <v>2482.5399999999609</v>
      </c>
      <c r="L228" s="394">
        <f t="shared" si="15"/>
        <v>17</v>
      </c>
      <c r="M228" s="394">
        <f t="shared" si="18"/>
        <v>208</v>
      </c>
      <c r="N228" s="613">
        <f>INDEX(tblSubjectToLoan[Date],ROW()-ROW(tblContractForDeed[#Headers]))</f>
        <v>52201</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8" s="276">
        <f>IF(INDEX(tblContractForDeed[End Bal],ROW()-ROW(tblBuyerOutputs[#Headers]))&lt;=0,0,($O$6+IF(ROW()=ROW(tblBuyerOutputs[#Headers])+1,0,INDEX(tblBuyerOutputs[Cumul Appr],ROW()-ROW(tblBuyerOutputs[#Headers])-1)))*$O$2/12)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13">
        <f>IF(ROW()=ROW(tblSubjectToLoan[#Headers])+1,subjectKnownBalanceDate,IF(OR(INDEX(tblSubjectToLoan[Date],ROW()-ROW(tblSubjectToLoan[#Headers])-1)="",INDEX(tblSubjectToLoan[Date],ROW()-ROW(tblSubjectToLoan[#Headers])-1)&gt;=subjectMortgageEndDate),"",EDATE(INDEX(tblSubjectToLoan[Date],ROW()-ROW(tblSubjectToLoan[#Headers])-1),1)))</f>
        <v>52232</v>
      </c>
      <c r="B229" s="276">
        <f>IF(tblSubjectToLoan[[#This Row],[Date]]="",0,IF(ROW()=ROW(tblSubjectToLoan[#Headers])+1,subjectKnownBalance,MAX(0,INDEX(tblSubjectToLoan[Ending Balance],ROW()-ROW(tblSubjectToLoan[#Headers])-1))))</f>
        <v>2482.5399999999609</v>
      </c>
      <c r="C2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9" s="14">
        <f>IF(tblSubjectToLoan[[#This Row],[Payment]]=0,0,MAX(0,MIN(tblSubjectToLoan[[#This Row],[Beginning Balance]],tblSubjectToLoan[[#This Row],[Payment]]-tblSubjectToLoan[[#This Row],[Int]])))</f>
        <v>618.04999999999995</v>
      </c>
      <c r="E229" s="14">
        <f>IF(tblSubjectToLoan[[#This Row],[Date]]="",0,ROUND(tblSubjectToLoan[[#This Row],[Beginning Balance]]*(subjectInterestRate/12),2))</f>
        <v>7.76</v>
      </c>
      <c r="F229" s="14">
        <f t="shared" si="19"/>
        <v>134.16999999999999</v>
      </c>
      <c r="G229" s="14">
        <f t="shared" si="19"/>
        <v>188.55</v>
      </c>
      <c r="H229" s="14">
        <f>SUM(tblSubjectToLoan[[#This Row],[Princ]],tblSubjectToLoan[[#This Row],[Int]],tblSubjectToLoan[[#This Row],[Ins]],tblSubjectToLoan[[#This Row],[Taxes]])</f>
        <v>948.53</v>
      </c>
      <c r="I229" s="276">
        <f>IF(tblSubjectToLoan[[#This Row],[Date]]="",IF(ROW()=ROW(tblSubjectToLoan[#Headers])+1,0,INDEX(tblSubjectToLoan[Principal],ROW()-ROW(tblSubjectToLoan[#Headers])-1)),tblSubjectToLoan[[#This Row],[Princ]]+IF(ROW()=ROW(tblSubjectToLoan[#Headers])+1,0,INDEX(tblSubjectToLoan[Principal],ROW()-ROW(tblSubjectToLoan[#Headers])-1)))</f>
        <v>95363.51</v>
      </c>
      <c r="J229" s="276">
        <f>IF(tblSubjectToLoan[[#This Row],[Date]]="",IF(ROW()=ROW(tblSubjectToLoan[#Headers])+1,0,INDEX(tblSubjectToLoan[Interest],ROW()-ROW(tblSubjectToLoan[#Headers])-1)),tblSubjectToLoan[[#This Row],[Int]]+IF(ROW()=ROW(tblSubjectToLoan[#Headers])+1,0,INDEX(tblSubjectToLoan[Interest],ROW()-ROW(tblSubjectToLoan[#Headers])-1)))</f>
        <v>36056.589999999975</v>
      </c>
      <c r="K229" s="969">
        <f>IF(tblSubjectToLoan[[#This Row],[Date]]="",0,MAX(0,tblSubjectToLoan[[#This Row],[Beginning Balance]]-tblSubjectToLoan[[#This Row],[Princ]]))</f>
        <v>1864.4899999999609</v>
      </c>
      <c r="L229" s="394">
        <f t="shared" si="15"/>
        <v>17</v>
      </c>
      <c r="M229" s="394">
        <f t="shared" si="18"/>
        <v>209</v>
      </c>
      <c r="N229" s="613">
        <f>INDEX(tblSubjectToLoan[Date],ROW()-ROW(tblContractForDeed[#Headers]))</f>
        <v>52232</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9" s="276">
        <f>IF(INDEX(tblContractForDeed[End Bal],ROW()-ROW(tblBuyerOutputs[#Headers]))&lt;=0,0,($O$6+IF(ROW()=ROW(tblBuyerOutputs[#Headers])+1,0,INDEX(tblBuyerOutputs[Cumul Appr],ROW()-ROW(tblBuyerOutputs[#Headers])-1)))*$O$2/12)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13">
        <f>IF(ROW()=ROW(tblSubjectToLoan[#Headers])+1,subjectKnownBalanceDate,IF(OR(INDEX(tblSubjectToLoan[Date],ROW()-ROW(tblSubjectToLoan[#Headers])-1)="",INDEX(tblSubjectToLoan[Date],ROW()-ROW(tblSubjectToLoan[#Headers])-1)&gt;=subjectMortgageEndDate),"",EDATE(INDEX(tblSubjectToLoan[Date],ROW()-ROW(tblSubjectToLoan[#Headers])-1),1)))</f>
        <v>52263</v>
      </c>
      <c r="B230" s="276">
        <f>IF(tblSubjectToLoan[[#This Row],[Date]]="",0,IF(ROW()=ROW(tblSubjectToLoan[#Headers])+1,subjectKnownBalance,MAX(0,INDEX(tblSubjectToLoan[Ending Balance],ROW()-ROW(tblSubjectToLoan[#Headers])-1))))</f>
        <v>1864.4899999999609</v>
      </c>
      <c r="C2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30" s="14">
        <f>IF(tblSubjectToLoan[[#This Row],[Payment]]=0,0,MAX(0,MIN(tblSubjectToLoan[[#This Row],[Beginning Balance]],tblSubjectToLoan[[#This Row],[Payment]]-tblSubjectToLoan[[#This Row],[Int]])))</f>
        <v>619.9799999999999</v>
      </c>
      <c r="E230" s="14">
        <f>IF(tblSubjectToLoan[[#This Row],[Date]]="",0,ROUND(tblSubjectToLoan[[#This Row],[Beginning Balance]]*(subjectInterestRate/12),2))</f>
        <v>5.83</v>
      </c>
      <c r="F230" s="14">
        <f t="shared" si="19"/>
        <v>134.16999999999999</v>
      </c>
      <c r="G230" s="14">
        <f t="shared" si="19"/>
        <v>188.55</v>
      </c>
      <c r="H230" s="14">
        <f>SUM(tblSubjectToLoan[[#This Row],[Princ]],tblSubjectToLoan[[#This Row],[Int]],tblSubjectToLoan[[#This Row],[Ins]],tblSubjectToLoan[[#This Row],[Taxes]])</f>
        <v>948.53</v>
      </c>
      <c r="I230" s="276">
        <f>IF(tblSubjectToLoan[[#This Row],[Date]]="",IF(ROW()=ROW(tblSubjectToLoan[#Headers])+1,0,INDEX(tblSubjectToLoan[Principal],ROW()-ROW(tblSubjectToLoan[#Headers])-1)),tblSubjectToLoan[[#This Row],[Princ]]+IF(ROW()=ROW(tblSubjectToLoan[#Headers])+1,0,INDEX(tblSubjectToLoan[Principal],ROW()-ROW(tblSubjectToLoan[#Headers])-1)))</f>
        <v>95983.489999999991</v>
      </c>
      <c r="J230" s="276">
        <f>IF(tblSubjectToLoan[[#This Row],[Date]]="",IF(ROW()=ROW(tblSubjectToLoan[#Headers])+1,0,INDEX(tblSubjectToLoan[Interest],ROW()-ROW(tblSubjectToLoan[#Headers])-1)),tblSubjectToLoan[[#This Row],[Int]]+IF(ROW()=ROW(tblSubjectToLoan[#Headers])+1,0,INDEX(tblSubjectToLoan[Interest],ROW()-ROW(tblSubjectToLoan[#Headers])-1)))</f>
        <v>36062.419999999976</v>
      </c>
      <c r="K230" s="969">
        <f>IF(tblSubjectToLoan[[#This Row],[Date]]="",0,MAX(0,tblSubjectToLoan[[#This Row],[Beginning Balance]]-tblSubjectToLoan[[#This Row],[Princ]]))</f>
        <v>1244.5099999999611</v>
      </c>
      <c r="L230" s="394">
        <f t="shared" si="15"/>
        <v>17</v>
      </c>
      <c r="M230" s="394">
        <f t="shared" si="18"/>
        <v>210</v>
      </c>
      <c r="N230" s="613">
        <f>INDEX(tblSubjectToLoan[Date],ROW()-ROW(tblContractForDeed[#Headers]))</f>
        <v>52263</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0" s="276">
        <f>IF(INDEX(tblContractForDeed[End Bal],ROW()-ROW(tblBuyerOutputs[#Headers]))&lt;=0,0,($O$6+IF(ROW()=ROW(tblBuyerOutputs[#Headers])+1,0,INDEX(tblBuyerOutputs[Cumul Appr],ROW()-ROW(tblBuyerOutputs[#Headers])-1)))*$O$2/12)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13">
        <f>IF(ROW()=ROW(tblSubjectToLoan[#Headers])+1,subjectKnownBalanceDate,IF(OR(INDEX(tblSubjectToLoan[Date],ROW()-ROW(tblSubjectToLoan[#Headers])-1)="",INDEX(tblSubjectToLoan[Date],ROW()-ROW(tblSubjectToLoan[#Headers])-1)&gt;=subjectMortgageEndDate),"",EDATE(INDEX(tblSubjectToLoan[Date],ROW()-ROW(tblSubjectToLoan[#Headers])-1),1)))</f>
        <v>52291</v>
      </c>
      <c r="B231" s="276">
        <f>IF(tblSubjectToLoan[[#This Row],[Date]]="",0,IF(ROW()=ROW(tblSubjectToLoan[#Headers])+1,subjectKnownBalance,MAX(0,INDEX(tblSubjectToLoan[Ending Balance],ROW()-ROW(tblSubjectToLoan[#Headers])-1))))</f>
        <v>1244.5099999999611</v>
      </c>
      <c r="C2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31" s="14">
        <f>IF(tblSubjectToLoan[[#This Row],[Payment]]=0,0,MAX(0,MIN(tblSubjectToLoan[[#This Row],[Beginning Balance]],tblSubjectToLoan[[#This Row],[Payment]]-tblSubjectToLoan[[#This Row],[Int]])))</f>
        <v>621.91999999999996</v>
      </c>
      <c r="E231" s="14">
        <f>IF(tblSubjectToLoan[[#This Row],[Date]]="",0,ROUND(tblSubjectToLoan[[#This Row],[Beginning Balance]]*(subjectInterestRate/12),2))</f>
        <v>3.89</v>
      </c>
      <c r="F231" s="14">
        <f t="shared" si="19"/>
        <v>134.16999999999999</v>
      </c>
      <c r="G231" s="14">
        <f t="shared" si="19"/>
        <v>188.55</v>
      </c>
      <c r="H231" s="14">
        <f>SUM(tblSubjectToLoan[[#This Row],[Princ]],tblSubjectToLoan[[#This Row],[Int]],tblSubjectToLoan[[#This Row],[Ins]],tblSubjectToLoan[[#This Row],[Taxes]])</f>
        <v>948.53</v>
      </c>
      <c r="I231" s="276">
        <f>IF(tblSubjectToLoan[[#This Row],[Date]]="",IF(ROW()=ROW(tblSubjectToLoan[#Headers])+1,0,INDEX(tblSubjectToLoan[Principal],ROW()-ROW(tblSubjectToLoan[#Headers])-1)),tblSubjectToLoan[[#This Row],[Princ]]+IF(ROW()=ROW(tblSubjectToLoan[#Headers])+1,0,INDEX(tblSubjectToLoan[Principal],ROW()-ROW(tblSubjectToLoan[#Headers])-1)))</f>
        <v>96605.409999999989</v>
      </c>
      <c r="J231" s="276">
        <f>IF(tblSubjectToLoan[[#This Row],[Date]]="",IF(ROW()=ROW(tblSubjectToLoan[#Headers])+1,0,INDEX(tblSubjectToLoan[Interest],ROW()-ROW(tblSubjectToLoan[#Headers])-1)),tblSubjectToLoan[[#This Row],[Int]]+IF(ROW()=ROW(tblSubjectToLoan[#Headers])+1,0,INDEX(tblSubjectToLoan[Interest],ROW()-ROW(tblSubjectToLoan[#Headers])-1)))</f>
        <v>36066.309999999976</v>
      </c>
      <c r="K231" s="969">
        <f>IF(tblSubjectToLoan[[#This Row],[Date]]="",0,MAX(0,tblSubjectToLoan[[#This Row],[Beginning Balance]]-tblSubjectToLoan[[#This Row],[Princ]]))</f>
        <v>622.58999999996115</v>
      </c>
      <c r="L231" s="394">
        <f t="shared" si="15"/>
        <v>17</v>
      </c>
      <c r="M231" s="394">
        <f t="shared" si="18"/>
        <v>211</v>
      </c>
      <c r="N231" s="613">
        <f>INDEX(tblSubjectToLoan[Date],ROW()-ROW(tblContractForDeed[#Headers]))</f>
        <v>52291</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1" s="276">
        <f>IF(INDEX(tblContractForDeed[End Bal],ROW()-ROW(tblBuyerOutputs[#Headers]))&lt;=0,0,($O$6+IF(ROW()=ROW(tblBuyerOutputs[#Headers])+1,0,INDEX(tblBuyerOutputs[Cumul Appr],ROW()-ROW(tblBuyerOutputs[#Headers])-1)))*$O$2/12)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13">
        <f>IF(ROW()=ROW(tblSubjectToLoan[#Headers])+1,subjectKnownBalanceDate,IF(OR(INDEX(tblSubjectToLoan[Date],ROW()-ROW(tblSubjectToLoan[#Headers])-1)="",INDEX(tblSubjectToLoan[Date],ROW()-ROW(tblSubjectToLoan[#Headers])-1)&gt;=subjectMortgageEndDate),"",EDATE(INDEX(tblSubjectToLoan[Date],ROW()-ROW(tblSubjectToLoan[#Headers])-1),1)))</f>
        <v>52322</v>
      </c>
      <c r="B232" s="276">
        <f>IF(tblSubjectToLoan[[#This Row],[Date]]="",0,IF(ROW()=ROW(tblSubjectToLoan[#Headers])+1,subjectKnownBalance,MAX(0,INDEX(tblSubjectToLoan[Ending Balance],ROW()-ROW(tblSubjectToLoan[#Headers])-1))))</f>
        <v>622.58999999996115</v>
      </c>
      <c r="C2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624.5399999999612</v>
      </c>
      <c r="D232" s="14">
        <f>IF(tblSubjectToLoan[[#This Row],[Payment]]=0,0,MAX(0,MIN(tblSubjectToLoan[[#This Row],[Beginning Balance]],tblSubjectToLoan[[#This Row],[Payment]]-tblSubjectToLoan[[#This Row],[Int]])))</f>
        <v>622.58999999996115</v>
      </c>
      <c r="E232" s="14">
        <f>IF(tblSubjectToLoan[[#This Row],[Date]]="",0,ROUND(tblSubjectToLoan[[#This Row],[Beginning Balance]]*(subjectInterestRate/12),2))</f>
        <v>1.95</v>
      </c>
      <c r="F232" s="14">
        <f t="shared" si="19"/>
        <v>134.16999999999999</v>
      </c>
      <c r="G232" s="14">
        <f t="shared" si="19"/>
        <v>188.55</v>
      </c>
      <c r="H232" s="14">
        <f>SUM(tblSubjectToLoan[[#This Row],[Princ]],tblSubjectToLoan[[#This Row],[Int]],tblSubjectToLoan[[#This Row],[Ins]],tblSubjectToLoan[[#This Row],[Taxes]])</f>
        <v>947.25999999996111</v>
      </c>
      <c r="I2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2" s="276">
        <f>IF(tblSubjectToLoan[[#This Row],[Date]]="",IF(ROW()=ROW(tblSubjectToLoan[#Headers])+1,0,INDEX(tblSubjectToLoan[Interest],ROW()-ROW(tblSubjectToLoan[#Headers])-1)),tblSubjectToLoan[[#This Row],[Int]]+IF(ROW()=ROW(tblSubjectToLoan[#Headers])+1,0,INDEX(tblSubjectToLoan[Interest],ROW()-ROW(tblSubjectToLoan[#Headers])-1)))</f>
        <v>36068.259999999973</v>
      </c>
      <c r="K232" s="969">
        <f>IF(tblSubjectToLoan[[#This Row],[Date]]="",0,MAX(0,tblSubjectToLoan[[#This Row],[Beginning Balance]]-tblSubjectToLoan[[#This Row],[Princ]]))</f>
        <v>0</v>
      </c>
      <c r="L232" s="394">
        <f t="shared" si="15"/>
        <v>17</v>
      </c>
      <c r="M232" s="394">
        <f t="shared" si="18"/>
        <v>212</v>
      </c>
      <c r="N232" s="613">
        <f>INDEX(tblSubjectToLoan[Date],ROW()-ROW(tblContractForDeed[#Headers]))</f>
        <v>52322</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2" s="276">
        <f>IF(INDEX(tblContractForDeed[End Bal],ROW()-ROW(tblBuyerOutputs[#Headers]))&lt;=0,0,($O$6+IF(ROW()=ROW(tblBuyerOutputs[#Headers])+1,0,INDEX(tblBuyerOutputs[Cumul Appr],ROW()-ROW(tblBuyerOutputs[#Headers])-1)))*$O$2/12)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13" t="str">
        <f>IF(ROW()=ROW(tblSubjectToLoan[#Headers])+1,subjectKnownBalanceDate,IF(OR(INDEX(tblSubjectToLoan[Date],ROW()-ROW(tblSubjectToLoan[#Headers])-1)="",INDEX(tblSubjectToLoan[Date],ROW()-ROW(tblSubjectToLoan[#Headers])-1)&gt;=subjectMortgageEndDate),"",EDATE(INDEX(tblSubjectToLoan[Date],ROW()-ROW(tblSubjectToLoan[#Headers])-1),1)))</f>
        <v/>
      </c>
      <c r="B233" s="276">
        <f>IF(tblSubjectToLoan[[#This Row],[Date]]="",0,IF(ROW()=ROW(tblSubjectToLoan[#Headers])+1,subjectKnownBalance,MAX(0,INDEX(tblSubjectToLoan[Ending Balance],ROW()-ROW(tblSubjectToLoan[#Headers])-1))))</f>
        <v>0</v>
      </c>
      <c r="C2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3" s="14">
        <f>IF(tblSubjectToLoan[[#This Row],[Payment]]=0,0,MAX(0,MIN(tblSubjectToLoan[[#This Row],[Beginning Balance]],tblSubjectToLoan[[#This Row],[Payment]]-tblSubjectToLoan[[#This Row],[Int]])))</f>
        <v>0</v>
      </c>
      <c r="E233" s="14">
        <f>IF(tblSubjectToLoan[[#This Row],[Date]]="",0,ROUND(tblSubjectToLoan[[#This Row],[Beginning Balance]]*(subjectInterestRate/12),2))</f>
        <v>0</v>
      </c>
      <c r="F233" s="14">
        <f t="shared" si="19"/>
        <v>134.16999999999999</v>
      </c>
      <c r="G233" s="14">
        <f t="shared" si="19"/>
        <v>188.55</v>
      </c>
      <c r="H233" s="14">
        <f>SUM(tblSubjectToLoan[[#This Row],[Princ]],tblSubjectToLoan[[#This Row],[Int]],tblSubjectToLoan[[#This Row],[Ins]],tblSubjectToLoan[[#This Row],[Taxes]])</f>
        <v>322.72000000000003</v>
      </c>
      <c r="I2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3" s="276">
        <f>IF(tblSubjectToLoan[[#This Row],[Date]]="",IF(ROW()=ROW(tblSubjectToLoan[#Headers])+1,0,INDEX(tblSubjectToLoan[Interest],ROW()-ROW(tblSubjectToLoan[#Headers])-1)),tblSubjectToLoan[[#This Row],[Int]]+IF(ROW()=ROW(tblSubjectToLoan[#Headers])+1,0,INDEX(tblSubjectToLoan[Interest],ROW()-ROW(tblSubjectToLoan[#Headers])-1)))</f>
        <v>36068.259999999973</v>
      </c>
      <c r="K233" s="969">
        <f>IF(tblSubjectToLoan[[#This Row],[Date]]="",0,MAX(0,tblSubjectToLoan[[#This Row],[Beginning Balance]]-tblSubjectToLoan[[#This Row],[Princ]]))</f>
        <v>0</v>
      </c>
      <c r="L233" s="394">
        <f t="shared" si="15"/>
        <v>0</v>
      </c>
      <c r="M233" s="394">
        <f t="shared" si="18"/>
        <v>0</v>
      </c>
      <c r="N233" s="613" t="str">
        <f>INDEX(tblSubjectToLoan[Date],ROW()-ROW(tblContractForDeed[#Headers]))</f>
        <v/>
      </c>
      <c r="O233" s="276">
        <f>IF(ROW()=ROW(tblContractForDeed[#Headers])+1,$O$6,IF(INDEX(tblContractForDeed[End Bal],ROW()-ROW(tblContractForDeed[#Headers])-1)&lt;0,0,INDEX(tblContractForDeed[End Bal],ROW()-ROW(tblContractForDeed[#Headers])-1)))</f>
        <v>0</v>
      </c>
      <c r="P233" s="454"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3" s="276">
        <f>IF(INDEX(tblContractForDeed[End Bal],ROW()-ROW(tblBuyerOutputs[#Headers]))&lt;=0,0,($O$6+IF(ROW()=ROW(tblBuyerOutputs[#Headers])+1,0,INDEX(tblBuyerOutputs[Cumul Appr],ROW()-ROW(tblBuyerOutputs[#Headers])-1)))*$O$2/12)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13" t="str">
        <f>IF(ROW()=ROW(tblSubjectToLoan[#Headers])+1,subjectKnownBalanceDate,IF(OR(INDEX(tblSubjectToLoan[Date],ROW()-ROW(tblSubjectToLoan[#Headers])-1)="",INDEX(tblSubjectToLoan[Date],ROW()-ROW(tblSubjectToLoan[#Headers])-1)&gt;=subjectMortgageEndDate),"",EDATE(INDEX(tblSubjectToLoan[Date],ROW()-ROW(tblSubjectToLoan[#Headers])-1),1)))</f>
        <v/>
      </c>
      <c r="B234" s="276">
        <f>IF(tblSubjectToLoan[[#This Row],[Date]]="",0,IF(ROW()=ROW(tblSubjectToLoan[#Headers])+1,subjectKnownBalance,MAX(0,INDEX(tblSubjectToLoan[Ending Balance],ROW()-ROW(tblSubjectToLoan[#Headers])-1))))</f>
        <v>0</v>
      </c>
      <c r="C2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4" s="14">
        <f>IF(tblSubjectToLoan[[#This Row],[Payment]]=0,0,MAX(0,MIN(tblSubjectToLoan[[#This Row],[Beginning Balance]],tblSubjectToLoan[[#This Row],[Payment]]-tblSubjectToLoan[[#This Row],[Int]])))</f>
        <v>0</v>
      </c>
      <c r="E234" s="14">
        <f>IF(tblSubjectToLoan[[#This Row],[Date]]="",0,ROUND(tblSubjectToLoan[[#This Row],[Beginning Balance]]*(subjectInterestRate/12),2))</f>
        <v>0</v>
      </c>
      <c r="F234" s="14">
        <f t="shared" si="19"/>
        <v>134.16999999999999</v>
      </c>
      <c r="G234" s="14">
        <f t="shared" si="19"/>
        <v>188.55</v>
      </c>
      <c r="H234" s="14">
        <f>SUM(tblSubjectToLoan[[#This Row],[Princ]],tblSubjectToLoan[[#This Row],[Int]],tblSubjectToLoan[[#This Row],[Ins]],tblSubjectToLoan[[#This Row],[Taxes]])</f>
        <v>322.72000000000003</v>
      </c>
      <c r="I2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4" s="276">
        <f>IF(tblSubjectToLoan[[#This Row],[Date]]="",IF(ROW()=ROW(tblSubjectToLoan[#Headers])+1,0,INDEX(tblSubjectToLoan[Interest],ROW()-ROW(tblSubjectToLoan[#Headers])-1)),tblSubjectToLoan[[#This Row],[Int]]+IF(ROW()=ROW(tblSubjectToLoan[#Headers])+1,0,INDEX(tblSubjectToLoan[Interest],ROW()-ROW(tblSubjectToLoan[#Headers])-1)))</f>
        <v>36068.259999999973</v>
      </c>
      <c r="K234" s="969">
        <f>IF(tblSubjectToLoan[[#This Row],[Date]]="",0,MAX(0,tblSubjectToLoan[[#This Row],[Beginning Balance]]-tblSubjectToLoan[[#This Row],[Princ]]))</f>
        <v>0</v>
      </c>
      <c r="L234" s="394">
        <f t="shared" si="15"/>
        <v>0</v>
      </c>
      <c r="M234" s="394">
        <f t="shared" si="18"/>
        <v>0</v>
      </c>
      <c r="N234" s="613" t="str">
        <f>INDEX(tblSubjectToLoan[Date],ROW()-ROW(tblContractForDeed[#Headers]))</f>
        <v/>
      </c>
      <c r="O234" s="276">
        <f>IF(ROW()=ROW(tblContractForDeed[#Headers])+1,$O$6,IF(INDEX(tblContractForDeed[End Bal],ROW()-ROW(tblContractForDeed[#Headers])-1)&lt;0,0,INDEX(tblContractForDeed[End Bal],ROW()-ROW(tblContractForDeed[#Headers])-1)))</f>
        <v>0</v>
      </c>
      <c r="P234" s="454"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4" s="276">
        <f>IF(INDEX(tblContractForDeed[End Bal],ROW()-ROW(tblBuyerOutputs[#Headers]))&lt;=0,0,($O$6+IF(ROW()=ROW(tblBuyerOutputs[#Headers])+1,0,INDEX(tblBuyerOutputs[Cumul Appr],ROW()-ROW(tblBuyerOutputs[#Headers])-1)))*$O$2/12)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14" t="str">
        <f>IF(ROW()=ROW(tblSubjectToLoan[#Headers])+1,subjectKnownBalanceDate,IF(OR(INDEX(tblSubjectToLoan[Date],ROW()-ROW(tblSubjectToLoan[#Headers])-1)="",INDEX(tblSubjectToLoan[Date],ROW()-ROW(tblSubjectToLoan[#Headers])-1)&gt;=subjectMortgageEndDate),"",EDATE(INDEX(tblSubjectToLoan[Date],ROW()-ROW(tblSubjectToLoan[#Headers])-1),1)))</f>
        <v/>
      </c>
      <c r="B235" s="332">
        <f>IF(tblSubjectToLoan[[#This Row],[Date]]="",0,IF(ROW()=ROW(tblSubjectToLoan[#Headers])+1,subjectKnownBalance,MAX(0,INDEX(tblSubjectToLoan[Ending Balance],ROW()-ROW(tblSubjectToLoan[#Headers])-1))))</f>
        <v>0</v>
      </c>
      <c r="C23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5" s="21">
        <f>IF(tblSubjectToLoan[[#This Row],[Payment]]=0,0,MAX(0,MIN(tblSubjectToLoan[[#This Row],[Beginning Balance]],tblSubjectToLoan[[#This Row],[Payment]]-tblSubjectToLoan[[#This Row],[Int]])))</f>
        <v>0</v>
      </c>
      <c r="E235" s="21">
        <f>IF(tblSubjectToLoan[[#This Row],[Date]]="",0,ROUND(tblSubjectToLoan[[#This Row],[Beginning Balance]]*(subjectInterestRate/12),2))</f>
        <v>0</v>
      </c>
      <c r="F235" s="21">
        <f t="shared" si="19"/>
        <v>134.16999999999999</v>
      </c>
      <c r="G235" s="21">
        <f t="shared" si="19"/>
        <v>188.55</v>
      </c>
      <c r="H235" s="21">
        <f>SUM(tblSubjectToLoan[[#This Row],[Princ]],tblSubjectToLoan[[#This Row],[Int]],tblSubjectToLoan[[#This Row],[Ins]],tblSubjectToLoan[[#This Row],[Taxes]])</f>
        <v>322.72000000000003</v>
      </c>
      <c r="I23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35" s="332">
        <f>IF(tblSubjectToLoan[[#This Row],[Date]]="",IF(ROW()=ROW(tblSubjectToLoan[#Headers])+1,0,INDEX(tblSubjectToLoan[Interest],ROW()-ROW(tblSubjectToLoan[#Headers])-1)),tblSubjectToLoan[[#This Row],[Int]]+IF(ROW()=ROW(tblSubjectToLoan[#Headers])+1,0,INDEX(tblSubjectToLoan[Interest],ROW()-ROW(tblSubjectToLoan[#Headers])-1)))</f>
        <v>36068.259999999973</v>
      </c>
      <c r="K235" s="970">
        <f>IF(tblSubjectToLoan[[#This Row],[Date]]="",0,MAX(0,tblSubjectToLoan[[#This Row],[Beginning Balance]]-tblSubjectToLoan[[#This Row],[Princ]]))</f>
        <v>0</v>
      </c>
      <c r="L235" s="395">
        <f t="shared" si="15"/>
        <v>0</v>
      </c>
      <c r="M235" s="395">
        <f t="shared" si="18"/>
        <v>0</v>
      </c>
      <c r="N235" s="614" t="str">
        <f>INDEX(tblSubjectToLoan[Date],ROW()-ROW(tblContractForDeed[#Headers]))</f>
        <v/>
      </c>
      <c r="O235" s="332">
        <f>IF(ROW()=ROW(tblContractForDeed[#Headers])+1,$O$6,IF(INDEX(tblContractForDeed[End Bal],ROW()-ROW(tblContractForDeed[#Headers])-1)&lt;0,0,INDEX(tblContractForDeed[End Bal],ROW()-ROW(tblContractForDeed[#Headers])-1)))</f>
        <v>0</v>
      </c>
      <c r="P235" s="454"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5" s="332">
        <f>IF(INDEX(tblContractForDeed[End Bal],ROW()-ROW(tblBuyerOutputs[#Headers]))&lt;=0,0,($O$6+IF(ROW()=ROW(tblBuyerOutputs[#Headers])+1,0,INDEX(tblBuyerOutputs[Cumul Appr],ROW()-ROW(tblBuyerOutputs[#Headers])-1)))*$O$2/12)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13" t="str">
        <f>IF(ROW()=ROW(tblSubjectToLoan[#Headers])+1,subjectKnownBalanceDate,IF(OR(INDEX(tblSubjectToLoan[Date],ROW()-ROW(tblSubjectToLoan[#Headers])-1)="",INDEX(tblSubjectToLoan[Date],ROW()-ROW(tblSubjectToLoan[#Headers])-1)&gt;=subjectMortgageEndDate),"",EDATE(INDEX(tblSubjectToLoan[Date],ROW()-ROW(tblSubjectToLoan[#Headers])-1),1)))</f>
        <v/>
      </c>
      <c r="B236" s="276">
        <f>IF(tblSubjectToLoan[[#This Row],[Date]]="",0,IF(ROW()=ROW(tblSubjectToLoan[#Headers])+1,subjectKnownBalance,MAX(0,INDEX(tblSubjectToLoan[Ending Balance],ROW()-ROW(tblSubjectToLoan[#Headers])-1))))</f>
        <v>0</v>
      </c>
      <c r="C2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6" s="14">
        <f>IF(tblSubjectToLoan[[#This Row],[Payment]]=0,0,MAX(0,MIN(tblSubjectToLoan[[#This Row],[Beginning Balance]],tblSubjectToLoan[[#This Row],[Payment]]-tblSubjectToLoan[[#This Row],[Int]])))</f>
        <v>0</v>
      </c>
      <c r="E236" s="14">
        <f>IF(tblSubjectToLoan[[#This Row],[Date]]="",0,ROUND(tblSubjectToLoan[[#This Row],[Beginning Balance]]*(subjectInterestRate/12),2))</f>
        <v>0</v>
      </c>
      <c r="F236" s="14">
        <f t="shared" si="19"/>
        <v>134.16999999999999</v>
      </c>
      <c r="G236" s="14">
        <f t="shared" si="19"/>
        <v>188.55</v>
      </c>
      <c r="H236" s="14">
        <f>SUM(tblSubjectToLoan[[#This Row],[Princ]],tblSubjectToLoan[[#This Row],[Int]],tblSubjectToLoan[[#This Row],[Ins]],tblSubjectToLoan[[#This Row],[Taxes]])</f>
        <v>322.72000000000003</v>
      </c>
      <c r="I2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6" s="276">
        <f>IF(tblSubjectToLoan[[#This Row],[Date]]="",IF(ROW()=ROW(tblSubjectToLoan[#Headers])+1,0,INDEX(tblSubjectToLoan[Interest],ROW()-ROW(tblSubjectToLoan[#Headers])-1)),tblSubjectToLoan[[#This Row],[Int]]+IF(ROW()=ROW(tblSubjectToLoan[#Headers])+1,0,INDEX(tblSubjectToLoan[Interest],ROW()-ROW(tblSubjectToLoan[#Headers])-1)))</f>
        <v>36068.259999999973</v>
      </c>
      <c r="K236" s="969">
        <f>IF(tblSubjectToLoan[[#This Row],[Date]]="",0,MAX(0,tblSubjectToLoan[[#This Row],[Beginning Balance]]-tblSubjectToLoan[[#This Row],[Princ]]))</f>
        <v>0</v>
      </c>
      <c r="L236" s="394">
        <f t="shared" si="15"/>
        <v>0</v>
      </c>
      <c r="M236" s="394">
        <f t="shared" si="18"/>
        <v>0</v>
      </c>
      <c r="N236" s="613" t="str">
        <f>INDEX(tblSubjectToLoan[Date],ROW()-ROW(tblContractForDeed[#Headers]))</f>
        <v/>
      </c>
      <c r="O236" s="276">
        <f>IF(ROW()=ROW(tblContractForDeed[#Headers])+1,$O$6,IF(INDEX(tblContractForDeed[End Bal],ROW()-ROW(tblContractForDeed[#Headers])-1)&lt;0,0,INDEX(tblContractForDeed[End Bal],ROW()-ROW(tblContractForDeed[#Headers])-1)))</f>
        <v>0</v>
      </c>
      <c r="P236" s="454"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6" s="276">
        <f>IF(INDEX(tblContractForDeed[End Bal],ROW()-ROW(tblBuyerOutputs[#Headers]))&lt;=0,0,($O$6+IF(ROW()=ROW(tblBuyerOutputs[#Headers])+1,0,INDEX(tblBuyerOutputs[Cumul Appr],ROW()-ROW(tblBuyerOutputs[#Headers])-1)))*$O$2/12)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13" t="str">
        <f>IF(ROW()=ROW(tblSubjectToLoan[#Headers])+1,subjectKnownBalanceDate,IF(OR(INDEX(tblSubjectToLoan[Date],ROW()-ROW(tblSubjectToLoan[#Headers])-1)="",INDEX(tblSubjectToLoan[Date],ROW()-ROW(tblSubjectToLoan[#Headers])-1)&gt;=subjectMortgageEndDate),"",EDATE(INDEX(tblSubjectToLoan[Date],ROW()-ROW(tblSubjectToLoan[#Headers])-1),1)))</f>
        <v/>
      </c>
      <c r="B237" s="276">
        <f>IF(tblSubjectToLoan[[#This Row],[Date]]="",0,IF(ROW()=ROW(tblSubjectToLoan[#Headers])+1,subjectKnownBalance,MAX(0,INDEX(tblSubjectToLoan[Ending Balance],ROW()-ROW(tblSubjectToLoan[#Headers])-1))))</f>
        <v>0</v>
      </c>
      <c r="C2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7" s="14">
        <f>IF(tblSubjectToLoan[[#This Row],[Payment]]=0,0,MAX(0,MIN(tblSubjectToLoan[[#This Row],[Beginning Balance]],tblSubjectToLoan[[#This Row],[Payment]]-tblSubjectToLoan[[#This Row],[Int]])))</f>
        <v>0</v>
      </c>
      <c r="E237" s="14">
        <f>IF(tblSubjectToLoan[[#This Row],[Date]]="",0,ROUND(tblSubjectToLoan[[#This Row],[Beginning Balance]]*(subjectInterestRate/12),2))</f>
        <v>0</v>
      </c>
      <c r="F237" s="14">
        <f t="shared" si="19"/>
        <v>134.16999999999999</v>
      </c>
      <c r="G237" s="14">
        <f t="shared" si="19"/>
        <v>188.55</v>
      </c>
      <c r="H237" s="14">
        <f>SUM(tblSubjectToLoan[[#This Row],[Princ]],tblSubjectToLoan[[#This Row],[Int]],tblSubjectToLoan[[#This Row],[Ins]],tblSubjectToLoan[[#This Row],[Taxes]])</f>
        <v>322.72000000000003</v>
      </c>
      <c r="I2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7" s="276">
        <f>IF(tblSubjectToLoan[[#This Row],[Date]]="",IF(ROW()=ROW(tblSubjectToLoan[#Headers])+1,0,INDEX(tblSubjectToLoan[Interest],ROW()-ROW(tblSubjectToLoan[#Headers])-1)),tblSubjectToLoan[[#This Row],[Int]]+IF(ROW()=ROW(tblSubjectToLoan[#Headers])+1,0,INDEX(tblSubjectToLoan[Interest],ROW()-ROW(tblSubjectToLoan[#Headers])-1)))</f>
        <v>36068.259999999973</v>
      </c>
      <c r="K237" s="969">
        <f>IF(tblSubjectToLoan[[#This Row],[Date]]="",0,MAX(0,tblSubjectToLoan[[#This Row],[Beginning Balance]]-tblSubjectToLoan[[#This Row],[Princ]]))</f>
        <v>0</v>
      </c>
      <c r="L237" s="394">
        <f t="shared" si="15"/>
        <v>0</v>
      </c>
      <c r="M237" s="394">
        <f t="shared" si="18"/>
        <v>0</v>
      </c>
      <c r="N237" s="613" t="str">
        <f>INDEX(tblSubjectToLoan[Date],ROW()-ROW(tblContractForDeed[#Headers]))</f>
        <v/>
      </c>
      <c r="O237" s="276">
        <f>IF(ROW()=ROW(tblContractForDeed[#Headers])+1,$O$6,IF(INDEX(tblContractForDeed[End Bal],ROW()-ROW(tblContractForDeed[#Headers])-1)&lt;0,0,INDEX(tblContractForDeed[End Bal],ROW()-ROW(tblContractForDeed[#Headers])-1)))</f>
        <v>0</v>
      </c>
      <c r="P237" s="454"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7" s="276">
        <f>IF(INDEX(tblContractForDeed[End Bal],ROW()-ROW(tblBuyerOutputs[#Headers]))&lt;=0,0,($O$6+IF(ROW()=ROW(tblBuyerOutputs[#Headers])+1,0,INDEX(tblBuyerOutputs[Cumul Appr],ROW()-ROW(tblBuyerOutputs[#Headers])-1)))*$O$2/12)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13" t="str">
        <f>IF(ROW()=ROW(tblSubjectToLoan[#Headers])+1,subjectKnownBalanceDate,IF(OR(INDEX(tblSubjectToLoan[Date],ROW()-ROW(tblSubjectToLoan[#Headers])-1)="",INDEX(tblSubjectToLoan[Date],ROW()-ROW(tblSubjectToLoan[#Headers])-1)&gt;=subjectMortgageEndDate),"",EDATE(INDEX(tblSubjectToLoan[Date],ROW()-ROW(tblSubjectToLoan[#Headers])-1),1)))</f>
        <v/>
      </c>
      <c r="B238" s="276">
        <f>IF(tblSubjectToLoan[[#This Row],[Date]]="",0,IF(ROW()=ROW(tblSubjectToLoan[#Headers])+1,subjectKnownBalance,MAX(0,INDEX(tblSubjectToLoan[Ending Balance],ROW()-ROW(tblSubjectToLoan[#Headers])-1))))</f>
        <v>0</v>
      </c>
      <c r="C2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8" s="14">
        <f>IF(tblSubjectToLoan[[#This Row],[Payment]]=0,0,MAX(0,MIN(tblSubjectToLoan[[#This Row],[Beginning Balance]],tblSubjectToLoan[[#This Row],[Payment]]-tblSubjectToLoan[[#This Row],[Int]])))</f>
        <v>0</v>
      </c>
      <c r="E238" s="14">
        <f>IF(tblSubjectToLoan[[#This Row],[Date]]="",0,ROUND(tblSubjectToLoan[[#This Row],[Beginning Balance]]*(subjectInterestRate/12),2))</f>
        <v>0</v>
      </c>
      <c r="F238" s="14">
        <f t="shared" si="19"/>
        <v>134.16999999999999</v>
      </c>
      <c r="G238" s="14">
        <f t="shared" si="19"/>
        <v>188.55</v>
      </c>
      <c r="H238" s="14">
        <f>SUM(tblSubjectToLoan[[#This Row],[Princ]],tblSubjectToLoan[[#This Row],[Int]],tblSubjectToLoan[[#This Row],[Ins]],tblSubjectToLoan[[#This Row],[Taxes]])</f>
        <v>322.72000000000003</v>
      </c>
      <c r="I2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8" s="276">
        <f>IF(tblSubjectToLoan[[#This Row],[Date]]="",IF(ROW()=ROW(tblSubjectToLoan[#Headers])+1,0,INDEX(tblSubjectToLoan[Interest],ROW()-ROW(tblSubjectToLoan[#Headers])-1)),tblSubjectToLoan[[#This Row],[Int]]+IF(ROW()=ROW(tblSubjectToLoan[#Headers])+1,0,INDEX(tblSubjectToLoan[Interest],ROW()-ROW(tblSubjectToLoan[#Headers])-1)))</f>
        <v>36068.259999999973</v>
      </c>
      <c r="K238" s="969">
        <f>IF(tblSubjectToLoan[[#This Row],[Date]]="",0,MAX(0,tblSubjectToLoan[[#This Row],[Beginning Balance]]-tblSubjectToLoan[[#This Row],[Princ]]))</f>
        <v>0</v>
      </c>
      <c r="L238" s="394">
        <f t="shared" si="15"/>
        <v>0</v>
      </c>
      <c r="M238" s="394">
        <f t="shared" si="18"/>
        <v>0</v>
      </c>
      <c r="N238" s="613" t="str">
        <f>INDEX(tblSubjectToLoan[Date],ROW()-ROW(tblContractForDeed[#Headers]))</f>
        <v/>
      </c>
      <c r="O238" s="276">
        <f>IF(ROW()=ROW(tblContractForDeed[#Headers])+1,$O$6,IF(INDEX(tblContractForDeed[End Bal],ROW()-ROW(tblContractForDeed[#Headers])-1)&lt;0,0,INDEX(tblContractForDeed[End Bal],ROW()-ROW(tblContractForDeed[#Headers])-1)))</f>
        <v>0</v>
      </c>
      <c r="P238" s="454"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8" s="276">
        <f>IF(INDEX(tblContractForDeed[End Bal],ROW()-ROW(tblBuyerOutputs[#Headers]))&lt;=0,0,($O$6+IF(ROW()=ROW(tblBuyerOutputs[#Headers])+1,0,INDEX(tblBuyerOutputs[Cumul Appr],ROW()-ROW(tblBuyerOutputs[#Headers])-1)))*$O$2/12)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13" t="str">
        <f>IF(ROW()=ROW(tblSubjectToLoan[#Headers])+1,subjectKnownBalanceDate,IF(OR(INDEX(tblSubjectToLoan[Date],ROW()-ROW(tblSubjectToLoan[#Headers])-1)="",INDEX(tblSubjectToLoan[Date],ROW()-ROW(tblSubjectToLoan[#Headers])-1)&gt;=subjectMortgageEndDate),"",EDATE(INDEX(tblSubjectToLoan[Date],ROW()-ROW(tblSubjectToLoan[#Headers])-1),1)))</f>
        <v/>
      </c>
      <c r="B239" s="276">
        <f>IF(tblSubjectToLoan[[#This Row],[Date]]="",0,IF(ROW()=ROW(tblSubjectToLoan[#Headers])+1,subjectKnownBalance,MAX(0,INDEX(tblSubjectToLoan[Ending Balance],ROW()-ROW(tblSubjectToLoan[#Headers])-1))))</f>
        <v>0</v>
      </c>
      <c r="C2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9" s="14">
        <f>IF(tblSubjectToLoan[[#This Row],[Payment]]=0,0,MAX(0,MIN(tblSubjectToLoan[[#This Row],[Beginning Balance]],tblSubjectToLoan[[#This Row],[Payment]]-tblSubjectToLoan[[#This Row],[Int]])))</f>
        <v>0</v>
      </c>
      <c r="E239" s="14">
        <f>IF(tblSubjectToLoan[[#This Row],[Date]]="",0,ROUND(tblSubjectToLoan[[#This Row],[Beginning Balance]]*(subjectInterestRate/12),2))</f>
        <v>0</v>
      </c>
      <c r="F239" s="14">
        <f t="shared" ref="F239:G254" si="20">+F238</f>
        <v>134.16999999999999</v>
      </c>
      <c r="G239" s="14">
        <f t="shared" si="20"/>
        <v>188.55</v>
      </c>
      <c r="H239" s="14">
        <f>SUM(tblSubjectToLoan[[#This Row],[Princ]],tblSubjectToLoan[[#This Row],[Int]],tblSubjectToLoan[[#This Row],[Ins]],tblSubjectToLoan[[#This Row],[Taxes]])</f>
        <v>322.72000000000003</v>
      </c>
      <c r="I2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9" s="276">
        <f>IF(tblSubjectToLoan[[#This Row],[Date]]="",IF(ROW()=ROW(tblSubjectToLoan[#Headers])+1,0,INDEX(tblSubjectToLoan[Interest],ROW()-ROW(tblSubjectToLoan[#Headers])-1)),tblSubjectToLoan[[#This Row],[Int]]+IF(ROW()=ROW(tblSubjectToLoan[#Headers])+1,0,INDEX(tblSubjectToLoan[Interest],ROW()-ROW(tblSubjectToLoan[#Headers])-1)))</f>
        <v>36068.259999999973</v>
      </c>
      <c r="K239" s="969">
        <f>IF(tblSubjectToLoan[[#This Row],[Date]]="",0,MAX(0,tblSubjectToLoan[[#This Row],[Beginning Balance]]-tblSubjectToLoan[[#This Row],[Princ]]))</f>
        <v>0</v>
      </c>
      <c r="L239" s="394">
        <f t="shared" si="15"/>
        <v>0</v>
      </c>
      <c r="M239" s="394">
        <f t="shared" si="18"/>
        <v>0</v>
      </c>
      <c r="N239" s="613" t="str">
        <f>INDEX(tblSubjectToLoan[Date],ROW()-ROW(tblContractForDeed[#Headers]))</f>
        <v/>
      </c>
      <c r="O239" s="276">
        <f>IF(ROW()=ROW(tblContractForDeed[#Headers])+1,$O$6,IF(INDEX(tblContractForDeed[End Bal],ROW()-ROW(tblContractForDeed[#Headers])-1)&lt;0,0,INDEX(tblContractForDeed[End Bal],ROW()-ROW(tblContractForDeed[#Headers])-1)))</f>
        <v>0</v>
      </c>
      <c r="P239" s="454"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9" s="276">
        <f>IF(INDEX(tblContractForDeed[End Bal],ROW()-ROW(tblBuyerOutputs[#Headers]))&lt;=0,0,($O$6+IF(ROW()=ROW(tblBuyerOutputs[#Headers])+1,0,INDEX(tblBuyerOutputs[Cumul Appr],ROW()-ROW(tblBuyerOutputs[#Headers])-1)))*$O$2/12)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13" t="str">
        <f>IF(ROW()=ROW(tblSubjectToLoan[#Headers])+1,subjectKnownBalanceDate,IF(OR(INDEX(tblSubjectToLoan[Date],ROW()-ROW(tblSubjectToLoan[#Headers])-1)="",INDEX(tblSubjectToLoan[Date],ROW()-ROW(tblSubjectToLoan[#Headers])-1)&gt;=subjectMortgageEndDate),"",EDATE(INDEX(tblSubjectToLoan[Date],ROW()-ROW(tblSubjectToLoan[#Headers])-1),1)))</f>
        <v/>
      </c>
      <c r="B240" s="276">
        <f>IF(tblSubjectToLoan[[#This Row],[Date]]="",0,IF(ROW()=ROW(tblSubjectToLoan[#Headers])+1,subjectKnownBalance,MAX(0,INDEX(tblSubjectToLoan[Ending Balance],ROW()-ROW(tblSubjectToLoan[#Headers])-1))))</f>
        <v>0</v>
      </c>
      <c r="C2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0" s="14">
        <f>IF(tblSubjectToLoan[[#This Row],[Payment]]=0,0,MAX(0,MIN(tblSubjectToLoan[[#This Row],[Beginning Balance]],tblSubjectToLoan[[#This Row],[Payment]]-tblSubjectToLoan[[#This Row],[Int]])))</f>
        <v>0</v>
      </c>
      <c r="E240" s="14">
        <f>IF(tblSubjectToLoan[[#This Row],[Date]]="",0,ROUND(tblSubjectToLoan[[#This Row],[Beginning Balance]]*(subjectInterestRate/12),2))</f>
        <v>0</v>
      </c>
      <c r="F240" s="14">
        <f t="shared" si="20"/>
        <v>134.16999999999999</v>
      </c>
      <c r="G240" s="14">
        <f t="shared" si="20"/>
        <v>188.55</v>
      </c>
      <c r="H240" s="14">
        <f>SUM(tblSubjectToLoan[[#This Row],[Princ]],tblSubjectToLoan[[#This Row],[Int]],tblSubjectToLoan[[#This Row],[Ins]],tblSubjectToLoan[[#This Row],[Taxes]])</f>
        <v>322.72000000000003</v>
      </c>
      <c r="I2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0" s="276">
        <f>IF(tblSubjectToLoan[[#This Row],[Date]]="",IF(ROW()=ROW(tblSubjectToLoan[#Headers])+1,0,INDEX(tblSubjectToLoan[Interest],ROW()-ROW(tblSubjectToLoan[#Headers])-1)),tblSubjectToLoan[[#This Row],[Int]]+IF(ROW()=ROW(tblSubjectToLoan[#Headers])+1,0,INDEX(tblSubjectToLoan[Interest],ROW()-ROW(tblSubjectToLoan[#Headers])-1)))</f>
        <v>36068.259999999973</v>
      </c>
      <c r="K240" s="969">
        <f>IF(tblSubjectToLoan[[#This Row],[Date]]="",0,MAX(0,tblSubjectToLoan[[#This Row],[Beginning Balance]]-tblSubjectToLoan[[#This Row],[Princ]]))</f>
        <v>0</v>
      </c>
      <c r="L240" s="394">
        <f t="shared" si="15"/>
        <v>0</v>
      </c>
      <c r="M240" s="394">
        <f t="shared" si="18"/>
        <v>0</v>
      </c>
      <c r="N240" s="613" t="str">
        <f>INDEX(tblSubjectToLoan[Date],ROW()-ROW(tblContractForDeed[#Headers]))</f>
        <v/>
      </c>
      <c r="O240" s="276">
        <f>IF(ROW()=ROW(tblContractForDeed[#Headers])+1,$O$6,IF(INDEX(tblContractForDeed[End Bal],ROW()-ROW(tblContractForDeed[#Headers])-1)&lt;0,0,INDEX(tblContractForDeed[End Bal],ROW()-ROW(tblContractForDeed[#Headers])-1)))</f>
        <v>0</v>
      </c>
      <c r="P240" s="454"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0" s="276">
        <f>IF(INDEX(tblContractForDeed[End Bal],ROW()-ROW(tblBuyerOutputs[#Headers]))&lt;=0,0,($O$6+IF(ROW()=ROW(tblBuyerOutputs[#Headers])+1,0,INDEX(tblBuyerOutputs[Cumul Appr],ROW()-ROW(tblBuyerOutputs[#Headers])-1)))*$O$2/12)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13" t="str">
        <f>IF(ROW()=ROW(tblSubjectToLoan[#Headers])+1,subjectKnownBalanceDate,IF(OR(INDEX(tblSubjectToLoan[Date],ROW()-ROW(tblSubjectToLoan[#Headers])-1)="",INDEX(tblSubjectToLoan[Date],ROW()-ROW(tblSubjectToLoan[#Headers])-1)&gt;=subjectMortgageEndDate),"",EDATE(INDEX(tblSubjectToLoan[Date],ROW()-ROW(tblSubjectToLoan[#Headers])-1),1)))</f>
        <v/>
      </c>
      <c r="B241" s="276">
        <f>IF(tblSubjectToLoan[[#This Row],[Date]]="",0,IF(ROW()=ROW(tblSubjectToLoan[#Headers])+1,subjectKnownBalance,MAX(0,INDEX(tblSubjectToLoan[Ending Balance],ROW()-ROW(tblSubjectToLoan[#Headers])-1))))</f>
        <v>0</v>
      </c>
      <c r="C2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1" s="14">
        <f>IF(tblSubjectToLoan[[#This Row],[Payment]]=0,0,MAX(0,MIN(tblSubjectToLoan[[#This Row],[Beginning Balance]],tblSubjectToLoan[[#This Row],[Payment]]-tblSubjectToLoan[[#This Row],[Int]])))</f>
        <v>0</v>
      </c>
      <c r="E241" s="14">
        <f>IF(tblSubjectToLoan[[#This Row],[Date]]="",0,ROUND(tblSubjectToLoan[[#This Row],[Beginning Balance]]*(subjectInterestRate/12),2))</f>
        <v>0</v>
      </c>
      <c r="F241" s="14">
        <f t="shared" si="20"/>
        <v>134.16999999999999</v>
      </c>
      <c r="G241" s="14">
        <f t="shared" si="20"/>
        <v>188.55</v>
      </c>
      <c r="H241" s="14">
        <f>SUM(tblSubjectToLoan[[#This Row],[Princ]],tblSubjectToLoan[[#This Row],[Int]],tblSubjectToLoan[[#This Row],[Ins]],tblSubjectToLoan[[#This Row],[Taxes]])</f>
        <v>322.72000000000003</v>
      </c>
      <c r="I2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1" s="276">
        <f>IF(tblSubjectToLoan[[#This Row],[Date]]="",IF(ROW()=ROW(tblSubjectToLoan[#Headers])+1,0,INDEX(tblSubjectToLoan[Interest],ROW()-ROW(tblSubjectToLoan[#Headers])-1)),tblSubjectToLoan[[#This Row],[Int]]+IF(ROW()=ROW(tblSubjectToLoan[#Headers])+1,0,INDEX(tblSubjectToLoan[Interest],ROW()-ROW(tblSubjectToLoan[#Headers])-1)))</f>
        <v>36068.259999999973</v>
      </c>
      <c r="K241" s="969">
        <f>IF(tblSubjectToLoan[[#This Row],[Date]]="",0,MAX(0,tblSubjectToLoan[[#This Row],[Beginning Balance]]-tblSubjectToLoan[[#This Row],[Princ]]))</f>
        <v>0</v>
      </c>
      <c r="L241" s="394">
        <f t="shared" si="15"/>
        <v>0</v>
      </c>
      <c r="M241" s="394">
        <f t="shared" si="18"/>
        <v>0</v>
      </c>
      <c r="N241" s="613" t="str">
        <f>INDEX(tblSubjectToLoan[Date],ROW()-ROW(tblContractForDeed[#Headers]))</f>
        <v/>
      </c>
      <c r="O241" s="276">
        <f>IF(ROW()=ROW(tblContractForDeed[#Headers])+1,$O$6,IF(INDEX(tblContractForDeed[End Bal],ROW()-ROW(tblContractForDeed[#Headers])-1)&lt;0,0,INDEX(tblContractForDeed[End Bal],ROW()-ROW(tblContractForDeed[#Headers])-1)))</f>
        <v>0</v>
      </c>
      <c r="P241" s="454"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1" s="276">
        <f>IF(INDEX(tblContractForDeed[End Bal],ROW()-ROW(tblBuyerOutputs[#Headers]))&lt;=0,0,($O$6+IF(ROW()=ROW(tblBuyerOutputs[#Headers])+1,0,INDEX(tblBuyerOutputs[Cumul Appr],ROW()-ROW(tblBuyerOutputs[#Headers])-1)))*$O$2/12)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13" t="str">
        <f>IF(ROW()=ROW(tblSubjectToLoan[#Headers])+1,subjectKnownBalanceDate,IF(OR(INDEX(tblSubjectToLoan[Date],ROW()-ROW(tblSubjectToLoan[#Headers])-1)="",INDEX(tblSubjectToLoan[Date],ROW()-ROW(tblSubjectToLoan[#Headers])-1)&gt;=subjectMortgageEndDate),"",EDATE(INDEX(tblSubjectToLoan[Date],ROW()-ROW(tblSubjectToLoan[#Headers])-1),1)))</f>
        <v/>
      </c>
      <c r="B242" s="276">
        <f>IF(tblSubjectToLoan[[#This Row],[Date]]="",0,IF(ROW()=ROW(tblSubjectToLoan[#Headers])+1,subjectKnownBalance,MAX(0,INDEX(tblSubjectToLoan[Ending Balance],ROW()-ROW(tblSubjectToLoan[#Headers])-1))))</f>
        <v>0</v>
      </c>
      <c r="C2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2" s="14">
        <f>IF(tblSubjectToLoan[[#This Row],[Payment]]=0,0,MAX(0,MIN(tblSubjectToLoan[[#This Row],[Beginning Balance]],tblSubjectToLoan[[#This Row],[Payment]]-tblSubjectToLoan[[#This Row],[Int]])))</f>
        <v>0</v>
      </c>
      <c r="E242" s="14">
        <f>IF(tblSubjectToLoan[[#This Row],[Date]]="",0,ROUND(tblSubjectToLoan[[#This Row],[Beginning Balance]]*(subjectInterestRate/12),2))</f>
        <v>0</v>
      </c>
      <c r="F242" s="14">
        <f t="shared" si="20"/>
        <v>134.16999999999999</v>
      </c>
      <c r="G242" s="14">
        <f t="shared" si="20"/>
        <v>188.55</v>
      </c>
      <c r="H242" s="14">
        <f>SUM(tblSubjectToLoan[[#This Row],[Princ]],tblSubjectToLoan[[#This Row],[Int]],tblSubjectToLoan[[#This Row],[Ins]],tblSubjectToLoan[[#This Row],[Taxes]])</f>
        <v>322.72000000000003</v>
      </c>
      <c r="I2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2" s="276">
        <f>IF(tblSubjectToLoan[[#This Row],[Date]]="",IF(ROW()=ROW(tblSubjectToLoan[#Headers])+1,0,INDEX(tblSubjectToLoan[Interest],ROW()-ROW(tblSubjectToLoan[#Headers])-1)),tblSubjectToLoan[[#This Row],[Int]]+IF(ROW()=ROW(tblSubjectToLoan[#Headers])+1,0,INDEX(tblSubjectToLoan[Interest],ROW()-ROW(tblSubjectToLoan[#Headers])-1)))</f>
        <v>36068.259999999973</v>
      </c>
      <c r="K242" s="969">
        <f>IF(tblSubjectToLoan[[#This Row],[Date]]="",0,MAX(0,tblSubjectToLoan[[#This Row],[Beginning Balance]]-tblSubjectToLoan[[#This Row],[Princ]]))</f>
        <v>0</v>
      </c>
      <c r="L242" s="394">
        <f t="shared" si="15"/>
        <v>0</v>
      </c>
      <c r="M242" s="394">
        <f t="shared" si="18"/>
        <v>0</v>
      </c>
      <c r="N242" s="613" t="str">
        <f>INDEX(tblSubjectToLoan[Date],ROW()-ROW(tblContractForDeed[#Headers]))</f>
        <v/>
      </c>
      <c r="O242" s="276">
        <f>IF(ROW()=ROW(tblContractForDeed[#Headers])+1,$O$6,IF(INDEX(tblContractForDeed[End Bal],ROW()-ROW(tblContractForDeed[#Headers])-1)&lt;0,0,INDEX(tblContractForDeed[End Bal],ROW()-ROW(tblContractForDeed[#Headers])-1)))</f>
        <v>0</v>
      </c>
      <c r="P242" s="454"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2" s="276">
        <f>IF(INDEX(tblContractForDeed[End Bal],ROW()-ROW(tblBuyerOutputs[#Headers]))&lt;=0,0,($O$6+IF(ROW()=ROW(tblBuyerOutputs[#Headers])+1,0,INDEX(tblBuyerOutputs[Cumul Appr],ROW()-ROW(tblBuyerOutputs[#Headers])-1)))*$O$2/12)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13" t="str">
        <f>IF(ROW()=ROW(tblSubjectToLoan[#Headers])+1,subjectKnownBalanceDate,IF(OR(INDEX(tblSubjectToLoan[Date],ROW()-ROW(tblSubjectToLoan[#Headers])-1)="",INDEX(tblSubjectToLoan[Date],ROW()-ROW(tblSubjectToLoan[#Headers])-1)&gt;=subjectMortgageEndDate),"",EDATE(INDEX(tblSubjectToLoan[Date],ROW()-ROW(tblSubjectToLoan[#Headers])-1),1)))</f>
        <v/>
      </c>
      <c r="B243" s="276">
        <f>IF(tblSubjectToLoan[[#This Row],[Date]]="",0,IF(ROW()=ROW(tblSubjectToLoan[#Headers])+1,subjectKnownBalance,MAX(0,INDEX(tblSubjectToLoan[Ending Balance],ROW()-ROW(tblSubjectToLoan[#Headers])-1))))</f>
        <v>0</v>
      </c>
      <c r="C2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3" s="14">
        <f>IF(tblSubjectToLoan[[#This Row],[Payment]]=0,0,MAX(0,MIN(tblSubjectToLoan[[#This Row],[Beginning Balance]],tblSubjectToLoan[[#This Row],[Payment]]-tblSubjectToLoan[[#This Row],[Int]])))</f>
        <v>0</v>
      </c>
      <c r="E243" s="14">
        <f>IF(tblSubjectToLoan[[#This Row],[Date]]="",0,ROUND(tblSubjectToLoan[[#This Row],[Beginning Balance]]*(subjectInterestRate/12),2))</f>
        <v>0</v>
      </c>
      <c r="F243" s="14">
        <f t="shared" si="20"/>
        <v>134.16999999999999</v>
      </c>
      <c r="G243" s="14">
        <f t="shared" si="20"/>
        <v>188.55</v>
      </c>
      <c r="H243" s="14">
        <f>SUM(tblSubjectToLoan[[#This Row],[Princ]],tblSubjectToLoan[[#This Row],[Int]],tblSubjectToLoan[[#This Row],[Ins]],tblSubjectToLoan[[#This Row],[Taxes]])</f>
        <v>322.72000000000003</v>
      </c>
      <c r="I2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3" s="276">
        <f>IF(tblSubjectToLoan[[#This Row],[Date]]="",IF(ROW()=ROW(tblSubjectToLoan[#Headers])+1,0,INDEX(tblSubjectToLoan[Interest],ROW()-ROW(tblSubjectToLoan[#Headers])-1)),tblSubjectToLoan[[#This Row],[Int]]+IF(ROW()=ROW(tblSubjectToLoan[#Headers])+1,0,INDEX(tblSubjectToLoan[Interest],ROW()-ROW(tblSubjectToLoan[#Headers])-1)))</f>
        <v>36068.259999999973</v>
      </c>
      <c r="K243" s="969">
        <f>IF(tblSubjectToLoan[[#This Row],[Date]]="",0,MAX(0,tblSubjectToLoan[[#This Row],[Beginning Balance]]-tblSubjectToLoan[[#This Row],[Princ]]))</f>
        <v>0</v>
      </c>
      <c r="L243" s="394">
        <f t="shared" si="15"/>
        <v>0</v>
      </c>
      <c r="M243" s="394">
        <f t="shared" si="18"/>
        <v>0</v>
      </c>
      <c r="N243" s="613" t="str">
        <f>INDEX(tblSubjectToLoan[Date],ROW()-ROW(tblContractForDeed[#Headers]))</f>
        <v/>
      </c>
      <c r="O243" s="276">
        <f>IF(ROW()=ROW(tblContractForDeed[#Headers])+1,$O$6,IF(INDEX(tblContractForDeed[End Bal],ROW()-ROW(tblContractForDeed[#Headers])-1)&lt;0,0,INDEX(tblContractForDeed[End Bal],ROW()-ROW(tblContractForDeed[#Headers])-1)))</f>
        <v>0</v>
      </c>
      <c r="P243" s="454"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3" s="276">
        <f>IF(INDEX(tblContractForDeed[End Bal],ROW()-ROW(tblBuyerOutputs[#Headers]))&lt;=0,0,($O$6+IF(ROW()=ROW(tblBuyerOutputs[#Headers])+1,0,INDEX(tblBuyerOutputs[Cumul Appr],ROW()-ROW(tblBuyerOutputs[#Headers])-1)))*$O$2/12)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13" t="str">
        <f>IF(ROW()=ROW(tblSubjectToLoan[#Headers])+1,subjectKnownBalanceDate,IF(OR(INDEX(tblSubjectToLoan[Date],ROW()-ROW(tblSubjectToLoan[#Headers])-1)="",INDEX(tblSubjectToLoan[Date],ROW()-ROW(tblSubjectToLoan[#Headers])-1)&gt;=subjectMortgageEndDate),"",EDATE(INDEX(tblSubjectToLoan[Date],ROW()-ROW(tblSubjectToLoan[#Headers])-1),1)))</f>
        <v/>
      </c>
      <c r="B244" s="276">
        <f>IF(tblSubjectToLoan[[#This Row],[Date]]="",0,IF(ROW()=ROW(tblSubjectToLoan[#Headers])+1,subjectKnownBalance,MAX(0,INDEX(tblSubjectToLoan[Ending Balance],ROW()-ROW(tblSubjectToLoan[#Headers])-1))))</f>
        <v>0</v>
      </c>
      <c r="C2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4" s="14">
        <f>IF(tblSubjectToLoan[[#This Row],[Payment]]=0,0,MAX(0,MIN(tblSubjectToLoan[[#This Row],[Beginning Balance]],tblSubjectToLoan[[#This Row],[Payment]]-tblSubjectToLoan[[#This Row],[Int]])))</f>
        <v>0</v>
      </c>
      <c r="E244" s="14">
        <f>IF(tblSubjectToLoan[[#This Row],[Date]]="",0,ROUND(tblSubjectToLoan[[#This Row],[Beginning Balance]]*(subjectInterestRate/12),2))</f>
        <v>0</v>
      </c>
      <c r="F244" s="14">
        <f t="shared" si="20"/>
        <v>134.16999999999999</v>
      </c>
      <c r="G244" s="14">
        <f t="shared" si="20"/>
        <v>188.55</v>
      </c>
      <c r="H244" s="14">
        <f>SUM(tblSubjectToLoan[[#This Row],[Princ]],tblSubjectToLoan[[#This Row],[Int]],tblSubjectToLoan[[#This Row],[Ins]],tblSubjectToLoan[[#This Row],[Taxes]])</f>
        <v>322.72000000000003</v>
      </c>
      <c r="I2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4" s="276">
        <f>IF(tblSubjectToLoan[[#This Row],[Date]]="",IF(ROW()=ROW(tblSubjectToLoan[#Headers])+1,0,INDEX(tblSubjectToLoan[Interest],ROW()-ROW(tblSubjectToLoan[#Headers])-1)),tblSubjectToLoan[[#This Row],[Int]]+IF(ROW()=ROW(tblSubjectToLoan[#Headers])+1,0,INDEX(tblSubjectToLoan[Interest],ROW()-ROW(tblSubjectToLoan[#Headers])-1)))</f>
        <v>36068.259999999973</v>
      </c>
      <c r="K244" s="969">
        <f>IF(tblSubjectToLoan[[#This Row],[Date]]="",0,MAX(0,tblSubjectToLoan[[#This Row],[Beginning Balance]]-tblSubjectToLoan[[#This Row],[Princ]]))</f>
        <v>0</v>
      </c>
      <c r="L244" s="394">
        <f t="shared" ref="L244:L307" si="21">IF(MOD(M244,12)=0,M244/12,L243)</f>
        <v>0</v>
      </c>
      <c r="M244" s="394">
        <f t="shared" si="18"/>
        <v>0</v>
      </c>
      <c r="N244" s="613" t="str">
        <f>INDEX(tblSubjectToLoan[Date],ROW()-ROW(tblContractForDeed[#Headers]))</f>
        <v/>
      </c>
      <c r="O244" s="276">
        <f>IF(ROW()=ROW(tblContractForDeed[#Headers])+1,$O$6,IF(INDEX(tblContractForDeed[End Bal],ROW()-ROW(tblContractForDeed[#Headers])-1)&lt;0,0,INDEX(tblContractForDeed[End Bal],ROW()-ROW(tblContractForDeed[#Headers])-1)))</f>
        <v>0</v>
      </c>
      <c r="P244" s="454"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4" s="276">
        <f>IF(INDEX(tblContractForDeed[End Bal],ROW()-ROW(tblBuyerOutputs[#Headers]))&lt;=0,0,($O$6+IF(ROW()=ROW(tblBuyerOutputs[#Headers])+1,0,INDEX(tblBuyerOutputs[Cumul Appr],ROW()-ROW(tblBuyerOutputs[#Headers])-1)))*$O$2/12)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13" t="str">
        <f>IF(ROW()=ROW(tblSubjectToLoan[#Headers])+1,subjectKnownBalanceDate,IF(OR(INDEX(tblSubjectToLoan[Date],ROW()-ROW(tblSubjectToLoan[#Headers])-1)="",INDEX(tblSubjectToLoan[Date],ROW()-ROW(tblSubjectToLoan[#Headers])-1)&gt;=subjectMortgageEndDate),"",EDATE(INDEX(tblSubjectToLoan[Date],ROW()-ROW(tblSubjectToLoan[#Headers])-1),1)))</f>
        <v/>
      </c>
      <c r="B245" s="276">
        <f>IF(tblSubjectToLoan[[#This Row],[Date]]="",0,IF(ROW()=ROW(tblSubjectToLoan[#Headers])+1,subjectKnownBalance,MAX(0,INDEX(tblSubjectToLoan[Ending Balance],ROW()-ROW(tblSubjectToLoan[#Headers])-1))))</f>
        <v>0</v>
      </c>
      <c r="C2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5" s="14">
        <f>IF(tblSubjectToLoan[[#This Row],[Payment]]=0,0,MAX(0,MIN(tblSubjectToLoan[[#This Row],[Beginning Balance]],tblSubjectToLoan[[#This Row],[Payment]]-tblSubjectToLoan[[#This Row],[Int]])))</f>
        <v>0</v>
      </c>
      <c r="E245" s="14">
        <f>IF(tblSubjectToLoan[[#This Row],[Date]]="",0,ROUND(tblSubjectToLoan[[#This Row],[Beginning Balance]]*(subjectInterestRate/12),2))</f>
        <v>0</v>
      </c>
      <c r="F245" s="14">
        <f t="shared" si="20"/>
        <v>134.16999999999999</v>
      </c>
      <c r="G245" s="14">
        <f t="shared" si="20"/>
        <v>188.55</v>
      </c>
      <c r="H245" s="14">
        <f>SUM(tblSubjectToLoan[[#This Row],[Princ]],tblSubjectToLoan[[#This Row],[Int]],tblSubjectToLoan[[#This Row],[Ins]],tblSubjectToLoan[[#This Row],[Taxes]])</f>
        <v>322.72000000000003</v>
      </c>
      <c r="I2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5" s="276">
        <f>IF(tblSubjectToLoan[[#This Row],[Date]]="",IF(ROW()=ROW(tblSubjectToLoan[#Headers])+1,0,INDEX(tblSubjectToLoan[Interest],ROW()-ROW(tblSubjectToLoan[#Headers])-1)),tblSubjectToLoan[[#This Row],[Int]]+IF(ROW()=ROW(tblSubjectToLoan[#Headers])+1,0,INDEX(tblSubjectToLoan[Interest],ROW()-ROW(tblSubjectToLoan[#Headers])-1)))</f>
        <v>36068.259999999973</v>
      </c>
      <c r="K245" s="969">
        <f>IF(tblSubjectToLoan[[#This Row],[Date]]="",0,MAX(0,tblSubjectToLoan[[#This Row],[Beginning Balance]]-tblSubjectToLoan[[#This Row],[Princ]]))</f>
        <v>0</v>
      </c>
      <c r="L245" s="394">
        <f t="shared" si="21"/>
        <v>0</v>
      </c>
      <c r="M245" s="394">
        <f t="shared" si="18"/>
        <v>0</v>
      </c>
      <c r="N245" s="613" t="str">
        <f>INDEX(tblSubjectToLoan[Date],ROW()-ROW(tblContractForDeed[#Headers]))</f>
        <v/>
      </c>
      <c r="O245" s="276">
        <f>IF(ROW()=ROW(tblContractForDeed[#Headers])+1,$O$6,IF(INDEX(tblContractForDeed[End Bal],ROW()-ROW(tblContractForDeed[#Headers])-1)&lt;0,0,INDEX(tblContractForDeed[End Bal],ROW()-ROW(tblContractForDeed[#Headers])-1)))</f>
        <v>0</v>
      </c>
      <c r="P245" s="454"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5" s="276">
        <f>IF(INDEX(tblContractForDeed[End Bal],ROW()-ROW(tblBuyerOutputs[#Headers]))&lt;=0,0,($O$6+IF(ROW()=ROW(tblBuyerOutputs[#Headers])+1,0,INDEX(tblBuyerOutputs[Cumul Appr],ROW()-ROW(tblBuyerOutputs[#Headers])-1)))*$O$2/12)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13" t="str">
        <f>IF(ROW()=ROW(tblSubjectToLoan[#Headers])+1,subjectKnownBalanceDate,IF(OR(INDEX(tblSubjectToLoan[Date],ROW()-ROW(tblSubjectToLoan[#Headers])-1)="",INDEX(tblSubjectToLoan[Date],ROW()-ROW(tblSubjectToLoan[#Headers])-1)&gt;=subjectMortgageEndDate),"",EDATE(INDEX(tblSubjectToLoan[Date],ROW()-ROW(tblSubjectToLoan[#Headers])-1),1)))</f>
        <v/>
      </c>
      <c r="B246" s="276">
        <f>IF(tblSubjectToLoan[[#This Row],[Date]]="",0,IF(ROW()=ROW(tblSubjectToLoan[#Headers])+1,subjectKnownBalance,MAX(0,INDEX(tblSubjectToLoan[Ending Balance],ROW()-ROW(tblSubjectToLoan[#Headers])-1))))</f>
        <v>0</v>
      </c>
      <c r="C2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6" s="14">
        <f>IF(tblSubjectToLoan[[#This Row],[Payment]]=0,0,MAX(0,MIN(tblSubjectToLoan[[#This Row],[Beginning Balance]],tblSubjectToLoan[[#This Row],[Payment]]-tblSubjectToLoan[[#This Row],[Int]])))</f>
        <v>0</v>
      </c>
      <c r="E246" s="14">
        <f>IF(tblSubjectToLoan[[#This Row],[Date]]="",0,ROUND(tblSubjectToLoan[[#This Row],[Beginning Balance]]*(subjectInterestRate/12),2))</f>
        <v>0</v>
      </c>
      <c r="F246" s="14">
        <f t="shared" si="20"/>
        <v>134.16999999999999</v>
      </c>
      <c r="G246" s="14">
        <f t="shared" si="20"/>
        <v>188.55</v>
      </c>
      <c r="H246" s="14">
        <f>SUM(tblSubjectToLoan[[#This Row],[Princ]],tblSubjectToLoan[[#This Row],[Int]],tblSubjectToLoan[[#This Row],[Ins]],tblSubjectToLoan[[#This Row],[Taxes]])</f>
        <v>322.72000000000003</v>
      </c>
      <c r="I2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6" s="276">
        <f>IF(tblSubjectToLoan[[#This Row],[Date]]="",IF(ROW()=ROW(tblSubjectToLoan[#Headers])+1,0,INDEX(tblSubjectToLoan[Interest],ROW()-ROW(tblSubjectToLoan[#Headers])-1)),tblSubjectToLoan[[#This Row],[Int]]+IF(ROW()=ROW(tblSubjectToLoan[#Headers])+1,0,INDEX(tblSubjectToLoan[Interest],ROW()-ROW(tblSubjectToLoan[#Headers])-1)))</f>
        <v>36068.259999999973</v>
      </c>
      <c r="K246" s="969">
        <f>IF(tblSubjectToLoan[[#This Row],[Date]]="",0,MAX(0,tblSubjectToLoan[[#This Row],[Beginning Balance]]-tblSubjectToLoan[[#This Row],[Princ]]))</f>
        <v>0</v>
      </c>
      <c r="L246" s="394">
        <f t="shared" si="21"/>
        <v>0</v>
      </c>
      <c r="M246" s="394">
        <f t="shared" si="18"/>
        <v>0</v>
      </c>
      <c r="N246" s="613" t="str">
        <f>INDEX(tblSubjectToLoan[Date],ROW()-ROW(tblContractForDeed[#Headers]))</f>
        <v/>
      </c>
      <c r="O246" s="276">
        <f>IF(ROW()=ROW(tblContractForDeed[#Headers])+1,$O$6,IF(INDEX(tblContractForDeed[End Bal],ROW()-ROW(tblContractForDeed[#Headers])-1)&lt;0,0,INDEX(tblContractForDeed[End Bal],ROW()-ROW(tblContractForDeed[#Headers])-1)))</f>
        <v>0</v>
      </c>
      <c r="P246" s="454"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6" s="276">
        <f>IF(INDEX(tblContractForDeed[End Bal],ROW()-ROW(tblBuyerOutputs[#Headers]))&lt;=0,0,($O$6+IF(ROW()=ROW(tblBuyerOutputs[#Headers])+1,0,INDEX(tblBuyerOutputs[Cumul Appr],ROW()-ROW(tblBuyerOutputs[#Headers])-1)))*$O$2/12)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14" t="str">
        <f>IF(ROW()=ROW(tblSubjectToLoan[#Headers])+1,subjectKnownBalanceDate,IF(OR(INDEX(tblSubjectToLoan[Date],ROW()-ROW(tblSubjectToLoan[#Headers])-1)="",INDEX(tblSubjectToLoan[Date],ROW()-ROW(tblSubjectToLoan[#Headers])-1)&gt;=subjectMortgageEndDate),"",EDATE(INDEX(tblSubjectToLoan[Date],ROW()-ROW(tblSubjectToLoan[#Headers])-1),1)))</f>
        <v/>
      </c>
      <c r="B247" s="332">
        <f>IF(tblSubjectToLoan[[#This Row],[Date]]="",0,IF(ROW()=ROW(tblSubjectToLoan[#Headers])+1,subjectKnownBalance,MAX(0,INDEX(tblSubjectToLoan[Ending Balance],ROW()-ROW(tblSubjectToLoan[#Headers])-1))))</f>
        <v>0</v>
      </c>
      <c r="C24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7" s="21">
        <f>IF(tblSubjectToLoan[[#This Row],[Payment]]=0,0,MAX(0,MIN(tblSubjectToLoan[[#This Row],[Beginning Balance]],tblSubjectToLoan[[#This Row],[Payment]]-tblSubjectToLoan[[#This Row],[Int]])))</f>
        <v>0</v>
      </c>
      <c r="E247" s="21">
        <f>IF(tblSubjectToLoan[[#This Row],[Date]]="",0,ROUND(tblSubjectToLoan[[#This Row],[Beginning Balance]]*(subjectInterestRate/12),2))</f>
        <v>0</v>
      </c>
      <c r="F247" s="21">
        <f t="shared" si="20"/>
        <v>134.16999999999999</v>
      </c>
      <c r="G247" s="21">
        <f t="shared" si="20"/>
        <v>188.55</v>
      </c>
      <c r="H247" s="21">
        <f>SUM(tblSubjectToLoan[[#This Row],[Princ]],tblSubjectToLoan[[#This Row],[Int]],tblSubjectToLoan[[#This Row],[Ins]],tblSubjectToLoan[[#This Row],[Taxes]])</f>
        <v>322.72000000000003</v>
      </c>
      <c r="I24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47" s="332">
        <f>IF(tblSubjectToLoan[[#This Row],[Date]]="",IF(ROW()=ROW(tblSubjectToLoan[#Headers])+1,0,INDEX(tblSubjectToLoan[Interest],ROW()-ROW(tblSubjectToLoan[#Headers])-1)),tblSubjectToLoan[[#This Row],[Int]]+IF(ROW()=ROW(tblSubjectToLoan[#Headers])+1,0,INDEX(tblSubjectToLoan[Interest],ROW()-ROW(tblSubjectToLoan[#Headers])-1)))</f>
        <v>36068.259999999973</v>
      </c>
      <c r="K247" s="970">
        <f>IF(tblSubjectToLoan[[#This Row],[Date]]="",0,MAX(0,tblSubjectToLoan[[#This Row],[Beginning Balance]]-tblSubjectToLoan[[#This Row],[Princ]]))</f>
        <v>0</v>
      </c>
      <c r="L247" s="395">
        <f t="shared" si="21"/>
        <v>0</v>
      </c>
      <c r="M247" s="395">
        <f t="shared" si="18"/>
        <v>0</v>
      </c>
      <c r="N247" s="614" t="str">
        <f>INDEX(tblSubjectToLoan[Date],ROW()-ROW(tblContractForDeed[#Headers]))</f>
        <v/>
      </c>
      <c r="O247" s="332">
        <f>IF(ROW()=ROW(tblContractForDeed[#Headers])+1,$O$6,IF(INDEX(tblContractForDeed[End Bal],ROW()-ROW(tblContractForDeed[#Headers])-1)&lt;0,0,INDEX(tblContractForDeed[End Bal],ROW()-ROW(tblContractForDeed[#Headers])-1)))</f>
        <v>0</v>
      </c>
      <c r="P247" s="454"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7" s="332">
        <f>IF(INDEX(tblContractForDeed[End Bal],ROW()-ROW(tblBuyerOutputs[#Headers]))&lt;=0,0,($O$6+IF(ROW()=ROW(tblBuyerOutputs[#Headers])+1,0,INDEX(tblBuyerOutputs[Cumul Appr],ROW()-ROW(tblBuyerOutputs[#Headers])-1)))*$O$2/12)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13" t="str">
        <f>IF(ROW()=ROW(tblSubjectToLoan[#Headers])+1,subjectKnownBalanceDate,IF(OR(INDEX(tblSubjectToLoan[Date],ROW()-ROW(tblSubjectToLoan[#Headers])-1)="",INDEX(tblSubjectToLoan[Date],ROW()-ROW(tblSubjectToLoan[#Headers])-1)&gt;=subjectMortgageEndDate),"",EDATE(INDEX(tblSubjectToLoan[Date],ROW()-ROW(tblSubjectToLoan[#Headers])-1),1)))</f>
        <v/>
      </c>
      <c r="B248" s="276">
        <f>IF(tblSubjectToLoan[[#This Row],[Date]]="",0,IF(ROW()=ROW(tblSubjectToLoan[#Headers])+1,subjectKnownBalance,MAX(0,INDEX(tblSubjectToLoan[Ending Balance],ROW()-ROW(tblSubjectToLoan[#Headers])-1))))</f>
        <v>0</v>
      </c>
      <c r="C2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8" s="14">
        <f>IF(tblSubjectToLoan[[#This Row],[Payment]]=0,0,MAX(0,MIN(tblSubjectToLoan[[#This Row],[Beginning Balance]],tblSubjectToLoan[[#This Row],[Payment]]-tblSubjectToLoan[[#This Row],[Int]])))</f>
        <v>0</v>
      </c>
      <c r="E248" s="14">
        <f>IF(tblSubjectToLoan[[#This Row],[Date]]="",0,ROUND(tblSubjectToLoan[[#This Row],[Beginning Balance]]*(subjectInterestRate/12),2))</f>
        <v>0</v>
      </c>
      <c r="F248" s="14">
        <f t="shared" si="20"/>
        <v>134.16999999999999</v>
      </c>
      <c r="G248" s="14">
        <f t="shared" si="20"/>
        <v>188.55</v>
      </c>
      <c r="H248" s="14">
        <f>SUM(tblSubjectToLoan[[#This Row],[Princ]],tblSubjectToLoan[[#This Row],[Int]],tblSubjectToLoan[[#This Row],[Ins]],tblSubjectToLoan[[#This Row],[Taxes]])</f>
        <v>322.72000000000003</v>
      </c>
      <c r="I2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8" s="276">
        <f>IF(tblSubjectToLoan[[#This Row],[Date]]="",IF(ROW()=ROW(tblSubjectToLoan[#Headers])+1,0,INDEX(tblSubjectToLoan[Interest],ROW()-ROW(tblSubjectToLoan[#Headers])-1)),tblSubjectToLoan[[#This Row],[Int]]+IF(ROW()=ROW(tblSubjectToLoan[#Headers])+1,0,INDEX(tblSubjectToLoan[Interest],ROW()-ROW(tblSubjectToLoan[#Headers])-1)))</f>
        <v>36068.259999999973</v>
      </c>
      <c r="K248" s="969">
        <f>IF(tblSubjectToLoan[[#This Row],[Date]]="",0,MAX(0,tblSubjectToLoan[[#This Row],[Beginning Balance]]-tblSubjectToLoan[[#This Row],[Princ]]))</f>
        <v>0</v>
      </c>
      <c r="L248" s="394">
        <f t="shared" si="21"/>
        <v>0</v>
      </c>
      <c r="M248" s="394">
        <f t="shared" si="18"/>
        <v>0</v>
      </c>
      <c r="N248" s="613" t="str">
        <f>INDEX(tblSubjectToLoan[Date],ROW()-ROW(tblContractForDeed[#Headers]))</f>
        <v/>
      </c>
      <c r="O248" s="276">
        <f>IF(ROW()=ROW(tblContractForDeed[#Headers])+1,$O$6,IF(INDEX(tblContractForDeed[End Bal],ROW()-ROW(tblContractForDeed[#Headers])-1)&lt;0,0,INDEX(tblContractForDeed[End Bal],ROW()-ROW(tblContractForDeed[#Headers])-1)))</f>
        <v>0</v>
      </c>
      <c r="P248" s="454"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8" s="276">
        <f>IF(INDEX(tblContractForDeed[End Bal],ROW()-ROW(tblBuyerOutputs[#Headers]))&lt;=0,0,($O$6+IF(ROW()=ROW(tblBuyerOutputs[#Headers])+1,0,INDEX(tblBuyerOutputs[Cumul Appr],ROW()-ROW(tblBuyerOutputs[#Headers])-1)))*$O$2/12)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13" t="str">
        <f>IF(ROW()=ROW(tblSubjectToLoan[#Headers])+1,subjectKnownBalanceDate,IF(OR(INDEX(tblSubjectToLoan[Date],ROW()-ROW(tblSubjectToLoan[#Headers])-1)="",INDEX(tblSubjectToLoan[Date],ROW()-ROW(tblSubjectToLoan[#Headers])-1)&gt;=subjectMortgageEndDate),"",EDATE(INDEX(tblSubjectToLoan[Date],ROW()-ROW(tblSubjectToLoan[#Headers])-1),1)))</f>
        <v/>
      </c>
      <c r="B249" s="276">
        <f>IF(tblSubjectToLoan[[#This Row],[Date]]="",0,IF(ROW()=ROW(tblSubjectToLoan[#Headers])+1,subjectKnownBalance,MAX(0,INDEX(tblSubjectToLoan[Ending Balance],ROW()-ROW(tblSubjectToLoan[#Headers])-1))))</f>
        <v>0</v>
      </c>
      <c r="C2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9" s="14">
        <f>IF(tblSubjectToLoan[[#This Row],[Payment]]=0,0,MAX(0,MIN(tblSubjectToLoan[[#This Row],[Beginning Balance]],tblSubjectToLoan[[#This Row],[Payment]]-tblSubjectToLoan[[#This Row],[Int]])))</f>
        <v>0</v>
      </c>
      <c r="E249" s="14">
        <f>IF(tblSubjectToLoan[[#This Row],[Date]]="",0,ROUND(tblSubjectToLoan[[#This Row],[Beginning Balance]]*(subjectInterestRate/12),2))</f>
        <v>0</v>
      </c>
      <c r="F249" s="14">
        <f t="shared" si="20"/>
        <v>134.16999999999999</v>
      </c>
      <c r="G249" s="14">
        <f t="shared" si="20"/>
        <v>188.55</v>
      </c>
      <c r="H249" s="14">
        <f>SUM(tblSubjectToLoan[[#This Row],[Princ]],tblSubjectToLoan[[#This Row],[Int]],tblSubjectToLoan[[#This Row],[Ins]],tblSubjectToLoan[[#This Row],[Taxes]])</f>
        <v>322.72000000000003</v>
      </c>
      <c r="I2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9" s="276">
        <f>IF(tblSubjectToLoan[[#This Row],[Date]]="",IF(ROW()=ROW(tblSubjectToLoan[#Headers])+1,0,INDEX(tblSubjectToLoan[Interest],ROW()-ROW(tblSubjectToLoan[#Headers])-1)),tblSubjectToLoan[[#This Row],[Int]]+IF(ROW()=ROW(tblSubjectToLoan[#Headers])+1,0,INDEX(tblSubjectToLoan[Interest],ROW()-ROW(tblSubjectToLoan[#Headers])-1)))</f>
        <v>36068.259999999973</v>
      </c>
      <c r="K249" s="969">
        <f>IF(tblSubjectToLoan[[#This Row],[Date]]="",0,MAX(0,tblSubjectToLoan[[#This Row],[Beginning Balance]]-tblSubjectToLoan[[#This Row],[Princ]]))</f>
        <v>0</v>
      </c>
      <c r="L249" s="394">
        <f t="shared" si="21"/>
        <v>0</v>
      </c>
      <c r="M249" s="394">
        <f t="shared" si="18"/>
        <v>0</v>
      </c>
      <c r="N249" s="613" t="str">
        <f>INDEX(tblSubjectToLoan[Date],ROW()-ROW(tblContractForDeed[#Headers]))</f>
        <v/>
      </c>
      <c r="O249" s="276">
        <f>IF(ROW()=ROW(tblContractForDeed[#Headers])+1,$O$6,IF(INDEX(tblContractForDeed[End Bal],ROW()-ROW(tblContractForDeed[#Headers])-1)&lt;0,0,INDEX(tblContractForDeed[End Bal],ROW()-ROW(tblContractForDeed[#Headers])-1)))</f>
        <v>0</v>
      </c>
      <c r="P249" s="454"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9" s="276">
        <f>IF(INDEX(tblContractForDeed[End Bal],ROW()-ROW(tblBuyerOutputs[#Headers]))&lt;=0,0,($O$6+IF(ROW()=ROW(tblBuyerOutputs[#Headers])+1,0,INDEX(tblBuyerOutputs[Cumul Appr],ROW()-ROW(tblBuyerOutputs[#Headers])-1)))*$O$2/12)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13" t="str">
        <f>IF(ROW()=ROW(tblSubjectToLoan[#Headers])+1,subjectKnownBalanceDate,IF(OR(INDEX(tblSubjectToLoan[Date],ROW()-ROW(tblSubjectToLoan[#Headers])-1)="",INDEX(tblSubjectToLoan[Date],ROW()-ROW(tblSubjectToLoan[#Headers])-1)&gt;=subjectMortgageEndDate),"",EDATE(INDEX(tblSubjectToLoan[Date],ROW()-ROW(tblSubjectToLoan[#Headers])-1),1)))</f>
        <v/>
      </c>
      <c r="B250" s="276">
        <f>IF(tblSubjectToLoan[[#This Row],[Date]]="",0,IF(ROW()=ROW(tblSubjectToLoan[#Headers])+1,subjectKnownBalance,MAX(0,INDEX(tblSubjectToLoan[Ending Balance],ROW()-ROW(tblSubjectToLoan[#Headers])-1))))</f>
        <v>0</v>
      </c>
      <c r="C2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0" s="14">
        <f>IF(tblSubjectToLoan[[#This Row],[Payment]]=0,0,MAX(0,MIN(tblSubjectToLoan[[#This Row],[Beginning Balance]],tblSubjectToLoan[[#This Row],[Payment]]-tblSubjectToLoan[[#This Row],[Int]])))</f>
        <v>0</v>
      </c>
      <c r="E250" s="14">
        <f>IF(tblSubjectToLoan[[#This Row],[Date]]="",0,ROUND(tblSubjectToLoan[[#This Row],[Beginning Balance]]*(subjectInterestRate/12),2))</f>
        <v>0</v>
      </c>
      <c r="F250" s="14">
        <f t="shared" si="20"/>
        <v>134.16999999999999</v>
      </c>
      <c r="G250" s="14">
        <f t="shared" si="20"/>
        <v>188.55</v>
      </c>
      <c r="H250" s="14">
        <f>SUM(tblSubjectToLoan[[#This Row],[Princ]],tblSubjectToLoan[[#This Row],[Int]],tblSubjectToLoan[[#This Row],[Ins]],tblSubjectToLoan[[#This Row],[Taxes]])</f>
        <v>322.72000000000003</v>
      </c>
      <c r="I2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0" s="276">
        <f>IF(tblSubjectToLoan[[#This Row],[Date]]="",IF(ROW()=ROW(tblSubjectToLoan[#Headers])+1,0,INDEX(tblSubjectToLoan[Interest],ROW()-ROW(tblSubjectToLoan[#Headers])-1)),tblSubjectToLoan[[#This Row],[Int]]+IF(ROW()=ROW(tblSubjectToLoan[#Headers])+1,0,INDEX(tblSubjectToLoan[Interest],ROW()-ROW(tblSubjectToLoan[#Headers])-1)))</f>
        <v>36068.259999999973</v>
      </c>
      <c r="K250" s="969">
        <f>IF(tblSubjectToLoan[[#This Row],[Date]]="",0,MAX(0,tblSubjectToLoan[[#This Row],[Beginning Balance]]-tblSubjectToLoan[[#This Row],[Princ]]))</f>
        <v>0</v>
      </c>
      <c r="L250" s="394">
        <f t="shared" si="21"/>
        <v>0</v>
      </c>
      <c r="M250" s="394">
        <f t="shared" si="18"/>
        <v>0</v>
      </c>
      <c r="N250" s="613" t="str">
        <f>INDEX(tblSubjectToLoan[Date],ROW()-ROW(tblContractForDeed[#Headers]))</f>
        <v/>
      </c>
      <c r="O250" s="276">
        <f>IF(ROW()=ROW(tblContractForDeed[#Headers])+1,$O$6,IF(INDEX(tblContractForDeed[End Bal],ROW()-ROW(tblContractForDeed[#Headers])-1)&lt;0,0,INDEX(tblContractForDeed[End Bal],ROW()-ROW(tblContractForDeed[#Headers])-1)))</f>
        <v>0</v>
      </c>
      <c r="P250" s="454"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0" s="276">
        <f>IF(INDEX(tblContractForDeed[End Bal],ROW()-ROW(tblBuyerOutputs[#Headers]))&lt;=0,0,($O$6+IF(ROW()=ROW(tblBuyerOutputs[#Headers])+1,0,INDEX(tblBuyerOutputs[Cumul Appr],ROW()-ROW(tblBuyerOutputs[#Headers])-1)))*$O$2/12)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13" t="str">
        <f>IF(ROW()=ROW(tblSubjectToLoan[#Headers])+1,subjectKnownBalanceDate,IF(OR(INDEX(tblSubjectToLoan[Date],ROW()-ROW(tblSubjectToLoan[#Headers])-1)="",INDEX(tblSubjectToLoan[Date],ROW()-ROW(tblSubjectToLoan[#Headers])-1)&gt;=subjectMortgageEndDate),"",EDATE(INDEX(tblSubjectToLoan[Date],ROW()-ROW(tblSubjectToLoan[#Headers])-1),1)))</f>
        <v/>
      </c>
      <c r="B251" s="276">
        <f>IF(tblSubjectToLoan[[#This Row],[Date]]="",0,IF(ROW()=ROW(tblSubjectToLoan[#Headers])+1,subjectKnownBalance,MAX(0,INDEX(tblSubjectToLoan[Ending Balance],ROW()-ROW(tblSubjectToLoan[#Headers])-1))))</f>
        <v>0</v>
      </c>
      <c r="C2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1" s="14">
        <f>IF(tblSubjectToLoan[[#This Row],[Payment]]=0,0,MAX(0,MIN(tblSubjectToLoan[[#This Row],[Beginning Balance]],tblSubjectToLoan[[#This Row],[Payment]]-tblSubjectToLoan[[#This Row],[Int]])))</f>
        <v>0</v>
      </c>
      <c r="E251" s="14">
        <f>IF(tblSubjectToLoan[[#This Row],[Date]]="",0,ROUND(tblSubjectToLoan[[#This Row],[Beginning Balance]]*(subjectInterestRate/12),2))</f>
        <v>0</v>
      </c>
      <c r="F251" s="14">
        <f t="shared" si="20"/>
        <v>134.16999999999999</v>
      </c>
      <c r="G251" s="14">
        <f t="shared" si="20"/>
        <v>188.55</v>
      </c>
      <c r="H251" s="14">
        <f>SUM(tblSubjectToLoan[[#This Row],[Princ]],tblSubjectToLoan[[#This Row],[Int]],tblSubjectToLoan[[#This Row],[Ins]],tblSubjectToLoan[[#This Row],[Taxes]])</f>
        <v>322.72000000000003</v>
      </c>
      <c r="I2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1" s="276">
        <f>IF(tblSubjectToLoan[[#This Row],[Date]]="",IF(ROW()=ROW(tblSubjectToLoan[#Headers])+1,0,INDEX(tblSubjectToLoan[Interest],ROW()-ROW(tblSubjectToLoan[#Headers])-1)),tblSubjectToLoan[[#This Row],[Int]]+IF(ROW()=ROW(tblSubjectToLoan[#Headers])+1,0,INDEX(tblSubjectToLoan[Interest],ROW()-ROW(tblSubjectToLoan[#Headers])-1)))</f>
        <v>36068.259999999973</v>
      </c>
      <c r="K251" s="969">
        <f>IF(tblSubjectToLoan[[#This Row],[Date]]="",0,MAX(0,tblSubjectToLoan[[#This Row],[Beginning Balance]]-tblSubjectToLoan[[#This Row],[Princ]]))</f>
        <v>0</v>
      </c>
      <c r="L251" s="394">
        <f t="shared" si="21"/>
        <v>0</v>
      </c>
      <c r="M251" s="394">
        <f t="shared" si="18"/>
        <v>0</v>
      </c>
      <c r="N251" s="613" t="str">
        <f>INDEX(tblSubjectToLoan[Date],ROW()-ROW(tblContractForDeed[#Headers]))</f>
        <v/>
      </c>
      <c r="O251" s="276">
        <f>IF(ROW()=ROW(tblContractForDeed[#Headers])+1,$O$6,IF(INDEX(tblContractForDeed[End Bal],ROW()-ROW(tblContractForDeed[#Headers])-1)&lt;0,0,INDEX(tblContractForDeed[End Bal],ROW()-ROW(tblContractForDeed[#Headers])-1)))</f>
        <v>0</v>
      </c>
      <c r="P251" s="454"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1" s="276">
        <f>IF(INDEX(tblContractForDeed[End Bal],ROW()-ROW(tblBuyerOutputs[#Headers]))&lt;=0,0,($O$6+IF(ROW()=ROW(tblBuyerOutputs[#Headers])+1,0,INDEX(tblBuyerOutputs[Cumul Appr],ROW()-ROW(tblBuyerOutputs[#Headers])-1)))*$O$2/12)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13" t="str">
        <f>IF(ROW()=ROW(tblSubjectToLoan[#Headers])+1,subjectKnownBalanceDate,IF(OR(INDEX(tblSubjectToLoan[Date],ROW()-ROW(tblSubjectToLoan[#Headers])-1)="",INDEX(tblSubjectToLoan[Date],ROW()-ROW(tblSubjectToLoan[#Headers])-1)&gt;=subjectMortgageEndDate),"",EDATE(INDEX(tblSubjectToLoan[Date],ROW()-ROW(tblSubjectToLoan[#Headers])-1),1)))</f>
        <v/>
      </c>
      <c r="B252" s="276">
        <f>IF(tblSubjectToLoan[[#This Row],[Date]]="",0,IF(ROW()=ROW(tblSubjectToLoan[#Headers])+1,subjectKnownBalance,MAX(0,INDEX(tblSubjectToLoan[Ending Balance],ROW()-ROW(tblSubjectToLoan[#Headers])-1))))</f>
        <v>0</v>
      </c>
      <c r="C2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2" s="14">
        <f>IF(tblSubjectToLoan[[#This Row],[Payment]]=0,0,MAX(0,MIN(tblSubjectToLoan[[#This Row],[Beginning Balance]],tblSubjectToLoan[[#This Row],[Payment]]-tblSubjectToLoan[[#This Row],[Int]])))</f>
        <v>0</v>
      </c>
      <c r="E252" s="14">
        <f>IF(tblSubjectToLoan[[#This Row],[Date]]="",0,ROUND(tblSubjectToLoan[[#This Row],[Beginning Balance]]*(subjectInterestRate/12),2))</f>
        <v>0</v>
      </c>
      <c r="F252" s="14">
        <f t="shared" si="20"/>
        <v>134.16999999999999</v>
      </c>
      <c r="G252" s="14">
        <f t="shared" si="20"/>
        <v>188.55</v>
      </c>
      <c r="H252" s="14">
        <f>SUM(tblSubjectToLoan[[#This Row],[Princ]],tblSubjectToLoan[[#This Row],[Int]],tblSubjectToLoan[[#This Row],[Ins]],tblSubjectToLoan[[#This Row],[Taxes]])</f>
        <v>322.72000000000003</v>
      </c>
      <c r="I2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2" s="276">
        <f>IF(tblSubjectToLoan[[#This Row],[Date]]="",IF(ROW()=ROW(tblSubjectToLoan[#Headers])+1,0,INDEX(tblSubjectToLoan[Interest],ROW()-ROW(tblSubjectToLoan[#Headers])-1)),tblSubjectToLoan[[#This Row],[Int]]+IF(ROW()=ROW(tblSubjectToLoan[#Headers])+1,0,INDEX(tblSubjectToLoan[Interest],ROW()-ROW(tblSubjectToLoan[#Headers])-1)))</f>
        <v>36068.259999999973</v>
      </c>
      <c r="K252" s="969">
        <f>IF(tblSubjectToLoan[[#This Row],[Date]]="",0,MAX(0,tblSubjectToLoan[[#This Row],[Beginning Balance]]-tblSubjectToLoan[[#This Row],[Princ]]))</f>
        <v>0</v>
      </c>
      <c r="L252" s="394">
        <f t="shared" si="21"/>
        <v>0</v>
      </c>
      <c r="M252" s="394">
        <f t="shared" si="18"/>
        <v>0</v>
      </c>
      <c r="N252" s="613" t="str">
        <f>INDEX(tblSubjectToLoan[Date],ROW()-ROW(tblContractForDeed[#Headers]))</f>
        <v/>
      </c>
      <c r="O252" s="276">
        <f>IF(ROW()=ROW(tblContractForDeed[#Headers])+1,$O$6,IF(INDEX(tblContractForDeed[End Bal],ROW()-ROW(tblContractForDeed[#Headers])-1)&lt;0,0,INDEX(tblContractForDeed[End Bal],ROW()-ROW(tblContractForDeed[#Headers])-1)))</f>
        <v>0</v>
      </c>
      <c r="P252" s="454"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2" s="276">
        <f>IF(INDEX(tblContractForDeed[End Bal],ROW()-ROW(tblBuyerOutputs[#Headers]))&lt;=0,0,($O$6+IF(ROW()=ROW(tblBuyerOutputs[#Headers])+1,0,INDEX(tblBuyerOutputs[Cumul Appr],ROW()-ROW(tblBuyerOutputs[#Headers])-1)))*$O$2/12)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13" t="str">
        <f>IF(ROW()=ROW(tblSubjectToLoan[#Headers])+1,subjectKnownBalanceDate,IF(OR(INDEX(tblSubjectToLoan[Date],ROW()-ROW(tblSubjectToLoan[#Headers])-1)="",INDEX(tblSubjectToLoan[Date],ROW()-ROW(tblSubjectToLoan[#Headers])-1)&gt;=subjectMortgageEndDate),"",EDATE(INDEX(tblSubjectToLoan[Date],ROW()-ROW(tblSubjectToLoan[#Headers])-1),1)))</f>
        <v/>
      </c>
      <c r="B253" s="276">
        <f>IF(tblSubjectToLoan[[#This Row],[Date]]="",0,IF(ROW()=ROW(tblSubjectToLoan[#Headers])+1,subjectKnownBalance,MAX(0,INDEX(tblSubjectToLoan[Ending Balance],ROW()-ROW(tblSubjectToLoan[#Headers])-1))))</f>
        <v>0</v>
      </c>
      <c r="C2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3" s="14">
        <f>IF(tblSubjectToLoan[[#This Row],[Payment]]=0,0,MAX(0,MIN(tblSubjectToLoan[[#This Row],[Beginning Balance]],tblSubjectToLoan[[#This Row],[Payment]]-tblSubjectToLoan[[#This Row],[Int]])))</f>
        <v>0</v>
      </c>
      <c r="E253" s="14">
        <f>IF(tblSubjectToLoan[[#This Row],[Date]]="",0,ROUND(tblSubjectToLoan[[#This Row],[Beginning Balance]]*(subjectInterestRate/12),2))</f>
        <v>0</v>
      </c>
      <c r="F253" s="14">
        <f t="shared" si="20"/>
        <v>134.16999999999999</v>
      </c>
      <c r="G253" s="14">
        <f t="shared" si="20"/>
        <v>188.55</v>
      </c>
      <c r="H253" s="14">
        <f>SUM(tblSubjectToLoan[[#This Row],[Princ]],tblSubjectToLoan[[#This Row],[Int]],tblSubjectToLoan[[#This Row],[Ins]],tblSubjectToLoan[[#This Row],[Taxes]])</f>
        <v>322.72000000000003</v>
      </c>
      <c r="I2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3" s="276">
        <f>IF(tblSubjectToLoan[[#This Row],[Date]]="",IF(ROW()=ROW(tblSubjectToLoan[#Headers])+1,0,INDEX(tblSubjectToLoan[Interest],ROW()-ROW(tblSubjectToLoan[#Headers])-1)),tblSubjectToLoan[[#This Row],[Int]]+IF(ROW()=ROW(tblSubjectToLoan[#Headers])+1,0,INDEX(tblSubjectToLoan[Interest],ROW()-ROW(tblSubjectToLoan[#Headers])-1)))</f>
        <v>36068.259999999973</v>
      </c>
      <c r="K253" s="969">
        <f>IF(tblSubjectToLoan[[#This Row],[Date]]="",0,MAX(0,tblSubjectToLoan[[#This Row],[Beginning Balance]]-tblSubjectToLoan[[#This Row],[Princ]]))</f>
        <v>0</v>
      </c>
      <c r="L253" s="394">
        <f t="shared" si="21"/>
        <v>0</v>
      </c>
      <c r="M253" s="394">
        <f t="shared" si="18"/>
        <v>0</v>
      </c>
      <c r="N253" s="613" t="str">
        <f>INDEX(tblSubjectToLoan[Date],ROW()-ROW(tblContractForDeed[#Headers]))</f>
        <v/>
      </c>
      <c r="O253" s="276">
        <f>IF(ROW()=ROW(tblContractForDeed[#Headers])+1,$O$6,IF(INDEX(tblContractForDeed[End Bal],ROW()-ROW(tblContractForDeed[#Headers])-1)&lt;0,0,INDEX(tblContractForDeed[End Bal],ROW()-ROW(tblContractForDeed[#Headers])-1)))</f>
        <v>0</v>
      </c>
      <c r="P253" s="454"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3" s="276">
        <f>IF(INDEX(tblContractForDeed[End Bal],ROW()-ROW(tblBuyerOutputs[#Headers]))&lt;=0,0,($O$6+IF(ROW()=ROW(tblBuyerOutputs[#Headers])+1,0,INDEX(tblBuyerOutputs[Cumul Appr],ROW()-ROW(tblBuyerOutputs[#Headers])-1)))*$O$2/12)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13" t="str">
        <f>IF(ROW()=ROW(tblSubjectToLoan[#Headers])+1,subjectKnownBalanceDate,IF(OR(INDEX(tblSubjectToLoan[Date],ROW()-ROW(tblSubjectToLoan[#Headers])-1)="",INDEX(tblSubjectToLoan[Date],ROW()-ROW(tblSubjectToLoan[#Headers])-1)&gt;=subjectMortgageEndDate),"",EDATE(INDEX(tblSubjectToLoan[Date],ROW()-ROW(tblSubjectToLoan[#Headers])-1),1)))</f>
        <v/>
      </c>
      <c r="B254" s="276">
        <f>IF(tblSubjectToLoan[[#This Row],[Date]]="",0,IF(ROW()=ROW(tblSubjectToLoan[#Headers])+1,subjectKnownBalance,MAX(0,INDEX(tblSubjectToLoan[Ending Balance],ROW()-ROW(tblSubjectToLoan[#Headers])-1))))</f>
        <v>0</v>
      </c>
      <c r="C2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4" s="14">
        <f>IF(tblSubjectToLoan[[#This Row],[Payment]]=0,0,MAX(0,MIN(tblSubjectToLoan[[#This Row],[Beginning Balance]],tblSubjectToLoan[[#This Row],[Payment]]-tblSubjectToLoan[[#This Row],[Int]])))</f>
        <v>0</v>
      </c>
      <c r="E254" s="14">
        <f>IF(tblSubjectToLoan[[#This Row],[Date]]="",0,ROUND(tblSubjectToLoan[[#This Row],[Beginning Balance]]*(subjectInterestRate/12),2))</f>
        <v>0</v>
      </c>
      <c r="F254" s="14">
        <f t="shared" si="20"/>
        <v>134.16999999999999</v>
      </c>
      <c r="G254" s="14">
        <f t="shared" si="20"/>
        <v>188.55</v>
      </c>
      <c r="H254" s="14">
        <f>SUM(tblSubjectToLoan[[#This Row],[Princ]],tblSubjectToLoan[[#This Row],[Int]],tblSubjectToLoan[[#This Row],[Ins]],tblSubjectToLoan[[#This Row],[Taxes]])</f>
        <v>322.72000000000003</v>
      </c>
      <c r="I2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4" s="276">
        <f>IF(tblSubjectToLoan[[#This Row],[Date]]="",IF(ROW()=ROW(tblSubjectToLoan[#Headers])+1,0,INDEX(tblSubjectToLoan[Interest],ROW()-ROW(tblSubjectToLoan[#Headers])-1)),tblSubjectToLoan[[#This Row],[Int]]+IF(ROW()=ROW(tblSubjectToLoan[#Headers])+1,0,INDEX(tblSubjectToLoan[Interest],ROW()-ROW(tblSubjectToLoan[#Headers])-1)))</f>
        <v>36068.259999999973</v>
      </c>
      <c r="K254" s="969">
        <f>IF(tblSubjectToLoan[[#This Row],[Date]]="",0,MAX(0,tblSubjectToLoan[[#This Row],[Beginning Balance]]-tblSubjectToLoan[[#This Row],[Princ]]))</f>
        <v>0</v>
      </c>
      <c r="L254" s="394">
        <f t="shared" si="21"/>
        <v>0</v>
      </c>
      <c r="M254" s="394">
        <f t="shared" si="18"/>
        <v>0</v>
      </c>
      <c r="N254" s="613" t="str">
        <f>INDEX(tblSubjectToLoan[Date],ROW()-ROW(tblContractForDeed[#Headers]))</f>
        <v/>
      </c>
      <c r="O254" s="276">
        <f>IF(ROW()=ROW(tblContractForDeed[#Headers])+1,$O$6,IF(INDEX(tblContractForDeed[End Bal],ROW()-ROW(tblContractForDeed[#Headers])-1)&lt;0,0,INDEX(tblContractForDeed[End Bal],ROW()-ROW(tblContractForDeed[#Headers])-1)))</f>
        <v>0</v>
      </c>
      <c r="P254" s="454"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4" s="276">
        <f>IF(INDEX(tblContractForDeed[End Bal],ROW()-ROW(tblBuyerOutputs[#Headers]))&lt;=0,0,($O$6+IF(ROW()=ROW(tblBuyerOutputs[#Headers])+1,0,INDEX(tblBuyerOutputs[Cumul Appr],ROW()-ROW(tblBuyerOutputs[#Headers])-1)))*$O$2/12)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13" t="str">
        <f>IF(ROW()=ROW(tblSubjectToLoan[#Headers])+1,subjectKnownBalanceDate,IF(OR(INDEX(tblSubjectToLoan[Date],ROW()-ROW(tblSubjectToLoan[#Headers])-1)="",INDEX(tblSubjectToLoan[Date],ROW()-ROW(tblSubjectToLoan[#Headers])-1)&gt;=subjectMortgageEndDate),"",EDATE(INDEX(tblSubjectToLoan[Date],ROW()-ROW(tblSubjectToLoan[#Headers])-1),1)))</f>
        <v/>
      </c>
      <c r="B255" s="276">
        <f>IF(tblSubjectToLoan[[#This Row],[Date]]="",0,IF(ROW()=ROW(tblSubjectToLoan[#Headers])+1,subjectKnownBalance,MAX(0,INDEX(tblSubjectToLoan[Ending Balance],ROW()-ROW(tblSubjectToLoan[#Headers])-1))))</f>
        <v>0</v>
      </c>
      <c r="C2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5" s="14">
        <f>IF(tblSubjectToLoan[[#This Row],[Payment]]=0,0,MAX(0,MIN(tblSubjectToLoan[[#This Row],[Beginning Balance]],tblSubjectToLoan[[#This Row],[Payment]]-tblSubjectToLoan[[#This Row],[Int]])))</f>
        <v>0</v>
      </c>
      <c r="E255" s="14">
        <f>IF(tblSubjectToLoan[[#This Row],[Date]]="",0,ROUND(tblSubjectToLoan[[#This Row],[Beginning Balance]]*(subjectInterestRate/12),2))</f>
        <v>0</v>
      </c>
      <c r="F255" s="14">
        <f t="shared" ref="F255:G270" si="22">+F254</f>
        <v>134.16999999999999</v>
      </c>
      <c r="G255" s="14">
        <f t="shared" si="22"/>
        <v>188.55</v>
      </c>
      <c r="H255" s="14">
        <f>SUM(tblSubjectToLoan[[#This Row],[Princ]],tblSubjectToLoan[[#This Row],[Int]],tblSubjectToLoan[[#This Row],[Ins]],tblSubjectToLoan[[#This Row],[Taxes]])</f>
        <v>322.72000000000003</v>
      </c>
      <c r="I2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5" s="276">
        <f>IF(tblSubjectToLoan[[#This Row],[Date]]="",IF(ROW()=ROW(tblSubjectToLoan[#Headers])+1,0,INDEX(tblSubjectToLoan[Interest],ROW()-ROW(tblSubjectToLoan[#Headers])-1)),tblSubjectToLoan[[#This Row],[Int]]+IF(ROW()=ROW(tblSubjectToLoan[#Headers])+1,0,INDEX(tblSubjectToLoan[Interest],ROW()-ROW(tblSubjectToLoan[#Headers])-1)))</f>
        <v>36068.259999999973</v>
      </c>
      <c r="K255" s="969">
        <f>IF(tblSubjectToLoan[[#This Row],[Date]]="",0,MAX(0,tblSubjectToLoan[[#This Row],[Beginning Balance]]-tblSubjectToLoan[[#This Row],[Princ]]))</f>
        <v>0</v>
      </c>
      <c r="L255" s="394">
        <f t="shared" si="21"/>
        <v>0</v>
      </c>
      <c r="M255" s="394">
        <f t="shared" si="18"/>
        <v>0</v>
      </c>
      <c r="N255" s="613" t="str">
        <f>INDEX(tblSubjectToLoan[Date],ROW()-ROW(tblContractForDeed[#Headers]))</f>
        <v/>
      </c>
      <c r="O255" s="276">
        <f>IF(ROW()=ROW(tblContractForDeed[#Headers])+1,$O$6,IF(INDEX(tblContractForDeed[End Bal],ROW()-ROW(tblContractForDeed[#Headers])-1)&lt;0,0,INDEX(tblContractForDeed[End Bal],ROW()-ROW(tblContractForDeed[#Headers])-1)))</f>
        <v>0</v>
      </c>
      <c r="P255" s="454"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5" s="276">
        <f>IF(INDEX(tblContractForDeed[End Bal],ROW()-ROW(tblBuyerOutputs[#Headers]))&lt;=0,0,($O$6+IF(ROW()=ROW(tblBuyerOutputs[#Headers])+1,0,INDEX(tblBuyerOutputs[Cumul Appr],ROW()-ROW(tblBuyerOutputs[#Headers])-1)))*$O$2/12)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13" t="str">
        <f>IF(ROW()=ROW(tblSubjectToLoan[#Headers])+1,subjectKnownBalanceDate,IF(OR(INDEX(tblSubjectToLoan[Date],ROW()-ROW(tblSubjectToLoan[#Headers])-1)="",INDEX(tblSubjectToLoan[Date],ROW()-ROW(tblSubjectToLoan[#Headers])-1)&gt;=subjectMortgageEndDate),"",EDATE(INDEX(tblSubjectToLoan[Date],ROW()-ROW(tblSubjectToLoan[#Headers])-1),1)))</f>
        <v/>
      </c>
      <c r="B256" s="276">
        <f>IF(tblSubjectToLoan[[#This Row],[Date]]="",0,IF(ROW()=ROW(tblSubjectToLoan[#Headers])+1,subjectKnownBalance,MAX(0,INDEX(tblSubjectToLoan[Ending Balance],ROW()-ROW(tblSubjectToLoan[#Headers])-1))))</f>
        <v>0</v>
      </c>
      <c r="C2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6" s="14">
        <f>IF(tblSubjectToLoan[[#This Row],[Payment]]=0,0,MAX(0,MIN(tblSubjectToLoan[[#This Row],[Beginning Balance]],tblSubjectToLoan[[#This Row],[Payment]]-tblSubjectToLoan[[#This Row],[Int]])))</f>
        <v>0</v>
      </c>
      <c r="E256" s="14">
        <f>IF(tblSubjectToLoan[[#This Row],[Date]]="",0,ROUND(tblSubjectToLoan[[#This Row],[Beginning Balance]]*(subjectInterestRate/12),2))</f>
        <v>0</v>
      </c>
      <c r="F256" s="14">
        <f t="shared" si="22"/>
        <v>134.16999999999999</v>
      </c>
      <c r="G256" s="14">
        <f t="shared" si="22"/>
        <v>188.55</v>
      </c>
      <c r="H256" s="14">
        <f>SUM(tblSubjectToLoan[[#This Row],[Princ]],tblSubjectToLoan[[#This Row],[Int]],tblSubjectToLoan[[#This Row],[Ins]],tblSubjectToLoan[[#This Row],[Taxes]])</f>
        <v>322.72000000000003</v>
      </c>
      <c r="I2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6" s="276">
        <f>IF(tblSubjectToLoan[[#This Row],[Date]]="",IF(ROW()=ROW(tblSubjectToLoan[#Headers])+1,0,INDEX(tblSubjectToLoan[Interest],ROW()-ROW(tblSubjectToLoan[#Headers])-1)),tblSubjectToLoan[[#This Row],[Int]]+IF(ROW()=ROW(tblSubjectToLoan[#Headers])+1,0,INDEX(tblSubjectToLoan[Interest],ROW()-ROW(tblSubjectToLoan[#Headers])-1)))</f>
        <v>36068.259999999973</v>
      </c>
      <c r="K256" s="969">
        <f>IF(tblSubjectToLoan[[#This Row],[Date]]="",0,MAX(0,tblSubjectToLoan[[#This Row],[Beginning Balance]]-tblSubjectToLoan[[#This Row],[Princ]]))</f>
        <v>0</v>
      </c>
      <c r="L256" s="394">
        <f t="shared" si="21"/>
        <v>0</v>
      </c>
      <c r="M256" s="394">
        <f t="shared" si="18"/>
        <v>0</v>
      </c>
      <c r="N256" s="613" t="str">
        <f>INDEX(tblSubjectToLoan[Date],ROW()-ROW(tblContractForDeed[#Headers]))</f>
        <v/>
      </c>
      <c r="O256" s="276">
        <f>IF(ROW()=ROW(tblContractForDeed[#Headers])+1,$O$6,IF(INDEX(tblContractForDeed[End Bal],ROW()-ROW(tblContractForDeed[#Headers])-1)&lt;0,0,INDEX(tblContractForDeed[End Bal],ROW()-ROW(tblContractForDeed[#Headers])-1)))</f>
        <v>0</v>
      </c>
      <c r="P256" s="454"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6" s="276">
        <f>IF(INDEX(tblContractForDeed[End Bal],ROW()-ROW(tblBuyerOutputs[#Headers]))&lt;=0,0,($O$6+IF(ROW()=ROW(tblBuyerOutputs[#Headers])+1,0,INDEX(tblBuyerOutputs[Cumul Appr],ROW()-ROW(tblBuyerOutputs[#Headers])-1)))*$O$2/12)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13" t="str">
        <f>IF(ROW()=ROW(tblSubjectToLoan[#Headers])+1,subjectKnownBalanceDate,IF(OR(INDEX(tblSubjectToLoan[Date],ROW()-ROW(tblSubjectToLoan[#Headers])-1)="",INDEX(tblSubjectToLoan[Date],ROW()-ROW(tblSubjectToLoan[#Headers])-1)&gt;=subjectMortgageEndDate),"",EDATE(INDEX(tblSubjectToLoan[Date],ROW()-ROW(tblSubjectToLoan[#Headers])-1),1)))</f>
        <v/>
      </c>
      <c r="B257" s="276">
        <f>IF(tblSubjectToLoan[[#This Row],[Date]]="",0,IF(ROW()=ROW(tblSubjectToLoan[#Headers])+1,subjectKnownBalance,MAX(0,INDEX(tblSubjectToLoan[Ending Balance],ROW()-ROW(tblSubjectToLoan[#Headers])-1))))</f>
        <v>0</v>
      </c>
      <c r="C2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7" s="14">
        <f>IF(tblSubjectToLoan[[#This Row],[Payment]]=0,0,MAX(0,MIN(tblSubjectToLoan[[#This Row],[Beginning Balance]],tblSubjectToLoan[[#This Row],[Payment]]-tblSubjectToLoan[[#This Row],[Int]])))</f>
        <v>0</v>
      </c>
      <c r="E257" s="14">
        <f>IF(tblSubjectToLoan[[#This Row],[Date]]="",0,ROUND(tblSubjectToLoan[[#This Row],[Beginning Balance]]*(subjectInterestRate/12),2))</f>
        <v>0</v>
      </c>
      <c r="F257" s="14">
        <f t="shared" si="22"/>
        <v>134.16999999999999</v>
      </c>
      <c r="G257" s="14">
        <f t="shared" si="22"/>
        <v>188.55</v>
      </c>
      <c r="H257" s="14">
        <f>SUM(tblSubjectToLoan[[#This Row],[Princ]],tblSubjectToLoan[[#This Row],[Int]],tblSubjectToLoan[[#This Row],[Ins]],tblSubjectToLoan[[#This Row],[Taxes]])</f>
        <v>322.72000000000003</v>
      </c>
      <c r="I2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7" s="276">
        <f>IF(tblSubjectToLoan[[#This Row],[Date]]="",IF(ROW()=ROW(tblSubjectToLoan[#Headers])+1,0,INDEX(tblSubjectToLoan[Interest],ROW()-ROW(tblSubjectToLoan[#Headers])-1)),tblSubjectToLoan[[#This Row],[Int]]+IF(ROW()=ROW(tblSubjectToLoan[#Headers])+1,0,INDEX(tblSubjectToLoan[Interest],ROW()-ROW(tblSubjectToLoan[#Headers])-1)))</f>
        <v>36068.259999999973</v>
      </c>
      <c r="K257" s="969">
        <f>IF(tblSubjectToLoan[[#This Row],[Date]]="",0,MAX(0,tblSubjectToLoan[[#This Row],[Beginning Balance]]-tblSubjectToLoan[[#This Row],[Princ]]))</f>
        <v>0</v>
      </c>
      <c r="L257" s="394">
        <f t="shared" si="21"/>
        <v>0</v>
      </c>
      <c r="M257" s="394">
        <f t="shared" si="18"/>
        <v>0</v>
      </c>
      <c r="N257" s="613" t="str">
        <f>INDEX(tblSubjectToLoan[Date],ROW()-ROW(tblContractForDeed[#Headers]))</f>
        <v/>
      </c>
      <c r="O257" s="276">
        <f>IF(ROW()=ROW(tblContractForDeed[#Headers])+1,$O$6,IF(INDEX(tblContractForDeed[End Bal],ROW()-ROW(tblContractForDeed[#Headers])-1)&lt;0,0,INDEX(tblContractForDeed[End Bal],ROW()-ROW(tblContractForDeed[#Headers])-1)))</f>
        <v>0</v>
      </c>
      <c r="P257" s="454"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7" s="276">
        <f>IF(INDEX(tblContractForDeed[End Bal],ROW()-ROW(tblBuyerOutputs[#Headers]))&lt;=0,0,($O$6+IF(ROW()=ROW(tblBuyerOutputs[#Headers])+1,0,INDEX(tblBuyerOutputs[Cumul Appr],ROW()-ROW(tblBuyerOutputs[#Headers])-1)))*$O$2/12)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13" t="str">
        <f>IF(ROW()=ROW(tblSubjectToLoan[#Headers])+1,subjectKnownBalanceDate,IF(OR(INDEX(tblSubjectToLoan[Date],ROW()-ROW(tblSubjectToLoan[#Headers])-1)="",INDEX(tblSubjectToLoan[Date],ROW()-ROW(tblSubjectToLoan[#Headers])-1)&gt;=subjectMortgageEndDate),"",EDATE(INDEX(tblSubjectToLoan[Date],ROW()-ROW(tblSubjectToLoan[#Headers])-1),1)))</f>
        <v/>
      </c>
      <c r="B258" s="276">
        <f>IF(tblSubjectToLoan[[#This Row],[Date]]="",0,IF(ROW()=ROW(tblSubjectToLoan[#Headers])+1,subjectKnownBalance,MAX(0,INDEX(tblSubjectToLoan[Ending Balance],ROW()-ROW(tblSubjectToLoan[#Headers])-1))))</f>
        <v>0</v>
      </c>
      <c r="C2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8" s="14">
        <f>IF(tblSubjectToLoan[[#This Row],[Payment]]=0,0,MAX(0,MIN(tblSubjectToLoan[[#This Row],[Beginning Balance]],tblSubjectToLoan[[#This Row],[Payment]]-tblSubjectToLoan[[#This Row],[Int]])))</f>
        <v>0</v>
      </c>
      <c r="E258" s="14">
        <f>IF(tblSubjectToLoan[[#This Row],[Date]]="",0,ROUND(tblSubjectToLoan[[#This Row],[Beginning Balance]]*(subjectInterestRate/12),2))</f>
        <v>0</v>
      </c>
      <c r="F258" s="14">
        <f t="shared" si="22"/>
        <v>134.16999999999999</v>
      </c>
      <c r="G258" s="14">
        <f t="shared" si="22"/>
        <v>188.55</v>
      </c>
      <c r="H258" s="14">
        <f>SUM(tblSubjectToLoan[[#This Row],[Princ]],tblSubjectToLoan[[#This Row],[Int]],tblSubjectToLoan[[#This Row],[Ins]],tblSubjectToLoan[[#This Row],[Taxes]])</f>
        <v>322.72000000000003</v>
      </c>
      <c r="I2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8" s="276">
        <f>IF(tblSubjectToLoan[[#This Row],[Date]]="",IF(ROW()=ROW(tblSubjectToLoan[#Headers])+1,0,INDEX(tblSubjectToLoan[Interest],ROW()-ROW(tblSubjectToLoan[#Headers])-1)),tblSubjectToLoan[[#This Row],[Int]]+IF(ROW()=ROW(tblSubjectToLoan[#Headers])+1,0,INDEX(tblSubjectToLoan[Interest],ROW()-ROW(tblSubjectToLoan[#Headers])-1)))</f>
        <v>36068.259999999973</v>
      </c>
      <c r="K258" s="969">
        <f>IF(tblSubjectToLoan[[#This Row],[Date]]="",0,MAX(0,tblSubjectToLoan[[#This Row],[Beginning Balance]]-tblSubjectToLoan[[#This Row],[Princ]]))</f>
        <v>0</v>
      </c>
      <c r="L258" s="394">
        <f t="shared" si="21"/>
        <v>0</v>
      </c>
      <c r="M258" s="394">
        <f t="shared" si="18"/>
        <v>0</v>
      </c>
      <c r="N258" s="613" t="str">
        <f>INDEX(tblSubjectToLoan[Date],ROW()-ROW(tblContractForDeed[#Headers]))</f>
        <v/>
      </c>
      <c r="O258" s="276">
        <f>IF(ROW()=ROW(tblContractForDeed[#Headers])+1,$O$6,IF(INDEX(tblContractForDeed[End Bal],ROW()-ROW(tblContractForDeed[#Headers])-1)&lt;0,0,INDEX(tblContractForDeed[End Bal],ROW()-ROW(tblContractForDeed[#Headers])-1)))</f>
        <v>0</v>
      </c>
      <c r="P258" s="454"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8" s="276">
        <f>IF(INDEX(tblContractForDeed[End Bal],ROW()-ROW(tblBuyerOutputs[#Headers]))&lt;=0,0,($O$6+IF(ROW()=ROW(tblBuyerOutputs[#Headers])+1,0,INDEX(tblBuyerOutputs[Cumul Appr],ROW()-ROW(tblBuyerOutputs[#Headers])-1)))*$O$2/12)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14" t="str">
        <f>IF(ROW()=ROW(tblSubjectToLoan[#Headers])+1,subjectKnownBalanceDate,IF(OR(INDEX(tblSubjectToLoan[Date],ROW()-ROW(tblSubjectToLoan[#Headers])-1)="",INDEX(tblSubjectToLoan[Date],ROW()-ROW(tblSubjectToLoan[#Headers])-1)&gt;=subjectMortgageEndDate),"",EDATE(INDEX(tblSubjectToLoan[Date],ROW()-ROW(tblSubjectToLoan[#Headers])-1),1)))</f>
        <v/>
      </c>
      <c r="B259" s="332">
        <f>IF(tblSubjectToLoan[[#This Row],[Date]]="",0,IF(ROW()=ROW(tblSubjectToLoan[#Headers])+1,subjectKnownBalance,MAX(0,INDEX(tblSubjectToLoan[Ending Balance],ROW()-ROW(tblSubjectToLoan[#Headers])-1))))</f>
        <v>0</v>
      </c>
      <c r="C25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9" s="21">
        <f>IF(tblSubjectToLoan[[#This Row],[Payment]]=0,0,MAX(0,MIN(tblSubjectToLoan[[#This Row],[Beginning Balance]],tblSubjectToLoan[[#This Row],[Payment]]-tblSubjectToLoan[[#This Row],[Int]])))</f>
        <v>0</v>
      </c>
      <c r="E259" s="21">
        <f>IF(tblSubjectToLoan[[#This Row],[Date]]="",0,ROUND(tblSubjectToLoan[[#This Row],[Beginning Balance]]*(subjectInterestRate/12),2))</f>
        <v>0</v>
      </c>
      <c r="F259" s="21">
        <f t="shared" si="22"/>
        <v>134.16999999999999</v>
      </c>
      <c r="G259" s="21">
        <f t="shared" si="22"/>
        <v>188.55</v>
      </c>
      <c r="H259" s="21">
        <f>SUM(tblSubjectToLoan[[#This Row],[Princ]],tblSubjectToLoan[[#This Row],[Int]],tblSubjectToLoan[[#This Row],[Ins]],tblSubjectToLoan[[#This Row],[Taxes]])</f>
        <v>322.72000000000003</v>
      </c>
      <c r="I25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59" s="332">
        <f>IF(tblSubjectToLoan[[#This Row],[Date]]="",IF(ROW()=ROW(tblSubjectToLoan[#Headers])+1,0,INDEX(tblSubjectToLoan[Interest],ROW()-ROW(tblSubjectToLoan[#Headers])-1)),tblSubjectToLoan[[#This Row],[Int]]+IF(ROW()=ROW(tblSubjectToLoan[#Headers])+1,0,INDEX(tblSubjectToLoan[Interest],ROW()-ROW(tblSubjectToLoan[#Headers])-1)))</f>
        <v>36068.259999999973</v>
      </c>
      <c r="K259" s="970">
        <f>IF(tblSubjectToLoan[[#This Row],[Date]]="",0,MAX(0,tblSubjectToLoan[[#This Row],[Beginning Balance]]-tblSubjectToLoan[[#This Row],[Princ]]))</f>
        <v>0</v>
      </c>
      <c r="L259" s="395">
        <f t="shared" si="21"/>
        <v>0</v>
      </c>
      <c r="M259" s="395">
        <f t="shared" si="18"/>
        <v>0</v>
      </c>
      <c r="N259" s="614" t="str">
        <f>INDEX(tblSubjectToLoan[Date],ROW()-ROW(tblContractForDeed[#Headers]))</f>
        <v/>
      </c>
      <c r="O259" s="332">
        <f>IF(ROW()=ROW(tblContractForDeed[#Headers])+1,$O$6,IF(INDEX(tblContractForDeed[End Bal],ROW()-ROW(tblContractForDeed[#Headers])-1)&lt;0,0,INDEX(tblContractForDeed[End Bal],ROW()-ROW(tblContractForDeed[#Headers])-1)))</f>
        <v>0</v>
      </c>
      <c r="P259" s="454"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9" s="332">
        <f>IF(INDEX(tblContractForDeed[End Bal],ROW()-ROW(tblBuyerOutputs[#Headers]))&lt;=0,0,($O$6+IF(ROW()=ROW(tblBuyerOutputs[#Headers])+1,0,INDEX(tblBuyerOutputs[Cumul Appr],ROW()-ROW(tblBuyerOutputs[#Headers])-1)))*$O$2/12)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13" t="str">
        <f>IF(ROW()=ROW(tblSubjectToLoan[#Headers])+1,subjectKnownBalanceDate,IF(OR(INDEX(tblSubjectToLoan[Date],ROW()-ROW(tblSubjectToLoan[#Headers])-1)="",INDEX(tblSubjectToLoan[Date],ROW()-ROW(tblSubjectToLoan[#Headers])-1)&gt;=subjectMortgageEndDate),"",EDATE(INDEX(tblSubjectToLoan[Date],ROW()-ROW(tblSubjectToLoan[#Headers])-1),1)))</f>
        <v/>
      </c>
      <c r="B260" s="276">
        <f>IF(tblSubjectToLoan[[#This Row],[Date]]="",0,IF(ROW()=ROW(tblSubjectToLoan[#Headers])+1,subjectKnownBalance,MAX(0,INDEX(tblSubjectToLoan[Ending Balance],ROW()-ROW(tblSubjectToLoan[#Headers])-1))))</f>
        <v>0</v>
      </c>
      <c r="C2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0" s="14">
        <f>IF(tblSubjectToLoan[[#This Row],[Payment]]=0,0,MAX(0,MIN(tblSubjectToLoan[[#This Row],[Beginning Balance]],tblSubjectToLoan[[#This Row],[Payment]]-tblSubjectToLoan[[#This Row],[Int]])))</f>
        <v>0</v>
      </c>
      <c r="E260" s="14">
        <f>IF(tblSubjectToLoan[[#This Row],[Date]]="",0,ROUND(tblSubjectToLoan[[#This Row],[Beginning Balance]]*(subjectInterestRate/12),2))</f>
        <v>0</v>
      </c>
      <c r="F260" s="14">
        <f t="shared" si="22"/>
        <v>134.16999999999999</v>
      </c>
      <c r="G260" s="14">
        <f t="shared" si="22"/>
        <v>188.55</v>
      </c>
      <c r="H260" s="14">
        <f>SUM(tblSubjectToLoan[[#This Row],[Princ]],tblSubjectToLoan[[#This Row],[Int]],tblSubjectToLoan[[#This Row],[Ins]],tblSubjectToLoan[[#This Row],[Taxes]])</f>
        <v>322.72000000000003</v>
      </c>
      <c r="I2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0" s="276">
        <f>IF(tblSubjectToLoan[[#This Row],[Date]]="",IF(ROW()=ROW(tblSubjectToLoan[#Headers])+1,0,INDEX(tblSubjectToLoan[Interest],ROW()-ROW(tblSubjectToLoan[#Headers])-1)),tblSubjectToLoan[[#This Row],[Int]]+IF(ROW()=ROW(tblSubjectToLoan[#Headers])+1,0,INDEX(tblSubjectToLoan[Interest],ROW()-ROW(tblSubjectToLoan[#Headers])-1)))</f>
        <v>36068.259999999973</v>
      </c>
      <c r="K260" s="969">
        <f>IF(tblSubjectToLoan[[#This Row],[Date]]="",0,MAX(0,tblSubjectToLoan[[#This Row],[Beginning Balance]]-tblSubjectToLoan[[#This Row],[Princ]]))</f>
        <v>0</v>
      </c>
      <c r="L260" s="394">
        <f t="shared" si="21"/>
        <v>0</v>
      </c>
      <c r="M260" s="394">
        <f t="shared" si="18"/>
        <v>0</v>
      </c>
      <c r="N260" s="613" t="str">
        <f>INDEX(tblSubjectToLoan[Date],ROW()-ROW(tblContractForDeed[#Headers]))</f>
        <v/>
      </c>
      <c r="O260" s="276">
        <f>IF(ROW()=ROW(tblContractForDeed[#Headers])+1,$O$6,IF(INDEX(tblContractForDeed[End Bal],ROW()-ROW(tblContractForDeed[#Headers])-1)&lt;0,0,INDEX(tblContractForDeed[End Bal],ROW()-ROW(tblContractForDeed[#Headers])-1)))</f>
        <v>0</v>
      </c>
      <c r="P260" s="454"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0" s="276">
        <f>IF(INDEX(tblContractForDeed[End Bal],ROW()-ROW(tblBuyerOutputs[#Headers]))&lt;=0,0,($O$6+IF(ROW()=ROW(tblBuyerOutputs[#Headers])+1,0,INDEX(tblBuyerOutputs[Cumul Appr],ROW()-ROW(tblBuyerOutputs[#Headers])-1)))*$O$2/12)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13" t="str">
        <f>IF(ROW()=ROW(tblSubjectToLoan[#Headers])+1,subjectKnownBalanceDate,IF(OR(INDEX(tblSubjectToLoan[Date],ROW()-ROW(tblSubjectToLoan[#Headers])-1)="",INDEX(tblSubjectToLoan[Date],ROW()-ROW(tblSubjectToLoan[#Headers])-1)&gt;=subjectMortgageEndDate),"",EDATE(INDEX(tblSubjectToLoan[Date],ROW()-ROW(tblSubjectToLoan[#Headers])-1),1)))</f>
        <v/>
      </c>
      <c r="B261" s="276">
        <f>IF(tblSubjectToLoan[[#This Row],[Date]]="",0,IF(ROW()=ROW(tblSubjectToLoan[#Headers])+1,subjectKnownBalance,MAX(0,INDEX(tblSubjectToLoan[Ending Balance],ROW()-ROW(tblSubjectToLoan[#Headers])-1))))</f>
        <v>0</v>
      </c>
      <c r="C2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1" s="14">
        <f>IF(tblSubjectToLoan[[#This Row],[Payment]]=0,0,MAX(0,MIN(tblSubjectToLoan[[#This Row],[Beginning Balance]],tblSubjectToLoan[[#This Row],[Payment]]-tblSubjectToLoan[[#This Row],[Int]])))</f>
        <v>0</v>
      </c>
      <c r="E261" s="14">
        <f>IF(tblSubjectToLoan[[#This Row],[Date]]="",0,ROUND(tblSubjectToLoan[[#This Row],[Beginning Balance]]*(subjectInterestRate/12),2))</f>
        <v>0</v>
      </c>
      <c r="F261" s="14">
        <f t="shared" si="22"/>
        <v>134.16999999999999</v>
      </c>
      <c r="G261" s="14">
        <f t="shared" si="22"/>
        <v>188.55</v>
      </c>
      <c r="H261" s="14">
        <f>SUM(tblSubjectToLoan[[#This Row],[Princ]],tblSubjectToLoan[[#This Row],[Int]],tblSubjectToLoan[[#This Row],[Ins]],tblSubjectToLoan[[#This Row],[Taxes]])</f>
        <v>322.72000000000003</v>
      </c>
      <c r="I2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1" s="276">
        <f>IF(tblSubjectToLoan[[#This Row],[Date]]="",IF(ROW()=ROW(tblSubjectToLoan[#Headers])+1,0,INDEX(tblSubjectToLoan[Interest],ROW()-ROW(tblSubjectToLoan[#Headers])-1)),tblSubjectToLoan[[#This Row],[Int]]+IF(ROW()=ROW(tblSubjectToLoan[#Headers])+1,0,INDEX(tblSubjectToLoan[Interest],ROW()-ROW(tblSubjectToLoan[#Headers])-1)))</f>
        <v>36068.259999999973</v>
      </c>
      <c r="K261" s="969">
        <f>IF(tblSubjectToLoan[[#This Row],[Date]]="",0,MAX(0,tblSubjectToLoan[[#This Row],[Beginning Balance]]-tblSubjectToLoan[[#This Row],[Princ]]))</f>
        <v>0</v>
      </c>
      <c r="L261" s="394">
        <f t="shared" si="21"/>
        <v>0</v>
      </c>
      <c r="M261" s="394">
        <f t="shared" si="18"/>
        <v>0</v>
      </c>
      <c r="N261" s="613" t="str">
        <f>INDEX(tblSubjectToLoan[Date],ROW()-ROW(tblContractForDeed[#Headers]))</f>
        <v/>
      </c>
      <c r="O261" s="276">
        <f>IF(ROW()=ROW(tblContractForDeed[#Headers])+1,$O$6,IF(INDEX(tblContractForDeed[End Bal],ROW()-ROW(tblContractForDeed[#Headers])-1)&lt;0,0,INDEX(tblContractForDeed[End Bal],ROW()-ROW(tblContractForDeed[#Headers])-1)))</f>
        <v>0</v>
      </c>
      <c r="P261" s="454"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1" s="276">
        <f>IF(INDEX(tblContractForDeed[End Bal],ROW()-ROW(tblBuyerOutputs[#Headers]))&lt;=0,0,($O$6+IF(ROW()=ROW(tblBuyerOutputs[#Headers])+1,0,INDEX(tblBuyerOutputs[Cumul Appr],ROW()-ROW(tblBuyerOutputs[#Headers])-1)))*$O$2/12)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13" t="str">
        <f>IF(ROW()=ROW(tblSubjectToLoan[#Headers])+1,subjectKnownBalanceDate,IF(OR(INDEX(tblSubjectToLoan[Date],ROW()-ROW(tblSubjectToLoan[#Headers])-1)="",INDEX(tblSubjectToLoan[Date],ROW()-ROW(tblSubjectToLoan[#Headers])-1)&gt;=subjectMortgageEndDate),"",EDATE(INDEX(tblSubjectToLoan[Date],ROW()-ROW(tblSubjectToLoan[#Headers])-1),1)))</f>
        <v/>
      </c>
      <c r="B262" s="276">
        <f>IF(tblSubjectToLoan[[#This Row],[Date]]="",0,IF(ROW()=ROW(tblSubjectToLoan[#Headers])+1,subjectKnownBalance,MAX(0,INDEX(tblSubjectToLoan[Ending Balance],ROW()-ROW(tblSubjectToLoan[#Headers])-1))))</f>
        <v>0</v>
      </c>
      <c r="C2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2" s="14">
        <f>IF(tblSubjectToLoan[[#This Row],[Payment]]=0,0,MAX(0,MIN(tblSubjectToLoan[[#This Row],[Beginning Balance]],tblSubjectToLoan[[#This Row],[Payment]]-tblSubjectToLoan[[#This Row],[Int]])))</f>
        <v>0</v>
      </c>
      <c r="E262" s="14">
        <f>IF(tblSubjectToLoan[[#This Row],[Date]]="",0,ROUND(tblSubjectToLoan[[#This Row],[Beginning Balance]]*(subjectInterestRate/12),2))</f>
        <v>0</v>
      </c>
      <c r="F262" s="14">
        <f t="shared" si="22"/>
        <v>134.16999999999999</v>
      </c>
      <c r="G262" s="14">
        <f t="shared" si="22"/>
        <v>188.55</v>
      </c>
      <c r="H262" s="14">
        <f>SUM(tblSubjectToLoan[[#This Row],[Princ]],tblSubjectToLoan[[#This Row],[Int]],tblSubjectToLoan[[#This Row],[Ins]],tblSubjectToLoan[[#This Row],[Taxes]])</f>
        <v>322.72000000000003</v>
      </c>
      <c r="I2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2" s="276">
        <f>IF(tblSubjectToLoan[[#This Row],[Date]]="",IF(ROW()=ROW(tblSubjectToLoan[#Headers])+1,0,INDEX(tblSubjectToLoan[Interest],ROW()-ROW(tblSubjectToLoan[#Headers])-1)),tblSubjectToLoan[[#This Row],[Int]]+IF(ROW()=ROW(tblSubjectToLoan[#Headers])+1,0,INDEX(tblSubjectToLoan[Interest],ROW()-ROW(tblSubjectToLoan[#Headers])-1)))</f>
        <v>36068.259999999973</v>
      </c>
      <c r="K262" s="969">
        <f>IF(tblSubjectToLoan[[#This Row],[Date]]="",0,MAX(0,tblSubjectToLoan[[#This Row],[Beginning Balance]]-tblSubjectToLoan[[#This Row],[Princ]]))</f>
        <v>0</v>
      </c>
      <c r="L262" s="394">
        <f t="shared" si="21"/>
        <v>0</v>
      </c>
      <c r="M262" s="394">
        <f t="shared" si="18"/>
        <v>0</v>
      </c>
      <c r="N262" s="613" t="str">
        <f>INDEX(tblSubjectToLoan[Date],ROW()-ROW(tblContractForDeed[#Headers]))</f>
        <v/>
      </c>
      <c r="O262" s="276">
        <f>IF(ROW()=ROW(tblContractForDeed[#Headers])+1,$O$6,IF(INDEX(tblContractForDeed[End Bal],ROW()-ROW(tblContractForDeed[#Headers])-1)&lt;0,0,INDEX(tblContractForDeed[End Bal],ROW()-ROW(tblContractForDeed[#Headers])-1)))</f>
        <v>0</v>
      </c>
      <c r="P262" s="454"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2" s="276">
        <f>IF(INDEX(tblContractForDeed[End Bal],ROW()-ROW(tblBuyerOutputs[#Headers]))&lt;=0,0,($O$6+IF(ROW()=ROW(tblBuyerOutputs[#Headers])+1,0,INDEX(tblBuyerOutputs[Cumul Appr],ROW()-ROW(tblBuyerOutputs[#Headers])-1)))*$O$2/12)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13" t="str">
        <f>IF(ROW()=ROW(tblSubjectToLoan[#Headers])+1,subjectKnownBalanceDate,IF(OR(INDEX(tblSubjectToLoan[Date],ROW()-ROW(tblSubjectToLoan[#Headers])-1)="",INDEX(tblSubjectToLoan[Date],ROW()-ROW(tblSubjectToLoan[#Headers])-1)&gt;=subjectMortgageEndDate),"",EDATE(INDEX(tblSubjectToLoan[Date],ROW()-ROW(tblSubjectToLoan[#Headers])-1),1)))</f>
        <v/>
      </c>
      <c r="B263" s="276">
        <f>IF(tblSubjectToLoan[[#This Row],[Date]]="",0,IF(ROW()=ROW(tblSubjectToLoan[#Headers])+1,subjectKnownBalance,MAX(0,INDEX(tblSubjectToLoan[Ending Balance],ROW()-ROW(tblSubjectToLoan[#Headers])-1))))</f>
        <v>0</v>
      </c>
      <c r="C2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3" s="14">
        <f>IF(tblSubjectToLoan[[#This Row],[Payment]]=0,0,MAX(0,MIN(tblSubjectToLoan[[#This Row],[Beginning Balance]],tblSubjectToLoan[[#This Row],[Payment]]-tblSubjectToLoan[[#This Row],[Int]])))</f>
        <v>0</v>
      </c>
      <c r="E263" s="14">
        <f>IF(tblSubjectToLoan[[#This Row],[Date]]="",0,ROUND(tblSubjectToLoan[[#This Row],[Beginning Balance]]*(subjectInterestRate/12),2))</f>
        <v>0</v>
      </c>
      <c r="F263" s="14">
        <f t="shared" si="22"/>
        <v>134.16999999999999</v>
      </c>
      <c r="G263" s="14">
        <f t="shared" si="22"/>
        <v>188.55</v>
      </c>
      <c r="H263" s="14">
        <f>SUM(tblSubjectToLoan[[#This Row],[Princ]],tblSubjectToLoan[[#This Row],[Int]],tblSubjectToLoan[[#This Row],[Ins]],tblSubjectToLoan[[#This Row],[Taxes]])</f>
        <v>322.72000000000003</v>
      </c>
      <c r="I2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3" s="276">
        <f>IF(tblSubjectToLoan[[#This Row],[Date]]="",IF(ROW()=ROW(tblSubjectToLoan[#Headers])+1,0,INDEX(tblSubjectToLoan[Interest],ROW()-ROW(tblSubjectToLoan[#Headers])-1)),tblSubjectToLoan[[#This Row],[Int]]+IF(ROW()=ROW(tblSubjectToLoan[#Headers])+1,0,INDEX(tblSubjectToLoan[Interest],ROW()-ROW(tblSubjectToLoan[#Headers])-1)))</f>
        <v>36068.259999999973</v>
      </c>
      <c r="K263" s="969">
        <f>IF(tblSubjectToLoan[[#This Row],[Date]]="",0,MAX(0,tblSubjectToLoan[[#This Row],[Beginning Balance]]-tblSubjectToLoan[[#This Row],[Princ]]))</f>
        <v>0</v>
      </c>
      <c r="L263" s="394">
        <f t="shared" si="21"/>
        <v>0</v>
      </c>
      <c r="M263" s="394">
        <f t="shared" si="18"/>
        <v>0</v>
      </c>
      <c r="N263" s="613" t="str">
        <f>INDEX(tblSubjectToLoan[Date],ROW()-ROW(tblContractForDeed[#Headers]))</f>
        <v/>
      </c>
      <c r="O263" s="276">
        <f>IF(ROW()=ROW(tblContractForDeed[#Headers])+1,$O$6,IF(INDEX(tblContractForDeed[End Bal],ROW()-ROW(tblContractForDeed[#Headers])-1)&lt;0,0,INDEX(tblContractForDeed[End Bal],ROW()-ROW(tblContractForDeed[#Headers])-1)))</f>
        <v>0</v>
      </c>
      <c r="P263" s="454"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3" s="276">
        <f>IF(INDEX(tblContractForDeed[End Bal],ROW()-ROW(tblBuyerOutputs[#Headers]))&lt;=0,0,($O$6+IF(ROW()=ROW(tblBuyerOutputs[#Headers])+1,0,INDEX(tblBuyerOutputs[Cumul Appr],ROW()-ROW(tblBuyerOutputs[#Headers])-1)))*$O$2/12)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13" t="str">
        <f>IF(ROW()=ROW(tblSubjectToLoan[#Headers])+1,subjectKnownBalanceDate,IF(OR(INDEX(tblSubjectToLoan[Date],ROW()-ROW(tblSubjectToLoan[#Headers])-1)="",INDEX(tblSubjectToLoan[Date],ROW()-ROW(tblSubjectToLoan[#Headers])-1)&gt;=subjectMortgageEndDate),"",EDATE(INDEX(tblSubjectToLoan[Date],ROW()-ROW(tblSubjectToLoan[#Headers])-1),1)))</f>
        <v/>
      </c>
      <c r="B264" s="276">
        <f>IF(tblSubjectToLoan[[#This Row],[Date]]="",0,IF(ROW()=ROW(tblSubjectToLoan[#Headers])+1,subjectKnownBalance,MAX(0,INDEX(tblSubjectToLoan[Ending Balance],ROW()-ROW(tblSubjectToLoan[#Headers])-1))))</f>
        <v>0</v>
      </c>
      <c r="C2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4" s="14">
        <f>IF(tblSubjectToLoan[[#This Row],[Payment]]=0,0,MAX(0,MIN(tblSubjectToLoan[[#This Row],[Beginning Balance]],tblSubjectToLoan[[#This Row],[Payment]]-tblSubjectToLoan[[#This Row],[Int]])))</f>
        <v>0</v>
      </c>
      <c r="E264" s="14">
        <f>IF(tblSubjectToLoan[[#This Row],[Date]]="",0,ROUND(tblSubjectToLoan[[#This Row],[Beginning Balance]]*(subjectInterestRate/12),2))</f>
        <v>0</v>
      </c>
      <c r="F264" s="14">
        <f t="shared" si="22"/>
        <v>134.16999999999999</v>
      </c>
      <c r="G264" s="14">
        <f t="shared" si="22"/>
        <v>188.55</v>
      </c>
      <c r="H264" s="14">
        <f>SUM(tblSubjectToLoan[[#This Row],[Princ]],tblSubjectToLoan[[#This Row],[Int]],tblSubjectToLoan[[#This Row],[Ins]],tblSubjectToLoan[[#This Row],[Taxes]])</f>
        <v>322.72000000000003</v>
      </c>
      <c r="I2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4" s="276">
        <f>IF(tblSubjectToLoan[[#This Row],[Date]]="",IF(ROW()=ROW(tblSubjectToLoan[#Headers])+1,0,INDEX(tblSubjectToLoan[Interest],ROW()-ROW(tblSubjectToLoan[#Headers])-1)),tblSubjectToLoan[[#This Row],[Int]]+IF(ROW()=ROW(tblSubjectToLoan[#Headers])+1,0,INDEX(tblSubjectToLoan[Interest],ROW()-ROW(tblSubjectToLoan[#Headers])-1)))</f>
        <v>36068.259999999973</v>
      </c>
      <c r="K264" s="969">
        <f>IF(tblSubjectToLoan[[#This Row],[Date]]="",0,MAX(0,tblSubjectToLoan[[#This Row],[Beginning Balance]]-tblSubjectToLoan[[#This Row],[Princ]]))</f>
        <v>0</v>
      </c>
      <c r="L264" s="394">
        <f t="shared" si="21"/>
        <v>0</v>
      </c>
      <c r="M264" s="394">
        <f t="shared" si="18"/>
        <v>0</v>
      </c>
      <c r="N264" s="613" t="str">
        <f>INDEX(tblSubjectToLoan[Date],ROW()-ROW(tblContractForDeed[#Headers]))</f>
        <v/>
      </c>
      <c r="O264" s="276">
        <f>IF(ROW()=ROW(tblContractForDeed[#Headers])+1,$O$6,IF(INDEX(tblContractForDeed[End Bal],ROW()-ROW(tblContractForDeed[#Headers])-1)&lt;0,0,INDEX(tblContractForDeed[End Bal],ROW()-ROW(tblContractForDeed[#Headers])-1)))</f>
        <v>0</v>
      </c>
      <c r="P264" s="454"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4" s="276">
        <f>IF(INDEX(tblContractForDeed[End Bal],ROW()-ROW(tblBuyerOutputs[#Headers]))&lt;=0,0,($O$6+IF(ROW()=ROW(tblBuyerOutputs[#Headers])+1,0,INDEX(tblBuyerOutputs[Cumul Appr],ROW()-ROW(tblBuyerOutputs[#Headers])-1)))*$O$2/12)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13" t="str">
        <f>IF(ROW()=ROW(tblSubjectToLoan[#Headers])+1,subjectKnownBalanceDate,IF(OR(INDEX(tblSubjectToLoan[Date],ROW()-ROW(tblSubjectToLoan[#Headers])-1)="",INDEX(tblSubjectToLoan[Date],ROW()-ROW(tblSubjectToLoan[#Headers])-1)&gt;=subjectMortgageEndDate),"",EDATE(INDEX(tblSubjectToLoan[Date],ROW()-ROW(tblSubjectToLoan[#Headers])-1),1)))</f>
        <v/>
      </c>
      <c r="B265" s="276">
        <f>IF(tblSubjectToLoan[[#This Row],[Date]]="",0,IF(ROW()=ROW(tblSubjectToLoan[#Headers])+1,subjectKnownBalance,MAX(0,INDEX(tblSubjectToLoan[Ending Balance],ROW()-ROW(tblSubjectToLoan[#Headers])-1))))</f>
        <v>0</v>
      </c>
      <c r="C2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5" s="14">
        <f>IF(tblSubjectToLoan[[#This Row],[Payment]]=0,0,MAX(0,MIN(tblSubjectToLoan[[#This Row],[Beginning Balance]],tblSubjectToLoan[[#This Row],[Payment]]-tblSubjectToLoan[[#This Row],[Int]])))</f>
        <v>0</v>
      </c>
      <c r="E265" s="14">
        <f>IF(tblSubjectToLoan[[#This Row],[Date]]="",0,ROUND(tblSubjectToLoan[[#This Row],[Beginning Balance]]*(subjectInterestRate/12),2))</f>
        <v>0</v>
      </c>
      <c r="F265" s="14">
        <f t="shared" si="22"/>
        <v>134.16999999999999</v>
      </c>
      <c r="G265" s="14">
        <f t="shared" si="22"/>
        <v>188.55</v>
      </c>
      <c r="H265" s="14">
        <f>SUM(tblSubjectToLoan[[#This Row],[Princ]],tblSubjectToLoan[[#This Row],[Int]],tblSubjectToLoan[[#This Row],[Ins]],tblSubjectToLoan[[#This Row],[Taxes]])</f>
        <v>322.72000000000003</v>
      </c>
      <c r="I2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5" s="276">
        <f>IF(tblSubjectToLoan[[#This Row],[Date]]="",IF(ROW()=ROW(tblSubjectToLoan[#Headers])+1,0,INDEX(tblSubjectToLoan[Interest],ROW()-ROW(tblSubjectToLoan[#Headers])-1)),tblSubjectToLoan[[#This Row],[Int]]+IF(ROW()=ROW(tblSubjectToLoan[#Headers])+1,0,INDEX(tblSubjectToLoan[Interest],ROW()-ROW(tblSubjectToLoan[#Headers])-1)))</f>
        <v>36068.259999999973</v>
      </c>
      <c r="K265" s="969">
        <f>IF(tblSubjectToLoan[[#This Row],[Date]]="",0,MAX(0,tblSubjectToLoan[[#This Row],[Beginning Balance]]-tblSubjectToLoan[[#This Row],[Princ]]))</f>
        <v>0</v>
      </c>
      <c r="L265" s="394">
        <f t="shared" si="21"/>
        <v>0</v>
      </c>
      <c r="M265" s="394">
        <f t="shared" si="18"/>
        <v>0</v>
      </c>
      <c r="N265" s="613" t="str">
        <f>INDEX(tblSubjectToLoan[Date],ROW()-ROW(tblContractForDeed[#Headers]))</f>
        <v/>
      </c>
      <c r="O265" s="276">
        <f>IF(ROW()=ROW(tblContractForDeed[#Headers])+1,$O$6,IF(INDEX(tblContractForDeed[End Bal],ROW()-ROW(tblContractForDeed[#Headers])-1)&lt;0,0,INDEX(tblContractForDeed[End Bal],ROW()-ROW(tblContractForDeed[#Headers])-1)))</f>
        <v>0</v>
      </c>
      <c r="P265" s="454"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5" s="276">
        <f>IF(INDEX(tblContractForDeed[End Bal],ROW()-ROW(tblBuyerOutputs[#Headers]))&lt;=0,0,($O$6+IF(ROW()=ROW(tblBuyerOutputs[#Headers])+1,0,INDEX(tblBuyerOutputs[Cumul Appr],ROW()-ROW(tblBuyerOutputs[#Headers])-1)))*$O$2/12)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13" t="str">
        <f>IF(ROW()=ROW(tblSubjectToLoan[#Headers])+1,subjectKnownBalanceDate,IF(OR(INDEX(tblSubjectToLoan[Date],ROW()-ROW(tblSubjectToLoan[#Headers])-1)="",INDEX(tblSubjectToLoan[Date],ROW()-ROW(tblSubjectToLoan[#Headers])-1)&gt;=subjectMortgageEndDate),"",EDATE(INDEX(tblSubjectToLoan[Date],ROW()-ROW(tblSubjectToLoan[#Headers])-1),1)))</f>
        <v/>
      </c>
      <c r="B266" s="276">
        <f>IF(tblSubjectToLoan[[#This Row],[Date]]="",0,IF(ROW()=ROW(tblSubjectToLoan[#Headers])+1,subjectKnownBalance,MAX(0,INDEX(tblSubjectToLoan[Ending Balance],ROW()-ROW(tblSubjectToLoan[#Headers])-1))))</f>
        <v>0</v>
      </c>
      <c r="C2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6" s="14">
        <f>IF(tblSubjectToLoan[[#This Row],[Payment]]=0,0,MAX(0,MIN(tblSubjectToLoan[[#This Row],[Beginning Balance]],tblSubjectToLoan[[#This Row],[Payment]]-tblSubjectToLoan[[#This Row],[Int]])))</f>
        <v>0</v>
      </c>
      <c r="E266" s="14">
        <f>IF(tblSubjectToLoan[[#This Row],[Date]]="",0,ROUND(tblSubjectToLoan[[#This Row],[Beginning Balance]]*(subjectInterestRate/12),2))</f>
        <v>0</v>
      </c>
      <c r="F266" s="14">
        <f t="shared" si="22"/>
        <v>134.16999999999999</v>
      </c>
      <c r="G266" s="14">
        <f t="shared" si="22"/>
        <v>188.55</v>
      </c>
      <c r="H266" s="14">
        <f>SUM(tblSubjectToLoan[[#This Row],[Princ]],tblSubjectToLoan[[#This Row],[Int]],tblSubjectToLoan[[#This Row],[Ins]],tblSubjectToLoan[[#This Row],[Taxes]])</f>
        <v>322.72000000000003</v>
      </c>
      <c r="I2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6" s="276">
        <f>IF(tblSubjectToLoan[[#This Row],[Date]]="",IF(ROW()=ROW(tblSubjectToLoan[#Headers])+1,0,INDEX(tblSubjectToLoan[Interest],ROW()-ROW(tblSubjectToLoan[#Headers])-1)),tblSubjectToLoan[[#This Row],[Int]]+IF(ROW()=ROW(tblSubjectToLoan[#Headers])+1,0,INDEX(tblSubjectToLoan[Interest],ROW()-ROW(tblSubjectToLoan[#Headers])-1)))</f>
        <v>36068.259999999973</v>
      </c>
      <c r="K266" s="969">
        <f>IF(tblSubjectToLoan[[#This Row],[Date]]="",0,MAX(0,tblSubjectToLoan[[#This Row],[Beginning Balance]]-tblSubjectToLoan[[#This Row],[Princ]]))</f>
        <v>0</v>
      </c>
      <c r="L266" s="394">
        <f t="shared" si="21"/>
        <v>0</v>
      </c>
      <c r="M266" s="394">
        <f t="shared" si="18"/>
        <v>0</v>
      </c>
      <c r="N266" s="613" t="str">
        <f>INDEX(tblSubjectToLoan[Date],ROW()-ROW(tblContractForDeed[#Headers]))</f>
        <v/>
      </c>
      <c r="O266" s="276">
        <f>IF(ROW()=ROW(tblContractForDeed[#Headers])+1,$O$6,IF(INDEX(tblContractForDeed[End Bal],ROW()-ROW(tblContractForDeed[#Headers])-1)&lt;0,0,INDEX(tblContractForDeed[End Bal],ROW()-ROW(tblContractForDeed[#Headers])-1)))</f>
        <v>0</v>
      </c>
      <c r="P266" s="454"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6" s="276">
        <f>IF(INDEX(tblContractForDeed[End Bal],ROW()-ROW(tblBuyerOutputs[#Headers]))&lt;=0,0,($O$6+IF(ROW()=ROW(tblBuyerOutputs[#Headers])+1,0,INDEX(tblBuyerOutputs[Cumul Appr],ROW()-ROW(tblBuyerOutputs[#Headers])-1)))*$O$2/12)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13" t="str">
        <f>IF(ROW()=ROW(tblSubjectToLoan[#Headers])+1,subjectKnownBalanceDate,IF(OR(INDEX(tblSubjectToLoan[Date],ROW()-ROW(tblSubjectToLoan[#Headers])-1)="",INDEX(tblSubjectToLoan[Date],ROW()-ROW(tblSubjectToLoan[#Headers])-1)&gt;=subjectMortgageEndDate),"",EDATE(INDEX(tblSubjectToLoan[Date],ROW()-ROW(tblSubjectToLoan[#Headers])-1),1)))</f>
        <v/>
      </c>
      <c r="B267" s="276">
        <f>IF(tblSubjectToLoan[[#This Row],[Date]]="",0,IF(ROW()=ROW(tblSubjectToLoan[#Headers])+1,subjectKnownBalance,MAX(0,INDEX(tblSubjectToLoan[Ending Balance],ROW()-ROW(tblSubjectToLoan[#Headers])-1))))</f>
        <v>0</v>
      </c>
      <c r="C2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7" s="14">
        <f>IF(tblSubjectToLoan[[#This Row],[Payment]]=0,0,MAX(0,MIN(tblSubjectToLoan[[#This Row],[Beginning Balance]],tblSubjectToLoan[[#This Row],[Payment]]-tblSubjectToLoan[[#This Row],[Int]])))</f>
        <v>0</v>
      </c>
      <c r="E267" s="14">
        <f>IF(tblSubjectToLoan[[#This Row],[Date]]="",0,ROUND(tblSubjectToLoan[[#This Row],[Beginning Balance]]*(subjectInterestRate/12),2))</f>
        <v>0</v>
      </c>
      <c r="F267" s="14">
        <f t="shared" si="22"/>
        <v>134.16999999999999</v>
      </c>
      <c r="G267" s="14">
        <f t="shared" si="22"/>
        <v>188.55</v>
      </c>
      <c r="H267" s="14">
        <f>SUM(tblSubjectToLoan[[#This Row],[Princ]],tblSubjectToLoan[[#This Row],[Int]],tblSubjectToLoan[[#This Row],[Ins]],tblSubjectToLoan[[#This Row],[Taxes]])</f>
        <v>322.72000000000003</v>
      </c>
      <c r="I2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7" s="276">
        <f>IF(tblSubjectToLoan[[#This Row],[Date]]="",IF(ROW()=ROW(tblSubjectToLoan[#Headers])+1,0,INDEX(tblSubjectToLoan[Interest],ROW()-ROW(tblSubjectToLoan[#Headers])-1)),tblSubjectToLoan[[#This Row],[Int]]+IF(ROW()=ROW(tblSubjectToLoan[#Headers])+1,0,INDEX(tblSubjectToLoan[Interest],ROW()-ROW(tblSubjectToLoan[#Headers])-1)))</f>
        <v>36068.259999999973</v>
      </c>
      <c r="K267" s="969">
        <f>IF(tblSubjectToLoan[[#This Row],[Date]]="",0,MAX(0,tblSubjectToLoan[[#This Row],[Beginning Balance]]-tblSubjectToLoan[[#This Row],[Princ]]))</f>
        <v>0</v>
      </c>
      <c r="L267" s="394">
        <f t="shared" si="21"/>
        <v>0</v>
      </c>
      <c r="M267" s="394">
        <f t="shared" si="18"/>
        <v>0</v>
      </c>
      <c r="N267" s="613" t="str">
        <f>INDEX(tblSubjectToLoan[Date],ROW()-ROW(tblContractForDeed[#Headers]))</f>
        <v/>
      </c>
      <c r="O267" s="276">
        <f>IF(ROW()=ROW(tblContractForDeed[#Headers])+1,$O$6,IF(INDEX(tblContractForDeed[End Bal],ROW()-ROW(tblContractForDeed[#Headers])-1)&lt;0,0,INDEX(tblContractForDeed[End Bal],ROW()-ROW(tblContractForDeed[#Headers])-1)))</f>
        <v>0</v>
      </c>
      <c r="P267" s="454"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7" s="276">
        <f>IF(INDEX(tblContractForDeed[End Bal],ROW()-ROW(tblBuyerOutputs[#Headers]))&lt;=0,0,($O$6+IF(ROW()=ROW(tblBuyerOutputs[#Headers])+1,0,INDEX(tblBuyerOutputs[Cumul Appr],ROW()-ROW(tblBuyerOutputs[#Headers])-1)))*$O$2/12)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13" t="str">
        <f>IF(ROW()=ROW(tblSubjectToLoan[#Headers])+1,subjectKnownBalanceDate,IF(OR(INDEX(tblSubjectToLoan[Date],ROW()-ROW(tblSubjectToLoan[#Headers])-1)="",INDEX(tblSubjectToLoan[Date],ROW()-ROW(tblSubjectToLoan[#Headers])-1)&gt;=subjectMortgageEndDate),"",EDATE(INDEX(tblSubjectToLoan[Date],ROW()-ROW(tblSubjectToLoan[#Headers])-1),1)))</f>
        <v/>
      </c>
      <c r="B268" s="276">
        <f>IF(tblSubjectToLoan[[#This Row],[Date]]="",0,IF(ROW()=ROW(tblSubjectToLoan[#Headers])+1,subjectKnownBalance,MAX(0,INDEX(tblSubjectToLoan[Ending Balance],ROW()-ROW(tblSubjectToLoan[#Headers])-1))))</f>
        <v>0</v>
      </c>
      <c r="C2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8" s="14">
        <f>IF(tblSubjectToLoan[[#This Row],[Payment]]=0,0,MAX(0,MIN(tblSubjectToLoan[[#This Row],[Beginning Balance]],tblSubjectToLoan[[#This Row],[Payment]]-tblSubjectToLoan[[#This Row],[Int]])))</f>
        <v>0</v>
      </c>
      <c r="E268" s="14">
        <f>IF(tblSubjectToLoan[[#This Row],[Date]]="",0,ROUND(tblSubjectToLoan[[#This Row],[Beginning Balance]]*(subjectInterestRate/12),2))</f>
        <v>0</v>
      </c>
      <c r="F268" s="14">
        <f t="shared" si="22"/>
        <v>134.16999999999999</v>
      </c>
      <c r="G268" s="14">
        <f t="shared" si="22"/>
        <v>188.55</v>
      </c>
      <c r="H268" s="14">
        <f>SUM(tblSubjectToLoan[[#This Row],[Princ]],tblSubjectToLoan[[#This Row],[Int]],tblSubjectToLoan[[#This Row],[Ins]],tblSubjectToLoan[[#This Row],[Taxes]])</f>
        <v>322.72000000000003</v>
      </c>
      <c r="I2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8" s="276">
        <f>IF(tblSubjectToLoan[[#This Row],[Date]]="",IF(ROW()=ROW(tblSubjectToLoan[#Headers])+1,0,INDEX(tblSubjectToLoan[Interest],ROW()-ROW(tblSubjectToLoan[#Headers])-1)),tblSubjectToLoan[[#This Row],[Int]]+IF(ROW()=ROW(tblSubjectToLoan[#Headers])+1,0,INDEX(tblSubjectToLoan[Interest],ROW()-ROW(tblSubjectToLoan[#Headers])-1)))</f>
        <v>36068.259999999973</v>
      </c>
      <c r="K268" s="969">
        <f>IF(tblSubjectToLoan[[#This Row],[Date]]="",0,MAX(0,tblSubjectToLoan[[#This Row],[Beginning Balance]]-tblSubjectToLoan[[#This Row],[Princ]]))</f>
        <v>0</v>
      </c>
      <c r="L268" s="394">
        <f t="shared" si="21"/>
        <v>0</v>
      </c>
      <c r="M268" s="394">
        <f t="shared" si="18"/>
        <v>0</v>
      </c>
      <c r="N268" s="613" t="str">
        <f>INDEX(tblSubjectToLoan[Date],ROW()-ROW(tblContractForDeed[#Headers]))</f>
        <v/>
      </c>
      <c r="O268" s="276">
        <f>IF(ROW()=ROW(tblContractForDeed[#Headers])+1,$O$6,IF(INDEX(tblContractForDeed[End Bal],ROW()-ROW(tblContractForDeed[#Headers])-1)&lt;0,0,INDEX(tblContractForDeed[End Bal],ROW()-ROW(tblContractForDeed[#Headers])-1)))</f>
        <v>0</v>
      </c>
      <c r="P268" s="454"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8" s="276">
        <f>IF(INDEX(tblContractForDeed[End Bal],ROW()-ROW(tblBuyerOutputs[#Headers]))&lt;=0,0,($O$6+IF(ROW()=ROW(tblBuyerOutputs[#Headers])+1,0,INDEX(tblBuyerOutputs[Cumul Appr],ROW()-ROW(tblBuyerOutputs[#Headers])-1)))*$O$2/12)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13" t="str">
        <f>IF(ROW()=ROW(tblSubjectToLoan[#Headers])+1,subjectKnownBalanceDate,IF(OR(INDEX(tblSubjectToLoan[Date],ROW()-ROW(tblSubjectToLoan[#Headers])-1)="",INDEX(tblSubjectToLoan[Date],ROW()-ROW(tblSubjectToLoan[#Headers])-1)&gt;=subjectMortgageEndDate),"",EDATE(INDEX(tblSubjectToLoan[Date],ROW()-ROW(tblSubjectToLoan[#Headers])-1),1)))</f>
        <v/>
      </c>
      <c r="B269" s="276">
        <f>IF(tblSubjectToLoan[[#This Row],[Date]]="",0,IF(ROW()=ROW(tblSubjectToLoan[#Headers])+1,subjectKnownBalance,MAX(0,INDEX(tblSubjectToLoan[Ending Balance],ROW()-ROW(tblSubjectToLoan[#Headers])-1))))</f>
        <v>0</v>
      </c>
      <c r="C2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9" s="14">
        <f>IF(tblSubjectToLoan[[#This Row],[Payment]]=0,0,MAX(0,MIN(tblSubjectToLoan[[#This Row],[Beginning Balance]],tblSubjectToLoan[[#This Row],[Payment]]-tblSubjectToLoan[[#This Row],[Int]])))</f>
        <v>0</v>
      </c>
      <c r="E269" s="14">
        <f>IF(tblSubjectToLoan[[#This Row],[Date]]="",0,ROUND(tblSubjectToLoan[[#This Row],[Beginning Balance]]*(subjectInterestRate/12),2))</f>
        <v>0</v>
      </c>
      <c r="F269" s="14">
        <f t="shared" si="22"/>
        <v>134.16999999999999</v>
      </c>
      <c r="G269" s="14">
        <f t="shared" si="22"/>
        <v>188.55</v>
      </c>
      <c r="H269" s="14">
        <f>SUM(tblSubjectToLoan[[#This Row],[Princ]],tblSubjectToLoan[[#This Row],[Int]],tblSubjectToLoan[[#This Row],[Ins]],tblSubjectToLoan[[#This Row],[Taxes]])</f>
        <v>322.72000000000003</v>
      </c>
      <c r="I2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9" s="276">
        <f>IF(tblSubjectToLoan[[#This Row],[Date]]="",IF(ROW()=ROW(tblSubjectToLoan[#Headers])+1,0,INDEX(tblSubjectToLoan[Interest],ROW()-ROW(tblSubjectToLoan[#Headers])-1)),tblSubjectToLoan[[#This Row],[Int]]+IF(ROW()=ROW(tblSubjectToLoan[#Headers])+1,0,INDEX(tblSubjectToLoan[Interest],ROW()-ROW(tblSubjectToLoan[#Headers])-1)))</f>
        <v>36068.259999999973</v>
      </c>
      <c r="K269" s="969">
        <f>IF(tblSubjectToLoan[[#This Row],[Date]]="",0,MAX(0,tblSubjectToLoan[[#This Row],[Beginning Balance]]-tblSubjectToLoan[[#This Row],[Princ]]))</f>
        <v>0</v>
      </c>
      <c r="L269" s="394">
        <f t="shared" si="21"/>
        <v>0</v>
      </c>
      <c r="M269" s="394">
        <f t="shared" si="18"/>
        <v>0</v>
      </c>
      <c r="N269" s="613" t="str">
        <f>INDEX(tblSubjectToLoan[Date],ROW()-ROW(tblContractForDeed[#Headers]))</f>
        <v/>
      </c>
      <c r="O269" s="276">
        <f>IF(ROW()=ROW(tblContractForDeed[#Headers])+1,$O$6,IF(INDEX(tblContractForDeed[End Bal],ROW()-ROW(tblContractForDeed[#Headers])-1)&lt;0,0,INDEX(tblContractForDeed[End Bal],ROW()-ROW(tblContractForDeed[#Headers])-1)))</f>
        <v>0</v>
      </c>
      <c r="P269" s="454"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9" s="276">
        <f>IF(INDEX(tblContractForDeed[End Bal],ROW()-ROW(tblBuyerOutputs[#Headers]))&lt;=0,0,($O$6+IF(ROW()=ROW(tblBuyerOutputs[#Headers])+1,0,INDEX(tblBuyerOutputs[Cumul Appr],ROW()-ROW(tblBuyerOutputs[#Headers])-1)))*$O$2/12)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13" t="str">
        <f>IF(ROW()=ROW(tblSubjectToLoan[#Headers])+1,subjectKnownBalanceDate,IF(OR(INDEX(tblSubjectToLoan[Date],ROW()-ROW(tblSubjectToLoan[#Headers])-1)="",INDEX(tblSubjectToLoan[Date],ROW()-ROW(tblSubjectToLoan[#Headers])-1)&gt;=subjectMortgageEndDate),"",EDATE(INDEX(tblSubjectToLoan[Date],ROW()-ROW(tblSubjectToLoan[#Headers])-1),1)))</f>
        <v/>
      </c>
      <c r="B270" s="276">
        <f>IF(tblSubjectToLoan[[#This Row],[Date]]="",0,IF(ROW()=ROW(tblSubjectToLoan[#Headers])+1,subjectKnownBalance,MAX(0,INDEX(tblSubjectToLoan[Ending Balance],ROW()-ROW(tblSubjectToLoan[#Headers])-1))))</f>
        <v>0</v>
      </c>
      <c r="C2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0" s="14">
        <f>IF(tblSubjectToLoan[[#This Row],[Payment]]=0,0,MAX(0,MIN(tblSubjectToLoan[[#This Row],[Beginning Balance]],tblSubjectToLoan[[#This Row],[Payment]]-tblSubjectToLoan[[#This Row],[Int]])))</f>
        <v>0</v>
      </c>
      <c r="E270" s="14">
        <f>IF(tblSubjectToLoan[[#This Row],[Date]]="",0,ROUND(tblSubjectToLoan[[#This Row],[Beginning Balance]]*(subjectInterestRate/12),2))</f>
        <v>0</v>
      </c>
      <c r="F270" s="14">
        <f t="shared" si="22"/>
        <v>134.16999999999999</v>
      </c>
      <c r="G270" s="14">
        <f t="shared" si="22"/>
        <v>188.55</v>
      </c>
      <c r="H270" s="14">
        <f>SUM(tblSubjectToLoan[[#This Row],[Princ]],tblSubjectToLoan[[#This Row],[Int]],tblSubjectToLoan[[#This Row],[Ins]],tblSubjectToLoan[[#This Row],[Taxes]])</f>
        <v>322.72000000000003</v>
      </c>
      <c r="I2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0" s="276">
        <f>IF(tblSubjectToLoan[[#This Row],[Date]]="",IF(ROW()=ROW(tblSubjectToLoan[#Headers])+1,0,INDEX(tblSubjectToLoan[Interest],ROW()-ROW(tblSubjectToLoan[#Headers])-1)),tblSubjectToLoan[[#This Row],[Int]]+IF(ROW()=ROW(tblSubjectToLoan[#Headers])+1,0,INDEX(tblSubjectToLoan[Interest],ROW()-ROW(tblSubjectToLoan[#Headers])-1)))</f>
        <v>36068.259999999973</v>
      </c>
      <c r="K270" s="969">
        <f>IF(tblSubjectToLoan[[#This Row],[Date]]="",0,MAX(0,tblSubjectToLoan[[#This Row],[Beginning Balance]]-tblSubjectToLoan[[#This Row],[Princ]]))</f>
        <v>0</v>
      </c>
      <c r="L270" s="394">
        <f t="shared" si="21"/>
        <v>0</v>
      </c>
      <c r="M270" s="394">
        <f t="shared" si="18"/>
        <v>0</v>
      </c>
      <c r="N270" s="613" t="str">
        <f>INDEX(tblSubjectToLoan[Date],ROW()-ROW(tblContractForDeed[#Headers]))</f>
        <v/>
      </c>
      <c r="O270" s="276">
        <f>IF(ROW()=ROW(tblContractForDeed[#Headers])+1,$O$6,IF(INDEX(tblContractForDeed[End Bal],ROW()-ROW(tblContractForDeed[#Headers])-1)&lt;0,0,INDEX(tblContractForDeed[End Bal],ROW()-ROW(tblContractForDeed[#Headers])-1)))</f>
        <v>0</v>
      </c>
      <c r="P270" s="454"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0" s="276">
        <f>IF(INDEX(tblContractForDeed[End Bal],ROW()-ROW(tblBuyerOutputs[#Headers]))&lt;=0,0,($O$6+IF(ROW()=ROW(tblBuyerOutputs[#Headers])+1,0,INDEX(tblBuyerOutputs[Cumul Appr],ROW()-ROW(tblBuyerOutputs[#Headers])-1)))*$O$2/12)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14" t="str">
        <f>IF(ROW()=ROW(tblSubjectToLoan[#Headers])+1,subjectKnownBalanceDate,IF(OR(INDEX(tblSubjectToLoan[Date],ROW()-ROW(tblSubjectToLoan[#Headers])-1)="",INDEX(tblSubjectToLoan[Date],ROW()-ROW(tblSubjectToLoan[#Headers])-1)&gt;=subjectMortgageEndDate),"",EDATE(INDEX(tblSubjectToLoan[Date],ROW()-ROW(tblSubjectToLoan[#Headers])-1),1)))</f>
        <v/>
      </c>
      <c r="B271" s="332">
        <f>IF(tblSubjectToLoan[[#This Row],[Date]]="",0,IF(ROW()=ROW(tblSubjectToLoan[#Headers])+1,subjectKnownBalance,MAX(0,INDEX(tblSubjectToLoan[Ending Balance],ROW()-ROW(tblSubjectToLoan[#Headers])-1))))</f>
        <v>0</v>
      </c>
      <c r="C27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1" s="21">
        <f>IF(tblSubjectToLoan[[#This Row],[Payment]]=0,0,MAX(0,MIN(tblSubjectToLoan[[#This Row],[Beginning Balance]],tblSubjectToLoan[[#This Row],[Payment]]-tblSubjectToLoan[[#This Row],[Int]])))</f>
        <v>0</v>
      </c>
      <c r="E271" s="21">
        <f>IF(tblSubjectToLoan[[#This Row],[Date]]="",0,ROUND(tblSubjectToLoan[[#This Row],[Beginning Balance]]*(subjectInterestRate/12),2))</f>
        <v>0</v>
      </c>
      <c r="F271" s="21">
        <f t="shared" ref="F271:G286" si="23">+F270</f>
        <v>134.16999999999999</v>
      </c>
      <c r="G271" s="21">
        <f t="shared" si="23"/>
        <v>188.55</v>
      </c>
      <c r="H271" s="21">
        <f>SUM(tblSubjectToLoan[[#This Row],[Princ]],tblSubjectToLoan[[#This Row],[Int]],tblSubjectToLoan[[#This Row],[Ins]],tblSubjectToLoan[[#This Row],[Taxes]])</f>
        <v>322.72000000000003</v>
      </c>
      <c r="I27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71" s="332">
        <f>IF(tblSubjectToLoan[[#This Row],[Date]]="",IF(ROW()=ROW(tblSubjectToLoan[#Headers])+1,0,INDEX(tblSubjectToLoan[Interest],ROW()-ROW(tblSubjectToLoan[#Headers])-1)),tblSubjectToLoan[[#This Row],[Int]]+IF(ROW()=ROW(tblSubjectToLoan[#Headers])+1,0,INDEX(tblSubjectToLoan[Interest],ROW()-ROW(tblSubjectToLoan[#Headers])-1)))</f>
        <v>36068.259999999973</v>
      </c>
      <c r="K271" s="970">
        <f>IF(tblSubjectToLoan[[#This Row],[Date]]="",0,MAX(0,tblSubjectToLoan[[#This Row],[Beginning Balance]]-tblSubjectToLoan[[#This Row],[Princ]]))</f>
        <v>0</v>
      </c>
      <c r="L271" s="395">
        <f t="shared" si="21"/>
        <v>0</v>
      </c>
      <c r="M271" s="395">
        <f t="shared" si="18"/>
        <v>0</v>
      </c>
      <c r="N271" s="614" t="str">
        <f>INDEX(tblSubjectToLoan[Date],ROW()-ROW(tblContractForDeed[#Headers]))</f>
        <v/>
      </c>
      <c r="O271" s="332">
        <f>IF(ROW()=ROW(tblContractForDeed[#Headers])+1,$O$6,IF(INDEX(tblContractForDeed[End Bal],ROW()-ROW(tblContractForDeed[#Headers])-1)&lt;0,0,INDEX(tblContractForDeed[End Bal],ROW()-ROW(tblContractForDeed[#Headers])-1)))</f>
        <v>0</v>
      </c>
      <c r="P271" s="454"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1" s="332">
        <f>IF(INDEX(tblContractForDeed[End Bal],ROW()-ROW(tblBuyerOutputs[#Headers]))&lt;=0,0,($O$6+IF(ROW()=ROW(tblBuyerOutputs[#Headers])+1,0,INDEX(tblBuyerOutputs[Cumul Appr],ROW()-ROW(tblBuyerOutputs[#Headers])-1)))*$O$2/12)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13" t="str">
        <f>IF(ROW()=ROW(tblSubjectToLoan[#Headers])+1,subjectKnownBalanceDate,IF(OR(INDEX(tblSubjectToLoan[Date],ROW()-ROW(tblSubjectToLoan[#Headers])-1)="",INDEX(tblSubjectToLoan[Date],ROW()-ROW(tblSubjectToLoan[#Headers])-1)&gt;=subjectMortgageEndDate),"",EDATE(INDEX(tblSubjectToLoan[Date],ROW()-ROW(tblSubjectToLoan[#Headers])-1),1)))</f>
        <v/>
      </c>
      <c r="B272" s="276">
        <f>IF(tblSubjectToLoan[[#This Row],[Date]]="",0,IF(ROW()=ROW(tblSubjectToLoan[#Headers])+1,subjectKnownBalance,MAX(0,INDEX(tblSubjectToLoan[Ending Balance],ROW()-ROW(tblSubjectToLoan[#Headers])-1))))</f>
        <v>0</v>
      </c>
      <c r="C2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2" s="14">
        <f>IF(tblSubjectToLoan[[#This Row],[Payment]]=0,0,MAX(0,MIN(tblSubjectToLoan[[#This Row],[Beginning Balance]],tblSubjectToLoan[[#This Row],[Payment]]-tblSubjectToLoan[[#This Row],[Int]])))</f>
        <v>0</v>
      </c>
      <c r="E272" s="14">
        <f>IF(tblSubjectToLoan[[#This Row],[Date]]="",0,ROUND(tblSubjectToLoan[[#This Row],[Beginning Balance]]*(subjectInterestRate/12),2))</f>
        <v>0</v>
      </c>
      <c r="F272" s="14">
        <f t="shared" si="23"/>
        <v>134.16999999999999</v>
      </c>
      <c r="G272" s="14">
        <f t="shared" si="23"/>
        <v>188.55</v>
      </c>
      <c r="H272" s="14">
        <f>SUM(tblSubjectToLoan[[#This Row],[Princ]],tblSubjectToLoan[[#This Row],[Int]],tblSubjectToLoan[[#This Row],[Ins]],tblSubjectToLoan[[#This Row],[Taxes]])</f>
        <v>322.72000000000003</v>
      </c>
      <c r="I2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2" s="276">
        <f>IF(tblSubjectToLoan[[#This Row],[Date]]="",IF(ROW()=ROW(tblSubjectToLoan[#Headers])+1,0,INDEX(tblSubjectToLoan[Interest],ROW()-ROW(tblSubjectToLoan[#Headers])-1)),tblSubjectToLoan[[#This Row],[Int]]+IF(ROW()=ROW(tblSubjectToLoan[#Headers])+1,0,INDEX(tblSubjectToLoan[Interest],ROW()-ROW(tblSubjectToLoan[#Headers])-1)))</f>
        <v>36068.259999999973</v>
      </c>
      <c r="K272" s="969">
        <f>IF(tblSubjectToLoan[[#This Row],[Date]]="",0,MAX(0,tblSubjectToLoan[[#This Row],[Beginning Balance]]-tblSubjectToLoan[[#This Row],[Princ]]))</f>
        <v>0</v>
      </c>
      <c r="L272" s="394">
        <f t="shared" si="21"/>
        <v>0</v>
      </c>
      <c r="M272" s="394">
        <f t="shared" si="18"/>
        <v>0</v>
      </c>
      <c r="N272" s="613" t="str">
        <f>INDEX(tblSubjectToLoan[Date],ROW()-ROW(tblContractForDeed[#Headers]))</f>
        <v/>
      </c>
      <c r="O272" s="276">
        <f>IF(ROW()=ROW(tblContractForDeed[#Headers])+1,$O$6,IF(INDEX(tblContractForDeed[End Bal],ROW()-ROW(tblContractForDeed[#Headers])-1)&lt;0,0,INDEX(tblContractForDeed[End Bal],ROW()-ROW(tblContractForDeed[#Headers])-1)))</f>
        <v>0</v>
      </c>
      <c r="P272" s="454"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2" s="276">
        <f>IF(INDEX(tblContractForDeed[End Bal],ROW()-ROW(tblBuyerOutputs[#Headers]))&lt;=0,0,($O$6+IF(ROW()=ROW(tblBuyerOutputs[#Headers])+1,0,INDEX(tblBuyerOutputs[Cumul Appr],ROW()-ROW(tblBuyerOutputs[#Headers])-1)))*$O$2/12)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13" t="str">
        <f>IF(ROW()=ROW(tblSubjectToLoan[#Headers])+1,subjectKnownBalanceDate,IF(OR(INDEX(tblSubjectToLoan[Date],ROW()-ROW(tblSubjectToLoan[#Headers])-1)="",INDEX(tblSubjectToLoan[Date],ROW()-ROW(tblSubjectToLoan[#Headers])-1)&gt;=subjectMortgageEndDate),"",EDATE(INDEX(tblSubjectToLoan[Date],ROW()-ROW(tblSubjectToLoan[#Headers])-1),1)))</f>
        <v/>
      </c>
      <c r="B273" s="276">
        <f>IF(tblSubjectToLoan[[#This Row],[Date]]="",0,IF(ROW()=ROW(tblSubjectToLoan[#Headers])+1,subjectKnownBalance,MAX(0,INDEX(tblSubjectToLoan[Ending Balance],ROW()-ROW(tblSubjectToLoan[#Headers])-1))))</f>
        <v>0</v>
      </c>
      <c r="C2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3" s="14">
        <f>IF(tblSubjectToLoan[[#This Row],[Payment]]=0,0,MAX(0,MIN(tblSubjectToLoan[[#This Row],[Beginning Balance]],tblSubjectToLoan[[#This Row],[Payment]]-tblSubjectToLoan[[#This Row],[Int]])))</f>
        <v>0</v>
      </c>
      <c r="E273" s="14">
        <f>IF(tblSubjectToLoan[[#This Row],[Date]]="",0,ROUND(tblSubjectToLoan[[#This Row],[Beginning Balance]]*(subjectInterestRate/12),2))</f>
        <v>0</v>
      </c>
      <c r="F273" s="14">
        <f t="shared" si="23"/>
        <v>134.16999999999999</v>
      </c>
      <c r="G273" s="14">
        <f t="shared" si="23"/>
        <v>188.55</v>
      </c>
      <c r="H273" s="14">
        <f>SUM(tblSubjectToLoan[[#This Row],[Princ]],tblSubjectToLoan[[#This Row],[Int]],tblSubjectToLoan[[#This Row],[Ins]],tblSubjectToLoan[[#This Row],[Taxes]])</f>
        <v>322.72000000000003</v>
      </c>
      <c r="I2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3" s="276">
        <f>IF(tblSubjectToLoan[[#This Row],[Date]]="",IF(ROW()=ROW(tblSubjectToLoan[#Headers])+1,0,INDEX(tblSubjectToLoan[Interest],ROW()-ROW(tblSubjectToLoan[#Headers])-1)),tblSubjectToLoan[[#This Row],[Int]]+IF(ROW()=ROW(tblSubjectToLoan[#Headers])+1,0,INDEX(tblSubjectToLoan[Interest],ROW()-ROW(tblSubjectToLoan[#Headers])-1)))</f>
        <v>36068.259999999973</v>
      </c>
      <c r="K273" s="969">
        <f>IF(tblSubjectToLoan[[#This Row],[Date]]="",0,MAX(0,tblSubjectToLoan[[#This Row],[Beginning Balance]]-tblSubjectToLoan[[#This Row],[Princ]]))</f>
        <v>0</v>
      </c>
      <c r="L273" s="394">
        <f t="shared" si="21"/>
        <v>0</v>
      </c>
      <c r="M273" s="394">
        <f t="shared" si="18"/>
        <v>0</v>
      </c>
      <c r="N273" s="613" t="str">
        <f>INDEX(tblSubjectToLoan[Date],ROW()-ROW(tblContractForDeed[#Headers]))</f>
        <v/>
      </c>
      <c r="O273" s="276">
        <f>IF(ROW()=ROW(tblContractForDeed[#Headers])+1,$O$6,IF(INDEX(tblContractForDeed[End Bal],ROW()-ROW(tblContractForDeed[#Headers])-1)&lt;0,0,INDEX(tblContractForDeed[End Bal],ROW()-ROW(tblContractForDeed[#Headers])-1)))</f>
        <v>0</v>
      </c>
      <c r="P273" s="454"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3" s="276">
        <f>IF(INDEX(tblContractForDeed[End Bal],ROW()-ROW(tblBuyerOutputs[#Headers]))&lt;=0,0,($O$6+IF(ROW()=ROW(tblBuyerOutputs[#Headers])+1,0,INDEX(tblBuyerOutputs[Cumul Appr],ROW()-ROW(tblBuyerOutputs[#Headers])-1)))*$O$2/12)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13" t="str">
        <f>IF(ROW()=ROW(tblSubjectToLoan[#Headers])+1,subjectKnownBalanceDate,IF(OR(INDEX(tblSubjectToLoan[Date],ROW()-ROW(tblSubjectToLoan[#Headers])-1)="",INDEX(tblSubjectToLoan[Date],ROW()-ROW(tblSubjectToLoan[#Headers])-1)&gt;=subjectMortgageEndDate),"",EDATE(INDEX(tblSubjectToLoan[Date],ROW()-ROW(tblSubjectToLoan[#Headers])-1),1)))</f>
        <v/>
      </c>
      <c r="B274" s="276">
        <f>IF(tblSubjectToLoan[[#This Row],[Date]]="",0,IF(ROW()=ROW(tblSubjectToLoan[#Headers])+1,subjectKnownBalance,MAX(0,INDEX(tblSubjectToLoan[Ending Balance],ROW()-ROW(tblSubjectToLoan[#Headers])-1))))</f>
        <v>0</v>
      </c>
      <c r="C2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4" s="14">
        <f>IF(tblSubjectToLoan[[#This Row],[Payment]]=0,0,MAX(0,MIN(tblSubjectToLoan[[#This Row],[Beginning Balance]],tblSubjectToLoan[[#This Row],[Payment]]-tblSubjectToLoan[[#This Row],[Int]])))</f>
        <v>0</v>
      </c>
      <c r="E274" s="14">
        <f>IF(tblSubjectToLoan[[#This Row],[Date]]="",0,ROUND(tblSubjectToLoan[[#This Row],[Beginning Balance]]*(subjectInterestRate/12),2))</f>
        <v>0</v>
      </c>
      <c r="F274" s="14">
        <f t="shared" si="23"/>
        <v>134.16999999999999</v>
      </c>
      <c r="G274" s="14">
        <f t="shared" si="23"/>
        <v>188.55</v>
      </c>
      <c r="H274" s="14">
        <f>SUM(tblSubjectToLoan[[#This Row],[Princ]],tblSubjectToLoan[[#This Row],[Int]],tblSubjectToLoan[[#This Row],[Ins]],tblSubjectToLoan[[#This Row],[Taxes]])</f>
        <v>322.72000000000003</v>
      </c>
      <c r="I2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4" s="276">
        <f>IF(tblSubjectToLoan[[#This Row],[Date]]="",IF(ROW()=ROW(tblSubjectToLoan[#Headers])+1,0,INDEX(tblSubjectToLoan[Interest],ROW()-ROW(tblSubjectToLoan[#Headers])-1)),tblSubjectToLoan[[#This Row],[Int]]+IF(ROW()=ROW(tblSubjectToLoan[#Headers])+1,0,INDEX(tblSubjectToLoan[Interest],ROW()-ROW(tblSubjectToLoan[#Headers])-1)))</f>
        <v>36068.259999999973</v>
      </c>
      <c r="K274" s="969">
        <f>IF(tblSubjectToLoan[[#This Row],[Date]]="",0,MAX(0,tblSubjectToLoan[[#This Row],[Beginning Balance]]-tblSubjectToLoan[[#This Row],[Princ]]))</f>
        <v>0</v>
      </c>
      <c r="L274" s="394">
        <f t="shared" si="21"/>
        <v>0</v>
      </c>
      <c r="M274" s="394">
        <f t="shared" si="18"/>
        <v>0</v>
      </c>
      <c r="N274" s="613" t="str">
        <f>INDEX(tblSubjectToLoan[Date],ROW()-ROW(tblContractForDeed[#Headers]))</f>
        <v/>
      </c>
      <c r="O274" s="276">
        <f>IF(ROW()=ROW(tblContractForDeed[#Headers])+1,$O$6,IF(INDEX(tblContractForDeed[End Bal],ROW()-ROW(tblContractForDeed[#Headers])-1)&lt;0,0,INDEX(tblContractForDeed[End Bal],ROW()-ROW(tblContractForDeed[#Headers])-1)))</f>
        <v>0</v>
      </c>
      <c r="P274" s="454"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4" s="276">
        <f>IF(INDEX(tblContractForDeed[End Bal],ROW()-ROW(tblBuyerOutputs[#Headers]))&lt;=0,0,($O$6+IF(ROW()=ROW(tblBuyerOutputs[#Headers])+1,0,INDEX(tblBuyerOutputs[Cumul Appr],ROW()-ROW(tblBuyerOutputs[#Headers])-1)))*$O$2/12)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13" t="str">
        <f>IF(ROW()=ROW(tblSubjectToLoan[#Headers])+1,subjectKnownBalanceDate,IF(OR(INDEX(tblSubjectToLoan[Date],ROW()-ROW(tblSubjectToLoan[#Headers])-1)="",INDEX(tblSubjectToLoan[Date],ROW()-ROW(tblSubjectToLoan[#Headers])-1)&gt;=subjectMortgageEndDate),"",EDATE(INDEX(tblSubjectToLoan[Date],ROW()-ROW(tblSubjectToLoan[#Headers])-1),1)))</f>
        <v/>
      </c>
      <c r="B275" s="276">
        <f>IF(tblSubjectToLoan[[#This Row],[Date]]="",0,IF(ROW()=ROW(tblSubjectToLoan[#Headers])+1,subjectKnownBalance,MAX(0,INDEX(tblSubjectToLoan[Ending Balance],ROW()-ROW(tblSubjectToLoan[#Headers])-1))))</f>
        <v>0</v>
      </c>
      <c r="C2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5" s="14">
        <f>IF(tblSubjectToLoan[[#This Row],[Payment]]=0,0,MAX(0,MIN(tblSubjectToLoan[[#This Row],[Beginning Balance]],tblSubjectToLoan[[#This Row],[Payment]]-tblSubjectToLoan[[#This Row],[Int]])))</f>
        <v>0</v>
      </c>
      <c r="E275" s="14">
        <f>IF(tblSubjectToLoan[[#This Row],[Date]]="",0,ROUND(tblSubjectToLoan[[#This Row],[Beginning Balance]]*(subjectInterestRate/12),2))</f>
        <v>0</v>
      </c>
      <c r="F275" s="14">
        <f t="shared" si="23"/>
        <v>134.16999999999999</v>
      </c>
      <c r="G275" s="14">
        <f t="shared" si="23"/>
        <v>188.55</v>
      </c>
      <c r="H275" s="14">
        <f>SUM(tblSubjectToLoan[[#This Row],[Princ]],tblSubjectToLoan[[#This Row],[Int]],tblSubjectToLoan[[#This Row],[Ins]],tblSubjectToLoan[[#This Row],[Taxes]])</f>
        <v>322.72000000000003</v>
      </c>
      <c r="I2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5" s="276">
        <f>IF(tblSubjectToLoan[[#This Row],[Date]]="",IF(ROW()=ROW(tblSubjectToLoan[#Headers])+1,0,INDEX(tblSubjectToLoan[Interest],ROW()-ROW(tblSubjectToLoan[#Headers])-1)),tblSubjectToLoan[[#This Row],[Int]]+IF(ROW()=ROW(tblSubjectToLoan[#Headers])+1,0,INDEX(tblSubjectToLoan[Interest],ROW()-ROW(tblSubjectToLoan[#Headers])-1)))</f>
        <v>36068.259999999973</v>
      </c>
      <c r="K275" s="969">
        <f>IF(tblSubjectToLoan[[#This Row],[Date]]="",0,MAX(0,tblSubjectToLoan[[#This Row],[Beginning Balance]]-tblSubjectToLoan[[#This Row],[Princ]]))</f>
        <v>0</v>
      </c>
      <c r="L275" s="394">
        <f t="shared" si="21"/>
        <v>0</v>
      </c>
      <c r="M275" s="394">
        <f t="shared" si="18"/>
        <v>0</v>
      </c>
      <c r="N275" s="613" t="str">
        <f>INDEX(tblSubjectToLoan[Date],ROW()-ROW(tblContractForDeed[#Headers]))</f>
        <v/>
      </c>
      <c r="O275" s="276">
        <f>IF(ROW()=ROW(tblContractForDeed[#Headers])+1,$O$6,IF(INDEX(tblContractForDeed[End Bal],ROW()-ROW(tblContractForDeed[#Headers])-1)&lt;0,0,INDEX(tblContractForDeed[End Bal],ROW()-ROW(tblContractForDeed[#Headers])-1)))</f>
        <v>0</v>
      </c>
      <c r="P275" s="454"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5" s="276">
        <f>IF(INDEX(tblContractForDeed[End Bal],ROW()-ROW(tblBuyerOutputs[#Headers]))&lt;=0,0,($O$6+IF(ROW()=ROW(tblBuyerOutputs[#Headers])+1,0,INDEX(tblBuyerOutputs[Cumul Appr],ROW()-ROW(tblBuyerOutputs[#Headers])-1)))*$O$2/12)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13" t="str">
        <f>IF(ROW()=ROW(tblSubjectToLoan[#Headers])+1,subjectKnownBalanceDate,IF(OR(INDEX(tblSubjectToLoan[Date],ROW()-ROW(tblSubjectToLoan[#Headers])-1)="",INDEX(tblSubjectToLoan[Date],ROW()-ROW(tblSubjectToLoan[#Headers])-1)&gt;=subjectMortgageEndDate),"",EDATE(INDEX(tblSubjectToLoan[Date],ROW()-ROW(tblSubjectToLoan[#Headers])-1),1)))</f>
        <v/>
      </c>
      <c r="B276" s="276">
        <f>IF(tblSubjectToLoan[[#This Row],[Date]]="",0,IF(ROW()=ROW(tblSubjectToLoan[#Headers])+1,subjectKnownBalance,MAX(0,INDEX(tblSubjectToLoan[Ending Balance],ROW()-ROW(tblSubjectToLoan[#Headers])-1))))</f>
        <v>0</v>
      </c>
      <c r="C2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6" s="14">
        <f>IF(tblSubjectToLoan[[#This Row],[Payment]]=0,0,MAX(0,MIN(tblSubjectToLoan[[#This Row],[Beginning Balance]],tblSubjectToLoan[[#This Row],[Payment]]-tblSubjectToLoan[[#This Row],[Int]])))</f>
        <v>0</v>
      </c>
      <c r="E276" s="14">
        <f>IF(tblSubjectToLoan[[#This Row],[Date]]="",0,ROUND(tblSubjectToLoan[[#This Row],[Beginning Balance]]*(subjectInterestRate/12),2))</f>
        <v>0</v>
      </c>
      <c r="F276" s="14">
        <f t="shared" si="23"/>
        <v>134.16999999999999</v>
      </c>
      <c r="G276" s="14">
        <f t="shared" si="23"/>
        <v>188.55</v>
      </c>
      <c r="H276" s="14">
        <f>SUM(tblSubjectToLoan[[#This Row],[Princ]],tblSubjectToLoan[[#This Row],[Int]],tblSubjectToLoan[[#This Row],[Ins]],tblSubjectToLoan[[#This Row],[Taxes]])</f>
        <v>322.72000000000003</v>
      </c>
      <c r="I2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6" s="276">
        <f>IF(tblSubjectToLoan[[#This Row],[Date]]="",IF(ROW()=ROW(tblSubjectToLoan[#Headers])+1,0,INDEX(tblSubjectToLoan[Interest],ROW()-ROW(tblSubjectToLoan[#Headers])-1)),tblSubjectToLoan[[#This Row],[Int]]+IF(ROW()=ROW(tblSubjectToLoan[#Headers])+1,0,INDEX(tblSubjectToLoan[Interest],ROW()-ROW(tblSubjectToLoan[#Headers])-1)))</f>
        <v>36068.259999999973</v>
      </c>
      <c r="K276" s="969">
        <f>IF(tblSubjectToLoan[[#This Row],[Date]]="",0,MAX(0,tblSubjectToLoan[[#This Row],[Beginning Balance]]-tblSubjectToLoan[[#This Row],[Princ]]))</f>
        <v>0</v>
      </c>
      <c r="L276" s="394">
        <f t="shared" si="21"/>
        <v>0</v>
      </c>
      <c r="M276" s="394">
        <f t="shared" si="18"/>
        <v>0</v>
      </c>
      <c r="N276" s="613" t="str">
        <f>INDEX(tblSubjectToLoan[Date],ROW()-ROW(tblContractForDeed[#Headers]))</f>
        <v/>
      </c>
      <c r="O276" s="276">
        <f>IF(ROW()=ROW(tblContractForDeed[#Headers])+1,$O$6,IF(INDEX(tblContractForDeed[End Bal],ROW()-ROW(tblContractForDeed[#Headers])-1)&lt;0,0,INDEX(tblContractForDeed[End Bal],ROW()-ROW(tblContractForDeed[#Headers])-1)))</f>
        <v>0</v>
      </c>
      <c r="P276" s="454"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6" s="276">
        <f>IF(INDEX(tblContractForDeed[End Bal],ROW()-ROW(tblBuyerOutputs[#Headers]))&lt;=0,0,($O$6+IF(ROW()=ROW(tblBuyerOutputs[#Headers])+1,0,INDEX(tblBuyerOutputs[Cumul Appr],ROW()-ROW(tblBuyerOutputs[#Headers])-1)))*$O$2/12)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13" t="str">
        <f>IF(ROW()=ROW(tblSubjectToLoan[#Headers])+1,subjectKnownBalanceDate,IF(OR(INDEX(tblSubjectToLoan[Date],ROW()-ROW(tblSubjectToLoan[#Headers])-1)="",INDEX(tblSubjectToLoan[Date],ROW()-ROW(tblSubjectToLoan[#Headers])-1)&gt;=subjectMortgageEndDate),"",EDATE(INDEX(tblSubjectToLoan[Date],ROW()-ROW(tblSubjectToLoan[#Headers])-1),1)))</f>
        <v/>
      </c>
      <c r="B277" s="276">
        <f>IF(tblSubjectToLoan[[#This Row],[Date]]="",0,IF(ROW()=ROW(tblSubjectToLoan[#Headers])+1,subjectKnownBalance,MAX(0,INDEX(tblSubjectToLoan[Ending Balance],ROW()-ROW(tblSubjectToLoan[#Headers])-1))))</f>
        <v>0</v>
      </c>
      <c r="C2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7" s="14">
        <f>IF(tblSubjectToLoan[[#This Row],[Payment]]=0,0,MAX(0,MIN(tblSubjectToLoan[[#This Row],[Beginning Balance]],tblSubjectToLoan[[#This Row],[Payment]]-tblSubjectToLoan[[#This Row],[Int]])))</f>
        <v>0</v>
      </c>
      <c r="E277" s="14">
        <f>IF(tblSubjectToLoan[[#This Row],[Date]]="",0,ROUND(tblSubjectToLoan[[#This Row],[Beginning Balance]]*(subjectInterestRate/12),2))</f>
        <v>0</v>
      </c>
      <c r="F277" s="14">
        <f t="shared" si="23"/>
        <v>134.16999999999999</v>
      </c>
      <c r="G277" s="14">
        <f t="shared" si="23"/>
        <v>188.55</v>
      </c>
      <c r="H277" s="14">
        <f>SUM(tblSubjectToLoan[[#This Row],[Princ]],tblSubjectToLoan[[#This Row],[Int]],tblSubjectToLoan[[#This Row],[Ins]],tblSubjectToLoan[[#This Row],[Taxes]])</f>
        <v>322.72000000000003</v>
      </c>
      <c r="I2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7" s="276">
        <f>IF(tblSubjectToLoan[[#This Row],[Date]]="",IF(ROW()=ROW(tblSubjectToLoan[#Headers])+1,0,INDEX(tblSubjectToLoan[Interest],ROW()-ROW(tblSubjectToLoan[#Headers])-1)),tblSubjectToLoan[[#This Row],[Int]]+IF(ROW()=ROW(tblSubjectToLoan[#Headers])+1,0,INDEX(tblSubjectToLoan[Interest],ROW()-ROW(tblSubjectToLoan[#Headers])-1)))</f>
        <v>36068.259999999973</v>
      </c>
      <c r="K277" s="969">
        <f>IF(tblSubjectToLoan[[#This Row],[Date]]="",0,MAX(0,tblSubjectToLoan[[#This Row],[Beginning Balance]]-tblSubjectToLoan[[#This Row],[Princ]]))</f>
        <v>0</v>
      </c>
      <c r="L277" s="394">
        <f t="shared" si="21"/>
        <v>0</v>
      </c>
      <c r="M277" s="394">
        <f t="shared" ref="M277:M340" si="24">IF($A277&lt;&gt;"",M276+1,0)</f>
        <v>0</v>
      </c>
      <c r="N277" s="613" t="str">
        <f>INDEX(tblSubjectToLoan[Date],ROW()-ROW(tblContractForDeed[#Headers]))</f>
        <v/>
      </c>
      <c r="O277" s="276">
        <f>IF(ROW()=ROW(tblContractForDeed[#Headers])+1,$O$6,IF(INDEX(tblContractForDeed[End Bal],ROW()-ROW(tblContractForDeed[#Headers])-1)&lt;0,0,INDEX(tblContractForDeed[End Bal],ROW()-ROW(tblContractForDeed[#Headers])-1)))</f>
        <v>0</v>
      </c>
      <c r="P277" s="454"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7" s="276">
        <f>IF(INDEX(tblContractForDeed[End Bal],ROW()-ROW(tblBuyerOutputs[#Headers]))&lt;=0,0,($O$6+IF(ROW()=ROW(tblBuyerOutputs[#Headers])+1,0,INDEX(tblBuyerOutputs[Cumul Appr],ROW()-ROW(tblBuyerOutputs[#Headers])-1)))*$O$2/12)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13" t="str">
        <f>IF(ROW()=ROW(tblSubjectToLoan[#Headers])+1,subjectKnownBalanceDate,IF(OR(INDEX(tblSubjectToLoan[Date],ROW()-ROW(tblSubjectToLoan[#Headers])-1)="",INDEX(tblSubjectToLoan[Date],ROW()-ROW(tblSubjectToLoan[#Headers])-1)&gt;=subjectMortgageEndDate),"",EDATE(INDEX(tblSubjectToLoan[Date],ROW()-ROW(tblSubjectToLoan[#Headers])-1),1)))</f>
        <v/>
      </c>
      <c r="B278" s="276">
        <f>IF(tblSubjectToLoan[[#This Row],[Date]]="",0,IF(ROW()=ROW(tblSubjectToLoan[#Headers])+1,subjectKnownBalance,MAX(0,INDEX(tblSubjectToLoan[Ending Balance],ROW()-ROW(tblSubjectToLoan[#Headers])-1))))</f>
        <v>0</v>
      </c>
      <c r="C2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8" s="14">
        <f>IF(tblSubjectToLoan[[#This Row],[Payment]]=0,0,MAX(0,MIN(tblSubjectToLoan[[#This Row],[Beginning Balance]],tblSubjectToLoan[[#This Row],[Payment]]-tblSubjectToLoan[[#This Row],[Int]])))</f>
        <v>0</v>
      </c>
      <c r="E278" s="14">
        <f>IF(tblSubjectToLoan[[#This Row],[Date]]="",0,ROUND(tblSubjectToLoan[[#This Row],[Beginning Balance]]*(subjectInterestRate/12),2))</f>
        <v>0</v>
      </c>
      <c r="F278" s="14">
        <f t="shared" si="23"/>
        <v>134.16999999999999</v>
      </c>
      <c r="G278" s="14">
        <f t="shared" si="23"/>
        <v>188.55</v>
      </c>
      <c r="H278" s="14">
        <f>SUM(tblSubjectToLoan[[#This Row],[Princ]],tblSubjectToLoan[[#This Row],[Int]],tblSubjectToLoan[[#This Row],[Ins]],tblSubjectToLoan[[#This Row],[Taxes]])</f>
        <v>322.72000000000003</v>
      </c>
      <c r="I2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8" s="276">
        <f>IF(tblSubjectToLoan[[#This Row],[Date]]="",IF(ROW()=ROW(tblSubjectToLoan[#Headers])+1,0,INDEX(tblSubjectToLoan[Interest],ROW()-ROW(tblSubjectToLoan[#Headers])-1)),tblSubjectToLoan[[#This Row],[Int]]+IF(ROW()=ROW(tblSubjectToLoan[#Headers])+1,0,INDEX(tblSubjectToLoan[Interest],ROW()-ROW(tblSubjectToLoan[#Headers])-1)))</f>
        <v>36068.259999999973</v>
      </c>
      <c r="K278" s="969">
        <f>IF(tblSubjectToLoan[[#This Row],[Date]]="",0,MAX(0,tblSubjectToLoan[[#This Row],[Beginning Balance]]-tblSubjectToLoan[[#This Row],[Princ]]))</f>
        <v>0</v>
      </c>
      <c r="L278" s="394">
        <f t="shared" si="21"/>
        <v>0</v>
      </c>
      <c r="M278" s="394">
        <f t="shared" si="24"/>
        <v>0</v>
      </c>
      <c r="N278" s="613" t="str">
        <f>INDEX(tblSubjectToLoan[Date],ROW()-ROW(tblContractForDeed[#Headers]))</f>
        <v/>
      </c>
      <c r="O278" s="276">
        <f>IF(ROW()=ROW(tblContractForDeed[#Headers])+1,$O$6,IF(INDEX(tblContractForDeed[End Bal],ROW()-ROW(tblContractForDeed[#Headers])-1)&lt;0,0,INDEX(tblContractForDeed[End Bal],ROW()-ROW(tblContractForDeed[#Headers])-1)))</f>
        <v>0</v>
      </c>
      <c r="P278" s="454"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8" s="276">
        <f>IF(INDEX(tblContractForDeed[End Bal],ROW()-ROW(tblBuyerOutputs[#Headers]))&lt;=0,0,($O$6+IF(ROW()=ROW(tblBuyerOutputs[#Headers])+1,0,INDEX(tblBuyerOutputs[Cumul Appr],ROW()-ROW(tblBuyerOutputs[#Headers])-1)))*$O$2/12)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13" t="str">
        <f>IF(ROW()=ROW(tblSubjectToLoan[#Headers])+1,subjectKnownBalanceDate,IF(OR(INDEX(tblSubjectToLoan[Date],ROW()-ROW(tblSubjectToLoan[#Headers])-1)="",INDEX(tblSubjectToLoan[Date],ROW()-ROW(tblSubjectToLoan[#Headers])-1)&gt;=subjectMortgageEndDate),"",EDATE(INDEX(tblSubjectToLoan[Date],ROW()-ROW(tblSubjectToLoan[#Headers])-1),1)))</f>
        <v/>
      </c>
      <c r="B279" s="276">
        <f>IF(tblSubjectToLoan[[#This Row],[Date]]="",0,IF(ROW()=ROW(tblSubjectToLoan[#Headers])+1,subjectKnownBalance,MAX(0,INDEX(tblSubjectToLoan[Ending Balance],ROW()-ROW(tblSubjectToLoan[#Headers])-1))))</f>
        <v>0</v>
      </c>
      <c r="C2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9" s="14">
        <f>IF(tblSubjectToLoan[[#This Row],[Payment]]=0,0,MAX(0,MIN(tblSubjectToLoan[[#This Row],[Beginning Balance]],tblSubjectToLoan[[#This Row],[Payment]]-tblSubjectToLoan[[#This Row],[Int]])))</f>
        <v>0</v>
      </c>
      <c r="E279" s="14">
        <f>IF(tblSubjectToLoan[[#This Row],[Date]]="",0,ROUND(tblSubjectToLoan[[#This Row],[Beginning Balance]]*(subjectInterestRate/12),2))</f>
        <v>0</v>
      </c>
      <c r="F279" s="14">
        <f t="shared" si="23"/>
        <v>134.16999999999999</v>
      </c>
      <c r="G279" s="14">
        <f t="shared" si="23"/>
        <v>188.55</v>
      </c>
      <c r="H279" s="14">
        <f>SUM(tblSubjectToLoan[[#This Row],[Princ]],tblSubjectToLoan[[#This Row],[Int]],tblSubjectToLoan[[#This Row],[Ins]],tblSubjectToLoan[[#This Row],[Taxes]])</f>
        <v>322.72000000000003</v>
      </c>
      <c r="I2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9" s="276">
        <f>IF(tblSubjectToLoan[[#This Row],[Date]]="",IF(ROW()=ROW(tblSubjectToLoan[#Headers])+1,0,INDEX(tblSubjectToLoan[Interest],ROW()-ROW(tblSubjectToLoan[#Headers])-1)),tblSubjectToLoan[[#This Row],[Int]]+IF(ROW()=ROW(tblSubjectToLoan[#Headers])+1,0,INDEX(tblSubjectToLoan[Interest],ROW()-ROW(tblSubjectToLoan[#Headers])-1)))</f>
        <v>36068.259999999973</v>
      </c>
      <c r="K279" s="969">
        <f>IF(tblSubjectToLoan[[#This Row],[Date]]="",0,MAX(0,tblSubjectToLoan[[#This Row],[Beginning Balance]]-tblSubjectToLoan[[#This Row],[Princ]]))</f>
        <v>0</v>
      </c>
      <c r="L279" s="394">
        <f t="shared" si="21"/>
        <v>0</v>
      </c>
      <c r="M279" s="394">
        <f t="shared" si="24"/>
        <v>0</v>
      </c>
      <c r="N279" s="613" t="str">
        <f>INDEX(tblSubjectToLoan[Date],ROW()-ROW(tblContractForDeed[#Headers]))</f>
        <v/>
      </c>
      <c r="O279" s="276">
        <f>IF(ROW()=ROW(tblContractForDeed[#Headers])+1,$O$6,IF(INDEX(tblContractForDeed[End Bal],ROW()-ROW(tblContractForDeed[#Headers])-1)&lt;0,0,INDEX(tblContractForDeed[End Bal],ROW()-ROW(tblContractForDeed[#Headers])-1)))</f>
        <v>0</v>
      </c>
      <c r="P279" s="454"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9" s="276">
        <f>IF(INDEX(tblContractForDeed[End Bal],ROW()-ROW(tblBuyerOutputs[#Headers]))&lt;=0,0,($O$6+IF(ROW()=ROW(tblBuyerOutputs[#Headers])+1,0,INDEX(tblBuyerOutputs[Cumul Appr],ROW()-ROW(tblBuyerOutputs[#Headers])-1)))*$O$2/12)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13" t="str">
        <f>IF(ROW()=ROW(tblSubjectToLoan[#Headers])+1,subjectKnownBalanceDate,IF(OR(INDEX(tblSubjectToLoan[Date],ROW()-ROW(tblSubjectToLoan[#Headers])-1)="",INDEX(tblSubjectToLoan[Date],ROW()-ROW(tblSubjectToLoan[#Headers])-1)&gt;=subjectMortgageEndDate),"",EDATE(INDEX(tblSubjectToLoan[Date],ROW()-ROW(tblSubjectToLoan[#Headers])-1),1)))</f>
        <v/>
      </c>
      <c r="B280" s="276">
        <f>IF(tblSubjectToLoan[[#This Row],[Date]]="",0,IF(ROW()=ROW(tblSubjectToLoan[#Headers])+1,subjectKnownBalance,MAX(0,INDEX(tblSubjectToLoan[Ending Balance],ROW()-ROW(tblSubjectToLoan[#Headers])-1))))</f>
        <v>0</v>
      </c>
      <c r="C2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0" s="14">
        <f>IF(tblSubjectToLoan[[#This Row],[Payment]]=0,0,MAX(0,MIN(tblSubjectToLoan[[#This Row],[Beginning Balance]],tblSubjectToLoan[[#This Row],[Payment]]-tblSubjectToLoan[[#This Row],[Int]])))</f>
        <v>0</v>
      </c>
      <c r="E280" s="14">
        <f>IF(tblSubjectToLoan[[#This Row],[Date]]="",0,ROUND(tblSubjectToLoan[[#This Row],[Beginning Balance]]*(subjectInterestRate/12),2))</f>
        <v>0</v>
      </c>
      <c r="F280" s="14">
        <f t="shared" si="23"/>
        <v>134.16999999999999</v>
      </c>
      <c r="G280" s="14">
        <f t="shared" si="23"/>
        <v>188.55</v>
      </c>
      <c r="H280" s="14">
        <f>SUM(tblSubjectToLoan[[#This Row],[Princ]],tblSubjectToLoan[[#This Row],[Int]],tblSubjectToLoan[[#This Row],[Ins]],tblSubjectToLoan[[#This Row],[Taxes]])</f>
        <v>322.72000000000003</v>
      </c>
      <c r="I2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0" s="276">
        <f>IF(tblSubjectToLoan[[#This Row],[Date]]="",IF(ROW()=ROW(tblSubjectToLoan[#Headers])+1,0,INDEX(tblSubjectToLoan[Interest],ROW()-ROW(tblSubjectToLoan[#Headers])-1)),tblSubjectToLoan[[#This Row],[Int]]+IF(ROW()=ROW(tblSubjectToLoan[#Headers])+1,0,INDEX(tblSubjectToLoan[Interest],ROW()-ROW(tblSubjectToLoan[#Headers])-1)))</f>
        <v>36068.259999999973</v>
      </c>
      <c r="K280" s="969">
        <f>IF(tblSubjectToLoan[[#This Row],[Date]]="",0,MAX(0,tblSubjectToLoan[[#This Row],[Beginning Balance]]-tblSubjectToLoan[[#This Row],[Princ]]))</f>
        <v>0</v>
      </c>
      <c r="L280" s="394">
        <f t="shared" si="21"/>
        <v>0</v>
      </c>
      <c r="M280" s="394">
        <f t="shared" si="24"/>
        <v>0</v>
      </c>
      <c r="N280" s="613" t="str">
        <f>INDEX(tblSubjectToLoan[Date],ROW()-ROW(tblContractForDeed[#Headers]))</f>
        <v/>
      </c>
      <c r="O280" s="276">
        <f>IF(ROW()=ROW(tblContractForDeed[#Headers])+1,$O$6,IF(INDEX(tblContractForDeed[End Bal],ROW()-ROW(tblContractForDeed[#Headers])-1)&lt;0,0,INDEX(tblContractForDeed[End Bal],ROW()-ROW(tblContractForDeed[#Headers])-1)))</f>
        <v>0</v>
      </c>
      <c r="P280" s="454"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0" s="276">
        <f>IF(INDEX(tblContractForDeed[End Bal],ROW()-ROW(tblBuyerOutputs[#Headers]))&lt;=0,0,($O$6+IF(ROW()=ROW(tblBuyerOutputs[#Headers])+1,0,INDEX(tblBuyerOutputs[Cumul Appr],ROW()-ROW(tblBuyerOutputs[#Headers])-1)))*$O$2/12)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13" t="str">
        <f>IF(ROW()=ROW(tblSubjectToLoan[#Headers])+1,subjectKnownBalanceDate,IF(OR(INDEX(tblSubjectToLoan[Date],ROW()-ROW(tblSubjectToLoan[#Headers])-1)="",INDEX(tblSubjectToLoan[Date],ROW()-ROW(tblSubjectToLoan[#Headers])-1)&gt;=subjectMortgageEndDate),"",EDATE(INDEX(tblSubjectToLoan[Date],ROW()-ROW(tblSubjectToLoan[#Headers])-1),1)))</f>
        <v/>
      </c>
      <c r="B281" s="276">
        <f>IF(tblSubjectToLoan[[#This Row],[Date]]="",0,IF(ROW()=ROW(tblSubjectToLoan[#Headers])+1,subjectKnownBalance,MAX(0,INDEX(tblSubjectToLoan[Ending Balance],ROW()-ROW(tblSubjectToLoan[#Headers])-1))))</f>
        <v>0</v>
      </c>
      <c r="C2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1" s="14">
        <f>IF(tblSubjectToLoan[[#This Row],[Payment]]=0,0,MAX(0,MIN(tblSubjectToLoan[[#This Row],[Beginning Balance]],tblSubjectToLoan[[#This Row],[Payment]]-tblSubjectToLoan[[#This Row],[Int]])))</f>
        <v>0</v>
      </c>
      <c r="E281" s="14">
        <f>IF(tblSubjectToLoan[[#This Row],[Date]]="",0,ROUND(tblSubjectToLoan[[#This Row],[Beginning Balance]]*(subjectInterestRate/12),2))</f>
        <v>0</v>
      </c>
      <c r="F281" s="14">
        <f t="shared" si="23"/>
        <v>134.16999999999999</v>
      </c>
      <c r="G281" s="14">
        <f t="shared" si="23"/>
        <v>188.55</v>
      </c>
      <c r="H281" s="14">
        <f>SUM(tblSubjectToLoan[[#This Row],[Princ]],tblSubjectToLoan[[#This Row],[Int]],tblSubjectToLoan[[#This Row],[Ins]],tblSubjectToLoan[[#This Row],[Taxes]])</f>
        <v>322.72000000000003</v>
      </c>
      <c r="I2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1" s="276">
        <f>IF(tblSubjectToLoan[[#This Row],[Date]]="",IF(ROW()=ROW(tblSubjectToLoan[#Headers])+1,0,INDEX(tblSubjectToLoan[Interest],ROW()-ROW(tblSubjectToLoan[#Headers])-1)),tblSubjectToLoan[[#This Row],[Int]]+IF(ROW()=ROW(tblSubjectToLoan[#Headers])+1,0,INDEX(tblSubjectToLoan[Interest],ROW()-ROW(tblSubjectToLoan[#Headers])-1)))</f>
        <v>36068.259999999973</v>
      </c>
      <c r="K281" s="969">
        <f>IF(tblSubjectToLoan[[#This Row],[Date]]="",0,MAX(0,tblSubjectToLoan[[#This Row],[Beginning Balance]]-tblSubjectToLoan[[#This Row],[Princ]]))</f>
        <v>0</v>
      </c>
      <c r="L281" s="394">
        <f t="shared" si="21"/>
        <v>0</v>
      </c>
      <c r="M281" s="394">
        <f t="shared" si="24"/>
        <v>0</v>
      </c>
      <c r="N281" s="613" t="str">
        <f>INDEX(tblSubjectToLoan[Date],ROW()-ROW(tblContractForDeed[#Headers]))</f>
        <v/>
      </c>
      <c r="O281" s="276">
        <f>IF(ROW()=ROW(tblContractForDeed[#Headers])+1,$O$6,IF(INDEX(tblContractForDeed[End Bal],ROW()-ROW(tblContractForDeed[#Headers])-1)&lt;0,0,INDEX(tblContractForDeed[End Bal],ROW()-ROW(tblContractForDeed[#Headers])-1)))</f>
        <v>0</v>
      </c>
      <c r="P281" s="454"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1" s="276">
        <f>IF(INDEX(tblContractForDeed[End Bal],ROW()-ROW(tblBuyerOutputs[#Headers]))&lt;=0,0,($O$6+IF(ROW()=ROW(tblBuyerOutputs[#Headers])+1,0,INDEX(tblBuyerOutputs[Cumul Appr],ROW()-ROW(tblBuyerOutputs[#Headers])-1)))*$O$2/12)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13" t="str">
        <f>IF(ROW()=ROW(tblSubjectToLoan[#Headers])+1,subjectKnownBalanceDate,IF(OR(INDEX(tblSubjectToLoan[Date],ROW()-ROW(tblSubjectToLoan[#Headers])-1)="",INDEX(tblSubjectToLoan[Date],ROW()-ROW(tblSubjectToLoan[#Headers])-1)&gt;=subjectMortgageEndDate),"",EDATE(INDEX(tblSubjectToLoan[Date],ROW()-ROW(tblSubjectToLoan[#Headers])-1),1)))</f>
        <v/>
      </c>
      <c r="B282" s="276">
        <f>IF(tblSubjectToLoan[[#This Row],[Date]]="",0,IF(ROW()=ROW(tblSubjectToLoan[#Headers])+1,subjectKnownBalance,MAX(0,INDEX(tblSubjectToLoan[Ending Balance],ROW()-ROW(tblSubjectToLoan[#Headers])-1))))</f>
        <v>0</v>
      </c>
      <c r="C2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2" s="14">
        <f>IF(tblSubjectToLoan[[#This Row],[Payment]]=0,0,MAX(0,MIN(tblSubjectToLoan[[#This Row],[Beginning Balance]],tblSubjectToLoan[[#This Row],[Payment]]-tblSubjectToLoan[[#This Row],[Int]])))</f>
        <v>0</v>
      </c>
      <c r="E282" s="14">
        <f>IF(tblSubjectToLoan[[#This Row],[Date]]="",0,ROUND(tblSubjectToLoan[[#This Row],[Beginning Balance]]*(subjectInterestRate/12),2))</f>
        <v>0</v>
      </c>
      <c r="F282" s="14">
        <f t="shared" si="23"/>
        <v>134.16999999999999</v>
      </c>
      <c r="G282" s="14">
        <f t="shared" si="23"/>
        <v>188.55</v>
      </c>
      <c r="H282" s="14">
        <f>SUM(tblSubjectToLoan[[#This Row],[Princ]],tblSubjectToLoan[[#This Row],[Int]],tblSubjectToLoan[[#This Row],[Ins]],tblSubjectToLoan[[#This Row],[Taxes]])</f>
        <v>322.72000000000003</v>
      </c>
      <c r="I2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2" s="276">
        <f>IF(tblSubjectToLoan[[#This Row],[Date]]="",IF(ROW()=ROW(tblSubjectToLoan[#Headers])+1,0,INDEX(tblSubjectToLoan[Interest],ROW()-ROW(tblSubjectToLoan[#Headers])-1)),tblSubjectToLoan[[#This Row],[Int]]+IF(ROW()=ROW(tblSubjectToLoan[#Headers])+1,0,INDEX(tblSubjectToLoan[Interest],ROW()-ROW(tblSubjectToLoan[#Headers])-1)))</f>
        <v>36068.259999999973</v>
      </c>
      <c r="K282" s="969">
        <f>IF(tblSubjectToLoan[[#This Row],[Date]]="",0,MAX(0,tblSubjectToLoan[[#This Row],[Beginning Balance]]-tblSubjectToLoan[[#This Row],[Princ]]))</f>
        <v>0</v>
      </c>
      <c r="L282" s="394">
        <f t="shared" si="21"/>
        <v>0</v>
      </c>
      <c r="M282" s="394">
        <f t="shared" si="24"/>
        <v>0</v>
      </c>
      <c r="N282" s="613" t="str">
        <f>INDEX(tblSubjectToLoan[Date],ROW()-ROW(tblContractForDeed[#Headers]))</f>
        <v/>
      </c>
      <c r="O282" s="276">
        <f>IF(ROW()=ROW(tblContractForDeed[#Headers])+1,$O$6,IF(INDEX(tblContractForDeed[End Bal],ROW()-ROW(tblContractForDeed[#Headers])-1)&lt;0,0,INDEX(tblContractForDeed[End Bal],ROW()-ROW(tblContractForDeed[#Headers])-1)))</f>
        <v>0</v>
      </c>
      <c r="P282" s="454"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2" s="276">
        <f>IF(INDEX(tblContractForDeed[End Bal],ROW()-ROW(tblBuyerOutputs[#Headers]))&lt;=0,0,($O$6+IF(ROW()=ROW(tblBuyerOutputs[#Headers])+1,0,INDEX(tblBuyerOutputs[Cumul Appr],ROW()-ROW(tblBuyerOutputs[#Headers])-1)))*$O$2/12)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14" t="str">
        <f>IF(ROW()=ROW(tblSubjectToLoan[#Headers])+1,subjectKnownBalanceDate,IF(OR(INDEX(tblSubjectToLoan[Date],ROW()-ROW(tblSubjectToLoan[#Headers])-1)="",INDEX(tblSubjectToLoan[Date],ROW()-ROW(tblSubjectToLoan[#Headers])-1)&gt;=subjectMortgageEndDate),"",EDATE(INDEX(tblSubjectToLoan[Date],ROW()-ROW(tblSubjectToLoan[#Headers])-1),1)))</f>
        <v/>
      </c>
      <c r="B283" s="332">
        <f>IF(tblSubjectToLoan[[#This Row],[Date]]="",0,IF(ROW()=ROW(tblSubjectToLoan[#Headers])+1,subjectKnownBalance,MAX(0,INDEX(tblSubjectToLoan[Ending Balance],ROW()-ROW(tblSubjectToLoan[#Headers])-1))))</f>
        <v>0</v>
      </c>
      <c r="C28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3" s="21">
        <f>IF(tblSubjectToLoan[[#This Row],[Payment]]=0,0,MAX(0,MIN(tblSubjectToLoan[[#This Row],[Beginning Balance]],tblSubjectToLoan[[#This Row],[Payment]]-tblSubjectToLoan[[#This Row],[Int]])))</f>
        <v>0</v>
      </c>
      <c r="E283" s="21">
        <f>IF(tblSubjectToLoan[[#This Row],[Date]]="",0,ROUND(tblSubjectToLoan[[#This Row],[Beginning Balance]]*(subjectInterestRate/12),2))</f>
        <v>0</v>
      </c>
      <c r="F283" s="21">
        <f t="shared" si="23"/>
        <v>134.16999999999999</v>
      </c>
      <c r="G283" s="21">
        <f t="shared" si="23"/>
        <v>188.55</v>
      </c>
      <c r="H283" s="21">
        <f>SUM(tblSubjectToLoan[[#This Row],[Princ]],tblSubjectToLoan[[#This Row],[Int]],tblSubjectToLoan[[#This Row],[Ins]],tblSubjectToLoan[[#This Row],[Taxes]])</f>
        <v>322.72000000000003</v>
      </c>
      <c r="I28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83" s="332">
        <f>IF(tblSubjectToLoan[[#This Row],[Date]]="",IF(ROW()=ROW(tblSubjectToLoan[#Headers])+1,0,INDEX(tblSubjectToLoan[Interest],ROW()-ROW(tblSubjectToLoan[#Headers])-1)),tblSubjectToLoan[[#This Row],[Int]]+IF(ROW()=ROW(tblSubjectToLoan[#Headers])+1,0,INDEX(tblSubjectToLoan[Interest],ROW()-ROW(tblSubjectToLoan[#Headers])-1)))</f>
        <v>36068.259999999973</v>
      </c>
      <c r="K283" s="970">
        <f>IF(tblSubjectToLoan[[#This Row],[Date]]="",0,MAX(0,tblSubjectToLoan[[#This Row],[Beginning Balance]]-tblSubjectToLoan[[#This Row],[Princ]]))</f>
        <v>0</v>
      </c>
      <c r="L283" s="395">
        <f t="shared" si="21"/>
        <v>0</v>
      </c>
      <c r="M283" s="395">
        <f t="shared" si="24"/>
        <v>0</v>
      </c>
      <c r="N283" s="614" t="str">
        <f>INDEX(tblSubjectToLoan[Date],ROW()-ROW(tblContractForDeed[#Headers]))</f>
        <v/>
      </c>
      <c r="O283" s="332">
        <f>IF(ROW()=ROW(tblContractForDeed[#Headers])+1,$O$6,IF(INDEX(tblContractForDeed[End Bal],ROW()-ROW(tblContractForDeed[#Headers])-1)&lt;0,0,INDEX(tblContractForDeed[End Bal],ROW()-ROW(tblContractForDeed[#Headers])-1)))</f>
        <v>0</v>
      </c>
      <c r="P283" s="454"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3" s="332">
        <f>IF(INDEX(tblContractForDeed[End Bal],ROW()-ROW(tblBuyerOutputs[#Headers]))&lt;=0,0,($O$6+IF(ROW()=ROW(tblBuyerOutputs[#Headers])+1,0,INDEX(tblBuyerOutputs[Cumul Appr],ROW()-ROW(tblBuyerOutputs[#Headers])-1)))*$O$2/12)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13" t="str">
        <f>IF(ROW()=ROW(tblSubjectToLoan[#Headers])+1,subjectKnownBalanceDate,IF(OR(INDEX(tblSubjectToLoan[Date],ROW()-ROW(tblSubjectToLoan[#Headers])-1)="",INDEX(tblSubjectToLoan[Date],ROW()-ROW(tblSubjectToLoan[#Headers])-1)&gt;=subjectMortgageEndDate),"",EDATE(INDEX(tblSubjectToLoan[Date],ROW()-ROW(tblSubjectToLoan[#Headers])-1),1)))</f>
        <v/>
      </c>
      <c r="B284" s="276">
        <f>IF(tblSubjectToLoan[[#This Row],[Date]]="",0,IF(ROW()=ROW(tblSubjectToLoan[#Headers])+1,subjectKnownBalance,MAX(0,INDEX(tblSubjectToLoan[Ending Balance],ROW()-ROW(tblSubjectToLoan[#Headers])-1))))</f>
        <v>0</v>
      </c>
      <c r="C2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4" s="14">
        <f>IF(tblSubjectToLoan[[#This Row],[Payment]]=0,0,MAX(0,MIN(tblSubjectToLoan[[#This Row],[Beginning Balance]],tblSubjectToLoan[[#This Row],[Payment]]-tblSubjectToLoan[[#This Row],[Int]])))</f>
        <v>0</v>
      </c>
      <c r="E284" s="14">
        <f>IF(tblSubjectToLoan[[#This Row],[Date]]="",0,ROUND(tblSubjectToLoan[[#This Row],[Beginning Balance]]*(subjectInterestRate/12),2))</f>
        <v>0</v>
      </c>
      <c r="F284" s="14">
        <f t="shared" si="23"/>
        <v>134.16999999999999</v>
      </c>
      <c r="G284" s="14">
        <f t="shared" si="23"/>
        <v>188.55</v>
      </c>
      <c r="H284" s="14">
        <f>SUM(tblSubjectToLoan[[#This Row],[Princ]],tblSubjectToLoan[[#This Row],[Int]],tblSubjectToLoan[[#This Row],[Ins]],tblSubjectToLoan[[#This Row],[Taxes]])</f>
        <v>322.72000000000003</v>
      </c>
      <c r="I2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4" s="276">
        <f>IF(tblSubjectToLoan[[#This Row],[Date]]="",IF(ROW()=ROW(tblSubjectToLoan[#Headers])+1,0,INDEX(tblSubjectToLoan[Interest],ROW()-ROW(tblSubjectToLoan[#Headers])-1)),tblSubjectToLoan[[#This Row],[Int]]+IF(ROW()=ROW(tblSubjectToLoan[#Headers])+1,0,INDEX(tblSubjectToLoan[Interest],ROW()-ROW(tblSubjectToLoan[#Headers])-1)))</f>
        <v>36068.259999999973</v>
      </c>
      <c r="K284" s="969">
        <f>IF(tblSubjectToLoan[[#This Row],[Date]]="",0,MAX(0,tblSubjectToLoan[[#This Row],[Beginning Balance]]-tblSubjectToLoan[[#This Row],[Princ]]))</f>
        <v>0</v>
      </c>
      <c r="L284" s="394">
        <f t="shared" si="21"/>
        <v>0</v>
      </c>
      <c r="M284" s="394">
        <f t="shared" si="24"/>
        <v>0</v>
      </c>
      <c r="N284" s="613" t="str">
        <f>INDEX(tblSubjectToLoan[Date],ROW()-ROW(tblContractForDeed[#Headers]))</f>
        <v/>
      </c>
      <c r="O284" s="276">
        <f>IF(ROW()=ROW(tblContractForDeed[#Headers])+1,$O$6,IF(INDEX(tblContractForDeed[End Bal],ROW()-ROW(tblContractForDeed[#Headers])-1)&lt;0,0,INDEX(tblContractForDeed[End Bal],ROW()-ROW(tblContractForDeed[#Headers])-1)))</f>
        <v>0</v>
      </c>
      <c r="P284" s="454"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4" s="276">
        <f>IF(INDEX(tblContractForDeed[End Bal],ROW()-ROW(tblBuyerOutputs[#Headers]))&lt;=0,0,($O$6+IF(ROW()=ROW(tblBuyerOutputs[#Headers])+1,0,INDEX(tblBuyerOutputs[Cumul Appr],ROW()-ROW(tblBuyerOutputs[#Headers])-1)))*$O$2/12)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13" t="str">
        <f>IF(ROW()=ROW(tblSubjectToLoan[#Headers])+1,subjectKnownBalanceDate,IF(OR(INDEX(tblSubjectToLoan[Date],ROW()-ROW(tblSubjectToLoan[#Headers])-1)="",INDEX(tblSubjectToLoan[Date],ROW()-ROW(tblSubjectToLoan[#Headers])-1)&gt;=subjectMortgageEndDate),"",EDATE(INDEX(tblSubjectToLoan[Date],ROW()-ROW(tblSubjectToLoan[#Headers])-1),1)))</f>
        <v/>
      </c>
      <c r="B285" s="276">
        <f>IF(tblSubjectToLoan[[#This Row],[Date]]="",0,IF(ROW()=ROW(tblSubjectToLoan[#Headers])+1,subjectKnownBalance,MAX(0,INDEX(tblSubjectToLoan[Ending Balance],ROW()-ROW(tblSubjectToLoan[#Headers])-1))))</f>
        <v>0</v>
      </c>
      <c r="C2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5" s="14">
        <f>IF(tblSubjectToLoan[[#This Row],[Payment]]=0,0,MAX(0,MIN(tblSubjectToLoan[[#This Row],[Beginning Balance]],tblSubjectToLoan[[#This Row],[Payment]]-tblSubjectToLoan[[#This Row],[Int]])))</f>
        <v>0</v>
      </c>
      <c r="E285" s="14">
        <f>IF(tblSubjectToLoan[[#This Row],[Date]]="",0,ROUND(tblSubjectToLoan[[#This Row],[Beginning Balance]]*(subjectInterestRate/12),2))</f>
        <v>0</v>
      </c>
      <c r="F285" s="14">
        <f t="shared" si="23"/>
        <v>134.16999999999999</v>
      </c>
      <c r="G285" s="14">
        <f t="shared" si="23"/>
        <v>188.55</v>
      </c>
      <c r="H285" s="14">
        <f>SUM(tblSubjectToLoan[[#This Row],[Princ]],tblSubjectToLoan[[#This Row],[Int]],tblSubjectToLoan[[#This Row],[Ins]],tblSubjectToLoan[[#This Row],[Taxes]])</f>
        <v>322.72000000000003</v>
      </c>
      <c r="I2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5" s="276">
        <f>IF(tblSubjectToLoan[[#This Row],[Date]]="",IF(ROW()=ROW(tblSubjectToLoan[#Headers])+1,0,INDEX(tblSubjectToLoan[Interest],ROW()-ROW(tblSubjectToLoan[#Headers])-1)),tblSubjectToLoan[[#This Row],[Int]]+IF(ROW()=ROW(tblSubjectToLoan[#Headers])+1,0,INDEX(tblSubjectToLoan[Interest],ROW()-ROW(tblSubjectToLoan[#Headers])-1)))</f>
        <v>36068.259999999973</v>
      </c>
      <c r="K285" s="969">
        <f>IF(tblSubjectToLoan[[#This Row],[Date]]="",0,MAX(0,tblSubjectToLoan[[#This Row],[Beginning Balance]]-tblSubjectToLoan[[#This Row],[Princ]]))</f>
        <v>0</v>
      </c>
      <c r="L285" s="394">
        <f t="shared" si="21"/>
        <v>0</v>
      </c>
      <c r="M285" s="394">
        <f t="shared" si="24"/>
        <v>0</v>
      </c>
      <c r="N285" s="613" t="str">
        <f>INDEX(tblSubjectToLoan[Date],ROW()-ROW(tblContractForDeed[#Headers]))</f>
        <v/>
      </c>
      <c r="O285" s="276">
        <f>IF(ROW()=ROW(tblContractForDeed[#Headers])+1,$O$6,IF(INDEX(tblContractForDeed[End Bal],ROW()-ROW(tblContractForDeed[#Headers])-1)&lt;0,0,INDEX(tblContractForDeed[End Bal],ROW()-ROW(tblContractForDeed[#Headers])-1)))</f>
        <v>0</v>
      </c>
      <c r="P285" s="454"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5" s="276">
        <f>IF(INDEX(tblContractForDeed[End Bal],ROW()-ROW(tblBuyerOutputs[#Headers]))&lt;=0,0,($O$6+IF(ROW()=ROW(tblBuyerOutputs[#Headers])+1,0,INDEX(tblBuyerOutputs[Cumul Appr],ROW()-ROW(tblBuyerOutputs[#Headers])-1)))*$O$2/12)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13" t="str">
        <f>IF(ROW()=ROW(tblSubjectToLoan[#Headers])+1,subjectKnownBalanceDate,IF(OR(INDEX(tblSubjectToLoan[Date],ROW()-ROW(tblSubjectToLoan[#Headers])-1)="",INDEX(tblSubjectToLoan[Date],ROW()-ROW(tblSubjectToLoan[#Headers])-1)&gt;=subjectMortgageEndDate),"",EDATE(INDEX(tblSubjectToLoan[Date],ROW()-ROW(tblSubjectToLoan[#Headers])-1),1)))</f>
        <v/>
      </c>
      <c r="B286" s="276">
        <f>IF(tblSubjectToLoan[[#This Row],[Date]]="",0,IF(ROW()=ROW(tblSubjectToLoan[#Headers])+1,subjectKnownBalance,MAX(0,INDEX(tblSubjectToLoan[Ending Balance],ROW()-ROW(tblSubjectToLoan[#Headers])-1))))</f>
        <v>0</v>
      </c>
      <c r="C2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6" s="14">
        <f>IF(tblSubjectToLoan[[#This Row],[Payment]]=0,0,MAX(0,MIN(tblSubjectToLoan[[#This Row],[Beginning Balance]],tblSubjectToLoan[[#This Row],[Payment]]-tblSubjectToLoan[[#This Row],[Int]])))</f>
        <v>0</v>
      </c>
      <c r="E286" s="14">
        <f>IF(tblSubjectToLoan[[#This Row],[Date]]="",0,ROUND(tblSubjectToLoan[[#This Row],[Beginning Balance]]*(subjectInterestRate/12),2))</f>
        <v>0</v>
      </c>
      <c r="F286" s="14">
        <f t="shared" si="23"/>
        <v>134.16999999999999</v>
      </c>
      <c r="G286" s="14">
        <f t="shared" si="23"/>
        <v>188.55</v>
      </c>
      <c r="H286" s="14">
        <f>SUM(tblSubjectToLoan[[#This Row],[Princ]],tblSubjectToLoan[[#This Row],[Int]],tblSubjectToLoan[[#This Row],[Ins]],tblSubjectToLoan[[#This Row],[Taxes]])</f>
        <v>322.72000000000003</v>
      </c>
      <c r="I2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6" s="276">
        <f>IF(tblSubjectToLoan[[#This Row],[Date]]="",IF(ROW()=ROW(tblSubjectToLoan[#Headers])+1,0,INDEX(tblSubjectToLoan[Interest],ROW()-ROW(tblSubjectToLoan[#Headers])-1)),tblSubjectToLoan[[#This Row],[Int]]+IF(ROW()=ROW(tblSubjectToLoan[#Headers])+1,0,INDEX(tblSubjectToLoan[Interest],ROW()-ROW(tblSubjectToLoan[#Headers])-1)))</f>
        <v>36068.259999999973</v>
      </c>
      <c r="K286" s="969">
        <f>IF(tblSubjectToLoan[[#This Row],[Date]]="",0,MAX(0,tblSubjectToLoan[[#This Row],[Beginning Balance]]-tblSubjectToLoan[[#This Row],[Princ]]))</f>
        <v>0</v>
      </c>
      <c r="L286" s="394">
        <f t="shared" si="21"/>
        <v>0</v>
      </c>
      <c r="M286" s="394">
        <f t="shared" si="24"/>
        <v>0</v>
      </c>
      <c r="N286" s="613" t="str">
        <f>INDEX(tblSubjectToLoan[Date],ROW()-ROW(tblContractForDeed[#Headers]))</f>
        <v/>
      </c>
      <c r="O286" s="276">
        <f>IF(ROW()=ROW(tblContractForDeed[#Headers])+1,$O$6,IF(INDEX(tblContractForDeed[End Bal],ROW()-ROW(tblContractForDeed[#Headers])-1)&lt;0,0,INDEX(tblContractForDeed[End Bal],ROW()-ROW(tblContractForDeed[#Headers])-1)))</f>
        <v>0</v>
      </c>
      <c r="P286" s="454"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6" s="276">
        <f>IF(INDEX(tblContractForDeed[End Bal],ROW()-ROW(tblBuyerOutputs[#Headers]))&lt;=0,0,($O$6+IF(ROW()=ROW(tblBuyerOutputs[#Headers])+1,0,INDEX(tblBuyerOutputs[Cumul Appr],ROW()-ROW(tblBuyerOutputs[#Headers])-1)))*$O$2/12)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13" t="str">
        <f>IF(ROW()=ROW(tblSubjectToLoan[#Headers])+1,subjectKnownBalanceDate,IF(OR(INDEX(tblSubjectToLoan[Date],ROW()-ROW(tblSubjectToLoan[#Headers])-1)="",INDEX(tblSubjectToLoan[Date],ROW()-ROW(tblSubjectToLoan[#Headers])-1)&gt;=subjectMortgageEndDate),"",EDATE(INDEX(tblSubjectToLoan[Date],ROW()-ROW(tblSubjectToLoan[#Headers])-1),1)))</f>
        <v/>
      </c>
      <c r="B287" s="276">
        <f>IF(tblSubjectToLoan[[#This Row],[Date]]="",0,IF(ROW()=ROW(tblSubjectToLoan[#Headers])+1,subjectKnownBalance,MAX(0,INDEX(tblSubjectToLoan[Ending Balance],ROW()-ROW(tblSubjectToLoan[#Headers])-1))))</f>
        <v>0</v>
      </c>
      <c r="C2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7" s="14">
        <f>IF(tblSubjectToLoan[[#This Row],[Payment]]=0,0,MAX(0,MIN(tblSubjectToLoan[[#This Row],[Beginning Balance]],tblSubjectToLoan[[#This Row],[Payment]]-tblSubjectToLoan[[#This Row],[Int]])))</f>
        <v>0</v>
      </c>
      <c r="E287" s="14">
        <f>IF(tblSubjectToLoan[[#This Row],[Date]]="",0,ROUND(tblSubjectToLoan[[#This Row],[Beginning Balance]]*(subjectInterestRate/12),2))</f>
        <v>0</v>
      </c>
      <c r="F287" s="14">
        <f t="shared" ref="F287:G302" si="25">+F286</f>
        <v>134.16999999999999</v>
      </c>
      <c r="G287" s="14">
        <f t="shared" si="25"/>
        <v>188.55</v>
      </c>
      <c r="H287" s="14">
        <f>SUM(tblSubjectToLoan[[#This Row],[Princ]],tblSubjectToLoan[[#This Row],[Int]],tblSubjectToLoan[[#This Row],[Ins]],tblSubjectToLoan[[#This Row],[Taxes]])</f>
        <v>322.72000000000003</v>
      </c>
      <c r="I2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7" s="276">
        <f>IF(tblSubjectToLoan[[#This Row],[Date]]="",IF(ROW()=ROW(tblSubjectToLoan[#Headers])+1,0,INDEX(tblSubjectToLoan[Interest],ROW()-ROW(tblSubjectToLoan[#Headers])-1)),tblSubjectToLoan[[#This Row],[Int]]+IF(ROW()=ROW(tblSubjectToLoan[#Headers])+1,0,INDEX(tblSubjectToLoan[Interest],ROW()-ROW(tblSubjectToLoan[#Headers])-1)))</f>
        <v>36068.259999999973</v>
      </c>
      <c r="K287" s="969">
        <f>IF(tblSubjectToLoan[[#This Row],[Date]]="",0,MAX(0,tblSubjectToLoan[[#This Row],[Beginning Balance]]-tblSubjectToLoan[[#This Row],[Princ]]))</f>
        <v>0</v>
      </c>
      <c r="L287" s="394">
        <f t="shared" si="21"/>
        <v>0</v>
      </c>
      <c r="M287" s="394">
        <f t="shared" si="24"/>
        <v>0</v>
      </c>
      <c r="N287" s="613" t="str">
        <f>INDEX(tblSubjectToLoan[Date],ROW()-ROW(tblContractForDeed[#Headers]))</f>
        <v/>
      </c>
      <c r="O287" s="276">
        <f>IF(ROW()=ROW(tblContractForDeed[#Headers])+1,$O$6,IF(INDEX(tblContractForDeed[End Bal],ROW()-ROW(tblContractForDeed[#Headers])-1)&lt;0,0,INDEX(tblContractForDeed[End Bal],ROW()-ROW(tblContractForDeed[#Headers])-1)))</f>
        <v>0</v>
      </c>
      <c r="P287" s="454"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7" s="276">
        <f>IF(INDEX(tblContractForDeed[End Bal],ROW()-ROW(tblBuyerOutputs[#Headers]))&lt;=0,0,($O$6+IF(ROW()=ROW(tblBuyerOutputs[#Headers])+1,0,INDEX(tblBuyerOutputs[Cumul Appr],ROW()-ROW(tblBuyerOutputs[#Headers])-1)))*$O$2/12)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13" t="str">
        <f>IF(ROW()=ROW(tblSubjectToLoan[#Headers])+1,subjectKnownBalanceDate,IF(OR(INDEX(tblSubjectToLoan[Date],ROW()-ROW(tblSubjectToLoan[#Headers])-1)="",INDEX(tblSubjectToLoan[Date],ROW()-ROW(tblSubjectToLoan[#Headers])-1)&gt;=subjectMortgageEndDate),"",EDATE(INDEX(tblSubjectToLoan[Date],ROW()-ROW(tblSubjectToLoan[#Headers])-1),1)))</f>
        <v/>
      </c>
      <c r="B288" s="276">
        <f>IF(tblSubjectToLoan[[#This Row],[Date]]="",0,IF(ROW()=ROW(tblSubjectToLoan[#Headers])+1,subjectKnownBalance,MAX(0,INDEX(tblSubjectToLoan[Ending Balance],ROW()-ROW(tblSubjectToLoan[#Headers])-1))))</f>
        <v>0</v>
      </c>
      <c r="C2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8" s="14">
        <f>IF(tblSubjectToLoan[[#This Row],[Payment]]=0,0,MAX(0,MIN(tblSubjectToLoan[[#This Row],[Beginning Balance]],tblSubjectToLoan[[#This Row],[Payment]]-tblSubjectToLoan[[#This Row],[Int]])))</f>
        <v>0</v>
      </c>
      <c r="E288" s="14">
        <f>IF(tblSubjectToLoan[[#This Row],[Date]]="",0,ROUND(tblSubjectToLoan[[#This Row],[Beginning Balance]]*(subjectInterestRate/12),2))</f>
        <v>0</v>
      </c>
      <c r="F288" s="14">
        <f t="shared" si="25"/>
        <v>134.16999999999999</v>
      </c>
      <c r="G288" s="14">
        <f t="shared" si="25"/>
        <v>188.55</v>
      </c>
      <c r="H288" s="14">
        <f>SUM(tblSubjectToLoan[[#This Row],[Princ]],tblSubjectToLoan[[#This Row],[Int]],tblSubjectToLoan[[#This Row],[Ins]],tblSubjectToLoan[[#This Row],[Taxes]])</f>
        <v>322.72000000000003</v>
      </c>
      <c r="I2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8" s="276">
        <f>IF(tblSubjectToLoan[[#This Row],[Date]]="",IF(ROW()=ROW(tblSubjectToLoan[#Headers])+1,0,INDEX(tblSubjectToLoan[Interest],ROW()-ROW(tblSubjectToLoan[#Headers])-1)),tblSubjectToLoan[[#This Row],[Int]]+IF(ROW()=ROW(tblSubjectToLoan[#Headers])+1,0,INDEX(tblSubjectToLoan[Interest],ROW()-ROW(tblSubjectToLoan[#Headers])-1)))</f>
        <v>36068.259999999973</v>
      </c>
      <c r="K288" s="969">
        <f>IF(tblSubjectToLoan[[#This Row],[Date]]="",0,MAX(0,tblSubjectToLoan[[#This Row],[Beginning Balance]]-tblSubjectToLoan[[#This Row],[Princ]]))</f>
        <v>0</v>
      </c>
      <c r="L288" s="394">
        <f t="shared" si="21"/>
        <v>0</v>
      </c>
      <c r="M288" s="394">
        <f t="shared" si="24"/>
        <v>0</v>
      </c>
      <c r="N288" s="613" t="str">
        <f>INDEX(tblSubjectToLoan[Date],ROW()-ROW(tblContractForDeed[#Headers]))</f>
        <v/>
      </c>
      <c r="O288" s="276">
        <f>IF(ROW()=ROW(tblContractForDeed[#Headers])+1,$O$6,IF(INDEX(tblContractForDeed[End Bal],ROW()-ROW(tblContractForDeed[#Headers])-1)&lt;0,0,INDEX(tblContractForDeed[End Bal],ROW()-ROW(tblContractForDeed[#Headers])-1)))</f>
        <v>0</v>
      </c>
      <c r="P288" s="454"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8" s="276">
        <f>IF(INDEX(tblContractForDeed[End Bal],ROW()-ROW(tblBuyerOutputs[#Headers]))&lt;=0,0,($O$6+IF(ROW()=ROW(tblBuyerOutputs[#Headers])+1,0,INDEX(tblBuyerOutputs[Cumul Appr],ROW()-ROW(tblBuyerOutputs[#Headers])-1)))*$O$2/12)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13" t="str">
        <f>IF(ROW()=ROW(tblSubjectToLoan[#Headers])+1,subjectKnownBalanceDate,IF(OR(INDEX(tblSubjectToLoan[Date],ROW()-ROW(tblSubjectToLoan[#Headers])-1)="",INDEX(tblSubjectToLoan[Date],ROW()-ROW(tblSubjectToLoan[#Headers])-1)&gt;=subjectMortgageEndDate),"",EDATE(INDEX(tblSubjectToLoan[Date],ROW()-ROW(tblSubjectToLoan[#Headers])-1),1)))</f>
        <v/>
      </c>
      <c r="B289" s="276">
        <f>IF(tblSubjectToLoan[[#This Row],[Date]]="",0,IF(ROW()=ROW(tblSubjectToLoan[#Headers])+1,subjectKnownBalance,MAX(0,INDEX(tblSubjectToLoan[Ending Balance],ROW()-ROW(tblSubjectToLoan[#Headers])-1))))</f>
        <v>0</v>
      </c>
      <c r="C2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9" s="14">
        <f>IF(tblSubjectToLoan[[#This Row],[Payment]]=0,0,MAX(0,MIN(tblSubjectToLoan[[#This Row],[Beginning Balance]],tblSubjectToLoan[[#This Row],[Payment]]-tblSubjectToLoan[[#This Row],[Int]])))</f>
        <v>0</v>
      </c>
      <c r="E289" s="14">
        <f>IF(tblSubjectToLoan[[#This Row],[Date]]="",0,ROUND(tblSubjectToLoan[[#This Row],[Beginning Balance]]*(subjectInterestRate/12),2))</f>
        <v>0</v>
      </c>
      <c r="F289" s="14">
        <f t="shared" si="25"/>
        <v>134.16999999999999</v>
      </c>
      <c r="G289" s="14">
        <f t="shared" si="25"/>
        <v>188.55</v>
      </c>
      <c r="H289" s="14">
        <f>SUM(tblSubjectToLoan[[#This Row],[Princ]],tblSubjectToLoan[[#This Row],[Int]],tblSubjectToLoan[[#This Row],[Ins]],tblSubjectToLoan[[#This Row],[Taxes]])</f>
        <v>322.72000000000003</v>
      </c>
      <c r="I2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9" s="276">
        <f>IF(tblSubjectToLoan[[#This Row],[Date]]="",IF(ROW()=ROW(tblSubjectToLoan[#Headers])+1,0,INDEX(tblSubjectToLoan[Interest],ROW()-ROW(tblSubjectToLoan[#Headers])-1)),tblSubjectToLoan[[#This Row],[Int]]+IF(ROW()=ROW(tblSubjectToLoan[#Headers])+1,0,INDEX(tblSubjectToLoan[Interest],ROW()-ROW(tblSubjectToLoan[#Headers])-1)))</f>
        <v>36068.259999999973</v>
      </c>
      <c r="K289" s="969">
        <f>IF(tblSubjectToLoan[[#This Row],[Date]]="",0,MAX(0,tblSubjectToLoan[[#This Row],[Beginning Balance]]-tblSubjectToLoan[[#This Row],[Princ]]))</f>
        <v>0</v>
      </c>
      <c r="L289" s="394">
        <f t="shared" si="21"/>
        <v>0</v>
      </c>
      <c r="M289" s="394">
        <f t="shared" si="24"/>
        <v>0</v>
      </c>
      <c r="N289" s="613" t="str">
        <f>INDEX(tblSubjectToLoan[Date],ROW()-ROW(tblContractForDeed[#Headers]))</f>
        <v/>
      </c>
      <c r="O289" s="276">
        <f>IF(ROW()=ROW(tblContractForDeed[#Headers])+1,$O$6,IF(INDEX(tblContractForDeed[End Bal],ROW()-ROW(tblContractForDeed[#Headers])-1)&lt;0,0,INDEX(tblContractForDeed[End Bal],ROW()-ROW(tblContractForDeed[#Headers])-1)))</f>
        <v>0</v>
      </c>
      <c r="P289" s="454"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9" s="276">
        <f>IF(INDEX(tblContractForDeed[End Bal],ROW()-ROW(tblBuyerOutputs[#Headers]))&lt;=0,0,($O$6+IF(ROW()=ROW(tblBuyerOutputs[#Headers])+1,0,INDEX(tblBuyerOutputs[Cumul Appr],ROW()-ROW(tblBuyerOutputs[#Headers])-1)))*$O$2/12)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13" t="str">
        <f>IF(ROW()=ROW(tblSubjectToLoan[#Headers])+1,subjectKnownBalanceDate,IF(OR(INDEX(tblSubjectToLoan[Date],ROW()-ROW(tblSubjectToLoan[#Headers])-1)="",INDEX(tblSubjectToLoan[Date],ROW()-ROW(tblSubjectToLoan[#Headers])-1)&gt;=subjectMortgageEndDate),"",EDATE(INDEX(tblSubjectToLoan[Date],ROW()-ROW(tblSubjectToLoan[#Headers])-1),1)))</f>
        <v/>
      </c>
      <c r="B290" s="276">
        <f>IF(tblSubjectToLoan[[#This Row],[Date]]="",0,IF(ROW()=ROW(tblSubjectToLoan[#Headers])+1,subjectKnownBalance,MAX(0,INDEX(tblSubjectToLoan[Ending Balance],ROW()-ROW(tblSubjectToLoan[#Headers])-1))))</f>
        <v>0</v>
      </c>
      <c r="C2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0" s="14">
        <f>IF(tblSubjectToLoan[[#This Row],[Payment]]=0,0,MAX(0,MIN(tblSubjectToLoan[[#This Row],[Beginning Balance]],tblSubjectToLoan[[#This Row],[Payment]]-tblSubjectToLoan[[#This Row],[Int]])))</f>
        <v>0</v>
      </c>
      <c r="E290" s="14">
        <f>IF(tblSubjectToLoan[[#This Row],[Date]]="",0,ROUND(tblSubjectToLoan[[#This Row],[Beginning Balance]]*(subjectInterestRate/12),2))</f>
        <v>0</v>
      </c>
      <c r="F290" s="14">
        <f t="shared" si="25"/>
        <v>134.16999999999999</v>
      </c>
      <c r="G290" s="14">
        <f t="shared" si="25"/>
        <v>188.55</v>
      </c>
      <c r="H290" s="14">
        <f>SUM(tblSubjectToLoan[[#This Row],[Princ]],tblSubjectToLoan[[#This Row],[Int]],tblSubjectToLoan[[#This Row],[Ins]],tblSubjectToLoan[[#This Row],[Taxes]])</f>
        <v>322.72000000000003</v>
      </c>
      <c r="I2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0" s="276">
        <f>IF(tblSubjectToLoan[[#This Row],[Date]]="",IF(ROW()=ROW(tblSubjectToLoan[#Headers])+1,0,INDEX(tblSubjectToLoan[Interest],ROW()-ROW(tblSubjectToLoan[#Headers])-1)),tblSubjectToLoan[[#This Row],[Int]]+IF(ROW()=ROW(tblSubjectToLoan[#Headers])+1,0,INDEX(tblSubjectToLoan[Interest],ROW()-ROW(tblSubjectToLoan[#Headers])-1)))</f>
        <v>36068.259999999973</v>
      </c>
      <c r="K290" s="969">
        <f>IF(tblSubjectToLoan[[#This Row],[Date]]="",0,MAX(0,tblSubjectToLoan[[#This Row],[Beginning Balance]]-tblSubjectToLoan[[#This Row],[Princ]]))</f>
        <v>0</v>
      </c>
      <c r="L290" s="394">
        <f t="shared" si="21"/>
        <v>0</v>
      </c>
      <c r="M290" s="394">
        <f t="shared" si="24"/>
        <v>0</v>
      </c>
      <c r="N290" s="613" t="str">
        <f>INDEX(tblSubjectToLoan[Date],ROW()-ROW(tblContractForDeed[#Headers]))</f>
        <v/>
      </c>
      <c r="O290" s="276">
        <f>IF(ROW()=ROW(tblContractForDeed[#Headers])+1,$O$6,IF(INDEX(tblContractForDeed[End Bal],ROW()-ROW(tblContractForDeed[#Headers])-1)&lt;0,0,INDEX(tblContractForDeed[End Bal],ROW()-ROW(tblContractForDeed[#Headers])-1)))</f>
        <v>0</v>
      </c>
      <c r="P290" s="454"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0" s="276">
        <f>IF(INDEX(tblContractForDeed[End Bal],ROW()-ROW(tblBuyerOutputs[#Headers]))&lt;=0,0,($O$6+IF(ROW()=ROW(tblBuyerOutputs[#Headers])+1,0,INDEX(tblBuyerOutputs[Cumul Appr],ROW()-ROW(tblBuyerOutputs[#Headers])-1)))*$O$2/12)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13" t="str">
        <f>IF(ROW()=ROW(tblSubjectToLoan[#Headers])+1,subjectKnownBalanceDate,IF(OR(INDEX(tblSubjectToLoan[Date],ROW()-ROW(tblSubjectToLoan[#Headers])-1)="",INDEX(tblSubjectToLoan[Date],ROW()-ROW(tblSubjectToLoan[#Headers])-1)&gt;=subjectMortgageEndDate),"",EDATE(INDEX(tblSubjectToLoan[Date],ROW()-ROW(tblSubjectToLoan[#Headers])-1),1)))</f>
        <v/>
      </c>
      <c r="B291" s="276">
        <f>IF(tblSubjectToLoan[[#This Row],[Date]]="",0,IF(ROW()=ROW(tblSubjectToLoan[#Headers])+1,subjectKnownBalance,MAX(0,INDEX(tblSubjectToLoan[Ending Balance],ROW()-ROW(tblSubjectToLoan[#Headers])-1))))</f>
        <v>0</v>
      </c>
      <c r="C2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1" s="14">
        <f>IF(tblSubjectToLoan[[#This Row],[Payment]]=0,0,MAX(0,MIN(tblSubjectToLoan[[#This Row],[Beginning Balance]],tblSubjectToLoan[[#This Row],[Payment]]-tblSubjectToLoan[[#This Row],[Int]])))</f>
        <v>0</v>
      </c>
      <c r="E291" s="14">
        <f>IF(tblSubjectToLoan[[#This Row],[Date]]="",0,ROUND(tblSubjectToLoan[[#This Row],[Beginning Balance]]*(subjectInterestRate/12),2))</f>
        <v>0</v>
      </c>
      <c r="F291" s="14">
        <f t="shared" si="25"/>
        <v>134.16999999999999</v>
      </c>
      <c r="G291" s="14">
        <f t="shared" si="25"/>
        <v>188.55</v>
      </c>
      <c r="H291" s="14">
        <f>SUM(tblSubjectToLoan[[#This Row],[Princ]],tblSubjectToLoan[[#This Row],[Int]],tblSubjectToLoan[[#This Row],[Ins]],tblSubjectToLoan[[#This Row],[Taxes]])</f>
        <v>322.72000000000003</v>
      </c>
      <c r="I2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1" s="276">
        <f>IF(tblSubjectToLoan[[#This Row],[Date]]="",IF(ROW()=ROW(tblSubjectToLoan[#Headers])+1,0,INDEX(tblSubjectToLoan[Interest],ROW()-ROW(tblSubjectToLoan[#Headers])-1)),tblSubjectToLoan[[#This Row],[Int]]+IF(ROW()=ROW(tblSubjectToLoan[#Headers])+1,0,INDEX(tblSubjectToLoan[Interest],ROW()-ROW(tblSubjectToLoan[#Headers])-1)))</f>
        <v>36068.259999999973</v>
      </c>
      <c r="K291" s="969">
        <f>IF(tblSubjectToLoan[[#This Row],[Date]]="",0,MAX(0,tblSubjectToLoan[[#This Row],[Beginning Balance]]-tblSubjectToLoan[[#This Row],[Princ]]))</f>
        <v>0</v>
      </c>
      <c r="L291" s="394">
        <f t="shared" si="21"/>
        <v>0</v>
      </c>
      <c r="M291" s="394">
        <f t="shared" si="24"/>
        <v>0</v>
      </c>
      <c r="N291" s="613" t="str">
        <f>INDEX(tblSubjectToLoan[Date],ROW()-ROW(tblContractForDeed[#Headers]))</f>
        <v/>
      </c>
      <c r="O291" s="276">
        <f>IF(ROW()=ROW(tblContractForDeed[#Headers])+1,$O$6,IF(INDEX(tblContractForDeed[End Bal],ROW()-ROW(tblContractForDeed[#Headers])-1)&lt;0,0,INDEX(tblContractForDeed[End Bal],ROW()-ROW(tblContractForDeed[#Headers])-1)))</f>
        <v>0</v>
      </c>
      <c r="P291" s="454"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1" s="276">
        <f>IF(INDEX(tblContractForDeed[End Bal],ROW()-ROW(tblBuyerOutputs[#Headers]))&lt;=0,0,($O$6+IF(ROW()=ROW(tblBuyerOutputs[#Headers])+1,0,INDEX(tblBuyerOutputs[Cumul Appr],ROW()-ROW(tblBuyerOutputs[#Headers])-1)))*$O$2/12)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13" t="str">
        <f>IF(ROW()=ROW(tblSubjectToLoan[#Headers])+1,subjectKnownBalanceDate,IF(OR(INDEX(tblSubjectToLoan[Date],ROW()-ROW(tblSubjectToLoan[#Headers])-1)="",INDEX(tblSubjectToLoan[Date],ROW()-ROW(tblSubjectToLoan[#Headers])-1)&gt;=subjectMortgageEndDate),"",EDATE(INDEX(tblSubjectToLoan[Date],ROW()-ROW(tblSubjectToLoan[#Headers])-1),1)))</f>
        <v/>
      </c>
      <c r="B292" s="276">
        <f>IF(tblSubjectToLoan[[#This Row],[Date]]="",0,IF(ROW()=ROW(tblSubjectToLoan[#Headers])+1,subjectKnownBalance,MAX(0,INDEX(tblSubjectToLoan[Ending Balance],ROW()-ROW(tblSubjectToLoan[#Headers])-1))))</f>
        <v>0</v>
      </c>
      <c r="C2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2" s="14">
        <f>IF(tblSubjectToLoan[[#This Row],[Payment]]=0,0,MAX(0,MIN(tblSubjectToLoan[[#This Row],[Beginning Balance]],tblSubjectToLoan[[#This Row],[Payment]]-tblSubjectToLoan[[#This Row],[Int]])))</f>
        <v>0</v>
      </c>
      <c r="E292" s="14">
        <f>IF(tblSubjectToLoan[[#This Row],[Date]]="",0,ROUND(tblSubjectToLoan[[#This Row],[Beginning Balance]]*(subjectInterestRate/12),2))</f>
        <v>0</v>
      </c>
      <c r="F292" s="14">
        <f t="shared" si="25"/>
        <v>134.16999999999999</v>
      </c>
      <c r="G292" s="14">
        <f t="shared" si="25"/>
        <v>188.55</v>
      </c>
      <c r="H292" s="14">
        <f>SUM(tblSubjectToLoan[[#This Row],[Princ]],tblSubjectToLoan[[#This Row],[Int]],tblSubjectToLoan[[#This Row],[Ins]],tblSubjectToLoan[[#This Row],[Taxes]])</f>
        <v>322.72000000000003</v>
      </c>
      <c r="I2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2" s="276">
        <f>IF(tblSubjectToLoan[[#This Row],[Date]]="",IF(ROW()=ROW(tblSubjectToLoan[#Headers])+1,0,INDEX(tblSubjectToLoan[Interest],ROW()-ROW(tblSubjectToLoan[#Headers])-1)),tblSubjectToLoan[[#This Row],[Int]]+IF(ROW()=ROW(tblSubjectToLoan[#Headers])+1,0,INDEX(tblSubjectToLoan[Interest],ROW()-ROW(tblSubjectToLoan[#Headers])-1)))</f>
        <v>36068.259999999973</v>
      </c>
      <c r="K292" s="969">
        <f>IF(tblSubjectToLoan[[#This Row],[Date]]="",0,MAX(0,tblSubjectToLoan[[#This Row],[Beginning Balance]]-tblSubjectToLoan[[#This Row],[Princ]]))</f>
        <v>0</v>
      </c>
      <c r="L292" s="394">
        <f t="shared" si="21"/>
        <v>0</v>
      </c>
      <c r="M292" s="394">
        <f t="shared" si="24"/>
        <v>0</v>
      </c>
      <c r="N292" s="613" t="str">
        <f>INDEX(tblSubjectToLoan[Date],ROW()-ROW(tblContractForDeed[#Headers]))</f>
        <v/>
      </c>
      <c r="O292" s="276">
        <f>IF(ROW()=ROW(tblContractForDeed[#Headers])+1,$O$6,IF(INDEX(tblContractForDeed[End Bal],ROW()-ROW(tblContractForDeed[#Headers])-1)&lt;0,0,INDEX(tblContractForDeed[End Bal],ROW()-ROW(tblContractForDeed[#Headers])-1)))</f>
        <v>0</v>
      </c>
      <c r="P292" s="454"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2" s="276">
        <f>IF(INDEX(tblContractForDeed[End Bal],ROW()-ROW(tblBuyerOutputs[#Headers]))&lt;=0,0,($O$6+IF(ROW()=ROW(tblBuyerOutputs[#Headers])+1,0,INDEX(tblBuyerOutputs[Cumul Appr],ROW()-ROW(tblBuyerOutputs[#Headers])-1)))*$O$2/12)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13" t="str">
        <f>IF(ROW()=ROW(tblSubjectToLoan[#Headers])+1,subjectKnownBalanceDate,IF(OR(INDEX(tblSubjectToLoan[Date],ROW()-ROW(tblSubjectToLoan[#Headers])-1)="",INDEX(tblSubjectToLoan[Date],ROW()-ROW(tblSubjectToLoan[#Headers])-1)&gt;=subjectMortgageEndDate),"",EDATE(INDEX(tblSubjectToLoan[Date],ROW()-ROW(tblSubjectToLoan[#Headers])-1),1)))</f>
        <v/>
      </c>
      <c r="B293" s="276">
        <f>IF(tblSubjectToLoan[[#This Row],[Date]]="",0,IF(ROW()=ROW(tblSubjectToLoan[#Headers])+1,subjectKnownBalance,MAX(0,INDEX(tblSubjectToLoan[Ending Balance],ROW()-ROW(tblSubjectToLoan[#Headers])-1))))</f>
        <v>0</v>
      </c>
      <c r="C2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3" s="14">
        <f>IF(tblSubjectToLoan[[#This Row],[Payment]]=0,0,MAX(0,MIN(tblSubjectToLoan[[#This Row],[Beginning Balance]],tblSubjectToLoan[[#This Row],[Payment]]-tblSubjectToLoan[[#This Row],[Int]])))</f>
        <v>0</v>
      </c>
      <c r="E293" s="14">
        <f>IF(tblSubjectToLoan[[#This Row],[Date]]="",0,ROUND(tblSubjectToLoan[[#This Row],[Beginning Balance]]*(subjectInterestRate/12),2))</f>
        <v>0</v>
      </c>
      <c r="F293" s="14">
        <f t="shared" si="25"/>
        <v>134.16999999999999</v>
      </c>
      <c r="G293" s="14">
        <f t="shared" si="25"/>
        <v>188.55</v>
      </c>
      <c r="H293" s="14">
        <f>SUM(tblSubjectToLoan[[#This Row],[Princ]],tblSubjectToLoan[[#This Row],[Int]],tblSubjectToLoan[[#This Row],[Ins]],tblSubjectToLoan[[#This Row],[Taxes]])</f>
        <v>322.72000000000003</v>
      </c>
      <c r="I2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3" s="276">
        <f>IF(tblSubjectToLoan[[#This Row],[Date]]="",IF(ROW()=ROW(tblSubjectToLoan[#Headers])+1,0,INDEX(tblSubjectToLoan[Interest],ROW()-ROW(tblSubjectToLoan[#Headers])-1)),tblSubjectToLoan[[#This Row],[Int]]+IF(ROW()=ROW(tblSubjectToLoan[#Headers])+1,0,INDEX(tblSubjectToLoan[Interest],ROW()-ROW(tblSubjectToLoan[#Headers])-1)))</f>
        <v>36068.259999999973</v>
      </c>
      <c r="K293" s="969">
        <f>IF(tblSubjectToLoan[[#This Row],[Date]]="",0,MAX(0,tblSubjectToLoan[[#This Row],[Beginning Balance]]-tblSubjectToLoan[[#This Row],[Princ]]))</f>
        <v>0</v>
      </c>
      <c r="L293" s="394">
        <f t="shared" si="21"/>
        <v>0</v>
      </c>
      <c r="M293" s="394">
        <f t="shared" si="24"/>
        <v>0</v>
      </c>
      <c r="N293" s="613" t="str">
        <f>INDEX(tblSubjectToLoan[Date],ROW()-ROW(tblContractForDeed[#Headers]))</f>
        <v/>
      </c>
      <c r="O293" s="276">
        <f>IF(ROW()=ROW(tblContractForDeed[#Headers])+1,$O$6,IF(INDEX(tblContractForDeed[End Bal],ROW()-ROW(tblContractForDeed[#Headers])-1)&lt;0,0,INDEX(tblContractForDeed[End Bal],ROW()-ROW(tblContractForDeed[#Headers])-1)))</f>
        <v>0</v>
      </c>
      <c r="P293" s="454"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3" s="276">
        <f>IF(INDEX(tblContractForDeed[End Bal],ROW()-ROW(tblBuyerOutputs[#Headers]))&lt;=0,0,($O$6+IF(ROW()=ROW(tblBuyerOutputs[#Headers])+1,0,INDEX(tblBuyerOutputs[Cumul Appr],ROW()-ROW(tblBuyerOutputs[#Headers])-1)))*$O$2/12)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13" t="str">
        <f>IF(ROW()=ROW(tblSubjectToLoan[#Headers])+1,subjectKnownBalanceDate,IF(OR(INDEX(tblSubjectToLoan[Date],ROW()-ROW(tblSubjectToLoan[#Headers])-1)="",INDEX(tblSubjectToLoan[Date],ROW()-ROW(tblSubjectToLoan[#Headers])-1)&gt;=subjectMortgageEndDate),"",EDATE(INDEX(tblSubjectToLoan[Date],ROW()-ROW(tblSubjectToLoan[#Headers])-1),1)))</f>
        <v/>
      </c>
      <c r="B294" s="276">
        <f>IF(tblSubjectToLoan[[#This Row],[Date]]="",0,IF(ROW()=ROW(tblSubjectToLoan[#Headers])+1,subjectKnownBalance,MAX(0,INDEX(tblSubjectToLoan[Ending Balance],ROW()-ROW(tblSubjectToLoan[#Headers])-1))))</f>
        <v>0</v>
      </c>
      <c r="C2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4" s="14">
        <f>IF(tblSubjectToLoan[[#This Row],[Payment]]=0,0,MAX(0,MIN(tblSubjectToLoan[[#This Row],[Beginning Balance]],tblSubjectToLoan[[#This Row],[Payment]]-tblSubjectToLoan[[#This Row],[Int]])))</f>
        <v>0</v>
      </c>
      <c r="E294" s="14">
        <f>IF(tblSubjectToLoan[[#This Row],[Date]]="",0,ROUND(tblSubjectToLoan[[#This Row],[Beginning Balance]]*(subjectInterestRate/12),2))</f>
        <v>0</v>
      </c>
      <c r="F294" s="14">
        <f t="shared" si="25"/>
        <v>134.16999999999999</v>
      </c>
      <c r="G294" s="14">
        <f t="shared" si="25"/>
        <v>188.55</v>
      </c>
      <c r="H294" s="14">
        <f>SUM(tblSubjectToLoan[[#This Row],[Princ]],tblSubjectToLoan[[#This Row],[Int]],tblSubjectToLoan[[#This Row],[Ins]],tblSubjectToLoan[[#This Row],[Taxes]])</f>
        <v>322.72000000000003</v>
      </c>
      <c r="I2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4" s="276">
        <f>IF(tblSubjectToLoan[[#This Row],[Date]]="",IF(ROW()=ROW(tblSubjectToLoan[#Headers])+1,0,INDEX(tblSubjectToLoan[Interest],ROW()-ROW(tblSubjectToLoan[#Headers])-1)),tblSubjectToLoan[[#This Row],[Int]]+IF(ROW()=ROW(tblSubjectToLoan[#Headers])+1,0,INDEX(tblSubjectToLoan[Interest],ROW()-ROW(tblSubjectToLoan[#Headers])-1)))</f>
        <v>36068.259999999973</v>
      </c>
      <c r="K294" s="969">
        <f>IF(tblSubjectToLoan[[#This Row],[Date]]="",0,MAX(0,tblSubjectToLoan[[#This Row],[Beginning Balance]]-tblSubjectToLoan[[#This Row],[Princ]]))</f>
        <v>0</v>
      </c>
      <c r="L294" s="394">
        <f t="shared" si="21"/>
        <v>0</v>
      </c>
      <c r="M294" s="394">
        <f t="shared" si="24"/>
        <v>0</v>
      </c>
      <c r="N294" s="613" t="str">
        <f>INDEX(tblSubjectToLoan[Date],ROW()-ROW(tblContractForDeed[#Headers]))</f>
        <v/>
      </c>
      <c r="O294" s="276">
        <f>IF(ROW()=ROW(tblContractForDeed[#Headers])+1,$O$6,IF(INDEX(tblContractForDeed[End Bal],ROW()-ROW(tblContractForDeed[#Headers])-1)&lt;0,0,INDEX(tblContractForDeed[End Bal],ROW()-ROW(tblContractForDeed[#Headers])-1)))</f>
        <v>0</v>
      </c>
      <c r="P294" s="454"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4" s="276">
        <f>IF(INDEX(tblContractForDeed[End Bal],ROW()-ROW(tblBuyerOutputs[#Headers]))&lt;=0,0,($O$6+IF(ROW()=ROW(tblBuyerOutputs[#Headers])+1,0,INDEX(tblBuyerOutputs[Cumul Appr],ROW()-ROW(tblBuyerOutputs[#Headers])-1)))*$O$2/12)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14" t="str">
        <f>IF(ROW()=ROW(tblSubjectToLoan[#Headers])+1,subjectKnownBalanceDate,IF(OR(INDEX(tblSubjectToLoan[Date],ROW()-ROW(tblSubjectToLoan[#Headers])-1)="",INDEX(tblSubjectToLoan[Date],ROW()-ROW(tblSubjectToLoan[#Headers])-1)&gt;=subjectMortgageEndDate),"",EDATE(INDEX(tblSubjectToLoan[Date],ROW()-ROW(tblSubjectToLoan[#Headers])-1),1)))</f>
        <v/>
      </c>
      <c r="B295" s="332">
        <f>IF(tblSubjectToLoan[[#This Row],[Date]]="",0,IF(ROW()=ROW(tblSubjectToLoan[#Headers])+1,subjectKnownBalance,MAX(0,INDEX(tblSubjectToLoan[Ending Balance],ROW()-ROW(tblSubjectToLoan[#Headers])-1))))</f>
        <v>0</v>
      </c>
      <c r="C29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5" s="21">
        <f>IF(tblSubjectToLoan[[#This Row],[Payment]]=0,0,MAX(0,MIN(tblSubjectToLoan[[#This Row],[Beginning Balance]],tblSubjectToLoan[[#This Row],[Payment]]-tblSubjectToLoan[[#This Row],[Int]])))</f>
        <v>0</v>
      </c>
      <c r="E295" s="21">
        <f>IF(tblSubjectToLoan[[#This Row],[Date]]="",0,ROUND(tblSubjectToLoan[[#This Row],[Beginning Balance]]*(subjectInterestRate/12),2))</f>
        <v>0</v>
      </c>
      <c r="F295" s="21">
        <f t="shared" si="25"/>
        <v>134.16999999999999</v>
      </c>
      <c r="G295" s="21">
        <f t="shared" si="25"/>
        <v>188.55</v>
      </c>
      <c r="H295" s="21">
        <f>SUM(tblSubjectToLoan[[#This Row],[Princ]],tblSubjectToLoan[[#This Row],[Int]],tblSubjectToLoan[[#This Row],[Ins]],tblSubjectToLoan[[#This Row],[Taxes]])</f>
        <v>322.72000000000003</v>
      </c>
      <c r="I29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95" s="332">
        <f>IF(tblSubjectToLoan[[#This Row],[Date]]="",IF(ROW()=ROW(tblSubjectToLoan[#Headers])+1,0,INDEX(tblSubjectToLoan[Interest],ROW()-ROW(tblSubjectToLoan[#Headers])-1)),tblSubjectToLoan[[#This Row],[Int]]+IF(ROW()=ROW(tblSubjectToLoan[#Headers])+1,0,INDEX(tblSubjectToLoan[Interest],ROW()-ROW(tblSubjectToLoan[#Headers])-1)))</f>
        <v>36068.259999999973</v>
      </c>
      <c r="K295" s="970">
        <f>IF(tblSubjectToLoan[[#This Row],[Date]]="",0,MAX(0,tblSubjectToLoan[[#This Row],[Beginning Balance]]-tblSubjectToLoan[[#This Row],[Princ]]))</f>
        <v>0</v>
      </c>
      <c r="L295" s="395">
        <f t="shared" si="21"/>
        <v>0</v>
      </c>
      <c r="M295" s="395">
        <f t="shared" si="24"/>
        <v>0</v>
      </c>
      <c r="N295" s="614" t="str">
        <f>INDEX(tblSubjectToLoan[Date],ROW()-ROW(tblContractForDeed[#Headers]))</f>
        <v/>
      </c>
      <c r="O295" s="332">
        <f>IF(ROW()=ROW(tblContractForDeed[#Headers])+1,$O$6,IF(INDEX(tblContractForDeed[End Bal],ROW()-ROW(tblContractForDeed[#Headers])-1)&lt;0,0,INDEX(tblContractForDeed[End Bal],ROW()-ROW(tblContractForDeed[#Headers])-1)))</f>
        <v>0</v>
      </c>
      <c r="P295" s="454"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5" s="332">
        <f>IF(INDEX(tblContractForDeed[End Bal],ROW()-ROW(tblBuyerOutputs[#Headers]))&lt;=0,0,($O$6+IF(ROW()=ROW(tblBuyerOutputs[#Headers])+1,0,INDEX(tblBuyerOutputs[Cumul Appr],ROW()-ROW(tblBuyerOutputs[#Headers])-1)))*$O$2/12)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13" t="str">
        <f>IF(ROW()=ROW(tblSubjectToLoan[#Headers])+1,subjectKnownBalanceDate,IF(OR(INDEX(tblSubjectToLoan[Date],ROW()-ROW(tblSubjectToLoan[#Headers])-1)="",INDEX(tblSubjectToLoan[Date],ROW()-ROW(tblSubjectToLoan[#Headers])-1)&gt;=subjectMortgageEndDate),"",EDATE(INDEX(tblSubjectToLoan[Date],ROW()-ROW(tblSubjectToLoan[#Headers])-1),1)))</f>
        <v/>
      </c>
      <c r="B296" s="276">
        <f>IF(tblSubjectToLoan[[#This Row],[Date]]="",0,IF(ROW()=ROW(tblSubjectToLoan[#Headers])+1,subjectKnownBalance,MAX(0,INDEX(tblSubjectToLoan[Ending Balance],ROW()-ROW(tblSubjectToLoan[#Headers])-1))))</f>
        <v>0</v>
      </c>
      <c r="C2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6" s="14">
        <f>IF(tblSubjectToLoan[[#This Row],[Payment]]=0,0,MAX(0,MIN(tblSubjectToLoan[[#This Row],[Beginning Balance]],tblSubjectToLoan[[#This Row],[Payment]]-tblSubjectToLoan[[#This Row],[Int]])))</f>
        <v>0</v>
      </c>
      <c r="E296" s="14">
        <f>IF(tblSubjectToLoan[[#This Row],[Date]]="",0,ROUND(tblSubjectToLoan[[#This Row],[Beginning Balance]]*(subjectInterestRate/12),2))</f>
        <v>0</v>
      </c>
      <c r="F296" s="14">
        <f t="shared" si="25"/>
        <v>134.16999999999999</v>
      </c>
      <c r="G296" s="14">
        <f t="shared" si="25"/>
        <v>188.55</v>
      </c>
      <c r="H296" s="14">
        <f>SUM(tblSubjectToLoan[[#This Row],[Princ]],tblSubjectToLoan[[#This Row],[Int]],tblSubjectToLoan[[#This Row],[Ins]],tblSubjectToLoan[[#This Row],[Taxes]])</f>
        <v>322.72000000000003</v>
      </c>
      <c r="I2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6" s="276">
        <f>IF(tblSubjectToLoan[[#This Row],[Date]]="",IF(ROW()=ROW(tblSubjectToLoan[#Headers])+1,0,INDEX(tblSubjectToLoan[Interest],ROW()-ROW(tblSubjectToLoan[#Headers])-1)),tblSubjectToLoan[[#This Row],[Int]]+IF(ROW()=ROW(tblSubjectToLoan[#Headers])+1,0,INDEX(tblSubjectToLoan[Interest],ROW()-ROW(tblSubjectToLoan[#Headers])-1)))</f>
        <v>36068.259999999973</v>
      </c>
      <c r="K296" s="969">
        <f>IF(tblSubjectToLoan[[#This Row],[Date]]="",0,MAX(0,tblSubjectToLoan[[#This Row],[Beginning Balance]]-tblSubjectToLoan[[#This Row],[Princ]]))</f>
        <v>0</v>
      </c>
      <c r="L296" s="394">
        <f t="shared" si="21"/>
        <v>0</v>
      </c>
      <c r="M296" s="394">
        <f t="shared" si="24"/>
        <v>0</v>
      </c>
      <c r="N296" s="613" t="str">
        <f>INDEX(tblSubjectToLoan[Date],ROW()-ROW(tblContractForDeed[#Headers]))</f>
        <v/>
      </c>
      <c r="O296" s="276">
        <f>IF(ROW()=ROW(tblContractForDeed[#Headers])+1,$O$6,IF(INDEX(tblContractForDeed[End Bal],ROW()-ROW(tblContractForDeed[#Headers])-1)&lt;0,0,INDEX(tblContractForDeed[End Bal],ROW()-ROW(tblContractForDeed[#Headers])-1)))</f>
        <v>0</v>
      </c>
      <c r="P296" s="454"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6" s="276">
        <f>IF(INDEX(tblContractForDeed[End Bal],ROW()-ROW(tblBuyerOutputs[#Headers]))&lt;=0,0,($O$6+IF(ROW()=ROW(tblBuyerOutputs[#Headers])+1,0,INDEX(tblBuyerOutputs[Cumul Appr],ROW()-ROW(tblBuyerOutputs[#Headers])-1)))*$O$2/12)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13" t="str">
        <f>IF(ROW()=ROW(tblSubjectToLoan[#Headers])+1,subjectKnownBalanceDate,IF(OR(INDEX(tblSubjectToLoan[Date],ROW()-ROW(tblSubjectToLoan[#Headers])-1)="",INDEX(tblSubjectToLoan[Date],ROW()-ROW(tblSubjectToLoan[#Headers])-1)&gt;=subjectMortgageEndDate),"",EDATE(INDEX(tblSubjectToLoan[Date],ROW()-ROW(tblSubjectToLoan[#Headers])-1),1)))</f>
        <v/>
      </c>
      <c r="B297" s="276">
        <f>IF(tblSubjectToLoan[[#This Row],[Date]]="",0,IF(ROW()=ROW(tblSubjectToLoan[#Headers])+1,subjectKnownBalance,MAX(0,INDEX(tblSubjectToLoan[Ending Balance],ROW()-ROW(tblSubjectToLoan[#Headers])-1))))</f>
        <v>0</v>
      </c>
      <c r="C2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7" s="14">
        <f>IF(tblSubjectToLoan[[#This Row],[Payment]]=0,0,MAX(0,MIN(tblSubjectToLoan[[#This Row],[Beginning Balance]],tblSubjectToLoan[[#This Row],[Payment]]-tblSubjectToLoan[[#This Row],[Int]])))</f>
        <v>0</v>
      </c>
      <c r="E297" s="14">
        <f>IF(tblSubjectToLoan[[#This Row],[Date]]="",0,ROUND(tblSubjectToLoan[[#This Row],[Beginning Balance]]*(subjectInterestRate/12),2))</f>
        <v>0</v>
      </c>
      <c r="F297" s="14">
        <f t="shared" si="25"/>
        <v>134.16999999999999</v>
      </c>
      <c r="G297" s="14">
        <f t="shared" si="25"/>
        <v>188.55</v>
      </c>
      <c r="H297" s="14">
        <f>SUM(tblSubjectToLoan[[#This Row],[Princ]],tblSubjectToLoan[[#This Row],[Int]],tblSubjectToLoan[[#This Row],[Ins]],tblSubjectToLoan[[#This Row],[Taxes]])</f>
        <v>322.72000000000003</v>
      </c>
      <c r="I2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7" s="276">
        <f>IF(tblSubjectToLoan[[#This Row],[Date]]="",IF(ROW()=ROW(tblSubjectToLoan[#Headers])+1,0,INDEX(tblSubjectToLoan[Interest],ROW()-ROW(tblSubjectToLoan[#Headers])-1)),tblSubjectToLoan[[#This Row],[Int]]+IF(ROW()=ROW(tblSubjectToLoan[#Headers])+1,0,INDEX(tblSubjectToLoan[Interest],ROW()-ROW(tblSubjectToLoan[#Headers])-1)))</f>
        <v>36068.259999999973</v>
      </c>
      <c r="K297" s="969">
        <f>IF(tblSubjectToLoan[[#This Row],[Date]]="",0,MAX(0,tblSubjectToLoan[[#This Row],[Beginning Balance]]-tblSubjectToLoan[[#This Row],[Princ]]))</f>
        <v>0</v>
      </c>
      <c r="L297" s="394">
        <f t="shared" si="21"/>
        <v>0</v>
      </c>
      <c r="M297" s="394">
        <f t="shared" si="24"/>
        <v>0</v>
      </c>
      <c r="N297" s="613" t="str">
        <f>INDEX(tblSubjectToLoan[Date],ROW()-ROW(tblContractForDeed[#Headers]))</f>
        <v/>
      </c>
      <c r="O297" s="276">
        <f>IF(ROW()=ROW(tblContractForDeed[#Headers])+1,$O$6,IF(INDEX(tblContractForDeed[End Bal],ROW()-ROW(tblContractForDeed[#Headers])-1)&lt;0,0,INDEX(tblContractForDeed[End Bal],ROW()-ROW(tblContractForDeed[#Headers])-1)))</f>
        <v>0</v>
      </c>
      <c r="P297" s="454"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7" s="276">
        <f>IF(INDEX(tblContractForDeed[End Bal],ROW()-ROW(tblBuyerOutputs[#Headers]))&lt;=0,0,($O$6+IF(ROW()=ROW(tblBuyerOutputs[#Headers])+1,0,INDEX(tblBuyerOutputs[Cumul Appr],ROW()-ROW(tblBuyerOutputs[#Headers])-1)))*$O$2/12)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13" t="str">
        <f>IF(ROW()=ROW(tblSubjectToLoan[#Headers])+1,subjectKnownBalanceDate,IF(OR(INDEX(tblSubjectToLoan[Date],ROW()-ROW(tblSubjectToLoan[#Headers])-1)="",INDEX(tblSubjectToLoan[Date],ROW()-ROW(tblSubjectToLoan[#Headers])-1)&gt;=subjectMortgageEndDate),"",EDATE(INDEX(tblSubjectToLoan[Date],ROW()-ROW(tblSubjectToLoan[#Headers])-1),1)))</f>
        <v/>
      </c>
      <c r="B298" s="276">
        <f>IF(tblSubjectToLoan[[#This Row],[Date]]="",0,IF(ROW()=ROW(tblSubjectToLoan[#Headers])+1,subjectKnownBalance,MAX(0,INDEX(tblSubjectToLoan[Ending Balance],ROW()-ROW(tblSubjectToLoan[#Headers])-1))))</f>
        <v>0</v>
      </c>
      <c r="C2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8" s="14">
        <f>IF(tblSubjectToLoan[[#This Row],[Payment]]=0,0,MAX(0,MIN(tblSubjectToLoan[[#This Row],[Beginning Balance]],tblSubjectToLoan[[#This Row],[Payment]]-tblSubjectToLoan[[#This Row],[Int]])))</f>
        <v>0</v>
      </c>
      <c r="E298" s="14">
        <f>IF(tblSubjectToLoan[[#This Row],[Date]]="",0,ROUND(tblSubjectToLoan[[#This Row],[Beginning Balance]]*(subjectInterestRate/12),2))</f>
        <v>0</v>
      </c>
      <c r="F298" s="14">
        <f t="shared" si="25"/>
        <v>134.16999999999999</v>
      </c>
      <c r="G298" s="14">
        <f t="shared" si="25"/>
        <v>188.55</v>
      </c>
      <c r="H298" s="14">
        <f>SUM(tblSubjectToLoan[[#This Row],[Princ]],tblSubjectToLoan[[#This Row],[Int]],tblSubjectToLoan[[#This Row],[Ins]],tblSubjectToLoan[[#This Row],[Taxes]])</f>
        <v>322.72000000000003</v>
      </c>
      <c r="I2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8" s="276">
        <f>IF(tblSubjectToLoan[[#This Row],[Date]]="",IF(ROW()=ROW(tblSubjectToLoan[#Headers])+1,0,INDEX(tblSubjectToLoan[Interest],ROW()-ROW(tblSubjectToLoan[#Headers])-1)),tblSubjectToLoan[[#This Row],[Int]]+IF(ROW()=ROW(tblSubjectToLoan[#Headers])+1,0,INDEX(tblSubjectToLoan[Interest],ROW()-ROW(tblSubjectToLoan[#Headers])-1)))</f>
        <v>36068.259999999973</v>
      </c>
      <c r="K298" s="969">
        <f>IF(tblSubjectToLoan[[#This Row],[Date]]="",0,MAX(0,tblSubjectToLoan[[#This Row],[Beginning Balance]]-tblSubjectToLoan[[#This Row],[Princ]]))</f>
        <v>0</v>
      </c>
      <c r="L298" s="394">
        <f t="shared" si="21"/>
        <v>0</v>
      </c>
      <c r="M298" s="394">
        <f t="shared" si="24"/>
        <v>0</v>
      </c>
      <c r="N298" s="613" t="str">
        <f>INDEX(tblSubjectToLoan[Date],ROW()-ROW(tblContractForDeed[#Headers]))</f>
        <v/>
      </c>
      <c r="O298" s="276">
        <f>IF(ROW()=ROW(tblContractForDeed[#Headers])+1,$O$6,IF(INDEX(tblContractForDeed[End Bal],ROW()-ROW(tblContractForDeed[#Headers])-1)&lt;0,0,INDEX(tblContractForDeed[End Bal],ROW()-ROW(tblContractForDeed[#Headers])-1)))</f>
        <v>0</v>
      </c>
      <c r="P298" s="454"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8" s="276">
        <f>IF(INDEX(tblContractForDeed[End Bal],ROW()-ROW(tblBuyerOutputs[#Headers]))&lt;=0,0,($O$6+IF(ROW()=ROW(tblBuyerOutputs[#Headers])+1,0,INDEX(tblBuyerOutputs[Cumul Appr],ROW()-ROW(tblBuyerOutputs[#Headers])-1)))*$O$2/12)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13" t="str">
        <f>IF(ROW()=ROW(tblSubjectToLoan[#Headers])+1,subjectKnownBalanceDate,IF(OR(INDEX(tblSubjectToLoan[Date],ROW()-ROW(tblSubjectToLoan[#Headers])-1)="",INDEX(tblSubjectToLoan[Date],ROW()-ROW(tblSubjectToLoan[#Headers])-1)&gt;=subjectMortgageEndDate),"",EDATE(INDEX(tblSubjectToLoan[Date],ROW()-ROW(tblSubjectToLoan[#Headers])-1),1)))</f>
        <v/>
      </c>
      <c r="B299" s="276">
        <f>IF(tblSubjectToLoan[[#This Row],[Date]]="",0,IF(ROW()=ROW(tblSubjectToLoan[#Headers])+1,subjectKnownBalance,MAX(0,INDEX(tblSubjectToLoan[Ending Balance],ROW()-ROW(tblSubjectToLoan[#Headers])-1))))</f>
        <v>0</v>
      </c>
      <c r="C2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9" s="14">
        <f>IF(tblSubjectToLoan[[#This Row],[Payment]]=0,0,MAX(0,MIN(tblSubjectToLoan[[#This Row],[Beginning Balance]],tblSubjectToLoan[[#This Row],[Payment]]-tblSubjectToLoan[[#This Row],[Int]])))</f>
        <v>0</v>
      </c>
      <c r="E299" s="14">
        <f>IF(tblSubjectToLoan[[#This Row],[Date]]="",0,ROUND(tblSubjectToLoan[[#This Row],[Beginning Balance]]*(subjectInterestRate/12),2))</f>
        <v>0</v>
      </c>
      <c r="F299" s="14">
        <f t="shared" si="25"/>
        <v>134.16999999999999</v>
      </c>
      <c r="G299" s="14">
        <f t="shared" si="25"/>
        <v>188.55</v>
      </c>
      <c r="H299" s="14">
        <f>SUM(tblSubjectToLoan[[#This Row],[Princ]],tblSubjectToLoan[[#This Row],[Int]],tblSubjectToLoan[[#This Row],[Ins]],tblSubjectToLoan[[#This Row],[Taxes]])</f>
        <v>322.72000000000003</v>
      </c>
      <c r="I2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9" s="276">
        <f>IF(tblSubjectToLoan[[#This Row],[Date]]="",IF(ROW()=ROW(tblSubjectToLoan[#Headers])+1,0,INDEX(tblSubjectToLoan[Interest],ROW()-ROW(tblSubjectToLoan[#Headers])-1)),tblSubjectToLoan[[#This Row],[Int]]+IF(ROW()=ROW(tblSubjectToLoan[#Headers])+1,0,INDEX(tblSubjectToLoan[Interest],ROW()-ROW(tblSubjectToLoan[#Headers])-1)))</f>
        <v>36068.259999999973</v>
      </c>
      <c r="K299" s="969">
        <f>IF(tblSubjectToLoan[[#This Row],[Date]]="",0,MAX(0,tblSubjectToLoan[[#This Row],[Beginning Balance]]-tblSubjectToLoan[[#This Row],[Princ]]))</f>
        <v>0</v>
      </c>
      <c r="L299" s="394">
        <f t="shared" si="21"/>
        <v>0</v>
      </c>
      <c r="M299" s="394">
        <f t="shared" si="24"/>
        <v>0</v>
      </c>
      <c r="N299" s="613" t="str">
        <f>INDEX(tblSubjectToLoan[Date],ROW()-ROW(tblContractForDeed[#Headers]))</f>
        <v/>
      </c>
      <c r="O299" s="276">
        <f>IF(ROW()=ROW(tblContractForDeed[#Headers])+1,$O$6,IF(INDEX(tblContractForDeed[End Bal],ROW()-ROW(tblContractForDeed[#Headers])-1)&lt;0,0,INDEX(tblContractForDeed[End Bal],ROW()-ROW(tblContractForDeed[#Headers])-1)))</f>
        <v>0</v>
      </c>
      <c r="P299" s="454"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9" s="276">
        <f>IF(INDEX(tblContractForDeed[End Bal],ROW()-ROW(tblBuyerOutputs[#Headers]))&lt;=0,0,($O$6+IF(ROW()=ROW(tblBuyerOutputs[#Headers])+1,0,INDEX(tblBuyerOutputs[Cumul Appr],ROW()-ROW(tblBuyerOutputs[#Headers])-1)))*$O$2/12)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13" t="str">
        <f>IF(ROW()=ROW(tblSubjectToLoan[#Headers])+1,subjectKnownBalanceDate,IF(OR(INDEX(tblSubjectToLoan[Date],ROW()-ROW(tblSubjectToLoan[#Headers])-1)="",INDEX(tblSubjectToLoan[Date],ROW()-ROW(tblSubjectToLoan[#Headers])-1)&gt;=subjectMortgageEndDate),"",EDATE(INDEX(tblSubjectToLoan[Date],ROW()-ROW(tblSubjectToLoan[#Headers])-1),1)))</f>
        <v/>
      </c>
      <c r="B300" s="276">
        <f>IF(tblSubjectToLoan[[#This Row],[Date]]="",0,IF(ROW()=ROW(tblSubjectToLoan[#Headers])+1,subjectKnownBalance,MAX(0,INDEX(tblSubjectToLoan[Ending Balance],ROW()-ROW(tblSubjectToLoan[#Headers])-1))))</f>
        <v>0</v>
      </c>
      <c r="C3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0" s="14">
        <f>IF(tblSubjectToLoan[[#This Row],[Payment]]=0,0,MAX(0,MIN(tblSubjectToLoan[[#This Row],[Beginning Balance]],tblSubjectToLoan[[#This Row],[Payment]]-tblSubjectToLoan[[#This Row],[Int]])))</f>
        <v>0</v>
      </c>
      <c r="E300" s="14">
        <f>IF(tblSubjectToLoan[[#This Row],[Date]]="",0,ROUND(tblSubjectToLoan[[#This Row],[Beginning Balance]]*(subjectInterestRate/12),2))</f>
        <v>0</v>
      </c>
      <c r="F300" s="14">
        <f t="shared" si="25"/>
        <v>134.16999999999999</v>
      </c>
      <c r="G300" s="14">
        <f t="shared" si="25"/>
        <v>188.55</v>
      </c>
      <c r="H300" s="14">
        <f>SUM(tblSubjectToLoan[[#This Row],[Princ]],tblSubjectToLoan[[#This Row],[Int]],tblSubjectToLoan[[#This Row],[Ins]],tblSubjectToLoan[[#This Row],[Taxes]])</f>
        <v>322.72000000000003</v>
      </c>
      <c r="I3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0" s="276">
        <f>IF(tblSubjectToLoan[[#This Row],[Date]]="",IF(ROW()=ROW(tblSubjectToLoan[#Headers])+1,0,INDEX(tblSubjectToLoan[Interest],ROW()-ROW(tblSubjectToLoan[#Headers])-1)),tblSubjectToLoan[[#This Row],[Int]]+IF(ROW()=ROW(tblSubjectToLoan[#Headers])+1,0,INDEX(tblSubjectToLoan[Interest],ROW()-ROW(tblSubjectToLoan[#Headers])-1)))</f>
        <v>36068.259999999973</v>
      </c>
      <c r="K300" s="969">
        <f>IF(tblSubjectToLoan[[#This Row],[Date]]="",0,MAX(0,tblSubjectToLoan[[#This Row],[Beginning Balance]]-tblSubjectToLoan[[#This Row],[Princ]]))</f>
        <v>0</v>
      </c>
      <c r="L300" s="394">
        <f t="shared" si="21"/>
        <v>0</v>
      </c>
      <c r="M300" s="394">
        <f t="shared" si="24"/>
        <v>0</v>
      </c>
      <c r="N300" s="613" t="str">
        <f>INDEX(tblSubjectToLoan[Date],ROW()-ROW(tblContractForDeed[#Headers]))</f>
        <v/>
      </c>
      <c r="O300" s="276">
        <f>IF(ROW()=ROW(tblContractForDeed[#Headers])+1,$O$6,IF(INDEX(tblContractForDeed[End Bal],ROW()-ROW(tblContractForDeed[#Headers])-1)&lt;0,0,INDEX(tblContractForDeed[End Bal],ROW()-ROW(tblContractForDeed[#Headers])-1)))</f>
        <v>0</v>
      </c>
      <c r="P300" s="454"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0" s="276">
        <f>IF(INDEX(tblContractForDeed[End Bal],ROW()-ROW(tblBuyerOutputs[#Headers]))&lt;=0,0,($O$6+IF(ROW()=ROW(tblBuyerOutputs[#Headers])+1,0,INDEX(tblBuyerOutputs[Cumul Appr],ROW()-ROW(tblBuyerOutputs[#Headers])-1)))*$O$2/12)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13" t="str">
        <f>IF(ROW()=ROW(tblSubjectToLoan[#Headers])+1,subjectKnownBalanceDate,IF(OR(INDEX(tblSubjectToLoan[Date],ROW()-ROW(tblSubjectToLoan[#Headers])-1)="",INDEX(tblSubjectToLoan[Date],ROW()-ROW(tblSubjectToLoan[#Headers])-1)&gt;=subjectMortgageEndDate),"",EDATE(INDEX(tblSubjectToLoan[Date],ROW()-ROW(tblSubjectToLoan[#Headers])-1),1)))</f>
        <v/>
      </c>
      <c r="B301" s="276">
        <f>IF(tblSubjectToLoan[[#This Row],[Date]]="",0,IF(ROW()=ROW(tblSubjectToLoan[#Headers])+1,subjectKnownBalance,MAX(0,INDEX(tblSubjectToLoan[Ending Balance],ROW()-ROW(tblSubjectToLoan[#Headers])-1))))</f>
        <v>0</v>
      </c>
      <c r="C3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1" s="14">
        <f>IF(tblSubjectToLoan[[#This Row],[Payment]]=0,0,MAX(0,MIN(tblSubjectToLoan[[#This Row],[Beginning Balance]],tblSubjectToLoan[[#This Row],[Payment]]-tblSubjectToLoan[[#This Row],[Int]])))</f>
        <v>0</v>
      </c>
      <c r="E301" s="14">
        <f>IF(tblSubjectToLoan[[#This Row],[Date]]="",0,ROUND(tblSubjectToLoan[[#This Row],[Beginning Balance]]*(subjectInterestRate/12),2))</f>
        <v>0</v>
      </c>
      <c r="F301" s="14">
        <f t="shared" si="25"/>
        <v>134.16999999999999</v>
      </c>
      <c r="G301" s="14">
        <f t="shared" si="25"/>
        <v>188.55</v>
      </c>
      <c r="H301" s="14">
        <f>SUM(tblSubjectToLoan[[#This Row],[Princ]],tblSubjectToLoan[[#This Row],[Int]],tblSubjectToLoan[[#This Row],[Ins]],tblSubjectToLoan[[#This Row],[Taxes]])</f>
        <v>322.72000000000003</v>
      </c>
      <c r="I3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1" s="276">
        <f>IF(tblSubjectToLoan[[#This Row],[Date]]="",IF(ROW()=ROW(tblSubjectToLoan[#Headers])+1,0,INDEX(tblSubjectToLoan[Interest],ROW()-ROW(tblSubjectToLoan[#Headers])-1)),tblSubjectToLoan[[#This Row],[Int]]+IF(ROW()=ROW(tblSubjectToLoan[#Headers])+1,0,INDEX(tblSubjectToLoan[Interest],ROW()-ROW(tblSubjectToLoan[#Headers])-1)))</f>
        <v>36068.259999999973</v>
      </c>
      <c r="K301" s="969">
        <f>IF(tblSubjectToLoan[[#This Row],[Date]]="",0,MAX(0,tblSubjectToLoan[[#This Row],[Beginning Balance]]-tblSubjectToLoan[[#This Row],[Princ]]))</f>
        <v>0</v>
      </c>
      <c r="L301" s="394">
        <f t="shared" si="21"/>
        <v>0</v>
      </c>
      <c r="M301" s="394">
        <f t="shared" si="24"/>
        <v>0</v>
      </c>
      <c r="N301" s="613" t="str">
        <f>INDEX(tblSubjectToLoan[Date],ROW()-ROW(tblContractForDeed[#Headers]))</f>
        <v/>
      </c>
      <c r="O301" s="276">
        <f>IF(ROW()=ROW(tblContractForDeed[#Headers])+1,$O$6,IF(INDEX(tblContractForDeed[End Bal],ROW()-ROW(tblContractForDeed[#Headers])-1)&lt;0,0,INDEX(tblContractForDeed[End Bal],ROW()-ROW(tblContractForDeed[#Headers])-1)))</f>
        <v>0</v>
      </c>
      <c r="P301" s="454"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1" s="276">
        <f>IF(INDEX(tblContractForDeed[End Bal],ROW()-ROW(tblBuyerOutputs[#Headers]))&lt;=0,0,($O$6+IF(ROW()=ROW(tblBuyerOutputs[#Headers])+1,0,INDEX(tblBuyerOutputs[Cumul Appr],ROW()-ROW(tblBuyerOutputs[#Headers])-1)))*$O$2/12)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13" t="str">
        <f>IF(ROW()=ROW(tblSubjectToLoan[#Headers])+1,subjectKnownBalanceDate,IF(OR(INDEX(tblSubjectToLoan[Date],ROW()-ROW(tblSubjectToLoan[#Headers])-1)="",INDEX(tblSubjectToLoan[Date],ROW()-ROW(tblSubjectToLoan[#Headers])-1)&gt;=subjectMortgageEndDate),"",EDATE(INDEX(tblSubjectToLoan[Date],ROW()-ROW(tblSubjectToLoan[#Headers])-1),1)))</f>
        <v/>
      </c>
      <c r="B302" s="276">
        <f>IF(tblSubjectToLoan[[#This Row],[Date]]="",0,IF(ROW()=ROW(tblSubjectToLoan[#Headers])+1,subjectKnownBalance,MAX(0,INDEX(tblSubjectToLoan[Ending Balance],ROW()-ROW(tblSubjectToLoan[#Headers])-1))))</f>
        <v>0</v>
      </c>
      <c r="C3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2" s="14">
        <f>IF(tblSubjectToLoan[[#This Row],[Payment]]=0,0,MAX(0,MIN(tblSubjectToLoan[[#This Row],[Beginning Balance]],tblSubjectToLoan[[#This Row],[Payment]]-tblSubjectToLoan[[#This Row],[Int]])))</f>
        <v>0</v>
      </c>
      <c r="E302" s="14">
        <f>IF(tblSubjectToLoan[[#This Row],[Date]]="",0,ROUND(tblSubjectToLoan[[#This Row],[Beginning Balance]]*(subjectInterestRate/12),2))</f>
        <v>0</v>
      </c>
      <c r="F302" s="14">
        <f t="shared" si="25"/>
        <v>134.16999999999999</v>
      </c>
      <c r="G302" s="14">
        <f t="shared" si="25"/>
        <v>188.55</v>
      </c>
      <c r="H302" s="14">
        <f>SUM(tblSubjectToLoan[[#This Row],[Princ]],tblSubjectToLoan[[#This Row],[Int]],tblSubjectToLoan[[#This Row],[Ins]],tblSubjectToLoan[[#This Row],[Taxes]])</f>
        <v>322.72000000000003</v>
      </c>
      <c r="I3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2" s="276">
        <f>IF(tblSubjectToLoan[[#This Row],[Date]]="",IF(ROW()=ROW(tblSubjectToLoan[#Headers])+1,0,INDEX(tblSubjectToLoan[Interest],ROW()-ROW(tblSubjectToLoan[#Headers])-1)),tblSubjectToLoan[[#This Row],[Int]]+IF(ROW()=ROW(tblSubjectToLoan[#Headers])+1,0,INDEX(tblSubjectToLoan[Interest],ROW()-ROW(tblSubjectToLoan[#Headers])-1)))</f>
        <v>36068.259999999973</v>
      </c>
      <c r="K302" s="969">
        <f>IF(tblSubjectToLoan[[#This Row],[Date]]="",0,MAX(0,tblSubjectToLoan[[#This Row],[Beginning Balance]]-tblSubjectToLoan[[#This Row],[Princ]]))</f>
        <v>0</v>
      </c>
      <c r="L302" s="394">
        <f t="shared" si="21"/>
        <v>0</v>
      </c>
      <c r="M302" s="394">
        <f t="shared" si="24"/>
        <v>0</v>
      </c>
      <c r="N302" s="613" t="str">
        <f>INDEX(tblSubjectToLoan[Date],ROW()-ROW(tblContractForDeed[#Headers]))</f>
        <v/>
      </c>
      <c r="O302" s="276">
        <f>IF(ROW()=ROW(tblContractForDeed[#Headers])+1,$O$6,IF(INDEX(tblContractForDeed[End Bal],ROW()-ROW(tblContractForDeed[#Headers])-1)&lt;0,0,INDEX(tblContractForDeed[End Bal],ROW()-ROW(tblContractForDeed[#Headers])-1)))</f>
        <v>0</v>
      </c>
      <c r="P302" s="454"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2" s="276">
        <f>IF(INDEX(tblContractForDeed[End Bal],ROW()-ROW(tblBuyerOutputs[#Headers]))&lt;=0,0,($O$6+IF(ROW()=ROW(tblBuyerOutputs[#Headers])+1,0,INDEX(tblBuyerOutputs[Cumul Appr],ROW()-ROW(tblBuyerOutputs[#Headers])-1)))*$O$2/12)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13" t="str">
        <f>IF(ROW()=ROW(tblSubjectToLoan[#Headers])+1,subjectKnownBalanceDate,IF(OR(INDEX(tblSubjectToLoan[Date],ROW()-ROW(tblSubjectToLoan[#Headers])-1)="",INDEX(tblSubjectToLoan[Date],ROW()-ROW(tblSubjectToLoan[#Headers])-1)&gt;=subjectMortgageEndDate),"",EDATE(INDEX(tblSubjectToLoan[Date],ROW()-ROW(tblSubjectToLoan[#Headers])-1),1)))</f>
        <v/>
      </c>
      <c r="B303" s="276">
        <f>IF(tblSubjectToLoan[[#This Row],[Date]]="",0,IF(ROW()=ROW(tblSubjectToLoan[#Headers])+1,subjectKnownBalance,MAX(0,INDEX(tblSubjectToLoan[Ending Balance],ROW()-ROW(tblSubjectToLoan[#Headers])-1))))</f>
        <v>0</v>
      </c>
      <c r="C3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3" s="14">
        <f>IF(tblSubjectToLoan[[#This Row],[Payment]]=0,0,MAX(0,MIN(tblSubjectToLoan[[#This Row],[Beginning Balance]],tblSubjectToLoan[[#This Row],[Payment]]-tblSubjectToLoan[[#This Row],[Int]])))</f>
        <v>0</v>
      </c>
      <c r="E303" s="14">
        <f>IF(tblSubjectToLoan[[#This Row],[Date]]="",0,ROUND(tblSubjectToLoan[[#This Row],[Beginning Balance]]*(subjectInterestRate/12),2))</f>
        <v>0</v>
      </c>
      <c r="F303" s="14">
        <f t="shared" ref="F303:G318" si="26">+F302</f>
        <v>134.16999999999999</v>
      </c>
      <c r="G303" s="14">
        <f t="shared" si="26"/>
        <v>188.55</v>
      </c>
      <c r="H303" s="14">
        <f>SUM(tblSubjectToLoan[[#This Row],[Princ]],tblSubjectToLoan[[#This Row],[Int]],tblSubjectToLoan[[#This Row],[Ins]],tblSubjectToLoan[[#This Row],[Taxes]])</f>
        <v>322.72000000000003</v>
      </c>
      <c r="I3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3" s="276">
        <f>IF(tblSubjectToLoan[[#This Row],[Date]]="",IF(ROW()=ROW(tblSubjectToLoan[#Headers])+1,0,INDEX(tblSubjectToLoan[Interest],ROW()-ROW(tblSubjectToLoan[#Headers])-1)),tblSubjectToLoan[[#This Row],[Int]]+IF(ROW()=ROW(tblSubjectToLoan[#Headers])+1,0,INDEX(tblSubjectToLoan[Interest],ROW()-ROW(tblSubjectToLoan[#Headers])-1)))</f>
        <v>36068.259999999973</v>
      </c>
      <c r="K303" s="969">
        <f>IF(tblSubjectToLoan[[#This Row],[Date]]="",0,MAX(0,tblSubjectToLoan[[#This Row],[Beginning Balance]]-tblSubjectToLoan[[#This Row],[Princ]]))</f>
        <v>0</v>
      </c>
      <c r="L303" s="394">
        <f t="shared" si="21"/>
        <v>0</v>
      </c>
      <c r="M303" s="394">
        <f t="shared" si="24"/>
        <v>0</v>
      </c>
      <c r="N303" s="613" t="str">
        <f>INDEX(tblSubjectToLoan[Date],ROW()-ROW(tblContractForDeed[#Headers]))</f>
        <v/>
      </c>
      <c r="O303" s="276">
        <f>IF(ROW()=ROW(tblContractForDeed[#Headers])+1,$O$6,IF(INDEX(tblContractForDeed[End Bal],ROW()-ROW(tblContractForDeed[#Headers])-1)&lt;0,0,INDEX(tblContractForDeed[End Bal],ROW()-ROW(tblContractForDeed[#Headers])-1)))</f>
        <v>0</v>
      </c>
      <c r="P303" s="454"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3" s="276">
        <f>IF(INDEX(tblContractForDeed[End Bal],ROW()-ROW(tblBuyerOutputs[#Headers]))&lt;=0,0,($O$6+IF(ROW()=ROW(tblBuyerOutputs[#Headers])+1,0,INDEX(tblBuyerOutputs[Cumul Appr],ROW()-ROW(tblBuyerOutputs[#Headers])-1)))*$O$2/12)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13" t="str">
        <f>IF(ROW()=ROW(tblSubjectToLoan[#Headers])+1,subjectKnownBalanceDate,IF(OR(INDEX(tblSubjectToLoan[Date],ROW()-ROW(tblSubjectToLoan[#Headers])-1)="",INDEX(tblSubjectToLoan[Date],ROW()-ROW(tblSubjectToLoan[#Headers])-1)&gt;=subjectMortgageEndDate),"",EDATE(INDEX(tblSubjectToLoan[Date],ROW()-ROW(tblSubjectToLoan[#Headers])-1),1)))</f>
        <v/>
      </c>
      <c r="B304" s="276">
        <f>IF(tblSubjectToLoan[[#This Row],[Date]]="",0,IF(ROW()=ROW(tblSubjectToLoan[#Headers])+1,subjectKnownBalance,MAX(0,INDEX(tblSubjectToLoan[Ending Balance],ROW()-ROW(tblSubjectToLoan[#Headers])-1))))</f>
        <v>0</v>
      </c>
      <c r="C3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4" s="14">
        <f>IF(tblSubjectToLoan[[#This Row],[Payment]]=0,0,MAX(0,MIN(tblSubjectToLoan[[#This Row],[Beginning Balance]],tblSubjectToLoan[[#This Row],[Payment]]-tblSubjectToLoan[[#This Row],[Int]])))</f>
        <v>0</v>
      </c>
      <c r="E304" s="14">
        <f>IF(tblSubjectToLoan[[#This Row],[Date]]="",0,ROUND(tblSubjectToLoan[[#This Row],[Beginning Balance]]*(subjectInterestRate/12),2))</f>
        <v>0</v>
      </c>
      <c r="F304" s="14">
        <f t="shared" si="26"/>
        <v>134.16999999999999</v>
      </c>
      <c r="G304" s="14">
        <f t="shared" si="26"/>
        <v>188.55</v>
      </c>
      <c r="H304" s="14">
        <f>SUM(tblSubjectToLoan[[#This Row],[Princ]],tblSubjectToLoan[[#This Row],[Int]],tblSubjectToLoan[[#This Row],[Ins]],tblSubjectToLoan[[#This Row],[Taxes]])</f>
        <v>322.72000000000003</v>
      </c>
      <c r="I3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4" s="276">
        <f>IF(tblSubjectToLoan[[#This Row],[Date]]="",IF(ROW()=ROW(tblSubjectToLoan[#Headers])+1,0,INDEX(tblSubjectToLoan[Interest],ROW()-ROW(tblSubjectToLoan[#Headers])-1)),tblSubjectToLoan[[#This Row],[Int]]+IF(ROW()=ROW(tblSubjectToLoan[#Headers])+1,0,INDEX(tblSubjectToLoan[Interest],ROW()-ROW(tblSubjectToLoan[#Headers])-1)))</f>
        <v>36068.259999999973</v>
      </c>
      <c r="K304" s="969">
        <f>IF(tblSubjectToLoan[[#This Row],[Date]]="",0,MAX(0,tblSubjectToLoan[[#This Row],[Beginning Balance]]-tblSubjectToLoan[[#This Row],[Princ]]))</f>
        <v>0</v>
      </c>
      <c r="L304" s="394">
        <f t="shared" si="21"/>
        <v>0</v>
      </c>
      <c r="M304" s="394">
        <f t="shared" si="24"/>
        <v>0</v>
      </c>
      <c r="N304" s="613" t="str">
        <f>INDEX(tblSubjectToLoan[Date],ROW()-ROW(tblContractForDeed[#Headers]))</f>
        <v/>
      </c>
      <c r="O304" s="276">
        <f>IF(ROW()=ROW(tblContractForDeed[#Headers])+1,$O$6,IF(INDEX(tblContractForDeed[End Bal],ROW()-ROW(tblContractForDeed[#Headers])-1)&lt;0,0,INDEX(tblContractForDeed[End Bal],ROW()-ROW(tblContractForDeed[#Headers])-1)))</f>
        <v>0</v>
      </c>
      <c r="P304" s="454"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4" s="276">
        <f>IF(INDEX(tblContractForDeed[End Bal],ROW()-ROW(tblBuyerOutputs[#Headers]))&lt;=0,0,($O$6+IF(ROW()=ROW(tblBuyerOutputs[#Headers])+1,0,INDEX(tblBuyerOutputs[Cumul Appr],ROW()-ROW(tblBuyerOutputs[#Headers])-1)))*$O$2/12)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13" t="str">
        <f>IF(ROW()=ROW(tblSubjectToLoan[#Headers])+1,subjectKnownBalanceDate,IF(OR(INDEX(tblSubjectToLoan[Date],ROW()-ROW(tblSubjectToLoan[#Headers])-1)="",INDEX(tblSubjectToLoan[Date],ROW()-ROW(tblSubjectToLoan[#Headers])-1)&gt;=subjectMortgageEndDate),"",EDATE(INDEX(tblSubjectToLoan[Date],ROW()-ROW(tblSubjectToLoan[#Headers])-1),1)))</f>
        <v/>
      </c>
      <c r="B305" s="276">
        <f>IF(tblSubjectToLoan[[#This Row],[Date]]="",0,IF(ROW()=ROW(tblSubjectToLoan[#Headers])+1,subjectKnownBalance,MAX(0,INDEX(tblSubjectToLoan[Ending Balance],ROW()-ROW(tblSubjectToLoan[#Headers])-1))))</f>
        <v>0</v>
      </c>
      <c r="C3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5" s="14">
        <f>IF(tblSubjectToLoan[[#This Row],[Payment]]=0,0,MAX(0,MIN(tblSubjectToLoan[[#This Row],[Beginning Balance]],tblSubjectToLoan[[#This Row],[Payment]]-tblSubjectToLoan[[#This Row],[Int]])))</f>
        <v>0</v>
      </c>
      <c r="E305" s="14">
        <f>IF(tblSubjectToLoan[[#This Row],[Date]]="",0,ROUND(tblSubjectToLoan[[#This Row],[Beginning Balance]]*(subjectInterestRate/12),2))</f>
        <v>0</v>
      </c>
      <c r="F305" s="14">
        <f t="shared" si="26"/>
        <v>134.16999999999999</v>
      </c>
      <c r="G305" s="14">
        <f t="shared" si="26"/>
        <v>188.55</v>
      </c>
      <c r="H305" s="14">
        <f>SUM(tblSubjectToLoan[[#This Row],[Princ]],tblSubjectToLoan[[#This Row],[Int]],tblSubjectToLoan[[#This Row],[Ins]],tblSubjectToLoan[[#This Row],[Taxes]])</f>
        <v>322.72000000000003</v>
      </c>
      <c r="I3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5" s="276">
        <f>IF(tblSubjectToLoan[[#This Row],[Date]]="",IF(ROW()=ROW(tblSubjectToLoan[#Headers])+1,0,INDEX(tblSubjectToLoan[Interest],ROW()-ROW(tblSubjectToLoan[#Headers])-1)),tblSubjectToLoan[[#This Row],[Int]]+IF(ROW()=ROW(tblSubjectToLoan[#Headers])+1,0,INDEX(tblSubjectToLoan[Interest],ROW()-ROW(tblSubjectToLoan[#Headers])-1)))</f>
        <v>36068.259999999973</v>
      </c>
      <c r="K305" s="969">
        <f>IF(tblSubjectToLoan[[#This Row],[Date]]="",0,MAX(0,tblSubjectToLoan[[#This Row],[Beginning Balance]]-tblSubjectToLoan[[#This Row],[Princ]]))</f>
        <v>0</v>
      </c>
      <c r="L305" s="394">
        <f t="shared" si="21"/>
        <v>0</v>
      </c>
      <c r="M305" s="394">
        <f t="shared" si="24"/>
        <v>0</v>
      </c>
      <c r="N305" s="613" t="str">
        <f>INDEX(tblSubjectToLoan[Date],ROW()-ROW(tblContractForDeed[#Headers]))</f>
        <v/>
      </c>
      <c r="O305" s="276">
        <f>IF(ROW()=ROW(tblContractForDeed[#Headers])+1,$O$6,IF(INDEX(tblContractForDeed[End Bal],ROW()-ROW(tblContractForDeed[#Headers])-1)&lt;0,0,INDEX(tblContractForDeed[End Bal],ROW()-ROW(tblContractForDeed[#Headers])-1)))</f>
        <v>0</v>
      </c>
      <c r="P305" s="454"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5" s="276">
        <f>IF(INDEX(tblContractForDeed[End Bal],ROW()-ROW(tblBuyerOutputs[#Headers]))&lt;=0,0,($O$6+IF(ROW()=ROW(tblBuyerOutputs[#Headers])+1,0,INDEX(tblBuyerOutputs[Cumul Appr],ROW()-ROW(tblBuyerOutputs[#Headers])-1)))*$O$2/12)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13" t="str">
        <f>IF(ROW()=ROW(tblSubjectToLoan[#Headers])+1,subjectKnownBalanceDate,IF(OR(INDEX(tblSubjectToLoan[Date],ROW()-ROW(tblSubjectToLoan[#Headers])-1)="",INDEX(tblSubjectToLoan[Date],ROW()-ROW(tblSubjectToLoan[#Headers])-1)&gt;=subjectMortgageEndDate),"",EDATE(INDEX(tblSubjectToLoan[Date],ROW()-ROW(tblSubjectToLoan[#Headers])-1),1)))</f>
        <v/>
      </c>
      <c r="B306" s="276">
        <f>IF(tblSubjectToLoan[[#This Row],[Date]]="",0,IF(ROW()=ROW(tblSubjectToLoan[#Headers])+1,subjectKnownBalance,MAX(0,INDEX(tblSubjectToLoan[Ending Balance],ROW()-ROW(tblSubjectToLoan[#Headers])-1))))</f>
        <v>0</v>
      </c>
      <c r="C3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6" s="14">
        <f>IF(tblSubjectToLoan[[#This Row],[Payment]]=0,0,MAX(0,MIN(tblSubjectToLoan[[#This Row],[Beginning Balance]],tblSubjectToLoan[[#This Row],[Payment]]-tblSubjectToLoan[[#This Row],[Int]])))</f>
        <v>0</v>
      </c>
      <c r="E306" s="14">
        <f>IF(tblSubjectToLoan[[#This Row],[Date]]="",0,ROUND(tblSubjectToLoan[[#This Row],[Beginning Balance]]*(subjectInterestRate/12),2))</f>
        <v>0</v>
      </c>
      <c r="F306" s="14">
        <f t="shared" si="26"/>
        <v>134.16999999999999</v>
      </c>
      <c r="G306" s="14">
        <f t="shared" si="26"/>
        <v>188.55</v>
      </c>
      <c r="H306" s="14">
        <f>SUM(tblSubjectToLoan[[#This Row],[Princ]],tblSubjectToLoan[[#This Row],[Int]],tblSubjectToLoan[[#This Row],[Ins]],tblSubjectToLoan[[#This Row],[Taxes]])</f>
        <v>322.72000000000003</v>
      </c>
      <c r="I3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6" s="276">
        <f>IF(tblSubjectToLoan[[#This Row],[Date]]="",IF(ROW()=ROW(tblSubjectToLoan[#Headers])+1,0,INDEX(tblSubjectToLoan[Interest],ROW()-ROW(tblSubjectToLoan[#Headers])-1)),tblSubjectToLoan[[#This Row],[Int]]+IF(ROW()=ROW(tblSubjectToLoan[#Headers])+1,0,INDEX(tblSubjectToLoan[Interest],ROW()-ROW(tblSubjectToLoan[#Headers])-1)))</f>
        <v>36068.259999999973</v>
      </c>
      <c r="K306" s="969">
        <f>IF(tblSubjectToLoan[[#This Row],[Date]]="",0,MAX(0,tblSubjectToLoan[[#This Row],[Beginning Balance]]-tblSubjectToLoan[[#This Row],[Princ]]))</f>
        <v>0</v>
      </c>
      <c r="L306" s="394">
        <f t="shared" si="21"/>
        <v>0</v>
      </c>
      <c r="M306" s="394">
        <f t="shared" si="24"/>
        <v>0</v>
      </c>
      <c r="N306" s="613" t="str">
        <f>INDEX(tblSubjectToLoan[Date],ROW()-ROW(tblContractForDeed[#Headers]))</f>
        <v/>
      </c>
      <c r="O306" s="276">
        <f>IF(ROW()=ROW(tblContractForDeed[#Headers])+1,$O$6,IF(INDEX(tblContractForDeed[End Bal],ROW()-ROW(tblContractForDeed[#Headers])-1)&lt;0,0,INDEX(tblContractForDeed[End Bal],ROW()-ROW(tblContractForDeed[#Headers])-1)))</f>
        <v>0</v>
      </c>
      <c r="P306" s="454"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6" s="276">
        <f>IF(INDEX(tblContractForDeed[End Bal],ROW()-ROW(tblBuyerOutputs[#Headers]))&lt;=0,0,($O$6+IF(ROW()=ROW(tblBuyerOutputs[#Headers])+1,0,INDEX(tblBuyerOutputs[Cumul Appr],ROW()-ROW(tblBuyerOutputs[#Headers])-1)))*$O$2/12)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14" t="str">
        <f>IF(ROW()=ROW(tblSubjectToLoan[#Headers])+1,subjectKnownBalanceDate,IF(OR(INDEX(tblSubjectToLoan[Date],ROW()-ROW(tblSubjectToLoan[#Headers])-1)="",INDEX(tblSubjectToLoan[Date],ROW()-ROW(tblSubjectToLoan[#Headers])-1)&gt;=subjectMortgageEndDate),"",EDATE(INDEX(tblSubjectToLoan[Date],ROW()-ROW(tblSubjectToLoan[#Headers])-1),1)))</f>
        <v/>
      </c>
      <c r="B307" s="332">
        <f>IF(tblSubjectToLoan[[#This Row],[Date]]="",0,IF(ROW()=ROW(tblSubjectToLoan[#Headers])+1,subjectKnownBalance,MAX(0,INDEX(tblSubjectToLoan[Ending Balance],ROW()-ROW(tblSubjectToLoan[#Headers])-1))))</f>
        <v>0</v>
      </c>
      <c r="C30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7" s="21">
        <f>IF(tblSubjectToLoan[[#This Row],[Payment]]=0,0,MAX(0,MIN(tblSubjectToLoan[[#This Row],[Beginning Balance]],tblSubjectToLoan[[#This Row],[Payment]]-tblSubjectToLoan[[#This Row],[Int]])))</f>
        <v>0</v>
      </c>
      <c r="E307" s="21">
        <f>IF(tblSubjectToLoan[[#This Row],[Date]]="",0,ROUND(tblSubjectToLoan[[#This Row],[Beginning Balance]]*(subjectInterestRate/12),2))</f>
        <v>0</v>
      </c>
      <c r="F307" s="21">
        <f t="shared" si="26"/>
        <v>134.16999999999999</v>
      </c>
      <c r="G307" s="21">
        <f t="shared" si="26"/>
        <v>188.55</v>
      </c>
      <c r="H307" s="21">
        <f>SUM(tblSubjectToLoan[[#This Row],[Princ]],tblSubjectToLoan[[#This Row],[Int]],tblSubjectToLoan[[#This Row],[Ins]],tblSubjectToLoan[[#This Row],[Taxes]])</f>
        <v>322.72000000000003</v>
      </c>
      <c r="I30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07" s="332">
        <f>IF(tblSubjectToLoan[[#This Row],[Date]]="",IF(ROW()=ROW(tblSubjectToLoan[#Headers])+1,0,INDEX(tblSubjectToLoan[Interest],ROW()-ROW(tblSubjectToLoan[#Headers])-1)),tblSubjectToLoan[[#This Row],[Int]]+IF(ROW()=ROW(tblSubjectToLoan[#Headers])+1,0,INDEX(tblSubjectToLoan[Interest],ROW()-ROW(tblSubjectToLoan[#Headers])-1)))</f>
        <v>36068.259999999973</v>
      </c>
      <c r="K307" s="970">
        <f>IF(tblSubjectToLoan[[#This Row],[Date]]="",0,MAX(0,tblSubjectToLoan[[#This Row],[Beginning Balance]]-tblSubjectToLoan[[#This Row],[Princ]]))</f>
        <v>0</v>
      </c>
      <c r="L307" s="395">
        <f t="shared" si="21"/>
        <v>0</v>
      </c>
      <c r="M307" s="395">
        <f t="shared" si="24"/>
        <v>0</v>
      </c>
      <c r="N307" s="614" t="str">
        <f>INDEX(tblSubjectToLoan[Date],ROW()-ROW(tblContractForDeed[#Headers]))</f>
        <v/>
      </c>
      <c r="O307" s="332">
        <f>IF(ROW()=ROW(tblContractForDeed[#Headers])+1,$O$6,IF(INDEX(tblContractForDeed[End Bal],ROW()-ROW(tblContractForDeed[#Headers])-1)&lt;0,0,INDEX(tblContractForDeed[End Bal],ROW()-ROW(tblContractForDeed[#Headers])-1)))</f>
        <v>0</v>
      </c>
      <c r="P307" s="454"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7" s="332">
        <f>IF(INDEX(tblContractForDeed[End Bal],ROW()-ROW(tblBuyerOutputs[#Headers]))&lt;=0,0,($O$6+IF(ROW()=ROW(tblBuyerOutputs[#Headers])+1,0,INDEX(tblBuyerOutputs[Cumul Appr],ROW()-ROW(tblBuyerOutputs[#Headers])-1)))*$O$2/12)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13" t="str">
        <f>IF(ROW()=ROW(tblSubjectToLoan[#Headers])+1,subjectKnownBalanceDate,IF(OR(INDEX(tblSubjectToLoan[Date],ROW()-ROW(tblSubjectToLoan[#Headers])-1)="",INDEX(tblSubjectToLoan[Date],ROW()-ROW(tblSubjectToLoan[#Headers])-1)&gt;=subjectMortgageEndDate),"",EDATE(INDEX(tblSubjectToLoan[Date],ROW()-ROW(tblSubjectToLoan[#Headers])-1),1)))</f>
        <v/>
      </c>
      <c r="B308" s="276">
        <f>IF(tblSubjectToLoan[[#This Row],[Date]]="",0,IF(ROW()=ROW(tblSubjectToLoan[#Headers])+1,subjectKnownBalance,MAX(0,INDEX(tblSubjectToLoan[Ending Balance],ROW()-ROW(tblSubjectToLoan[#Headers])-1))))</f>
        <v>0</v>
      </c>
      <c r="C3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8" s="14">
        <f>IF(tblSubjectToLoan[[#This Row],[Payment]]=0,0,MAX(0,MIN(tblSubjectToLoan[[#This Row],[Beginning Balance]],tblSubjectToLoan[[#This Row],[Payment]]-tblSubjectToLoan[[#This Row],[Int]])))</f>
        <v>0</v>
      </c>
      <c r="E308" s="14">
        <f>IF(tblSubjectToLoan[[#This Row],[Date]]="",0,ROUND(tblSubjectToLoan[[#This Row],[Beginning Balance]]*(subjectInterestRate/12),2))</f>
        <v>0</v>
      </c>
      <c r="F308" s="14">
        <f t="shared" si="26"/>
        <v>134.16999999999999</v>
      </c>
      <c r="G308" s="14">
        <f t="shared" si="26"/>
        <v>188.55</v>
      </c>
      <c r="H308" s="14">
        <f>SUM(tblSubjectToLoan[[#This Row],[Princ]],tblSubjectToLoan[[#This Row],[Int]],tblSubjectToLoan[[#This Row],[Ins]],tblSubjectToLoan[[#This Row],[Taxes]])</f>
        <v>322.72000000000003</v>
      </c>
      <c r="I3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8" s="276">
        <f>IF(tblSubjectToLoan[[#This Row],[Date]]="",IF(ROW()=ROW(tblSubjectToLoan[#Headers])+1,0,INDEX(tblSubjectToLoan[Interest],ROW()-ROW(tblSubjectToLoan[#Headers])-1)),tblSubjectToLoan[[#This Row],[Int]]+IF(ROW()=ROW(tblSubjectToLoan[#Headers])+1,0,INDEX(tblSubjectToLoan[Interest],ROW()-ROW(tblSubjectToLoan[#Headers])-1)))</f>
        <v>36068.259999999973</v>
      </c>
      <c r="K308" s="969">
        <f>IF(tblSubjectToLoan[[#This Row],[Date]]="",0,MAX(0,tblSubjectToLoan[[#This Row],[Beginning Balance]]-tblSubjectToLoan[[#This Row],[Princ]]))</f>
        <v>0</v>
      </c>
      <c r="L308" s="394">
        <f t="shared" ref="L308:L371" si="27">IF(MOD(M308,12)=0,M308/12,L307)</f>
        <v>0</v>
      </c>
      <c r="M308" s="394">
        <f t="shared" si="24"/>
        <v>0</v>
      </c>
      <c r="N308" s="613" t="str">
        <f>INDEX(tblSubjectToLoan[Date],ROW()-ROW(tblContractForDeed[#Headers]))</f>
        <v/>
      </c>
      <c r="O308" s="276">
        <f>IF(ROW()=ROW(tblContractForDeed[#Headers])+1,$O$6,IF(INDEX(tblContractForDeed[End Bal],ROW()-ROW(tblContractForDeed[#Headers])-1)&lt;0,0,INDEX(tblContractForDeed[End Bal],ROW()-ROW(tblContractForDeed[#Headers])-1)))</f>
        <v>0</v>
      </c>
      <c r="P308" s="454"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8" s="276">
        <f>IF(INDEX(tblContractForDeed[End Bal],ROW()-ROW(tblBuyerOutputs[#Headers]))&lt;=0,0,($O$6+IF(ROW()=ROW(tblBuyerOutputs[#Headers])+1,0,INDEX(tblBuyerOutputs[Cumul Appr],ROW()-ROW(tblBuyerOutputs[#Headers])-1)))*$O$2/12)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13" t="str">
        <f>IF(ROW()=ROW(tblSubjectToLoan[#Headers])+1,subjectKnownBalanceDate,IF(OR(INDEX(tblSubjectToLoan[Date],ROW()-ROW(tblSubjectToLoan[#Headers])-1)="",INDEX(tblSubjectToLoan[Date],ROW()-ROW(tblSubjectToLoan[#Headers])-1)&gt;=subjectMortgageEndDate),"",EDATE(INDEX(tblSubjectToLoan[Date],ROW()-ROW(tblSubjectToLoan[#Headers])-1),1)))</f>
        <v/>
      </c>
      <c r="B309" s="276">
        <f>IF(tblSubjectToLoan[[#This Row],[Date]]="",0,IF(ROW()=ROW(tblSubjectToLoan[#Headers])+1,subjectKnownBalance,MAX(0,INDEX(tblSubjectToLoan[Ending Balance],ROW()-ROW(tblSubjectToLoan[#Headers])-1))))</f>
        <v>0</v>
      </c>
      <c r="C3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9" s="14">
        <f>IF(tblSubjectToLoan[[#This Row],[Payment]]=0,0,MAX(0,MIN(tblSubjectToLoan[[#This Row],[Beginning Balance]],tblSubjectToLoan[[#This Row],[Payment]]-tblSubjectToLoan[[#This Row],[Int]])))</f>
        <v>0</v>
      </c>
      <c r="E309" s="14">
        <f>IF(tblSubjectToLoan[[#This Row],[Date]]="",0,ROUND(tblSubjectToLoan[[#This Row],[Beginning Balance]]*(subjectInterestRate/12),2))</f>
        <v>0</v>
      </c>
      <c r="F309" s="14">
        <f t="shared" si="26"/>
        <v>134.16999999999999</v>
      </c>
      <c r="G309" s="14">
        <f t="shared" si="26"/>
        <v>188.55</v>
      </c>
      <c r="H309" s="14">
        <f>SUM(tblSubjectToLoan[[#This Row],[Princ]],tblSubjectToLoan[[#This Row],[Int]],tblSubjectToLoan[[#This Row],[Ins]],tblSubjectToLoan[[#This Row],[Taxes]])</f>
        <v>322.72000000000003</v>
      </c>
      <c r="I3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9" s="276">
        <f>IF(tblSubjectToLoan[[#This Row],[Date]]="",IF(ROW()=ROW(tblSubjectToLoan[#Headers])+1,0,INDEX(tblSubjectToLoan[Interest],ROW()-ROW(tblSubjectToLoan[#Headers])-1)),tblSubjectToLoan[[#This Row],[Int]]+IF(ROW()=ROW(tblSubjectToLoan[#Headers])+1,0,INDEX(tblSubjectToLoan[Interest],ROW()-ROW(tblSubjectToLoan[#Headers])-1)))</f>
        <v>36068.259999999973</v>
      </c>
      <c r="K309" s="969">
        <f>IF(tblSubjectToLoan[[#This Row],[Date]]="",0,MAX(0,tblSubjectToLoan[[#This Row],[Beginning Balance]]-tblSubjectToLoan[[#This Row],[Princ]]))</f>
        <v>0</v>
      </c>
      <c r="L309" s="394">
        <f t="shared" si="27"/>
        <v>0</v>
      </c>
      <c r="M309" s="394">
        <f t="shared" si="24"/>
        <v>0</v>
      </c>
      <c r="N309" s="613" t="str">
        <f>INDEX(tblSubjectToLoan[Date],ROW()-ROW(tblContractForDeed[#Headers]))</f>
        <v/>
      </c>
      <c r="O309" s="276">
        <f>IF(ROW()=ROW(tblContractForDeed[#Headers])+1,$O$6,IF(INDEX(tblContractForDeed[End Bal],ROW()-ROW(tblContractForDeed[#Headers])-1)&lt;0,0,INDEX(tblContractForDeed[End Bal],ROW()-ROW(tblContractForDeed[#Headers])-1)))</f>
        <v>0</v>
      </c>
      <c r="P309" s="454"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9" s="276">
        <f>IF(INDEX(tblContractForDeed[End Bal],ROW()-ROW(tblBuyerOutputs[#Headers]))&lt;=0,0,($O$6+IF(ROW()=ROW(tblBuyerOutputs[#Headers])+1,0,INDEX(tblBuyerOutputs[Cumul Appr],ROW()-ROW(tblBuyerOutputs[#Headers])-1)))*$O$2/12)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13" t="str">
        <f>IF(ROW()=ROW(tblSubjectToLoan[#Headers])+1,subjectKnownBalanceDate,IF(OR(INDEX(tblSubjectToLoan[Date],ROW()-ROW(tblSubjectToLoan[#Headers])-1)="",INDEX(tblSubjectToLoan[Date],ROW()-ROW(tblSubjectToLoan[#Headers])-1)&gt;=subjectMortgageEndDate),"",EDATE(INDEX(tblSubjectToLoan[Date],ROW()-ROW(tblSubjectToLoan[#Headers])-1),1)))</f>
        <v/>
      </c>
      <c r="B310" s="276">
        <f>IF(tblSubjectToLoan[[#This Row],[Date]]="",0,IF(ROW()=ROW(tblSubjectToLoan[#Headers])+1,subjectKnownBalance,MAX(0,INDEX(tblSubjectToLoan[Ending Balance],ROW()-ROW(tblSubjectToLoan[#Headers])-1))))</f>
        <v>0</v>
      </c>
      <c r="C3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0" s="14">
        <f>IF(tblSubjectToLoan[[#This Row],[Payment]]=0,0,MAX(0,MIN(tblSubjectToLoan[[#This Row],[Beginning Balance]],tblSubjectToLoan[[#This Row],[Payment]]-tblSubjectToLoan[[#This Row],[Int]])))</f>
        <v>0</v>
      </c>
      <c r="E310" s="14">
        <f>IF(tblSubjectToLoan[[#This Row],[Date]]="",0,ROUND(tblSubjectToLoan[[#This Row],[Beginning Balance]]*(subjectInterestRate/12),2))</f>
        <v>0</v>
      </c>
      <c r="F310" s="14">
        <f t="shared" si="26"/>
        <v>134.16999999999999</v>
      </c>
      <c r="G310" s="14">
        <f t="shared" si="26"/>
        <v>188.55</v>
      </c>
      <c r="H310" s="14">
        <f>SUM(tblSubjectToLoan[[#This Row],[Princ]],tblSubjectToLoan[[#This Row],[Int]],tblSubjectToLoan[[#This Row],[Ins]],tblSubjectToLoan[[#This Row],[Taxes]])</f>
        <v>322.72000000000003</v>
      </c>
      <c r="I3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0" s="276">
        <f>IF(tblSubjectToLoan[[#This Row],[Date]]="",IF(ROW()=ROW(tblSubjectToLoan[#Headers])+1,0,INDEX(tblSubjectToLoan[Interest],ROW()-ROW(tblSubjectToLoan[#Headers])-1)),tblSubjectToLoan[[#This Row],[Int]]+IF(ROW()=ROW(tblSubjectToLoan[#Headers])+1,0,INDEX(tblSubjectToLoan[Interest],ROW()-ROW(tblSubjectToLoan[#Headers])-1)))</f>
        <v>36068.259999999973</v>
      </c>
      <c r="K310" s="969">
        <f>IF(tblSubjectToLoan[[#This Row],[Date]]="",0,MAX(0,tblSubjectToLoan[[#This Row],[Beginning Balance]]-tblSubjectToLoan[[#This Row],[Princ]]))</f>
        <v>0</v>
      </c>
      <c r="L310" s="394">
        <f t="shared" si="27"/>
        <v>0</v>
      </c>
      <c r="M310" s="394">
        <f t="shared" si="24"/>
        <v>0</v>
      </c>
      <c r="N310" s="613" t="str">
        <f>INDEX(tblSubjectToLoan[Date],ROW()-ROW(tblContractForDeed[#Headers]))</f>
        <v/>
      </c>
      <c r="O310" s="276">
        <f>IF(ROW()=ROW(tblContractForDeed[#Headers])+1,$O$6,IF(INDEX(tblContractForDeed[End Bal],ROW()-ROW(tblContractForDeed[#Headers])-1)&lt;0,0,INDEX(tblContractForDeed[End Bal],ROW()-ROW(tblContractForDeed[#Headers])-1)))</f>
        <v>0</v>
      </c>
      <c r="P310" s="454"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0" s="276">
        <f>IF(INDEX(tblContractForDeed[End Bal],ROW()-ROW(tblBuyerOutputs[#Headers]))&lt;=0,0,($O$6+IF(ROW()=ROW(tblBuyerOutputs[#Headers])+1,0,INDEX(tblBuyerOutputs[Cumul Appr],ROW()-ROW(tblBuyerOutputs[#Headers])-1)))*$O$2/12)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13" t="str">
        <f>IF(ROW()=ROW(tblSubjectToLoan[#Headers])+1,subjectKnownBalanceDate,IF(OR(INDEX(tblSubjectToLoan[Date],ROW()-ROW(tblSubjectToLoan[#Headers])-1)="",INDEX(tblSubjectToLoan[Date],ROW()-ROW(tblSubjectToLoan[#Headers])-1)&gt;=subjectMortgageEndDate),"",EDATE(INDEX(tblSubjectToLoan[Date],ROW()-ROW(tblSubjectToLoan[#Headers])-1),1)))</f>
        <v/>
      </c>
      <c r="B311" s="276">
        <f>IF(tblSubjectToLoan[[#This Row],[Date]]="",0,IF(ROW()=ROW(tblSubjectToLoan[#Headers])+1,subjectKnownBalance,MAX(0,INDEX(tblSubjectToLoan[Ending Balance],ROW()-ROW(tblSubjectToLoan[#Headers])-1))))</f>
        <v>0</v>
      </c>
      <c r="C3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1" s="14">
        <f>IF(tblSubjectToLoan[[#This Row],[Payment]]=0,0,MAX(0,MIN(tblSubjectToLoan[[#This Row],[Beginning Balance]],tblSubjectToLoan[[#This Row],[Payment]]-tblSubjectToLoan[[#This Row],[Int]])))</f>
        <v>0</v>
      </c>
      <c r="E311" s="14">
        <f>IF(tblSubjectToLoan[[#This Row],[Date]]="",0,ROUND(tblSubjectToLoan[[#This Row],[Beginning Balance]]*(subjectInterestRate/12),2))</f>
        <v>0</v>
      </c>
      <c r="F311" s="14">
        <f t="shared" si="26"/>
        <v>134.16999999999999</v>
      </c>
      <c r="G311" s="14">
        <f t="shared" si="26"/>
        <v>188.55</v>
      </c>
      <c r="H311" s="14">
        <f>SUM(tblSubjectToLoan[[#This Row],[Princ]],tblSubjectToLoan[[#This Row],[Int]],tblSubjectToLoan[[#This Row],[Ins]],tblSubjectToLoan[[#This Row],[Taxes]])</f>
        <v>322.72000000000003</v>
      </c>
      <c r="I3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1" s="276">
        <f>IF(tblSubjectToLoan[[#This Row],[Date]]="",IF(ROW()=ROW(tblSubjectToLoan[#Headers])+1,0,INDEX(tblSubjectToLoan[Interest],ROW()-ROW(tblSubjectToLoan[#Headers])-1)),tblSubjectToLoan[[#This Row],[Int]]+IF(ROW()=ROW(tblSubjectToLoan[#Headers])+1,0,INDEX(tblSubjectToLoan[Interest],ROW()-ROW(tblSubjectToLoan[#Headers])-1)))</f>
        <v>36068.259999999973</v>
      </c>
      <c r="K311" s="969">
        <f>IF(tblSubjectToLoan[[#This Row],[Date]]="",0,MAX(0,tblSubjectToLoan[[#This Row],[Beginning Balance]]-tblSubjectToLoan[[#This Row],[Princ]]))</f>
        <v>0</v>
      </c>
      <c r="L311" s="394">
        <f t="shared" si="27"/>
        <v>0</v>
      </c>
      <c r="M311" s="394">
        <f t="shared" si="24"/>
        <v>0</v>
      </c>
      <c r="N311" s="613" t="str">
        <f>INDEX(tblSubjectToLoan[Date],ROW()-ROW(tblContractForDeed[#Headers]))</f>
        <v/>
      </c>
      <c r="O311" s="276">
        <f>IF(ROW()=ROW(tblContractForDeed[#Headers])+1,$O$6,IF(INDEX(tblContractForDeed[End Bal],ROW()-ROW(tblContractForDeed[#Headers])-1)&lt;0,0,INDEX(tblContractForDeed[End Bal],ROW()-ROW(tblContractForDeed[#Headers])-1)))</f>
        <v>0</v>
      </c>
      <c r="P311" s="454"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1" s="276">
        <f>IF(INDEX(tblContractForDeed[End Bal],ROW()-ROW(tblBuyerOutputs[#Headers]))&lt;=0,0,($O$6+IF(ROW()=ROW(tblBuyerOutputs[#Headers])+1,0,INDEX(tblBuyerOutputs[Cumul Appr],ROW()-ROW(tblBuyerOutputs[#Headers])-1)))*$O$2/12)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13" t="str">
        <f>IF(ROW()=ROW(tblSubjectToLoan[#Headers])+1,subjectKnownBalanceDate,IF(OR(INDEX(tblSubjectToLoan[Date],ROW()-ROW(tblSubjectToLoan[#Headers])-1)="",INDEX(tblSubjectToLoan[Date],ROW()-ROW(tblSubjectToLoan[#Headers])-1)&gt;=subjectMortgageEndDate),"",EDATE(INDEX(tblSubjectToLoan[Date],ROW()-ROW(tblSubjectToLoan[#Headers])-1),1)))</f>
        <v/>
      </c>
      <c r="B312" s="276">
        <f>IF(tblSubjectToLoan[[#This Row],[Date]]="",0,IF(ROW()=ROW(tblSubjectToLoan[#Headers])+1,subjectKnownBalance,MAX(0,INDEX(tblSubjectToLoan[Ending Balance],ROW()-ROW(tblSubjectToLoan[#Headers])-1))))</f>
        <v>0</v>
      </c>
      <c r="C3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2" s="14">
        <f>IF(tblSubjectToLoan[[#This Row],[Payment]]=0,0,MAX(0,MIN(tblSubjectToLoan[[#This Row],[Beginning Balance]],tblSubjectToLoan[[#This Row],[Payment]]-tblSubjectToLoan[[#This Row],[Int]])))</f>
        <v>0</v>
      </c>
      <c r="E312" s="14">
        <f>IF(tblSubjectToLoan[[#This Row],[Date]]="",0,ROUND(tblSubjectToLoan[[#This Row],[Beginning Balance]]*(subjectInterestRate/12),2))</f>
        <v>0</v>
      </c>
      <c r="F312" s="14">
        <f t="shared" si="26"/>
        <v>134.16999999999999</v>
      </c>
      <c r="G312" s="14">
        <f t="shared" si="26"/>
        <v>188.55</v>
      </c>
      <c r="H312" s="14">
        <f>SUM(tblSubjectToLoan[[#This Row],[Princ]],tblSubjectToLoan[[#This Row],[Int]],tblSubjectToLoan[[#This Row],[Ins]],tblSubjectToLoan[[#This Row],[Taxes]])</f>
        <v>322.72000000000003</v>
      </c>
      <c r="I3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2" s="276">
        <f>IF(tblSubjectToLoan[[#This Row],[Date]]="",IF(ROW()=ROW(tblSubjectToLoan[#Headers])+1,0,INDEX(tblSubjectToLoan[Interest],ROW()-ROW(tblSubjectToLoan[#Headers])-1)),tblSubjectToLoan[[#This Row],[Int]]+IF(ROW()=ROW(tblSubjectToLoan[#Headers])+1,0,INDEX(tblSubjectToLoan[Interest],ROW()-ROW(tblSubjectToLoan[#Headers])-1)))</f>
        <v>36068.259999999973</v>
      </c>
      <c r="K312" s="969">
        <f>IF(tblSubjectToLoan[[#This Row],[Date]]="",0,MAX(0,tblSubjectToLoan[[#This Row],[Beginning Balance]]-tblSubjectToLoan[[#This Row],[Princ]]))</f>
        <v>0</v>
      </c>
      <c r="L312" s="394">
        <f t="shared" si="27"/>
        <v>0</v>
      </c>
      <c r="M312" s="394">
        <f t="shared" si="24"/>
        <v>0</v>
      </c>
      <c r="N312" s="613" t="str">
        <f>INDEX(tblSubjectToLoan[Date],ROW()-ROW(tblContractForDeed[#Headers]))</f>
        <v/>
      </c>
      <c r="O312" s="276">
        <f>IF(ROW()=ROW(tblContractForDeed[#Headers])+1,$O$6,IF(INDEX(tblContractForDeed[End Bal],ROW()-ROW(tblContractForDeed[#Headers])-1)&lt;0,0,INDEX(tblContractForDeed[End Bal],ROW()-ROW(tblContractForDeed[#Headers])-1)))</f>
        <v>0</v>
      </c>
      <c r="P312" s="454"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2" s="276">
        <f>IF(INDEX(tblContractForDeed[End Bal],ROW()-ROW(tblBuyerOutputs[#Headers]))&lt;=0,0,($O$6+IF(ROW()=ROW(tblBuyerOutputs[#Headers])+1,0,INDEX(tblBuyerOutputs[Cumul Appr],ROW()-ROW(tblBuyerOutputs[#Headers])-1)))*$O$2/12)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13" t="str">
        <f>IF(ROW()=ROW(tblSubjectToLoan[#Headers])+1,subjectKnownBalanceDate,IF(OR(INDEX(tblSubjectToLoan[Date],ROW()-ROW(tblSubjectToLoan[#Headers])-1)="",INDEX(tblSubjectToLoan[Date],ROW()-ROW(tblSubjectToLoan[#Headers])-1)&gt;=subjectMortgageEndDate),"",EDATE(INDEX(tblSubjectToLoan[Date],ROW()-ROW(tblSubjectToLoan[#Headers])-1),1)))</f>
        <v/>
      </c>
      <c r="B313" s="276">
        <f>IF(tblSubjectToLoan[[#This Row],[Date]]="",0,IF(ROW()=ROW(tblSubjectToLoan[#Headers])+1,subjectKnownBalance,MAX(0,INDEX(tblSubjectToLoan[Ending Balance],ROW()-ROW(tblSubjectToLoan[#Headers])-1))))</f>
        <v>0</v>
      </c>
      <c r="C3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3" s="14">
        <f>IF(tblSubjectToLoan[[#This Row],[Payment]]=0,0,MAX(0,MIN(tblSubjectToLoan[[#This Row],[Beginning Balance]],tblSubjectToLoan[[#This Row],[Payment]]-tblSubjectToLoan[[#This Row],[Int]])))</f>
        <v>0</v>
      </c>
      <c r="E313" s="14">
        <f>IF(tblSubjectToLoan[[#This Row],[Date]]="",0,ROUND(tblSubjectToLoan[[#This Row],[Beginning Balance]]*(subjectInterestRate/12),2))</f>
        <v>0</v>
      </c>
      <c r="F313" s="14">
        <f t="shared" si="26"/>
        <v>134.16999999999999</v>
      </c>
      <c r="G313" s="14">
        <f t="shared" si="26"/>
        <v>188.55</v>
      </c>
      <c r="H313" s="14">
        <f>SUM(tblSubjectToLoan[[#This Row],[Princ]],tblSubjectToLoan[[#This Row],[Int]],tblSubjectToLoan[[#This Row],[Ins]],tblSubjectToLoan[[#This Row],[Taxes]])</f>
        <v>322.72000000000003</v>
      </c>
      <c r="I3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3" s="276">
        <f>IF(tblSubjectToLoan[[#This Row],[Date]]="",IF(ROW()=ROW(tblSubjectToLoan[#Headers])+1,0,INDEX(tblSubjectToLoan[Interest],ROW()-ROW(tblSubjectToLoan[#Headers])-1)),tblSubjectToLoan[[#This Row],[Int]]+IF(ROW()=ROW(tblSubjectToLoan[#Headers])+1,0,INDEX(tblSubjectToLoan[Interest],ROW()-ROW(tblSubjectToLoan[#Headers])-1)))</f>
        <v>36068.259999999973</v>
      </c>
      <c r="K313" s="969">
        <f>IF(tblSubjectToLoan[[#This Row],[Date]]="",0,MAX(0,tblSubjectToLoan[[#This Row],[Beginning Balance]]-tblSubjectToLoan[[#This Row],[Princ]]))</f>
        <v>0</v>
      </c>
      <c r="L313" s="394">
        <f t="shared" si="27"/>
        <v>0</v>
      </c>
      <c r="M313" s="394">
        <f t="shared" si="24"/>
        <v>0</v>
      </c>
      <c r="N313" s="613" t="str">
        <f>INDEX(tblSubjectToLoan[Date],ROW()-ROW(tblContractForDeed[#Headers]))</f>
        <v/>
      </c>
      <c r="O313" s="276">
        <f>IF(ROW()=ROW(tblContractForDeed[#Headers])+1,$O$6,IF(INDEX(tblContractForDeed[End Bal],ROW()-ROW(tblContractForDeed[#Headers])-1)&lt;0,0,INDEX(tblContractForDeed[End Bal],ROW()-ROW(tblContractForDeed[#Headers])-1)))</f>
        <v>0</v>
      </c>
      <c r="P313" s="454"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3" s="276">
        <f>IF(INDEX(tblContractForDeed[End Bal],ROW()-ROW(tblBuyerOutputs[#Headers]))&lt;=0,0,($O$6+IF(ROW()=ROW(tblBuyerOutputs[#Headers])+1,0,INDEX(tblBuyerOutputs[Cumul Appr],ROW()-ROW(tblBuyerOutputs[#Headers])-1)))*$O$2/12)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13" t="str">
        <f>IF(ROW()=ROW(tblSubjectToLoan[#Headers])+1,subjectKnownBalanceDate,IF(OR(INDEX(tblSubjectToLoan[Date],ROW()-ROW(tblSubjectToLoan[#Headers])-1)="",INDEX(tblSubjectToLoan[Date],ROW()-ROW(tblSubjectToLoan[#Headers])-1)&gt;=subjectMortgageEndDate),"",EDATE(INDEX(tblSubjectToLoan[Date],ROW()-ROW(tblSubjectToLoan[#Headers])-1),1)))</f>
        <v/>
      </c>
      <c r="B314" s="276">
        <f>IF(tblSubjectToLoan[[#This Row],[Date]]="",0,IF(ROW()=ROW(tblSubjectToLoan[#Headers])+1,subjectKnownBalance,MAX(0,INDEX(tblSubjectToLoan[Ending Balance],ROW()-ROW(tblSubjectToLoan[#Headers])-1))))</f>
        <v>0</v>
      </c>
      <c r="C3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4" s="14">
        <f>IF(tblSubjectToLoan[[#This Row],[Payment]]=0,0,MAX(0,MIN(tblSubjectToLoan[[#This Row],[Beginning Balance]],tblSubjectToLoan[[#This Row],[Payment]]-tblSubjectToLoan[[#This Row],[Int]])))</f>
        <v>0</v>
      </c>
      <c r="E314" s="14">
        <f>IF(tblSubjectToLoan[[#This Row],[Date]]="",0,ROUND(tblSubjectToLoan[[#This Row],[Beginning Balance]]*(subjectInterestRate/12),2))</f>
        <v>0</v>
      </c>
      <c r="F314" s="14">
        <f t="shared" si="26"/>
        <v>134.16999999999999</v>
      </c>
      <c r="G314" s="14">
        <f t="shared" si="26"/>
        <v>188.55</v>
      </c>
      <c r="H314" s="14">
        <f>SUM(tblSubjectToLoan[[#This Row],[Princ]],tblSubjectToLoan[[#This Row],[Int]],tblSubjectToLoan[[#This Row],[Ins]],tblSubjectToLoan[[#This Row],[Taxes]])</f>
        <v>322.72000000000003</v>
      </c>
      <c r="I3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4" s="276">
        <f>IF(tblSubjectToLoan[[#This Row],[Date]]="",IF(ROW()=ROW(tblSubjectToLoan[#Headers])+1,0,INDEX(tblSubjectToLoan[Interest],ROW()-ROW(tblSubjectToLoan[#Headers])-1)),tblSubjectToLoan[[#This Row],[Int]]+IF(ROW()=ROW(tblSubjectToLoan[#Headers])+1,0,INDEX(tblSubjectToLoan[Interest],ROW()-ROW(tblSubjectToLoan[#Headers])-1)))</f>
        <v>36068.259999999973</v>
      </c>
      <c r="K314" s="969">
        <f>IF(tblSubjectToLoan[[#This Row],[Date]]="",0,MAX(0,tblSubjectToLoan[[#This Row],[Beginning Balance]]-tblSubjectToLoan[[#This Row],[Princ]]))</f>
        <v>0</v>
      </c>
      <c r="L314" s="394">
        <f t="shared" si="27"/>
        <v>0</v>
      </c>
      <c r="M314" s="394">
        <f t="shared" si="24"/>
        <v>0</v>
      </c>
      <c r="N314" s="613" t="str">
        <f>INDEX(tblSubjectToLoan[Date],ROW()-ROW(tblContractForDeed[#Headers]))</f>
        <v/>
      </c>
      <c r="O314" s="276">
        <f>IF(ROW()=ROW(tblContractForDeed[#Headers])+1,$O$6,IF(INDEX(tblContractForDeed[End Bal],ROW()-ROW(tblContractForDeed[#Headers])-1)&lt;0,0,INDEX(tblContractForDeed[End Bal],ROW()-ROW(tblContractForDeed[#Headers])-1)))</f>
        <v>0</v>
      </c>
      <c r="P314" s="454"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4" s="276">
        <f>IF(INDEX(tblContractForDeed[End Bal],ROW()-ROW(tblBuyerOutputs[#Headers]))&lt;=0,0,($O$6+IF(ROW()=ROW(tblBuyerOutputs[#Headers])+1,0,INDEX(tblBuyerOutputs[Cumul Appr],ROW()-ROW(tblBuyerOutputs[#Headers])-1)))*$O$2/12)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13" t="str">
        <f>IF(ROW()=ROW(tblSubjectToLoan[#Headers])+1,subjectKnownBalanceDate,IF(OR(INDEX(tblSubjectToLoan[Date],ROW()-ROW(tblSubjectToLoan[#Headers])-1)="",INDEX(tblSubjectToLoan[Date],ROW()-ROW(tblSubjectToLoan[#Headers])-1)&gt;=subjectMortgageEndDate),"",EDATE(INDEX(tblSubjectToLoan[Date],ROW()-ROW(tblSubjectToLoan[#Headers])-1),1)))</f>
        <v/>
      </c>
      <c r="B315" s="276">
        <f>IF(tblSubjectToLoan[[#This Row],[Date]]="",0,IF(ROW()=ROW(tblSubjectToLoan[#Headers])+1,subjectKnownBalance,MAX(0,INDEX(tblSubjectToLoan[Ending Balance],ROW()-ROW(tblSubjectToLoan[#Headers])-1))))</f>
        <v>0</v>
      </c>
      <c r="C3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5" s="14">
        <f>IF(tblSubjectToLoan[[#This Row],[Payment]]=0,0,MAX(0,MIN(tblSubjectToLoan[[#This Row],[Beginning Balance]],tblSubjectToLoan[[#This Row],[Payment]]-tblSubjectToLoan[[#This Row],[Int]])))</f>
        <v>0</v>
      </c>
      <c r="E315" s="14">
        <f>IF(tblSubjectToLoan[[#This Row],[Date]]="",0,ROUND(tblSubjectToLoan[[#This Row],[Beginning Balance]]*(subjectInterestRate/12),2))</f>
        <v>0</v>
      </c>
      <c r="F315" s="14">
        <f t="shared" si="26"/>
        <v>134.16999999999999</v>
      </c>
      <c r="G315" s="14">
        <f t="shared" si="26"/>
        <v>188.55</v>
      </c>
      <c r="H315" s="14">
        <f>SUM(tblSubjectToLoan[[#This Row],[Princ]],tblSubjectToLoan[[#This Row],[Int]],tblSubjectToLoan[[#This Row],[Ins]],tblSubjectToLoan[[#This Row],[Taxes]])</f>
        <v>322.72000000000003</v>
      </c>
      <c r="I3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5" s="276">
        <f>IF(tblSubjectToLoan[[#This Row],[Date]]="",IF(ROW()=ROW(tblSubjectToLoan[#Headers])+1,0,INDEX(tblSubjectToLoan[Interest],ROW()-ROW(tblSubjectToLoan[#Headers])-1)),tblSubjectToLoan[[#This Row],[Int]]+IF(ROW()=ROW(tblSubjectToLoan[#Headers])+1,0,INDEX(tblSubjectToLoan[Interest],ROW()-ROW(tblSubjectToLoan[#Headers])-1)))</f>
        <v>36068.259999999973</v>
      </c>
      <c r="K315" s="969">
        <f>IF(tblSubjectToLoan[[#This Row],[Date]]="",0,MAX(0,tblSubjectToLoan[[#This Row],[Beginning Balance]]-tblSubjectToLoan[[#This Row],[Princ]]))</f>
        <v>0</v>
      </c>
      <c r="L315" s="394">
        <f t="shared" si="27"/>
        <v>0</v>
      </c>
      <c r="M315" s="394">
        <f t="shared" si="24"/>
        <v>0</v>
      </c>
      <c r="N315" s="613" t="str">
        <f>INDEX(tblSubjectToLoan[Date],ROW()-ROW(tblContractForDeed[#Headers]))</f>
        <v/>
      </c>
      <c r="O315" s="276">
        <f>IF(ROW()=ROW(tblContractForDeed[#Headers])+1,$O$6,IF(INDEX(tblContractForDeed[End Bal],ROW()-ROW(tblContractForDeed[#Headers])-1)&lt;0,0,INDEX(tblContractForDeed[End Bal],ROW()-ROW(tblContractForDeed[#Headers])-1)))</f>
        <v>0</v>
      </c>
      <c r="P315" s="454"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5" s="276">
        <f>IF(INDEX(tblContractForDeed[End Bal],ROW()-ROW(tblBuyerOutputs[#Headers]))&lt;=0,0,($O$6+IF(ROW()=ROW(tblBuyerOutputs[#Headers])+1,0,INDEX(tblBuyerOutputs[Cumul Appr],ROW()-ROW(tblBuyerOutputs[#Headers])-1)))*$O$2/12)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13" t="str">
        <f>IF(ROW()=ROW(tblSubjectToLoan[#Headers])+1,subjectKnownBalanceDate,IF(OR(INDEX(tblSubjectToLoan[Date],ROW()-ROW(tblSubjectToLoan[#Headers])-1)="",INDEX(tblSubjectToLoan[Date],ROW()-ROW(tblSubjectToLoan[#Headers])-1)&gt;=subjectMortgageEndDate),"",EDATE(INDEX(tblSubjectToLoan[Date],ROW()-ROW(tblSubjectToLoan[#Headers])-1),1)))</f>
        <v/>
      </c>
      <c r="B316" s="276">
        <f>IF(tblSubjectToLoan[[#This Row],[Date]]="",0,IF(ROW()=ROW(tblSubjectToLoan[#Headers])+1,subjectKnownBalance,MAX(0,INDEX(tblSubjectToLoan[Ending Balance],ROW()-ROW(tblSubjectToLoan[#Headers])-1))))</f>
        <v>0</v>
      </c>
      <c r="C3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6" s="14">
        <f>IF(tblSubjectToLoan[[#This Row],[Payment]]=0,0,MAX(0,MIN(tblSubjectToLoan[[#This Row],[Beginning Balance]],tblSubjectToLoan[[#This Row],[Payment]]-tblSubjectToLoan[[#This Row],[Int]])))</f>
        <v>0</v>
      </c>
      <c r="E316" s="14">
        <f>IF(tblSubjectToLoan[[#This Row],[Date]]="",0,ROUND(tblSubjectToLoan[[#This Row],[Beginning Balance]]*(subjectInterestRate/12),2))</f>
        <v>0</v>
      </c>
      <c r="F316" s="14">
        <f t="shared" si="26"/>
        <v>134.16999999999999</v>
      </c>
      <c r="G316" s="14">
        <f t="shared" si="26"/>
        <v>188.55</v>
      </c>
      <c r="H316" s="14">
        <f>SUM(tblSubjectToLoan[[#This Row],[Princ]],tblSubjectToLoan[[#This Row],[Int]],tblSubjectToLoan[[#This Row],[Ins]],tblSubjectToLoan[[#This Row],[Taxes]])</f>
        <v>322.72000000000003</v>
      </c>
      <c r="I3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6" s="276">
        <f>IF(tblSubjectToLoan[[#This Row],[Date]]="",IF(ROW()=ROW(tblSubjectToLoan[#Headers])+1,0,INDEX(tblSubjectToLoan[Interest],ROW()-ROW(tblSubjectToLoan[#Headers])-1)),tblSubjectToLoan[[#This Row],[Int]]+IF(ROW()=ROW(tblSubjectToLoan[#Headers])+1,0,INDEX(tblSubjectToLoan[Interest],ROW()-ROW(tblSubjectToLoan[#Headers])-1)))</f>
        <v>36068.259999999973</v>
      </c>
      <c r="K316" s="969">
        <f>IF(tblSubjectToLoan[[#This Row],[Date]]="",0,MAX(0,tblSubjectToLoan[[#This Row],[Beginning Balance]]-tblSubjectToLoan[[#This Row],[Princ]]))</f>
        <v>0</v>
      </c>
      <c r="L316" s="394">
        <f t="shared" si="27"/>
        <v>0</v>
      </c>
      <c r="M316" s="394">
        <f t="shared" si="24"/>
        <v>0</v>
      </c>
      <c r="N316" s="613" t="str">
        <f>INDEX(tblSubjectToLoan[Date],ROW()-ROW(tblContractForDeed[#Headers]))</f>
        <v/>
      </c>
      <c r="O316" s="276">
        <f>IF(ROW()=ROW(tblContractForDeed[#Headers])+1,$O$6,IF(INDEX(tblContractForDeed[End Bal],ROW()-ROW(tblContractForDeed[#Headers])-1)&lt;0,0,INDEX(tblContractForDeed[End Bal],ROW()-ROW(tblContractForDeed[#Headers])-1)))</f>
        <v>0</v>
      </c>
      <c r="P316" s="454"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6" s="276">
        <f>IF(INDEX(tblContractForDeed[End Bal],ROW()-ROW(tblBuyerOutputs[#Headers]))&lt;=0,0,($O$6+IF(ROW()=ROW(tblBuyerOutputs[#Headers])+1,0,INDEX(tblBuyerOutputs[Cumul Appr],ROW()-ROW(tblBuyerOutputs[#Headers])-1)))*$O$2/12)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13" t="str">
        <f>IF(ROW()=ROW(tblSubjectToLoan[#Headers])+1,subjectKnownBalanceDate,IF(OR(INDEX(tblSubjectToLoan[Date],ROW()-ROW(tblSubjectToLoan[#Headers])-1)="",INDEX(tblSubjectToLoan[Date],ROW()-ROW(tblSubjectToLoan[#Headers])-1)&gt;=subjectMortgageEndDate),"",EDATE(INDEX(tblSubjectToLoan[Date],ROW()-ROW(tblSubjectToLoan[#Headers])-1),1)))</f>
        <v/>
      </c>
      <c r="B317" s="276">
        <f>IF(tblSubjectToLoan[[#This Row],[Date]]="",0,IF(ROW()=ROW(tblSubjectToLoan[#Headers])+1,subjectKnownBalance,MAX(0,INDEX(tblSubjectToLoan[Ending Balance],ROW()-ROW(tblSubjectToLoan[#Headers])-1))))</f>
        <v>0</v>
      </c>
      <c r="C3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7" s="14">
        <f>IF(tblSubjectToLoan[[#This Row],[Payment]]=0,0,MAX(0,MIN(tblSubjectToLoan[[#This Row],[Beginning Balance]],tblSubjectToLoan[[#This Row],[Payment]]-tblSubjectToLoan[[#This Row],[Int]])))</f>
        <v>0</v>
      </c>
      <c r="E317" s="14">
        <f>IF(tblSubjectToLoan[[#This Row],[Date]]="",0,ROUND(tblSubjectToLoan[[#This Row],[Beginning Balance]]*(subjectInterestRate/12),2))</f>
        <v>0</v>
      </c>
      <c r="F317" s="14">
        <f t="shared" si="26"/>
        <v>134.16999999999999</v>
      </c>
      <c r="G317" s="14">
        <f t="shared" si="26"/>
        <v>188.55</v>
      </c>
      <c r="H317" s="14">
        <f>SUM(tblSubjectToLoan[[#This Row],[Princ]],tblSubjectToLoan[[#This Row],[Int]],tblSubjectToLoan[[#This Row],[Ins]],tblSubjectToLoan[[#This Row],[Taxes]])</f>
        <v>322.72000000000003</v>
      </c>
      <c r="I3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7" s="276">
        <f>IF(tblSubjectToLoan[[#This Row],[Date]]="",IF(ROW()=ROW(tblSubjectToLoan[#Headers])+1,0,INDEX(tblSubjectToLoan[Interest],ROW()-ROW(tblSubjectToLoan[#Headers])-1)),tblSubjectToLoan[[#This Row],[Int]]+IF(ROW()=ROW(tblSubjectToLoan[#Headers])+1,0,INDEX(tblSubjectToLoan[Interest],ROW()-ROW(tblSubjectToLoan[#Headers])-1)))</f>
        <v>36068.259999999973</v>
      </c>
      <c r="K317" s="969">
        <f>IF(tblSubjectToLoan[[#This Row],[Date]]="",0,MAX(0,tblSubjectToLoan[[#This Row],[Beginning Balance]]-tblSubjectToLoan[[#This Row],[Princ]]))</f>
        <v>0</v>
      </c>
      <c r="L317" s="394">
        <f t="shared" si="27"/>
        <v>0</v>
      </c>
      <c r="M317" s="394">
        <f t="shared" si="24"/>
        <v>0</v>
      </c>
      <c r="N317" s="613" t="str">
        <f>INDEX(tblSubjectToLoan[Date],ROW()-ROW(tblContractForDeed[#Headers]))</f>
        <v/>
      </c>
      <c r="O317" s="276">
        <f>IF(ROW()=ROW(tblContractForDeed[#Headers])+1,$O$6,IF(INDEX(tblContractForDeed[End Bal],ROW()-ROW(tblContractForDeed[#Headers])-1)&lt;0,0,INDEX(tblContractForDeed[End Bal],ROW()-ROW(tblContractForDeed[#Headers])-1)))</f>
        <v>0</v>
      </c>
      <c r="P317" s="454"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7" s="276">
        <f>IF(INDEX(tblContractForDeed[End Bal],ROW()-ROW(tblBuyerOutputs[#Headers]))&lt;=0,0,($O$6+IF(ROW()=ROW(tblBuyerOutputs[#Headers])+1,0,INDEX(tblBuyerOutputs[Cumul Appr],ROW()-ROW(tblBuyerOutputs[#Headers])-1)))*$O$2/12)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13" t="str">
        <f>IF(ROW()=ROW(tblSubjectToLoan[#Headers])+1,subjectKnownBalanceDate,IF(OR(INDEX(tblSubjectToLoan[Date],ROW()-ROW(tblSubjectToLoan[#Headers])-1)="",INDEX(tblSubjectToLoan[Date],ROW()-ROW(tblSubjectToLoan[#Headers])-1)&gt;=subjectMortgageEndDate),"",EDATE(INDEX(tblSubjectToLoan[Date],ROW()-ROW(tblSubjectToLoan[#Headers])-1),1)))</f>
        <v/>
      </c>
      <c r="B318" s="276">
        <f>IF(tblSubjectToLoan[[#This Row],[Date]]="",0,IF(ROW()=ROW(tblSubjectToLoan[#Headers])+1,subjectKnownBalance,MAX(0,INDEX(tblSubjectToLoan[Ending Balance],ROW()-ROW(tblSubjectToLoan[#Headers])-1))))</f>
        <v>0</v>
      </c>
      <c r="C3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8" s="14">
        <f>IF(tblSubjectToLoan[[#This Row],[Payment]]=0,0,MAX(0,MIN(tblSubjectToLoan[[#This Row],[Beginning Balance]],tblSubjectToLoan[[#This Row],[Payment]]-tblSubjectToLoan[[#This Row],[Int]])))</f>
        <v>0</v>
      </c>
      <c r="E318" s="14">
        <f>IF(tblSubjectToLoan[[#This Row],[Date]]="",0,ROUND(tblSubjectToLoan[[#This Row],[Beginning Balance]]*(subjectInterestRate/12),2))</f>
        <v>0</v>
      </c>
      <c r="F318" s="14">
        <f t="shared" si="26"/>
        <v>134.16999999999999</v>
      </c>
      <c r="G318" s="14">
        <f t="shared" si="26"/>
        <v>188.55</v>
      </c>
      <c r="H318" s="14">
        <f>SUM(tblSubjectToLoan[[#This Row],[Princ]],tblSubjectToLoan[[#This Row],[Int]],tblSubjectToLoan[[#This Row],[Ins]],tblSubjectToLoan[[#This Row],[Taxes]])</f>
        <v>322.72000000000003</v>
      </c>
      <c r="I3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8" s="276">
        <f>IF(tblSubjectToLoan[[#This Row],[Date]]="",IF(ROW()=ROW(tblSubjectToLoan[#Headers])+1,0,INDEX(tblSubjectToLoan[Interest],ROW()-ROW(tblSubjectToLoan[#Headers])-1)),tblSubjectToLoan[[#This Row],[Int]]+IF(ROW()=ROW(tblSubjectToLoan[#Headers])+1,0,INDEX(tblSubjectToLoan[Interest],ROW()-ROW(tblSubjectToLoan[#Headers])-1)))</f>
        <v>36068.259999999973</v>
      </c>
      <c r="K318" s="969">
        <f>IF(tblSubjectToLoan[[#This Row],[Date]]="",0,MAX(0,tblSubjectToLoan[[#This Row],[Beginning Balance]]-tblSubjectToLoan[[#This Row],[Princ]]))</f>
        <v>0</v>
      </c>
      <c r="L318" s="394">
        <f t="shared" si="27"/>
        <v>0</v>
      </c>
      <c r="M318" s="394">
        <f t="shared" si="24"/>
        <v>0</v>
      </c>
      <c r="N318" s="613" t="str">
        <f>INDEX(tblSubjectToLoan[Date],ROW()-ROW(tblContractForDeed[#Headers]))</f>
        <v/>
      </c>
      <c r="O318" s="276">
        <f>IF(ROW()=ROW(tblContractForDeed[#Headers])+1,$O$6,IF(INDEX(tblContractForDeed[End Bal],ROW()-ROW(tblContractForDeed[#Headers])-1)&lt;0,0,INDEX(tblContractForDeed[End Bal],ROW()-ROW(tblContractForDeed[#Headers])-1)))</f>
        <v>0</v>
      </c>
      <c r="P318" s="454"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8" s="276">
        <f>IF(INDEX(tblContractForDeed[End Bal],ROW()-ROW(tblBuyerOutputs[#Headers]))&lt;=0,0,($O$6+IF(ROW()=ROW(tblBuyerOutputs[#Headers])+1,0,INDEX(tblBuyerOutputs[Cumul Appr],ROW()-ROW(tblBuyerOutputs[#Headers])-1)))*$O$2/12)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14" t="str">
        <f>IF(ROW()=ROW(tblSubjectToLoan[#Headers])+1,subjectKnownBalanceDate,IF(OR(INDEX(tblSubjectToLoan[Date],ROW()-ROW(tblSubjectToLoan[#Headers])-1)="",INDEX(tblSubjectToLoan[Date],ROW()-ROW(tblSubjectToLoan[#Headers])-1)&gt;=subjectMortgageEndDate),"",EDATE(INDEX(tblSubjectToLoan[Date],ROW()-ROW(tblSubjectToLoan[#Headers])-1),1)))</f>
        <v/>
      </c>
      <c r="B319" s="332">
        <f>IF(tblSubjectToLoan[[#This Row],[Date]]="",0,IF(ROW()=ROW(tblSubjectToLoan[#Headers])+1,subjectKnownBalance,MAX(0,INDEX(tblSubjectToLoan[Ending Balance],ROW()-ROW(tblSubjectToLoan[#Headers])-1))))</f>
        <v>0</v>
      </c>
      <c r="C31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9" s="21">
        <f>IF(tblSubjectToLoan[[#This Row],[Payment]]=0,0,MAX(0,MIN(tblSubjectToLoan[[#This Row],[Beginning Balance]],tblSubjectToLoan[[#This Row],[Payment]]-tblSubjectToLoan[[#This Row],[Int]])))</f>
        <v>0</v>
      </c>
      <c r="E319" s="21">
        <f>IF(tblSubjectToLoan[[#This Row],[Date]]="",0,ROUND(tblSubjectToLoan[[#This Row],[Beginning Balance]]*(subjectInterestRate/12),2))</f>
        <v>0</v>
      </c>
      <c r="F319" s="21">
        <f t="shared" ref="F319:G334" si="28">+F318</f>
        <v>134.16999999999999</v>
      </c>
      <c r="G319" s="21">
        <f t="shared" si="28"/>
        <v>188.55</v>
      </c>
      <c r="H319" s="21">
        <f>SUM(tblSubjectToLoan[[#This Row],[Princ]],tblSubjectToLoan[[#This Row],[Int]],tblSubjectToLoan[[#This Row],[Ins]],tblSubjectToLoan[[#This Row],[Taxes]])</f>
        <v>322.72000000000003</v>
      </c>
      <c r="I31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19" s="332">
        <f>IF(tblSubjectToLoan[[#This Row],[Date]]="",IF(ROW()=ROW(tblSubjectToLoan[#Headers])+1,0,INDEX(tblSubjectToLoan[Interest],ROW()-ROW(tblSubjectToLoan[#Headers])-1)),tblSubjectToLoan[[#This Row],[Int]]+IF(ROW()=ROW(tblSubjectToLoan[#Headers])+1,0,INDEX(tblSubjectToLoan[Interest],ROW()-ROW(tblSubjectToLoan[#Headers])-1)))</f>
        <v>36068.259999999973</v>
      </c>
      <c r="K319" s="970">
        <f>IF(tblSubjectToLoan[[#This Row],[Date]]="",0,MAX(0,tblSubjectToLoan[[#This Row],[Beginning Balance]]-tblSubjectToLoan[[#This Row],[Princ]]))</f>
        <v>0</v>
      </c>
      <c r="L319" s="395">
        <f t="shared" si="27"/>
        <v>0</v>
      </c>
      <c r="M319" s="395">
        <f t="shared" si="24"/>
        <v>0</v>
      </c>
      <c r="N319" s="614" t="str">
        <f>INDEX(tblSubjectToLoan[Date],ROW()-ROW(tblContractForDeed[#Headers]))</f>
        <v/>
      </c>
      <c r="O319" s="332">
        <f>IF(ROW()=ROW(tblContractForDeed[#Headers])+1,$O$6,IF(INDEX(tblContractForDeed[End Bal],ROW()-ROW(tblContractForDeed[#Headers])-1)&lt;0,0,INDEX(tblContractForDeed[End Bal],ROW()-ROW(tblContractForDeed[#Headers])-1)))</f>
        <v>0</v>
      </c>
      <c r="P319" s="454"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9" s="332">
        <f>IF(INDEX(tblContractForDeed[End Bal],ROW()-ROW(tblBuyerOutputs[#Headers]))&lt;=0,0,($O$6+IF(ROW()=ROW(tblBuyerOutputs[#Headers])+1,0,INDEX(tblBuyerOutputs[Cumul Appr],ROW()-ROW(tblBuyerOutputs[#Headers])-1)))*$O$2/12)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13" t="str">
        <f>IF(ROW()=ROW(tblSubjectToLoan[#Headers])+1,subjectKnownBalanceDate,IF(OR(INDEX(tblSubjectToLoan[Date],ROW()-ROW(tblSubjectToLoan[#Headers])-1)="",INDEX(tblSubjectToLoan[Date],ROW()-ROW(tblSubjectToLoan[#Headers])-1)&gt;=subjectMortgageEndDate),"",EDATE(INDEX(tblSubjectToLoan[Date],ROW()-ROW(tblSubjectToLoan[#Headers])-1),1)))</f>
        <v/>
      </c>
      <c r="B320" s="276">
        <f>IF(tblSubjectToLoan[[#This Row],[Date]]="",0,IF(ROW()=ROW(tblSubjectToLoan[#Headers])+1,subjectKnownBalance,MAX(0,INDEX(tblSubjectToLoan[Ending Balance],ROW()-ROW(tblSubjectToLoan[#Headers])-1))))</f>
        <v>0</v>
      </c>
      <c r="C3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0" s="14">
        <f>IF(tblSubjectToLoan[[#This Row],[Payment]]=0,0,MAX(0,MIN(tblSubjectToLoan[[#This Row],[Beginning Balance]],tblSubjectToLoan[[#This Row],[Payment]]-tblSubjectToLoan[[#This Row],[Int]])))</f>
        <v>0</v>
      </c>
      <c r="E320" s="14">
        <f>IF(tblSubjectToLoan[[#This Row],[Date]]="",0,ROUND(tblSubjectToLoan[[#This Row],[Beginning Balance]]*(subjectInterestRate/12),2))</f>
        <v>0</v>
      </c>
      <c r="F320" s="14">
        <f t="shared" si="28"/>
        <v>134.16999999999999</v>
      </c>
      <c r="G320" s="14">
        <f t="shared" si="28"/>
        <v>188.55</v>
      </c>
      <c r="H320" s="14">
        <f>SUM(tblSubjectToLoan[[#This Row],[Princ]],tblSubjectToLoan[[#This Row],[Int]],tblSubjectToLoan[[#This Row],[Ins]],tblSubjectToLoan[[#This Row],[Taxes]])</f>
        <v>322.72000000000003</v>
      </c>
      <c r="I3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0" s="276">
        <f>IF(tblSubjectToLoan[[#This Row],[Date]]="",IF(ROW()=ROW(tblSubjectToLoan[#Headers])+1,0,INDEX(tblSubjectToLoan[Interest],ROW()-ROW(tblSubjectToLoan[#Headers])-1)),tblSubjectToLoan[[#This Row],[Int]]+IF(ROW()=ROW(tblSubjectToLoan[#Headers])+1,0,INDEX(tblSubjectToLoan[Interest],ROW()-ROW(tblSubjectToLoan[#Headers])-1)))</f>
        <v>36068.259999999973</v>
      </c>
      <c r="K320" s="969">
        <f>IF(tblSubjectToLoan[[#This Row],[Date]]="",0,MAX(0,tblSubjectToLoan[[#This Row],[Beginning Balance]]-tblSubjectToLoan[[#This Row],[Princ]]))</f>
        <v>0</v>
      </c>
      <c r="L320" s="394">
        <f t="shared" si="27"/>
        <v>0</v>
      </c>
      <c r="M320" s="394">
        <f t="shared" si="24"/>
        <v>0</v>
      </c>
      <c r="N320" s="613" t="str">
        <f>INDEX(tblSubjectToLoan[Date],ROW()-ROW(tblContractForDeed[#Headers]))</f>
        <v/>
      </c>
      <c r="O320" s="276">
        <f>IF(ROW()=ROW(tblContractForDeed[#Headers])+1,$O$6,IF(INDEX(tblContractForDeed[End Bal],ROW()-ROW(tblContractForDeed[#Headers])-1)&lt;0,0,INDEX(tblContractForDeed[End Bal],ROW()-ROW(tblContractForDeed[#Headers])-1)))</f>
        <v>0</v>
      </c>
      <c r="P320" s="454"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0" s="276">
        <f>IF(INDEX(tblContractForDeed[End Bal],ROW()-ROW(tblBuyerOutputs[#Headers]))&lt;=0,0,($O$6+IF(ROW()=ROW(tblBuyerOutputs[#Headers])+1,0,INDEX(tblBuyerOutputs[Cumul Appr],ROW()-ROW(tblBuyerOutputs[#Headers])-1)))*$O$2/12)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13" t="str">
        <f>IF(ROW()=ROW(tblSubjectToLoan[#Headers])+1,subjectKnownBalanceDate,IF(OR(INDEX(tblSubjectToLoan[Date],ROW()-ROW(tblSubjectToLoan[#Headers])-1)="",INDEX(tblSubjectToLoan[Date],ROW()-ROW(tblSubjectToLoan[#Headers])-1)&gt;=subjectMortgageEndDate),"",EDATE(INDEX(tblSubjectToLoan[Date],ROW()-ROW(tblSubjectToLoan[#Headers])-1),1)))</f>
        <v/>
      </c>
      <c r="B321" s="276">
        <f>IF(tblSubjectToLoan[[#This Row],[Date]]="",0,IF(ROW()=ROW(tblSubjectToLoan[#Headers])+1,subjectKnownBalance,MAX(0,INDEX(tblSubjectToLoan[Ending Balance],ROW()-ROW(tblSubjectToLoan[#Headers])-1))))</f>
        <v>0</v>
      </c>
      <c r="C3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1" s="14">
        <f>IF(tblSubjectToLoan[[#This Row],[Payment]]=0,0,MAX(0,MIN(tblSubjectToLoan[[#This Row],[Beginning Balance]],tblSubjectToLoan[[#This Row],[Payment]]-tblSubjectToLoan[[#This Row],[Int]])))</f>
        <v>0</v>
      </c>
      <c r="E321" s="14">
        <f>IF(tblSubjectToLoan[[#This Row],[Date]]="",0,ROUND(tblSubjectToLoan[[#This Row],[Beginning Balance]]*(subjectInterestRate/12),2))</f>
        <v>0</v>
      </c>
      <c r="F321" s="14">
        <f t="shared" si="28"/>
        <v>134.16999999999999</v>
      </c>
      <c r="G321" s="14">
        <f t="shared" si="28"/>
        <v>188.55</v>
      </c>
      <c r="H321" s="14">
        <f>SUM(tblSubjectToLoan[[#This Row],[Princ]],tblSubjectToLoan[[#This Row],[Int]],tblSubjectToLoan[[#This Row],[Ins]],tblSubjectToLoan[[#This Row],[Taxes]])</f>
        <v>322.72000000000003</v>
      </c>
      <c r="I3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1" s="276">
        <f>IF(tblSubjectToLoan[[#This Row],[Date]]="",IF(ROW()=ROW(tblSubjectToLoan[#Headers])+1,0,INDEX(tblSubjectToLoan[Interest],ROW()-ROW(tblSubjectToLoan[#Headers])-1)),tblSubjectToLoan[[#This Row],[Int]]+IF(ROW()=ROW(tblSubjectToLoan[#Headers])+1,0,INDEX(tblSubjectToLoan[Interest],ROW()-ROW(tblSubjectToLoan[#Headers])-1)))</f>
        <v>36068.259999999973</v>
      </c>
      <c r="K321" s="969">
        <f>IF(tblSubjectToLoan[[#This Row],[Date]]="",0,MAX(0,tblSubjectToLoan[[#This Row],[Beginning Balance]]-tblSubjectToLoan[[#This Row],[Princ]]))</f>
        <v>0</v>
      </c>
      <c r="L321" s="394">
        <f t="shared" si="27"/>
        <v>0</v>
      </c>
      <c r="M321" s="394">
        <f t="shared" si="24"/>
        <v>0</v>
      </c>
      <c r="N321" s="613" t="str">
        <f>INDEX(tblSubjectToLoan[Date],ROW()-ROW(tblContractForDeed[#Headers]))</f>
        <v/>
      </c>
      <c r="O321" s="276">
        <f>IF(ROW()=ROW(tblContractForDeed[#Headers])+1,$O$6,IF(INDEX(tblContractForDeed[End Bal],ROW()-ROW(tblContractForDeed[#Headers])-1)&lt;0,0,INDEX(tblContractForDeed[End Bal],ROW()-ROW(tblContractForDeed[#Headers])-1)))</f>
        <v>0</v>
      </c>
      <c r="P321" s="454"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1" s="276">
        <f>IF(INDEX(tblContractForDeed[End Bal],ROW()-ROW(tblBuyerOutputs[#Headers]))&lt;=0,0,($O$6+IF(ROW()=ROW(tblBuyerOutputs[#Headers])+1,0,INDEX(tblBuyerOutputs[Cumul Appr],ROW()-ROW(tblBuyerOutputs[#Headers])-1)))*$O$2/12)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13" t="str">
        <f>IF(ROW()=ROW(tblSubjectToLoan[#Headers])+1,subjectKnownBalanceDate,IF(OR(INDEX(tblSubjectToLoan[Date],ROW()-ROW(tblSubjectToLoan[#Headers])-1)="",INDEX(tblSubjectToLoan[Date],ROW()-ROW(tblSubjectToLoan[#Headers])-1)&gt;=subjectMortgageEndDate),"",EDATE(INDEX(tblSubjectToLoan[Date],ROW()-ROW(tblSubjectToLoan[#Headers])-1),1)))</f>
        <v/>
      </c>
      <c r="B322" s="276">
        <f>IF(tblSubjectToLoan[[#This Row],[Date]]="",0,IF(ROW()=ROW(tblSubjectToLoan[#Headers])+1,subjectKnownBalance,MAX(0,INDEX(tblSubjectToLoan[Ending Balance],ROW()-ROW(tblSubjectToLoan[#Headers])-1))))</f>
        <v>0</v>
      </c>
      <c r="C3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2" s="14">
        <f>IF(tblSubjectToLoan[[#This Row],[Payment]]=0,0,MAX(0,MIN(tblSubjectToLoan[[#This Row],[Beginning Balance]],tblSubjectToLoan[[#This Row],[Payment]]-tblSubjectToLoan[[#This Row],[Int]])))</f>
        <v>0</v>
      </c>
      <c r="E322" s="14">
        <f>IF(tblSubjectToLoan[[#This Row],[Date]]="",0,ROUND(tblSubjectToLoan[[#This Row],[Beginning Balance]]*(subjectInterestRate/12),2))</f>
        <v>0</v>
      </c>
      <c r="F322" s="14">
        <f t="shared" si="28"/>
        <v>134.16999999999999</v>
      </c>
      <c r="G322" s="14">
        <f t="shared" si="28"/>
        <v>188.55</v>
      </c>
      <c r="H322" s="14">
        <f>SUM(tblSubjectToLoan[[#This Row],[Princ]],tblSubjectToLoan[[#This Row],[Int]],tblSubjectToLoan[[#This Row],[Ins]],tblSubjectToLoan[[#This Row],[Taxes]])</f>
        <v>322.72000000000003</v>
      </c>
      <c r="I3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2" s="276">
        <f>IF(tblSubjectToLoan[[#This Row],[Date]]="",IF(ROW()=ROW(tblSubjectToLoan[#Headers])+1,0,INDEX(tblSubjectToLoan[Interest],ROW()-ROW(tblSubjectToLoan[#Headers])-1)),tblSubjectToLoan[[#This Row],[Int]]+IF(ROW()=ROW(tblSubjectToLoan[#Headers])+1,0,INDEX(tblSubjectToLoan[Interest],ROW()-ROW(tblSubjectToLoan[#Headers])-1)))</f>
        <v>36068.259999999973</v>
      </c>
      <c r="K322" s="969">
        <f>IF(tblSubjectToLoan[[#This Row],[Date]]="",0,MAX(0,tblSubjectToLoan[[#This Row],[Beginning Balance]]-tblSubjectToLoan[[#This Row],[Princ]]))</f>
        <v>0</v>
      </c>
      <c r="L322" s="394">
        <f t="shared" si="27"/>
        <v>0</v>
      </c>
      <c r="M322" s="394">
        <f t="shared" si="24"/>
        <v>0</v>
      </c>
      <c r="N322" s="613" t="str">
        <f>INDEX(tblSubjectToLoan[Date],ROW()-ROW(tblContractForDeed[#Headers]))</f>
        <v/>
      </c>
      <c r="O322" s="276">
        <f>IF(ROW()=ROW(tblContractForDeed[#Headers])+1,$O$6,IF(INDEX(tblContractForDeed[End Bal],ROW()-ROW(tblContractForDeed[#Headers])-1)&lt;0,0,INDEX(tblContractForDeed[End Bal],ROW()-ROW(tblContractForDeed[#Headers])-1)))</f>
        <v>0</v>
      </c>
      <c r="P322" s="454"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2" s="276">
        <f>IF(INDEX(tblContractForDeed[End Bal],ROW()-ROW(tblBuyerOutputs[#Headers]))&lt;=0,0,($O$6+IF(ROW()=ROW(tblBuyerOutputs[#Headers])+1,0,INDEX(tblBuyerOutputs[Cumul Appr],ROW()-ROW(tblBuyerOutputs[#Headers])-1)))*$O$2/12)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13" t="str">
        <f>IF(ROW()=ROW(tblSubjectToLoan[#Headers])+1,subjectKnownBalanceDate,IF(OR(INDEX(tblSubjectToLoan[Date],ROW()-ROW(tblSubjectToLoan[#Headers])-1)="",INDEX(tblSubjectToLoan[Date],ROW()-ROW(tblSubjectToLoan[#Headers])-1)&gt;=subjectMortgageEndDate),"",EDATE(INDEX(tblSubjectToLoan[Date],ROW()-ROW(tblSubjectToLoan[#Headers])-1),1)))</f>
        <v/>
      </c>
      <c r="B323" s="276">
        <f>IF(tblSubjectToLoan[[#This Row],[Date]]="",0,IF(ROW()=ROW(tblSubjectToLoan[#Headers])+1,subjectKnownBalance,MAX(0,INDEX(tblSubjectToLoan[Ending Balance],ROW()-ROW(tblSubjectToLoan[#Headers])-1))))</f>
        <v>0</v>
      </c>
      <c r="C3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3" s="14">
        <f>IF(tblSubjectToLoan[[#This Row],[Payment]]=0,0,MAX(0,MIN(tblSubjectToLoan[[#This Row],[Beginning Balance]],tblSubjectToLoan[[#This Row],[Payment]]-tblSubjectToLoan[[#This Row],[Int]])))</f>
        <v>0</v>
      </c>
      <c r="E323" s="14">
        <f>IF(tblSubjectToLoan[[#This Row],[Date]]="",0,ROUND(tblSubjectToLoan[[#This Row],[Beginning Balance]]*(subjectInterestRate/12),2))</f>
        <v>0</v>
      </c>
      <c r="F323" s="14">
        <f t="shared" si="28"/>
        <v>134.16999999999999</v>
      </c>
      <c r="G323" s="14">
        <f t="shared" si="28"/>
        <v>188.55</v>
      </c>
      <c r="H323" s="14">
        <f>SUM(tblSubjectToLoan[[#This Row],[Princ]],tblSubjectToLoan[[#This Row],[Int]],tblSubjectToLoan[[#This Row],[Ins]],tblSubjectToLoan[[#This Row],[Taxes]])</f>
        <v>322.72000000000003</v>
      </c>
      <c r="I3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3" s="276">
        <f>IF(tblSubjectToLoan[[#This Row],[Date]]="",IF(ROW()=ROW(tblSubjectToLoan[#Headers])+1,0,INDEX(tblSubjectToLoan[Interest],ROW()-ROW(tblSubjectToLoan[#Headers])-1)),tblSubjectToLoan[[#This Row],[Int]]+IF(ROW()=ROW(tblSubjectToLoan[#Headers])+1,0,INDEX(tblSubjectToLoan[Interest],ROW()-ROW(tblSubjectToLoan[#Headers])-1)))</f>
        <v>36068.259999999973</v>
      </c>
      <c r="K323" s="969">
        <f>IF(tblSubjectToLoan[[#This Row],[Date]]="",0,MAX(0,tblSubjectToLoan[[#This Row],[Beginning Balance]]-tblSubjectToLoan[[#This Row],[Princ]]))</f>
        <v>0</v>
      </c>
      <c r="L323" s="394">
        <f t="shared" si="27"/>
        <v>0</v>
      </c>
      <c r="M323" s="394">
        <f t="shared" si="24"/>
        <v>0</v>
      </c>
      <c r="N323" s="613" t="str">
        <f>INDEX(tblSubjectToLoan[Date],ROW()-ROW(tblContractForDeed[#Headers]))</f>
        <v/>
      </c>
      <c r="O323" s="276">
        <f>IF(ROW()=ROW(tblContractForDeed[#Headers])+1,$O$6,IF(INDEX(tblContractForDeed[End Bal],ROW()-ROW(tblContractForDeed[#Headers])-1)&lt;0,0,INDEX(tblContractForDeed[End Bal],ROW()-ROW(tblContractForDeed[#Headers])-1)))</f>
        <v>0</v>
      </c>
      <c r="P323" s="454"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3" s="276">
        <f>IF(INDEX(tblContractForDeed[End Bal],ROW()-ROW(tblBuyerOutputs[#Headers]))&lt;=0,0,($O$6+IF(ROW()=ROW(tblBuyerOutputs[#Headers])+1,0,INDEX(tblBuyerOutputs[Cumul Appr],ROW()-ROW(tblBuyerOutputs[#Headers])-1)))*$O$2/12)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13" t="str">
        <f>IF(ROW()=ROW(tblSubjectToLoan[#Headers])+1,subjectKnownBalanceDate,IF(OR(INDEX(tblSubjectToLoan[Date],ROW()-ROW(tblSubjectToLoan[#Headers])-1)="",INDEX(tblSubjectToLoan[Date],ROW()-ROW(tblSubjectToLoan[#Headers])-1)&gt;=subjectMortgageEndDate),"",EDATE(INDEX(tblSubjectToLoan[Date],ROW()-ROW(tblSubjectToLoan[#Headers])-1),1)))</f>
        <v/>
      </c>
      <c r="B324" s="276">
        <f>IF(tblSubjectToLoan[[#This Row],[Date]]="",0,IF(ROW()=ROW(tblSubjectToLoan[#Headers])+1,subjectKnownBalance,MAX(0,INDEX(tblSubjectToLoan[Ending Balance],ROW()-ROW(tblSubjectToLoan[#Headers])-1))))</f>
        <v>0</v>
      </c>
      <c r="C3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4" s="14">
        <f>IF(tblSubjectToLoan[[#This Row],[Payment]]=0,0,MAX(0,MIN(tblSubjectToLoan[[#This Row],[Beginning Balance]],tblSubjectToLoan[[#This Row],[Payment]]-tblSubjectToLoan[[#This Row],[Int]])))</f>
        <v>0</v>
      </c>
      <c r="E324" s="14">
        <f>IF(tblSubjectToLoan[[#This Row],[Date]]="",0,ROUND(tblSubjectToLoan[[#This Row],[Beginning Balance]]*(subjectInterestRate/12),2))</f>
        <v>0</v>
      </c>
      <c r="F324" s="14">
        <f t="shared" si="28"/>
        <v>134.16999999999999</v>
      </c>
      <c r="G324" s="14">
        <f t="shared" si="28"/>
        <v>188.55</v>
      </c>
      <c r="H324" s="14">
        <f>SUM(tblSubjectToLoan[[#This Row],[Princ]],tblSubjectToLoan[[#This Row],[Int]],tblSubjectToLoan[[#This Row],[Ins]],tblSubjectToLoan[[#This Row],[Taxes]])</f>
        <v>322.72000000000003</v>
      </c>
      <c r="I3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4" s="276">
        <f>IF(tblSubjectToLoan[[#This Row],[Date]]="",IF(ROW()=ROW(tblSubjectToLoan[#Headers])+1,0,INDEX(tblSubjectToLoan[Interest],ROW()-ROW(tblSubjectToLoan[#Headers])-1)),tblSubjectToLoan[[#This Row],[Int]]+IF(ROW()=ROW(tblSubjectToLoan[#Headers])+1,0,INDEX(tblSubjectToLoan[Interest],ROW()-ROW(tblSubjectToLoan[#Headers])-1)))</f>
        <v>36068.259999999973</v>
      </c>
      <c r="K324" s="969">
        <f>IF(tblSubjectToLoan[[#This Row],[Date]]="",0,MAX(0,tblSubjectToLoan[[#This Row],[Beginning Balance]]-tblSubjectToLoan[[#This Row],[Princ]]))</f>
        <v>0</v>
      </c>
      <c r="L324" s="394">
        <f t="shared" si="27"/>
        <v>0</v>
      </c>
      <c r="M324" s="394">
        <f t="shared" si="24"/>
        <v>0</v>
      </c>
      <c r="N324" s="613" t="str">
        <f>INDEX(tblSubjectToLoan[Date],ROW()-ROW(tblContractForDeed[#Headers]))</f>
        <v/>
      </c>
      <c r="O324" s="276">
        <f>IF(ROW()=ROW(tblContractForDeed[#Headers])+1,$O$6,IF(INDEX(tblContractForDeed[End Bal],ROW()-ROW(tblContractForDeed[#Headers])-1)&lt;0,0,INDEX(tblContractForDeed[End Bal],ROW()-ROW(tblContractForDeed[#Headers])-1)))</f>
        <v>0</v>
      </c>
      <c r="P324" s="454"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4" s="276">
        <f>IF(INDEX(tblContractForDeed[End Bal],ROW()-ROW(tblBuyerOutputs[#Headers]))&lt;=0,0,($O$6+IF(ROW()=ROW(tblBuyerOutputs[#Headers])+1,0,INDEX(tblBuyerOutputs[Cumul Appr],ROW()-ROW(tblBuyerOutputs[#Headers])-1)))*$O$2/12)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13" t="str">
        <f>IF(ROW()=ROW(tblSubjectToLoan[#Headers])+1,subjectKnownBalanceDate,IF(OR(INDEX(tblSubjectToLoan[Date],ROW()-ROW(tblSubjectToLoan[#Headers])-1)="",INDEX(tblSubjectToLoan[Date],ROW()-ROW(tblSubjectToLoan[#Headers])-1)&gt;=subjectMortgageEndDate),"",EDATE(INDEX(tblSubjectToLoan[Date],ROW()-ROW(tblSubjectToLoan[#Headers])-1),1)))</f>
        <v/>
      </c>
      <c r="B325" s="276">
        <f>IF(tblSubjectToLoan[[#This Row],[Date]]="",0,IF(ROW()=ROW(tblSubjectToLoan[#Headers])+1,subjectKnownBalance,MAX(0,INDEX(tblSubjectToLoan[Ending Balance],ROW()-ROW(tblSubjectToLoan[#Headers])-1))))</f>
        <v>0</v>
      </c>
      <c r="C3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5" s="14">
        <f>IF(tblSubjectToLoan[[#This Row],[Payment]]=0,0,MAX(0,MIN(tblSubjectToLoan[[#This Row],[Beginning Balance]],tblSubjectToLoan[[#This Row],[Payment]]-tblSubjectToLoan[[#This Row],[Int]])))</f>
        <v>0</v>
      </c>
      <c r="E325" s="14">
        <f>IF(tblSubjectToLoan[[#This Row],[Date]]="",0,ROUND(tblSubjectToLoan[[#This Row],[Beginning Balance]]*(subjectInterestRate/12),2))</f>
        <v>0</v>
      </c>
      <c r="F325" s="14">
        <f t="shared" si="28"/>
        <v>134.16999999999999</v>
      </c>
      <c r="G325" s="14">
        <f t="shared" si="28"/>
        <v>188.55</v>
      </c>
      <c r="H325" s="14">
        <f>SUM(tblSubjectToLoan[[#This Row],[Princ]],tblSubjectToLoan[[#This Row],[Int]],tblSubjectToLoan[[#This Row],[Ins]],tblSubjectToLoan[[#This Row],[Taxes]])</f>
        <v>322.72000000000003</v>
      </c>
      <c r="I3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5" s="276">
        <f>IF(tblSubjectToLoan[[#This Row],[Date]]="",IF(ROW()=ROW(tblSubjectToLoan[#Headers])+1,0,INDEX(tblSubjectToLoan[Interest],ROW()-ROW(tblSubjectToLoan[#Headers])-1)),tblSubjectToLoan[[#This Row],[Int]]+IF(ROW()=ROW(tblSubjectToLoan[#Headers])+1,0,INDEX(tblSubjectToLoan[Interest],ROW()-ROW(tblSubjectToLoan[#Headers])-1)))</f>
        <v>36068.259999999973</v>
      </c>
      <c r="K325" s="969">
        <f>IF(tblSubjectToLoan[[#This Row],[Date]]="",0,MAX(0,tblSubjectToLoan[[#This Row],[Beginning Balance]]-tblSubjectToLoan[[#This Row],[Princ]]))</f>
        <v>0</v>
      </c>
      <c r="L325" s="394">
        <f t="shared" si="27"/>
        <v>0</v>
      </c>
      <c r="M325" s="394">
        <f t="shared" si="24"/>
        <v>0</v>
      </c>
      <c r="N325" s="613" t="str">
        <f>INDEX(tblSubjectToLoan[Date],ROW()-ROW(tblContractForDeed[#Headers]))</f>
        <v/>
      </c>
      <c r="O325" s="276">
        <f>IF(ROW()=ROW(tblContractForDeed[#Headers])+1,$O$6,IF(INDEX(tblContractForDeed[End Bal],ROW()-ROW(tblContractForDeed[#Headers])-1)&lt;0,0,INDEX(tblContractForDeed[End Bal],ROW()-ROW(tblContractForDeed[#Headers])-1)))</f>
        <v>0</v>
      </c>
      <c r="P325" s="454"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5" s="276">
        <f>IF(INDEX(tblContractForDeed[End Bal],ROW()-ROW(tblBuyerOutputs[#Headers]))&lt;=0,0,($O$6+IF(ROW()=ROW(tblBuyerOutputs[#Headers])+1,0,INDEX(tblBuyerOutputs[Cumul Appr],ROW()-ROW(tblBuyerOutputs[#Headers])-1)))*$O$2/12)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13" t="str">
        <f>IF(ROW()=ROW(tblSubjectToLoan[#Headers])+1,subjectKnownBalanceDate,IF(OR(INDEX(tblSubjectToLoan[Date],ROW()-ROW(tblSubjectToLoan[#Headers])-1)="",INDEX(tblSubjectToLoan[Date],ROW()-ROW(tblSubjectToLoan[#Headers])-1)&gt;=subjectMortgageEndDate),"",EDATE(INDEX(tblSubjectToLoan[Date],ROW()-ROW(tblSubjectToLoan[#Headers])-1),1)))</f>
        <v/>
      </c>
      <c r="B326" s="276">
        <f>IF(tblSubjectToLoan[[#This Row],[Date]]="",0,IF(ROW()=ROW(tblSubjectToLoan[#Headers])+1,subjectKnownBalance,MAX(0,INDEX(tblSubjectToLoan[Ending Balance],ROW()-ROW(tblSubjectToLoan[#Headers])-1))))</f>
        <v>0</v>
      </c>
      <c r="C3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6" s="14">
        <f>IF(tblSubjectToLoan[[#This Row],[Payment]]=0,0,MAX(0,MIN(tblSubjectToLoan[[#This Row],[Beginning Balance]],tblSubjectToLoan[[#This Row],[Payment]]-tblSubjectToLoan[[#This Row],[Int]])))</f>
        <v>0</v>
      </c>
      <c r="E326" s="14">
        <f>IF(tblSubjectToLoan[[#This Row],[Date]]="",0,ROUND(tblSubjectToLoan[[#This Row],[Beginning Balance]]*(subjectInterestRate/12),2))</f>
        <v>0</v>
      </c>
      <c r="F326" s="14">
        <f t="shared" si="28"/>
        <v>134.16999999999999</v>
      </c>
      <c r="G326" s="14">
        <f t="shared" si="28"/>
        <v>188.55</v>
      </c>
      <c r="H326" s="14">
        <f>SUM(tblSubjectToLoan[[#This Row],[Princ]],tblSubjectToLoan[[#This Row],[Int]],tblSubjectToLoan[[#This Row],[Ins]],tblSubjectToLoan[[#This Row],[Taxes]])</f>
        <v>322.72000000000003</v>
      </c>
      <c r="I3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6" s="276">
        <f>IF(tblSubjectToLoan[[#This Row],[Date]]="",IF(ROW()=ROW(tblSubjectToLoan[#Headers])+1,0,INDEX(tblSubjectToLoan[Interest],ROW()-ROW(tblSubjectToLoan[#Headers])-1)),tblSubjectToLoan[[#This Row],[Int]]+IF(ROW()=ROW(tblSubjectToLoan[#Headers])+1,0,INDEX(tblSubjectToLoan[Interest],ROW()-ROW(tblSubjectToLoan[#Headers])-1)))</f>
        <v>36068.259999999973</v>
      </c>
      <c r="K326" s="969">
        <f>IF(tblSubjectToLoan[[#This Row],[Date]]="",0,MAX(0,tblSubjectToLoan[[#This Row],[Beginning Balance]]-tblSubjectToLoan[[#This Row],[Princ]]))</f>
        <v>0</v>
      </c>
      <c r="L326" s="394">
        <f t="shared" si="27"/>
        <v>0</v>
      </c>
      <c r="M326" s="394">
        <f t="shared" si="24"/>
        <v>0</v>
      </c>
      <c r="N326" s="613" t="str">
        <f>INDEX(tblSubjectToLoan[Date],ROW()-ROW(tblContractForDeed[#Headers]))</f>
        <v/>
      </c>
      <c r="O326" s="276">
        <f>IF(ROW()=ROW(tblContractForDeed[#Headers])+1,$O$6,IF(INDEX(tblContractForDeed[End Bal],ROW()-ROW(tblContractForDeed[#Headers])-1)&lt;0,0,INDEX(tblContractForDeed[End Bal],ROW()-ROW(tblContractForDeed[#Headers])-1)))</f>
        <v>0</v>
      </c>
      <c r="P326" s="454"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6" s="276">
        <f>IF(INDEX(tblContractForDeed[End Bal],ROW()-ROW(tblBuyerOutputs[#Headers]))&lt;=0,0,($O$6+IF(ROW()=ROW(tblBuyerOutputs[#Headers])+1,0,INDEX(tblBuyerOutputs[Cumul Appr],ROW()-ROW(tblBuyerOutputs[#Headers])-1)))*$O$2/12)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13" t="str">
        <f>IF(ROW()=ROW(tblSubjectToLoan[#Headers])+1,subjectKnownBalanceDate,IF(OR(INDEX(tblSubjectToLoan[Date],ROW()-ROW(tblSubjectToLoan[#Headers])-1)="",INDEX(tblSubjectToLoan[Date],ROW()-ROW(tblSubjectToLoan[#Headers])-1)&gt;=subjectMortgageEndDate),"",EDATE(INDEX(tblSubjectToLoan[Date],ROW()-ROW(tblSubjectToLoan[#Headers])-1),1)))</f>
        <v/>
      </c>
      <c r="B327" s="276">
        <f>IF(tblSubjectToLoan[[#This Row],[Date]]="",0,IF(ROW()=ROW(tblSubjectToLoan[#Headers])+1,subjectKnownBalance,MAX(0,INDEX(tblSubjectToLoan[Ending Balance],ROW()-ROW(tblSubjectToLoan[#Headers])-1))))</f>
        <v>0</v>
      </c>
      <c r="C3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7" s="14">
        <f>IF(tblSubjectToLoan[[#This Row],[Payment]]=0,0,MAX(0,MIN(tblSubjectToLoan[[#This Row],[Beginning Balance]],tblSubjectToLoan[[#This Row],[Payment]]-tblSubjectToLoan[[#This Row],[Int]])))</f>
        <v>0</v>
      </c>
      <c r="E327" s="14">
        <f>IF(tblSubjectToLoan[[#This Row],[Date]]="",0,ROUND(tblSubjectToLoan[[#This Row],[Beginning Balance]]*(subjectInterestRate/12),2))</f>
        <v>0</v>
      </c>
      <c r="F327" s="14">
        <f t="shared" si="28"/>
        <v>134.16999999999999</v>
      </c>
      <c r="G327" s="14">
        <f t="shared" si="28"/>
        <v>188.55</v>
      </c>
      <c r="H327" s="14">
        <f>SUM(tblSubjectToLoan[[#This Row],[Princ]],tblSubjectToLoan[[#This Row],[Int]],tblSubjectToLoan[[#This Row],[Ins]],tblSubjectToLoan[[#This Row],[Taxes]])</f>
        <v>322.72000000000003</v>
      </c>
      <c r="I3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7" s="276">
        <f>IF(tblSubjectToLoan[[#This Row],[Date]]="",IF(ROW()=ROW(tblSubjectToLoan[#Headers])+1,0,INDEX(tblSubjectToLoan[Interest],ROW()-ROW(tblSubjectToLoan[#Headers])-1)),tblSubjectToLoan[[#This Row],[Int]]+IF(ROW()=ROW(tblSubjectToLoan[#Headers])+1,0,INDEX(tblSubjectToLoan[Interest],ROW()-ROW(tblSubjectToLoan[#Headers])-1)))</f>
        <v>36068.259999999973</v>
      </c>
      <c r="K327" s="969">
        <f>IF(tblSubjectToLoan[[#This Row],[Date]]="",0,MAX(0,tblSubjectToLoan[[#This Row],[Beginning Balance]]-tblSubjectToLoan[[#This Row],[Princ]]))</f>
        <v>0</v>
      </c>
      <c r="L327" s="394">
        <f t="shared" si="27"/>
        <v>0</v>
      </c>
      <c r="M327" s="394">
        <f t="shared" si="24"/>
        <v>0</v>
      </c>
      <c r="N327" s="613" t="str">
        <f>INDEX(tblSubjectToLoan[Date],ROW()-ROW(tblContractForDeed[#Headers]))</f>
        <v/>
      </c>
      <c r="O327" s="276">
        <f>IF(ROW()=ROW(tblContractForDeed[#Headers])+1,$O$6,IF(INDEX(tblContractForDeed[End Bal],ROW()-ROW(tblContractForDeed[#Headers])-1)&lt;0,0,INDEX(tblContractForDeed[End Bal],ROW()-ROW(tblContractForDeed[#Headers])-1)))</f>
        <v>0</v>
      </c>
      <c r="P327" s="454"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7" s="276">
        <f>IF(INDEX(tblContractForDeed[End Bal],ROW()-ROW(tblBuyerOutputs[#Headers]))&lt;=0,0,($O$6+IF(ROW()=ROW(tblBuyerOutputs[#Headers])+1,0,INDEX(tblBuyerOutputs[Cumul Appr],ROW()-ROW(tblBuyerOutputs[#Headers])-1)))*$O$2/12)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13" t="str">
        <f>IF(ROW()=ROW(tblSubjectToLoan[#Headers])+1,subjectKnownBalanceDate,IF(OR(INDEX(tblSubjectToLoan[Date],ROW()-ROW(tblSubjectToLoan[#Headers])-1)="",INDEX(tblSubjectToLoan[Date],ROW()-ROW(tblSubjectToLoan[#Headers])-1)&gt;=subjectMortgageEndDate),"",EDATE(INDEX(tblSubjectToLoan[Date],ROW()-ROW(tblSubjectToLoan[#Headers])-1),1)))</f>
        <v/>
      </c>
      <c r="B328" s="276">
        <f>IF(tblSubjectToLoan[[#This Row],[Date]]="",0,IF(ROW()=ROW(tblSubjectToLoan[#Headers])+1,subjectKnownBalance,MAX(0,INDEX(tblSubjectToLoan[Ending Balance],ROW()-ROW(tblSubjectToLoan[#Headers])-1))))</f>
        <v>0</v>
      </c>
      <c r="C3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8" s="14">
        <f>IF(tblSubjectToLoan[[#This Row],[Payment]]=0,0,MAX(0,MIN(tblSubjectToLoan[[#This Row],[Beginning Balance]],tblSubjectToLoan[[#This Row],[Payment]]-tblSubjectToLoan[[#This Row],[Int]])))</f>
        <v>0</v>
      </c>
      <c r="E328" s="14">
        <f>IF(tblSubjectToLoan[[#This Row],[Date]]="",0,ROUND(tblSubjectToLoan[[#This Row],[Beginning Balance]]*(subjectInterestRate/12),2))</f>
        <v>0</v>
      </c>
      <c r="F328" s="14">
        <f t="shared" si="28"/>
        <v>134.16999999999999</v>
      </c>
      <c r="G328" s="14">
        <f t="shared" si="28"/>
        <v>188.55</v>
      </c>
      <c r="H328" s="14">
        <f>SUM(tblSubjectToLoan[[#This Row],[Princ]],tblSubjectToLoan[[#This Row],[Int]],tblSubjectToLoan[[#This Row],[Ins]],tblSubjectToLoan[[#This Row],[Taxes]])</f>
        <v>322.72000000000003</v>
      </c>
      <c r="I3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8" s="276">
        <f>IF(tblSubjectToLoan[[#This Row],[Date]]="",IF(ROW()=ROW(tblSubjectToLoan[#Headers])+1,0,INDEX(tblSubjectToLoan[Interest],ROW()-ROW(tblSubjectToLoan[#Headers])-1)),tblSubjectToLoan[[#This Row],[Int]]+IF(ROW()=ROW(tblSubjectToLoan[#Headers])+1,0,INDEX(tblSubjectToLoan[Interest],ROW()-ROW(tblSubjectToLoan[#Headers])-1)))</f>
        <v>36068.259999999973</v>
      </c>
      <c r="K328" s="969">
        <f>IF(tblSubjectToLoan[[#This Row],[Date]]="",0,MAX(0,tblSubjectToLoan[[#This Row],[Beginning Balance]]-tblSubjectToLoan[[#This Row],[Princ]]))</f>
        <v>0</v>
      </c>
      <c r="L328" s="394">
        <f t="shared" si="27"/>
        <v>0</v>
      </c>
      <c r="M328" s="394">
        <f t="shared" si="24"/>
        <v>0</v>
      </c>
      <c r="N328" s="613" t="str">
        <f>INDEX(tblSubjectToLoan[Date],ROW()-ROW(tblContractForDeed[#Headers]))</f>
        <v/>
      </c>
      <c r="O328" s="276">
        <f>IF(ROW()=ROW(tblContractForDeed[#Headers])+1,$O$6,IF(INDEX(tblContractForDeed[End Bal],ROW()-ROW(tblContractForDeed[#Headers])-1)&lt;0,0,INDEX(tblContractForDeed[End Bal],ROW()-ROW(tblContractForDeed[#Headers])-1)))</f>
        <v>0</v>
      </c>
      <c r="P328" s="454"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8" s="276">
        <f>IF(INDEX(tblContractForDeed[End Bal],ROW()-ROW(tblBuyerOutputs[#Headers]))&lt;=0,0,($O$6+IF(ROW()=ROW(tblBuyerOutputs[#Headers])+1,0,INDEX(tblBuyerOutputs[Cumul Appr],ROW()-ROW(tblBuyerOutputs[#Headers])-1)))*$O$2/12)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13" t="str">
        <f>IF(ROW()=ROW(tblSubjectToLoan[#Headers])+1,subjectKnownBalanceDate,IF(OR(INDEX(tblSubjectToLoan[Date],ROW()-ROW(tblSubjectToLoan[#Headers])-1)="",INDEX(tblSubjectToLoan[Date],ROW()-ROW(tblSubjectToLoan[#Headers])-1)&gt;=subjectMortgageEndDate),"",EDATE(INDEX(tblSubjectToLoan[Date],ROW()-ROW(tblSubjectToLoan[#Headers])-1),1)))</f>
        <v/>
      </c>
      <c r="B329" s="276">
        <f>IF(tblSubjectToLoan[[#This Row],[Date]]="",0,IF(ROW()=ROW(tblSubjectToLoan[#Headers])+1,subjectKnownBalance,MAX(0,INDEX(tblSubjectToLoan[Ending Balance],ROW()-ROW(tblSubjectToLoan[#Headers])-1))))</f>
        <v>0</v>
      </c>
      <c r="C3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9" s="14">
        <f>IF(tblSubjectToLoan[[#This Row],[Payment]]=0,0,MAX(0,MIN(tblSubjectToLoan[[#This Row],[Beginning Balance]],tblSubjectToLoan[[#This Row],[Payment]]-tblSubjectToLoan[[#This Row],[Int]])))</f>
        <v>0</v>
      </c>
      <c r="E329" s="14">
        <f>IF(tblSubjectToLoan[[#This Row],[Date]]="",0,ROUND(tblSubjectToLoan[[#This Row],[Beginning Balance]]*(subjectInterestRate/12),2))</f>
        <v>0</v>
      </c>
      <c r="F329" s="14">
        <f t="shared" si="28"/>
        <v>134.16999999999999</v>
      </c>
      <c r="G329" s="14">
        <f t="shared" si="28"/>
        <v>188.55</v>
      </c>
      <c r="H329" s="14">
        <f>SUM(tblSubjectToLoan[[#This Row],[Princ]],tblSubjectToLoan[[#This Row],[Int]],tblSubjectToLoan[[#This Row],[Ins]],tblSubjectToLoan[[#This Row],[Taxes]])</f>
        <v>322.72000000000003</v>
      </c>
      <c r="I3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9" s="276">
        <f>IF(tblSubjectToLoan[[#This Row],[Date]]="",IF(ROW()=ROW(tblSubjectToLoan[#Headers])+1,0,INDEX(tblSubjectToLoan[Interest],ROW()-ROW(tblSubjectToLoan[#Headers])-1)),tblSubjectToLoan[[#This Row],[Int]]+IF(ROW()=ROW(tblSubjectToLoan[#Headers])+1,0,INDEX(tblSubjectToLoan[Interest],ROW()-ROW(tblSubjectToLoan[#Headers])-1)))</f>
        <v>36068.259999999973</v>
      </c>
      <c r="K329" s="969">
        <f>IF(tblSubjectToLoan[[#This Row],[Date]]="",0,MAX(0,tblSubjectToLoan[[#This Row],[Beginning Balance]]-tblSubjectToLoan[[#This Row],[Princ]]))</f>
        <v>0</v>
      </c>
      <c r="L329" s="394">
        <f t="shared" si="27"/>
        <v>0</v>
      </c>
      <c r="M329" s="394">
        <f t="shared" si="24"/>
        <v>0</v>
      </c>
      <c r="N329" s="613" t="str">
        <f>INDEX(tblSubjectToLoan[Date],ROW()-ROW(tblContractForDeed[#Headers]))</f>
        <v/>
      </c>
      <c r="O329" s="276">
        <f>IF(ROW()=ROW(tblContractForDeed[#Headers])+1,$O$6,IF(INDEX(tblContractForDeed[End Bal],ROW()-ROW(tblContractForDeed[#Headers])-1)&lt;0,0,INDEX(tblContractForDeed[End Bal],ROW()-ROW(tblContractForDeed[#Headers])-1)))</f>
        <v>0</v>
      </c>
      <c r="P329" s="454"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9" s="276">
        <f>IF(INDEX(tblContractForDeed[End Bal],ROW()-ROW(tblBuyerOutputs[#Headers]))&lt;=0,0,($O$6+IF(ROW()=ROW(tblBuyerOutputs[#Headers])+1,0,INDEX(tblBuyerOutputs[Cumul Appr],ROW()-ROW(tblBuyerOutputs[#Headers])-1)))*$O$2/12)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13" t="str">
        <f>IF(ROW()=ROW(tblSubjectToLoan[#Headers])+1,subjectKnownBalanceDate,IF(OR(INDEX(tblSubjectToLoan[Date],ROW()-ROW(tblSubjectToLoan[#Headers])-1)="",INDEX(tblSubjectToLoan[Date],ROW()-ROW(tblSubjectToLoan[#Headers])-1)&gt;=subjectMortgageEndDate),"",EDATE(INDEX(tblSubjectToLoan[Date],ROW()-ROW(tblSubjectToLoan[#Headers])-1),1)))</f>
        <v/>
      </c>
      <c r="B330" s="276">
        <f>IF(tblSubjectToLoan[[#This Row],[Date]]="",0,IF(ROW()=ROW(tblSubjectToLoan[#Headers])+1,subjectKnownBalance,MAX(0,INDEX(tblSubjectToLoan[Ending Balance],ROW()-ROW(tblSubjectToLoan[#Headers])-1))))</f>
        <v>0</v>
      </c>
      <c r="C3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0" s="14">
        <f>IF(tblSubjectToLoan[[#This Row],[Payment]]=0,0,MAX(0,MIN(tblSubjectToLoan[[#This Row],[Beginning Balance]],tblSubjectToLoan[[#This Row],[Payment]]-tblSubjectToLoan[[#This Row],[Int]])))</f>
        <v>0</v>
      </c>
      <c r="E330" s="14">
        <f>IF(tblSubjectToLoan[[#This Row],[Date]]="",0,ROUND(tblSubjectToLoan[[#This Row],[Beginning Balance]]*(subjectInterestRate/12),2))</f>
        <v>0</v>
      </c>
      <c r="F330" s="14">
        <f t="shared" si="28"/>
        <v>134.16999999999999</v>
      </c>
      <c r="G330" s="14">
        <f t="shared" si="28"/>
        <v>188.55</v>
      </c>
      <c r="H330" s="14">
        <f>SUM(tblSubjectToLoan[[#This Row],[Princ]],tblSubjectToLoan[[#This Row],[Int]],tblSubjectToLoan[[#This Row],[Ins]],tblSubjectToLoan[[#This Row],[Taxes]])</f>
        <v>322.72000000000003</v>
      </c>
      <c r="I3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0" s="276">
        <f>IF(tblSubjectToLoan[[#This Row],[Date]]="",IF(ROW()=ROW(tblSubjectToLoan[#Headers])+1,0,INDEX(tblSubjectToLoan[Interest],ROW()-ROW(tblSubjectToLoan[#Headers])-1)),tblSubjectToLoan[[#This Row],[Int]]+IF(ROW()=ROW(tblSubjectToLoan[#Headers])+1,0,INDEX(tblSubjectToLoan[Interest],ROW()-ROW(tblSubjectToLoan[#Headers])-1)))</f>
        <v>36068.259999999973</v>
      </c>
      <c r="K330" s="969">
        <f>IF(tblSubjectToLoan[[#This Row],[Date]]="",0,MAX(0,tblSubjectToLoan[[#This Row],[Beginning Balance]]-tblSubjectToLoan[[#This Row],[Princ]]))</f>
        <v>0</v>
      </c>
      <c r="L330" s="394">
        <f t="shared" si="27"/>
        <v>0</v>
      </c>
      <c r="M330" s="394">
        <f t="shared" si="24"/>
        <v>0</v>
      </c>
      <c r="N330" s="613" t="str">
        <f>INDEX(tblSubjectToLoan[Date],ROW()-ROW(tblContractForDeed[#Headers]))</f>
        <v/>
      </c>
      <c r="O330" s="276">
        <f>IF(ROW()=ROW(tblContractForDeed[#Headers])+1,$O$6,IF(INDEX(tblContractForDeed[End Bal],ROW()-ROW(tblContractForDeed[#Headers])-1)&lt;0,0,INDEX(tblContractForDeed[End Bal],ROW()-ROW(tblContractForDeed[#Headers])-1)))</f>
        <v>0</v>
      </c>
      <c r="P330" s="454"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0" s="276">
        <f>IF(INDEX(tblContractForDeed[End Bal],ROW()-ROW(tblBuyerOutputs[#Headers]))&lt;=0,0,($O$6+IF(ROW()=ROW(tblBuyerOutputs[#Headers])+1,0,INDEX(tblBuyerOutputs[Cumul Appr],ROW()-ROW(tblBuyerOutputs[#Headers])-1)))*$O$2/12)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14" t="str">
        <f>IF(ROW()=ROW(tblSubjectToLoan[#Headers])+1,subjectKnownBalanceDate,IF(OR(INDEX(tblSubjectToLoan[Date],ROW()-ROW(tblSubjectToLoan[#Headers])-1)="",INDEX(tblSubjectToLoan[Date],ROW()-ROW(tblSubjectToLoan[#Headers])-1)&gt;=subjectMortgageEndDate),"",EDATE(INDEX(tblSubjectToLoan[Date],ROW()-ROW(tblSubjectToLoan[#Headers])-1),1)))</f>
        <v/>
      </c>
      <c r="B331" s="332">
        <f>IF(tblSubjectToLoan[[#This Row],[Date]]="",0,IF(ROW()=ROW(tblSubjectToLoan[#Headers])+1,subjectKnownBalance,MAX(0,INDEX(tblSubjectToLoan[Ending Balance],ROW()-ROW(tblSubjectToLoan[#Headers])-1))))</f>
        <v>0</v>
      </c>
      <c r="C33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1" s="21">
        <f>IF(tblSubjectToLoan[[#This Row],[Payment]]=0,0,MAX(0,MIN(tblSubjectToLoan[[#This Row],[Beginning Balance]],tblSubjectToLoan[[#This Row],[Payment]]-tblSubjectToLoan[[#This Row],[Int]])))</f>
        <v>0</v>
      </c>
      <c r="E331" s="21">
        <f>IF(tblSubjectToLoan[[#This Row],[Date]]="",0,ROUND(tblSubjectToLoan[[#This Row],[Beginning Balance]]*(subjectInterestRate/12),2))</f>
        <v>0</v>
      </c>
      <c r="F331" s="21">
        <f t="shared" si="28"/>
        <v>134.16999999999999</v>
      </c>
      <c r="G331" s="21">
        <f t="shared" si="28"/>
        <v>188.55</v>
      </c>
      <c r="H331" s="21">
        <f>SUM(tblSubjectToLoan[[#This Row],[Princ]],tblSubjectToLoan[[#This Row],[Int]],tblSubjectToLoan[[#This Row],[Ins]],tblSubjectToLoan[[#This Row],[Taxes]])</f>
        <v>322.72000000000003</v>
      </c>
      <c r="I33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31" s="332">
        <f>IF(tblSubjectToLoan[[#This Row],[Date]]="",IF(ROW()=ROW(tblSubjectToLoan[#Headers])+1,0,INDEX(tblSubjectToLoan[Interest],ROW()-ROW(tblSubjectToLoan[#Headers])-1)),tblSubjectToLoan[[#This Row],[Int]]+IF(ROW()=ROW(tblSubjectToLoan[#Headers])+1,0,INDEX(tblSubjectToLoan[Interest],ROW()-ROW(tblSubjectToLoan[#Headers])-1)))</f>
        <v>36068.259999999973</v>
      </c>
      <c r="K331" s="970">
        <f>IF(tblSubjectToLoan[[#This Row],[Date]]="",0,MAX(0,tblSubjectToLoan[[#This Row],[Beginning Balance]]-tblSubjectToLoan[[#This Row],[Princ]]))</f>
        <v>0</v>
      </c>
      <c r="L331" s="395">
        <f t="shared" si="27"/>
        <v>0</v>
      </c>
      <c r="M331" s="395">
        <f t="shared" si="24"/>
        <v>0</v>
      </c>
      <c r="N331" s="614" t="str">
        <f>INDEX(tblSubjectToLoan[Date],ROW()-ROW(tblContractForDeed[#Headers]))</f>
        <v/>
      </c>
      <c r="O331" s="332">
        <f>IF(ROW()=ROW(tblContractForDeed[#Headers])+1,$O$6,IF(INDEX(tblContractForDeed[End Bal],ROW()-ROW(tblContractForDeed[#Headers])-1)&lt;0,0,INDEX(tblContractForDeed[End Bal],ROW()-ROW(tblContractForDeed[#Headers])-1)))</f>
        <v>0</v>
      </c>
      <c r="P331" s="454"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1" s="332">
        <f>IF(INDEX(tblContractForDeed[End Bal],ROW()-ROW(tblBuyerOutputs[#Headers]))&lt;=0,0,($O$6+IF(ROW()=ROW(tblBuyerOutputs[#Headers])+1,0,INDEX(tblBuyerOutputs[Cumul Appr],ROW()-ROW(tblBuyerOutputs[#Headers])-1)))*$O$2/12)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13" t="str">
        <f>IF(ROW()=ROW(tblSubjectToLoan[#Headers])+1,subjectKnownBalanceDate,IF(OR(INDEX(tblSubjectToLoan[Date],ROW()-ROW(tblSubjectToLoan[#Headers])-1)="",INDEX(tblSubjectToLoan[Date],ROW()-ROW(tblSubjectToLoan[#Headers])-1)&gt;=subjectMortgageEndDate),"",EDATE(INDEX(tblSubjectToLoan[Date],ROW()-ROW(tblSubjectToLoan[#Headers])-1),1)))</f>
        <v/>
      </c>
      <c r="B332" s="276">
        <f>IF(tblSubjectToLoan[[#This Row],[Date]]="",0,IF(ROW()=ROW(tblSubjectToLoan[#Headers])+1,subjectKnownBalance,MAX(0,INDEX(tblSubjectToLoan[Ending Balance],ROW()-ROW(tblSubjectToLoan[#Headers])-1))))</f>
        <v>0</v>
      </c>
      <c r="C3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2" s="14">
        <f>IF(tblSubjectToLoan[[#This Row],[Payment]]=0,0,MAX(0,MIN(tblSubjectToLoan[[#This Row],[Beginning Balance]],tblSubjectToLoan[[#This Row],[Payment]]-tblSubjectToLoan[[#This Row],[Int]])))</f>
        <v>0</v>
      </c>
      <c r="E332" s="14">
        <f>IF(tblSubjectToLoan[[#This Row],[Date]]="",0,ROUND(tblSubjectToLoan[[#This Row],[Beginning Balance]]*(subjectInterestRate/12),2))</f>
        <v>0</v>
      </c>
      <c r="F332" s="14">
        <f t="shared" si="28"/>
        <v>134.16999999999999</v>
      </c>
      <c r="G332" s="14">
        <f t="shared" si="28"/>
        <v>188.55</v>
      </c>
      <c r="H332" s="14">
        <f>SUM(tblSubjectToLoan[[#This Row],[Princ]],tblSubjectToLoan[[#This Row],[Int]],tblSubjectToLoan[[#This Row],[Ins]],tblSubjectToLoan[[#This Row],[Taxes]])</f>
        <v>322.72000000000003</v>
      </c>
      <c r="I3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2" s="276">
        <f>IF(tblSubjectToLoan[[#This Row],[Date]]="",IF(ROW()=ROW(tblSubjectToLoan[#Headers])+1,0,INDEX(tblSubjectToLoan[Interest],ROW()-ROW(tblSubjectToLoan[#Headers])-1)),tblSubjectToLoan[[#This Row],[Int]]+IF(ROW()=ROW(tblSubjectToLoan[#Headers])+1,0,INDEX(tblSubjectToLoan[Interest],ROW()-ROW(tblSubjectToLoan[#Headers])-1)))</f>
        <v>36068.259999999973</v>
      </c>
      <c r="K332" s="969">
        <f>IF(tblSubjectToLoan[[#This Row],[Date]]="",0,MAX(0,tblSubjectToLoan[[#This Row],[Beginning Balance]]-tblSubjectToLoan[[#This Row],[Princ]]))</f>
        <v>0</v>
      </c>
      <c r="L332" s="394">
        <f t="shared" si="27"/>
        <v>0</v>
      </c>
      <c r="M332" s="394">
        <f t="shared" si="24"/>
        <v>0</v>
      </c>
      <c r="N332" s="613" t="str">
        <f>INDEX(tblSubjectToLoan[Date],ROW()-ROW(tblContractForDeed[#Headers]))</f>
        <v/>
      </c>
      <c r="O332" s="276">
        <f>IF(ROW()=ROW(tblContractForDeed[#Headers])+1,$O$6,IF(INDEX(tblContractForDeed[End Bal],ROW()-ROW(tblContractForDeed[#Headers])-1)&lt;0,0,INDEX(tblContractForDeed[End Bal],ROW()-ROW(tblContractForDeed[#Headers])-1)))</f>
        <v>0</v>
      </c>
      <c r="P332" s="454"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2" s="276">
        <f>IF(INDEX(tblContractForDeed[End Bal],ROW()-ROW(tblBuyerOutputs[#Headers]))&lt;=0,0,($O$6+IF(ROW()=ROW(tblBuyerOutputs[#Headers])+1,0,INDEX(tblBuyerOutputs[Cumul Appr],ROW()-ROW(tblBuyerOutputs[#Headers])-1)))*$O$2/12)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13" t="str">
        <f>IF(ROW()=ROW(tblSubjectToLoan[#Headers])+1,subjectKnownBalanceDate,IF(OR(INDEX(tblSubjectToLoan[Date],ROW()-ROW(tblSubjectToLoan[#Headers])-1)="",INDEX(tblSubjectToLoan[Date],ROW()-ROW(tblSubjectToLoan[#Headers])-1)&gt;=subjectMortgageEndDate),"",EDATE(INDEX(tblSubjectToLoan[Date],ROW()-ROW(tblSubjectToLoan[#Headers])-1),1)))</f>
        <v/>
      </c>
      <c r="B333" s="276">
        <f>IF(tblSubjectToLoan[[#This Row],[Date]]="",0,IF(ROW()=ROW(tblSubjectToLoan[#Headers])+1,subjectKnownBalance,MAX(0,INDEX(tblSubjectToLoan[Ending Balance],ROW()-ROW(tblSubjectToLoan[#Headers])-1))))</f>
        <v>0</v>
      </c>
      <c r="C3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3" s="14">
        <f>IF(tblSubjectToLoan[[#This Row],[Payment]]=0,0,MAX(0,MIN(tblSubjectToLoan[[#This Row],[Beginning Balance]],tblSubjectToLoan[[#This Row],[Payment]]-tblSubjectToLoan[[#This Row],[Int]])))</f>
        <v>0</v>
      </c>
      <c r="E333" s="14">
        <f>IF(tblSubjectToLoan[[#This Row],[Date]]="",0,ROUND(tblSubjectToLoan[[#This Row],[Beginning Balance]]*(subjectInterestRate/12),2))</f>
        <v>0</v>
      </c>
      <c r="F333" s="14">
        <f t="shared" si="28"/>
        <v>134.16999999999999</v>
      </c>
      <c r="G333" s="14">
        <f t="shared" si="28"/>
        <v>188.55</v>
      </c>
      <c r="H333" s="14">
        <f>SUM(tblSubjectToLoan[[#This Row],[Princ]],tblSubjectToLoan[[#This Row],[Int]],tblSubjectToLoan[[#This Row],[Ins]],tblSubjectToLoan[[#This Row],[Taxes]])</f>
        <v>322.72000000000003</v>
      </c>
      <c r="I3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3" s="276">
        <f>IF(tblSubjectToLoan[[#This Row],[Date]]="",IF(ROW()=ROW(tblSubjectToLoan[#Headers])+1,0,INDEX(tblSubjectToLoan[Interest],ROW()-ROW(tblSubjectToLoan[#Headers])-1)),tblSubjectToLoan[[#This Row],[Int]]+IF(ROW()=ROW(tblSubjectToLoan[#Headers])+1,0,INDEX(tblSubjectToLoan[Interest],ROW()-ROW(tblSubjectToLoan[#Headers])-1)))</f>
        <v>36068.259999999973</v>
      </c>
      <c r="K333" s="969">
        <f>IF(tblSubjectToLoan[[#This Row],[Date]]="",0,MAX(0,tblSubjectToLoan[[#This Row],[Beginning Balance]]-tblSubjectToLoan[[#This Row],[Princ]]))</f>
        <v>0</v>
      </c>
      <c r="L333" s="394">
        <f t="shared" si="27"/>
        <v>0</v>
      </c>
      <c r="M333" s="394">
        <f t="shared" si="24"/>
        <v>0</v>
      </c>
      <c r="N333" s="613" t="str">
        <f>INDEX(tblSubjectToLoan[Date],ROW()-ROW(tblContractForDeed[#Headers]))</f>
        <v/>
      </c>
      <c r="O333" s="276">
        <f>IF(ROW()=ROW(tblContractForDeed[#Headers])+1,$O$6,IF(INDEX(tblContractForDeed[End Bal],ROW()-ROW(tblContractForDeed[#Headers])-1)&lt;0,0,INDEX(tblContractForDeed[End Bal],ROW()-ROW(tblContractForDeed[#Headers])-1)))</f>
        <v>0</v>
      </c>
      <c r="P333" s="454"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3" s="276">
        <f>IF(INDEX(tblContractForDeed[End Bal],ROW()-ROW(tblBuyerOutputs[#Headers]))&lt;=0,0,($O$6+IF(ROW()=ROW(tblBuyerOutputs[#Headers])+1,0,INDEX(tblBuyerOutputs[Cumul Appr],ROW()-ROW(tblBuyerOutputs[#Headers])-1)))*$O$2/12)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13" t="str">
        <f>IF(ROW()=ROW(tblSubjectToLoan[#Headers])+1,subjectKnownBalanceDate,IF(OR(INDEX(tblSubjectToLoan[Date],ROW()-ROW(tblSubjectToLoan[#Headers])-1)="",INDEX(tblSubjectToLoan[Date],ROW()-ROW(tblSubjectToLoan[#Headers])-1)&gt;=subjectMortgageEndDate),"",EDATE(INDEX(tblSubjectToLoan[Date],ROW()-ROW(tblSubjectToLoan[#Headers])-1),1)))</f>
        <v/>
      </c>
      <c r="B334" s="276">
        <f>IF(tblSubjectToLoan[[#This Row],[Date]]="",0,IF(ROW()=ROW(tblSubjectToLoan[#Headers])+1,subjectKnownBalance,MAX(0,INDEX(tblSubjectToLoan[Ending Balance],ROW()-ROW(tblSubjectToLoan[#Headers])-1))))</f>
        <v>0</v>
      </c>
      <c r="C3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4" s="14">
        <f>IF(tblSubjectToLoan[[#This Row],[Payment]]=0,0,MAX(0,MIN(tblSubjectToLoan[[#This Row],[Beginning Balance]],tblSubjectToLoan[[#This Row],[Payment]]-tblSubjectToLoan[[#This Row],[Int]])))</f>
        <v>0</v>
      </c>
      <c r="E334" s="14">
        <f>IF(tblSubjectToLoan[[#This Row],[Date]]="",0,ROUND(tblSubjectToLoan[[#This Row],[Beginning Balance]]*(subjectInterestRate/12),2))</f>
        <v>0</v>
      </c>
      <c r="F334" s="14">
        <f t="shared" si="28"/>
        <v>134.16999999999999</v>
      </c>
      <c r="G334" s="14">
        <f t="shared" si="28"/>
        <v>188.55</v>
      </c>
      <c r="H334" s="14">
        <f>SUM(tblSubjectToLoan[[#This Row],[Princ]],tblSubjectToLoan[[#This Row],[Int]],tblSubjectToLoan[[#This Row],[Ins]],tblSubjectToLoan[[#This Row],[Taxes]])</f>
        <v>322.72000000000003</v>
      </c>
      <c r="I3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4" s="276">
        <f>IF(tblSubjectToLoan[[#This Row],[Date]]="",IF(ROW()=ROW(tblSubjectToLoan[#Headers])+1,0,INDEX(tblSubjectToLoan[Interest],ROW()-ROW(tblSubjectToLoan[#Headers])-1)),tblSubjectToLoan[[#This Row],[Int]]+IF(ROW()=ROW(tblSubjectToLoan[#Headers])+1,0,INDEX(tblSubjectToLoan[Interest],ROW()-ROW(tblSubjectToLoan[#Headers])-1)))</f>
        <v>36068.259999999973</v>
      </c>
      <c r="K334" s="969">
        <f>IF(tblSubjectToLoan[[#This Row],[Date]]="",0,MAX(0,tblSubjectToLoan[[#This Row],[Beginning Balance]]-tblSubjectToLoan[[#This Row],[Princ]]))</f>
        <v>0</v>
      </c>
      <c r="L334" s="394">
        <f t="shared" si="27"/>
        <v>0</v>
      </c>
      <c r="M334" s="394">
        <f t="shared" si="24"/>
        <v>0</v>
      </c>
      <c r="N334" s="613" t="str">
        <f>INDEX(tblSubjectToLoan[Date],ROW()-ROW(tblContractForDeed[#Headers]))</f>
        <v/>
      </c>
      <c r="O334" s="276">
        <f>IF(ROW()=ROW(tblContractForDeed[#Headers])+1,$O$6,IF(INDEX(tblContractForDeed[End Bal],ROW()-ROW(tblContractForDeed[#Headers])-1)&lt;0,0,INDEX(tblContractForDeed[End Bal],ROW()-ROW(tblContractForDeed[#Headers])-1)))</f>
        <v>0</v>
      </c>
      <c r="P334" s="454"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4" s="276">
        <f>IF(INDEX(tblContractForDeed[End Bal],ROW()-ROW(tblBuyerOutputs[#Headers]))&lt;=0,0,($O$6+IF(ROW()=ROW(tblBuyerOutputs[#Headers])+1,0,INDEX(tblBuyerOutputs[Cumul Appr],ROW()-ROW(tblBuyerOutputs[#Headers])-1)))*$O$2/12)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13" t="str">
        <f>IF(ROW()=ROW(tblSubjectToLoan[#Headers])+1,subjectKnownBalanceDate,IF(OR(INDEX(tblSubjectToLoan[Date],ROW()-ROW(tblSubjectToLoan[#Headers])-1)="",INDEX(tblSubjectToLoan[Date],ROW()-ROW(tblSubjectToLoan[#Headers])-1)&gt;=subjectMortgageEndDate),"",EDATE(INDEX(tblSubjectToLoan[Date],ROW()-ROW(tblSubjectToLoan[#Headers])-1),1)))</f>
        <v/>
      </c>
      <c r="B335" s="276">
        <f>IF(tblSubjectToLoan[[#This Row],[Date]]="",0,IF(ROW()=ROW(tblSubjectToLoan[#Headers])+1,subjectKnownBalance,MAX(0,INDEX(tblSubjectToLoan[Ending Balance],ROW()-ROW(tblSubjectToLoan[#Headers])-1))))</f>
        <v>0</v>
      </c>
      <c r="C3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5" s="14">
        <f>IF(tblSubjectToLoan[[#This Row],[Payment]]=0,0,MAX(0,MIN(tblSubjectToLoan[[#This Row],[Beginning Balance]],tblSubjectToLoan[[#This Row],[Payment]]-tblSubjectToLoan[[#This Row],[Int]])))</f>
        <v>0</v>
      </c>
      <c r="E335" s="14">
        <f>IF(tblSubjectToLoan[[#This Row],[Date]]="",0,ROUND(tblSubjectToLoan[[#This Row],[Beginning Balance]]*(subjectInterestRate/12),2))</f>
        <v>0</v>
      </c>
      <c r="F335" s="14">
        <f t="shared" ref="F335:G350" si="29">+F334</f>
        <v>134.16999999999999</v>
      </c>
      <c r="G335" s="14">
        <f t="shared" si="29"/>
        <v>188.55</v>
      </c>
      <c r="H335" s="14">
        <f>SUM(tblSubjectToLoan[[#This Row],[Princ]],tblSubjectToLoan[[#This Row],[Int]],tblSubjectToLoan[[#This Row],[Ins]],tblSubjectToLoan[[#This Row],[Taxes]])</f>
        <v>322.72000000000003</v>
      </c>
      <c r="I3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5" s="276">
        <f>IF(tblSubjectToLoan[[#This Row],[Date]]="",IF(ROW()=ROW(tblSubjectToLoan[#Headers])+1,0,INDEX(tblSubjectToLoan[Interest],ROW()-ROW(tblSubjectToLoan[#Headers])-1)),tblSubjectToLoan[[#This Row],[Int]]+IF(ROW()=ROW(tblSubjectToLoan[#Headers])+1,0,INDEX(tblSubjectToLoan[Interest],ROW()-ROW(tblSubjectToLoan[#Headers])-1)))</f>
        <v>36068.259999999973</v>
      </c>
      <c r="K335" s="969">
        <f>IF(tblSubjectToLoan[[#This Row],[Date]]="",0,MAX(0,tblSubjectToLoan[[#This Row],[Beginning Balance]]-tblSubjectToLoan[[#This Row],[Princ]]))</f>
        <v>0</v>
      </c>
      <c r="L335" s="394">
        <f t="shared" si="27"/>
        <v>0</v>
      </c>
      <c r="M335" s="394">
        <f t="shared" si="24"/>
        <v>0</v>
      </c>
      <c r="N335" s="613" t="str">
        <f>INDEX(tblSubjectToLoan[Date],ROW()-ROW(tblContractForDeed[#Headers]))</f>
        <v/>
      </c>
      <c r="O335" s="276">
        <f>IF(ROW()=ROW(tblContractForDeed[#Headers])+1,$O$6,IF(INDEX(tblContractForDeed[End Bal],ROW()-ROW(tblContractForDeed[#Headers])-1)&lt;0,0,INDEX(tblContractForDeed[End Bal],ROW()-ROW(tblContractForDeed[#Headers])-1)))</f>
        <v>0</v>
      </c>
      <c r="P335" s="454"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5" s="276">
        <f>IF(INDEX(tblContractForDeed[End Bal],ROW()-ROW(tblBuyerOutputs[#Headers]))&lt;=0,0,($O$6+IF(ROW()=ROW(tblBuyerOutputs[#Headers])+1,0,INDEX(tblBuyerOutputs[Cumul Appr],ROW()-ROW(tblBuyerOutputs[#Headers])-1)))*$O$2/12)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13" t="str">
        <f>IF(ROW()=ROW(tblSubjectToLoan[#Headers])+1,subjectKnownBalanceDate,IF(OR(INDEX(tblSubjectToLoan[Date],ROW()-ROW(tblSubjectToLoan[#Headers])-1)="",INDEX(tblSubjectToLoan[Date],ROW()-ROW(tblSubjectToLoan[#Headers])-1)&gt;=subjectMortgageEndDate),"",EDATE(INDEX(tblSubjectToLoan[Date],ROW()-ROW(tblSubjectToLoan[#Headers])-1),1)))</f>
        <v/>
      </c>
      <c r="B336" s="276">
        <f>IF(tblSubjectToLoan[[#This Row],[Date]]="",0,IF(ROW()=ROW(tblSubjectToLoan[#Headers])+1,subjectKnownBalance,MAX(0,INDEX(tblSubjectToLoan[Ending Balance],ROW()-ROW(tblSubjectToLoan[#Headers])-1))))</f>
        <v>0</v>
      </c>
      <c r="C3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6" s="14">
        <f>IF(tblSubjectToLoan[[#This Row],[Payment]]=0,0,MAX(0,MIN(tblSubjectToLoan[[#This Row],[Beginning Balance]],tblSubjectToLoan[[#This Row],[Payment]]-tblSubjectToLoan[[#This Row],[Int]])))</f>
        <v>0</v>
      </c>
      <c r="E336" s="14">
        <f>IF(tblSubjectToLoan[[#This Row],[Date]]="",0,ROUND(tblSubjectToLoan[[#This Row],[Beginning Balance]]*(subjectInterestRate/12),2))</f>
        <v>0</v>
      </c>
      <c r="F336" s="14">
        <f t="shared" si="29"/>
        <v>134.16999999999999</v>
      </c>
      <c r="G336" s="14">
        <f t="shared" si="29"/>
        <v>188.55</v>
      </c>
      <c r="H336" s="14">
        <f>SUM(tblSubjectToLoan[[#This Row],[Princ]],tblSubjectToLoan[[#This Row],[Int]],tblSubjectToLoan[[#This Row],[Ins]],tblSubjectToLoan[[#This Row],[Taxes]])</f>
        <v>322.72000000000003</v>
      </c>
      <c r="I3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6" s="276">
        <f>IF(tblSubjectToLoan[[#This Row],[Date]]="",IF(ROW()=ROW(tblSubjectToLoan[#Headers])+1,0,INDEX(tblSubjectToLoan[Interest],ROW()-ROW(tblSubjectToLoan[#Headers])-1)),tblSubjectToLoan[[#This Row],[Int]]+IF(ROW()=ROW(tblSubjectToLoan[#Headers])+1,0,INDEX(tblSubjectToLoan[Interest],ROW()-ROW(tblSubjectToLoan[#Headers])-1)))</f>
        <v>36068.259999999973</v>
      </c>
      <c r="K336" s="969">
        <f>IF(tblSubjectToLoan[[#This Row],[Date]]="",0,MAX(0,tblSubjectToLoan[[#This Row],[Beginning Balance]]-tblSubjectToLoan[[#This Row],[Princ]]))</f>
        <v>0</v>
      </c>
      <c r="L336" s="394">
        <f t="shared" si="27"/>
        <v>0</v>
      </c>
      <c r="M336" s="394">
        <f t="shared" si="24"/>
        <v>0</v>
      </c>
      <c r="N336" s="613" t="str">
        <f>INDEX(tblSubjectToLoan[Date],ROW()-ROW(tblContractForDeed[#Headers]))</f>
        <v/>
      </c>
      <c r="O336" s="276">
        <f>IF(ROW()=ROW(tblContractForDeed[#Headers])+1,$O$6,IF(INDEX(tblContractForDeed[End Bal],ROW()-ROW(tblContractForDeed[#Headers])-1)&lt;0,0,INDEX(tblContractForDeed[End Bal],ROW()-ROW(tblContractForDeed[#Headers])-1)))</f>
        <v>0</v>
      </c>
      <c r="P336" s="454"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6" s="276">
        <f>IF(INDEX(tblContractForDeed[End Bal],ROW()-ROW(tblBuyerOutputs[#Headers]))&lt;=0,0,($O$6+IF(ROW()=ROW(tblBuyerOutputs[#Headers])+1,0,INDEX(tblBuyerOutputs[Cumul Appr],ROW()-ROW(tblBuyerOutputs[#Headers])-1)))*$O$2/12)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13" t="str">
        <f>IF(ROW()=ROW(tblSubjectToLoan[#Headers])+1,subjectKnownBalanceDate,IF(OR(INDEX(tblSubjectToLoan[Date],ROW()-ROW(tblSubjectToLoan[#Headers])-1)="",INDEX(tblSubjectToLoan[Date],ROW()-ROW(tblSubjectToLoan[#Headers])-1)&gt;=subjectMortgageEndDate),"",EDATE(INDEX(tblSubjectToLoan[Date],ROW()-ROW(tblSubjectToLoan[#Headers])-1),1)))</f>
        <v/>
      </c>
      <c r="B337" s="276">
        <f>IF(tblSubjectToLoan[[#This Row],[Date]]="",0,IF(ROW()=ROW(tblSubjectToLoan[#Headers])+1,subjectKnownBalance,MAX(0,INDEX(tblSubjectToLoan[Ending Balance],ROW()-ROW(tblSubjectToLoan[#Headers])-1))))</f>
        <v>0</v>
      </c>
      <c r="C3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7" s="14">
        <f>IF(tblSubjectToLoan[[#This Row],[Payment]]=0,0,MAX(0,MIN(tblSubjectToLoan[[#This Row],[Beginning Balance]],tblSubjectToLoan[[#This Row],[Payment]]-tblSubjectToLoan[[#This Row],[Int]])))</f>
        <v>0</v>
      </c>
      <c r="E337" s="14">
        <f>IF(tblSubjectToLoan[[#This Row],[Date]]="",0,ROUND(tblSubjectToLoan[[#This Row],[Beginning Balance]]*(subjectInterestRate/12),2))</f>
        <v>0</v>
      </c>
      <c r="F337" s="14">
        <f t="shared" si="29"/>
        <v>134.16999999999999</v>
      </c>
      <c r="G337" s="14">
        <f t="shared" si="29"/>
        <v>188.55</v>
      </c>
      <c r="H337" s="14">
        <f>SUM(tblSubjectToLoan[[#This Row],[Princ]],tblSubjectToLoan[[#This Row],[Int]],tblSubjectToLoan[[#This Row],[Ins]],tblSubjectToLoan[[#This Row],[Taxes]])</f>
        <v>322.72000000000003</v>
      </c>
      <c r="I3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7" s="276">
        <f>IF(tblSubjectToLoan[[#This Row],[Date]]="",IF(ROW()=ROW(tblSubjectToLoan[#Headers])+1,0,INDEX(tblSubjectToLoan[Interest],ROW()-ROW(tblSubjectToLoan[#Headers])-1)),tblSubjectToLoan[[#This Row],[Int]]+IF(ROW()=ROW(tblSubjectToLoan[#Headers])+1,0,INDEX(tblSubjectToLoan[Interest],ROW()-ROW(tblSubjectToLoan[#Headers])-1)))</f>
        <v>36068.259999999973</v>
      </c>
      <c r="K337" s="969">
        <f>IF(tblSubjectToLoan[[#This Row],[Date]]="",0,MAX(0,tblSubjectToLoan[[#This Row],[Beginning Balance]]-tblSubjectToLoan[[#This Row],[Princ]]))</f>
        <v>0</v>
      </c>
      <c r="L337" s="394">
        <f t="shared" si="27"/>
        <v>0</v>
      </c>
      <c r="M337" s="394">
        <f t="shared" si="24"/>
        <v>0</v>
      </c>
      <c r="N337" s="613" t="str">
        <f>INDEX(tblSubjectToLoan[Date],ROW()-ROW(tblContractForDeed[#Headers]))</f>
        <v/>
      </c>
      <c r="O337" s="276">
        <f>IF(ROW()=ROW(tblContractForDeed[#Headers])+1,$O$6,IF(INDEX(tblContractForDeed[End Bal],ROW()-ROW(tblContractForDeed[#Headers])-1)&lt;0,0,INDEX(tblContractForDeed[End Bal],ROW()-ROW(tblContractForDeed[#Headers])-1)))</f>
        <v>0</v>
      </c>
      <c r="P337" s="454"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7" s="276">
        <f>IF(INDEX(tblContractForDeed[End Bal],ROW()-ROW(tblBuyerOutputs[#Headers]))&lt;=0,0,($O$6+IF(ROW()=ROW(tblBuyerOutputs[#Headers])+1,0,INDEX(tblBuyerOutputs[Cumul Appr],ROW()-ROW(tblBuyerOutputs[#Headers])-1)))*$O$2/12)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13" t="str">
        <f>IF(ROW()=ROW(tblSubjectToLoan[#Headers])+1,subjectKnownBalanceDate,IF(OR(INDEX(tblSubjectToLoan[Date],ROW()-ROW(tblSubjectToLoan[#Headers])-1)="",INDEX(tblSubjectToLoan[Date],ROW()-ROW(tblSubjectToLoan[#Headers])-1)&gt;=subjectMortgageEndDate),"",EDATE(INDEX(tblSubjectToLoan[Date],ROW()-ROW(tblSubjectToLoan[#Headers])-1),1)))</f>
        <v/>
      </c>
      <c r="B338" s="276">
        <f>IF(tblSubjectToLoan[[#This Row],[Date]]="",0,IF(ROW()=ROW(tblSubjectToLoan[#Headers])+1,subjectKnownBalance,MAX(0,INDEX(tblSubjectToLoan[Ending Balance],ROW()-ROW(tblSubjectToLoan[#Headers])-1))))</f>
        <v>0</v>
      </c>
      <c r="C3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8" s="14">
        <f>IF(tblSubjectToLoan[[#This Row],[Payment]]=0,0,MAX(0,MIN(tblSubjectToLoan[[#This Row],[Beginning Balance]],tblSubjectToLoan[[#This Row],[Payment]]-tblSubjectToLoan[[#This Row],[Int]])))</f>
        <v>0</v>
      </c>
      <c r="E338" s="14">
        <f>IF(tblSubjectToLoan[[#This Row],[Date]]="",0,ROUND(tblSubjectToLoan[[#This Row],[Beginning Balance]]*(subjectInterestRate/12),2))</f>
        <v>0</v>
      </c>
      <c r="F338" s="14">
        <f t="shared" si="29"/>
        <v>134.16999999999999</v>
      </c>
      <c r="G338" s="14">
        <f t="shared" si="29"/>
        <v>188.55</v>
      </c>
      <c r="H338" s="14">
        <f>SUM(tblSubjectToLoan[[#This Row],[Princ]],tblSubjectToLoan[[#This Row],[Int]],tblSubjectToLoan[[#This Row],[Ins]],tblSubjectToLoan[[#This Row],[Taxes]])</f>
        <v>322.72000000000003</v>
      </c>
      <c r="I3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8" s="276">
        <f>IF(tblSubjectToLoan[[#This Row],[Date]]="",IF(ROW()=ROW(tblSubjectToLoan[#Headers])+1,0,INDEX(tblSubjectToLoan[Interest],ROW()-ROW(tblSubjectToLoan[#Headers])-1)),tblSubjectToLoan[[#This Row],[Int]]+IF(ROW()=ROW(tblSubjectToLoan[#Headers])+1,0,INDEX(tblSubjectToLoan[Interest],ROW()-ROW(tblSubjectToLoan[#Headers])-1)))</f>
        <v>36068.259999999973</v>
      </c>
      <c r="K338" s="969">
        <f>IF(tblSubjectToLoan[[#This Row],[Date]]="",0,MAX(0,tblSubjectToLoan[[#This Row],[Beginning Balance]]-tblSubjectToLoan[[#This Row],[Princ]]))</f>
        <v>0</v>
      </c>
      <c r="L338" s="394">
        <f t="shared" si="27"/>
        <v>0</v>
      </c>
      <c r="M338" s="394">
        <f t="shared" si="24"/>
        <v>0</v>
      </c>
      <c r="N338" s="613" t="str">
        <f>INDEX(tblSubjectToLoan[Date],ROW()-ROW(tblContractForDeed[#Headers]))</f>
        <v/>
      </c>
      <c r="O338" s="276">
        <f>IF(ROW()=ROW(tblContractForDeed[#Headers])+1,$O$6,IF(INDEX(tblContractForDeed[End Bal],ROW()-ROW(tblContractForDeed[#Headers])-1)&lt;0,0,INDEX(tblContractForDeed[End Bal],ROW()-ROW(tblContractForDeed[#Headers])-1)))</f>
        <v>0</v>
      </c>
      <c r="P338" s="454"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8" s="276">
        <f>IF(INDEX(tblContractForDeed[End Bal],ROW()-ROW(tblBuyerOutputs[#Headers]))&lt;=0,0,($O$6+IF(ROW()=ROW(tblBuyerOutputs[#Headers])+1,0,INDEX(tblBuyerOutputs[Cumul Appr],ROW()-ROW(tblBuyerOutputs[#Headers])-1)))*$O$2/12)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13" t="str">
        <f>IF(ROW()=ROW(tblSubjectToLoan[#Headers])+1,subjectKnownBalanceDate,IF(OR(INDEX(tblSubjectToLoan[Date],ROW()-ROW(tblSubjectToLoan[#Headers])-1)="",INDEX(tblSubjectToLoan[Date],ROW()-ROW(tblSubjectToLoan[#Headers])-1)&gt;=subjectMortgageEndDate),"",EDATE(INDEX(tblSubjectToLoan[Date],ROW()-ROW(tblSubjectToLoan[#Headers])-1),1)))</f>
        <v/>
      </c>
      <c r="B339" s="276">
        <f>IF(tblSubjectToLoan[[#This Row],[Date]]="",0,IF(ROW()=ROW(tblSubjectToLoan[#Headers])+1,subjectKnownBalance,MAX(0,INDEX(tblSubjectToLoan[Ending Balance],ROW()-ROW(tblSubjectToLoan[#Headers])-1))))</f>
        <v>0</v>
      </c>
      <c r="C3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9" s="14">
        <f>IF(tblSubjectToLoan[[#This Row],[Payment]]=0,0,MAX(0,MIN(tblSubjectToLoan[[#This Row],[Beginning Balance]],tblSubjectToLoan[[#This Row],[Payment]]-tblSubjectToLoan[[#This Row],[Int]])))</f>
        <v>0</v>
      </c>
      <c r="E339" s="14">
        <f>IF(tblSubjectToLoan[[#This Row],[Date]]="",0,ROUND(tblSubjectToLoan[[#This Row],[Beginning Balance]]*(subjectInterestRate/12),2))</f>
        <v>0</v>
      </c>
      <c r="F339" s="14">
        <f t="shared" si="29"/>
        <v>134.16999999999999</v>
      </c>
      <c r="G339" s="14">
        <f t="shared" si="29"/>
        <v>188.55</v>
      </c>
      <c r="H339" s="14">
        <f>SUM(tblSubjectToLoan[[#This Row],[Princ]],tblSubjectToLoan[[#This Row],[Int]],tblSubjectToLoan[[#This Row],[Ins]],tblSubjectToLoan[[#This Row],[Taxes]])</f>
        <v>322.72000000000003</v>
      </c>
      <c r="I3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9" s="276">
        <f>IF(tblSubjectToLoan[[#This Row],[Date]]="",IF(ROW()=ROW(tblSubjectToLoan[#Headers])+1,0,INDEX(tblSubjectToLoan[Interest],ROW()-ROW(tblSubjectToLoan[#Headers])-1)),tblSubjectToLoan[[#This Row],[Int]]+IF(ROW()=ROW(tblSubjectToLoan[#Headers])+1,0,INDEX(tblSubjectToLoan[Interest],ROW()-ROW(tblSubjectToLoan[#Headers])-1)))</f>
        <v>36068.259999999973</v>
      </c>
      <c r="K339" s="969">
        <f>IF(tblSubjectToLoan[[#This Row],[Date]]="",0,MAX(0,tblSubjectToLoan[[#This Row],[Beginning Balance]]-tblSubjectToLoan[[#This Row],[Princ]]))</f>
        <v>0</v>
      </c>
      <c r="L339" s="394">
        <f t="shared" si="27"/>
        <v>0</v>
      </c>
      <c r="M339" s="394">
        <f t="shared" si="24"/>
        <v>0</v>
      </c>
      <c r="N339" s="613" t="str">
        <f>INDEX(tblSubjectToLoan[Date],ROW()-ROW(tblContractForDeed[#Headers]))</f>
        <v/>
      </c>
      <c r="O339" s="276">
        <f>IF(ROW()=ROW(tblContractForDeed[#Headers])+1,$O$6,IF(INDEX(tblContractForDeed[End Bal],ROW()-ROW(tblContractForDeed[#Headers])-1)&lt;0,0,INDEX(tblContractForDeed[End Bal],ROW()-ROW(tblContractForDeed[#Headers])-1)))</f>
        <v>0</v>
      </c>
      <c r="P339" s="454"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9" s="276">
        <f>IF(INDEX(tblContractForDeed[End Bal],ROW()-ROW(tblBuyerOutputs[#Headers]))&lt;=0,0,($O$6+IF(ROW()=ROW(tblBuyerOutputs[#Headers])+1,0,INDEX(tblBuyerOutputs[Cumul Appr],ROW()-ROW(tblBuyerOutputs[#Headers])-1)))*$O$2/12)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13" t="str">
        <f>IF(ROW()=ROW(tblSubjectToLoan[#Headers])+1,subjectKnownBalanceDate,IF(OR(INDEX(tblSubjectToLoan[Date],ROW()-ROW(tblSubjectToLoan[#Headers])-1)="",INDEX(tblSubjectToLoan[Date],ROW()-ROW(tblSubjectToLoan[#Headers])-1)&gt;=subjectMortgageEndDate),"",EDATE(INDEX(tblSubjectToLoan[Date],ROW()-ROW(tblSubjectToLoan[#Headers])-1),1)))</f>
        <v/>
      </c>
      <c r="B340" s="276">
        <f>IF(tblSubjectToLoan[[#This Row],[Date]]="",0,IF(ROW()=ROW(tblSubjectToLoan[#Headers])+1,subjectKnownBalance,MAX(0,INDEX(tblSubjectToLoan[Ending Balance],ROW()-ROW(tblSubjectToLoan[#Headers])-1))))</f>
        <v>0</v>
      </c>
      <c r="C3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0" s="14">
        <f>IF(tblSubjectToLoan[[#This Row],[Payment]]=0,0,MAX(0,MIN(tblSubjectToLoan[[#This Row],[Beginning Balance]],tblSubjectToLoan[[#This Row],[Payment]]-tblSubjectToLoan[[#This Row],[Int]])))</f>
        <v>0</v>
      </c>
      <c r="E340" s="14">
        <f>IF(tblSubjectToLoan[[#This Row],[Date]]="",0,ROUND(tblSubjectToLoan[[#This Row],[Beginning Balance]]*(subjectInterestRate/12),2))</f>
        <v>0</v>
      </c>
      <c r="F340" s="14">
        <f t="shared" si="29"/>
        <v>134.16999999999999</v>
      </c>
      <c r="G340" s="14">
        <f t="shared" si="29"/>
        <v>188.55</v>
      </c>
      <c r="H340" s="14">
        <f>SUM(tblSubjectToLoan[[#This Row],[Princ]],tblSubjectToLoan[[#This Row],[Int]],tblSubjectToLoan[[#This Row],[Ins]],tblSubjectToLoan[[#This Row],[Taxes]])</f>
        <v>322.72000000000003</v>
      </c>
      <c r="I3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0" s="276">
        <f>IF(tblSubjectToLoan[[#This Row],[Date]]="",IF(ROW()=ROW(tblSubjectToLoan[#Headers])+1,0,INDEX(tblSubjectToLoan[Interest],ROW()-ROW(tblSubjectToLoan[#Headers])-1)),tblSubjectToLoan[[#This Row],[Int]]+IF(ROW()=ROW(tblSubjectToLoan[#Headers])+1,0,INDEX(tblSubjectToLoan[Interest],ROW()-ROW(tblSubjectToLoan[#Headers])-1)))</f>
        <v>36068.259999999973</v>
      </c>
      <c r="K340" s="969">
        <f>IF(tblSubjectToLoan[[#This Row],[Date]]="",0,MAX(0,tblSubjectToLoan[[#This Row],[Beginning Balance]]-tblSubjectToLoan[[#This Row],[Princ]]))</f>
        <v>0</v>
      </c>
      <c r="L340" s="394">
        <f t="shared" si="27"/>
        <v>0</v>
      </c>
      <c r="M340" s="394">
        <f t="shared" si="24"/>
        <v>0</v>
      </c>
      <c r="N340" s="613" t="str">
        <f>INDEX(tblSubjectToLoan[Date],ROW()-ROW(tblContractForDeed[#Headers]))</f>
        <v/>
      </c>
      <c r="O340" s="276">
        <f>IF(ROW()=ROW(tblContractForDeed[#Headers])+1,$O$6,IF(INDEX(tblContractForDeed[End Bal],ROW()-ROW(tblContractForDeed[#Headers])-1)&lt;0,0,INDEX(tblContractForDeed[End Bal],ROW()-ROW(tblContractForDeed[#Headers])-1)))</f>
        <v>0</v>
      </c>
      <c r="P340" s="454"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0" s="276">
        <f>IF(INDEX(tblContractForDeed[End Bal],ROW()-ROW(tblBuyerOutputs[#Headers]))&lt;=0,0,($O$6+IF(ROW()=ROW(tblBuyerOutputs[#Headers])+1,0,INDEX(tblBuyerOutputs[Cumul Appr],ROW()-ROW(tblBuyerOutputs[#Headers])-1)))*$O$2/12)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13" t="str">
        <f>IF(ROW()=ROW(tblSubjectToLoan[#Headers])+1,subjectKnownBalanceDate,IF(OR(INDEX(tblSubjectToLoan[Date],ROW()-ROW(tblSubjectToLoan[#Headers])-1)="",INDEX(tblSubjectToLoan[Date],ROW()-ROW(tblSubjectToLoan[#Headers])-1)&gt;=subjectMortgageEndDate),"",EDATE(INDEX(tblSubjectToLoan[Date],ROW()-ROW(tblSubjectToLoan[#Headers])-1),1)))</f>
        <v/>
      </c>
      <c r="B341" s="276">
        <f>IF(tblSubjectToLoan[[#This Row],[Date]]="",0,IF(ROW()=ROW(tblSubjectToLoan[#Headers])+1,subjectKnownBalance,MAX(0,INDEX(tblSubjectToLoan[Ending Balance],ROW()-ROW(tblSubjectToLoan[#Headers])-1))))</f>
        <v>0</v>
      </c>
      <c r="C3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1" s="14">
        <f>IF(tblSubjectToLoan[[#This Row],[Payment]]=0,0,MAX(0,MIN(tblSubjectToLoan[[#This Row],[Beginning Balance]],tblSubjectToLoan[[#This Row],[Payment]]-tblSubjectToLoan[[#This Row],[Int]])))</f>
        <v>0</v>
      </c>
      <c r="E341" s="14">
        <f>IF(tblSubjectToLoan[[#This Row],[Date]]="",0,ROUND(tblSubjectToLoan[[#This Row],[Beginning Balance]]*(subjectInterestRate/12),2))</f>
        <v>0</v>
      </c>
      <c r="F341" s="14">
        <f t="shared" si="29"/>
        <v>134.16999999999999</v>
      </c>
      <c r="G341" s="14">
        <f t="shared" si="29"/>
        <v>188.55</v>
      </c>
      <c r="H341" s="14">
        <f>SUM(tblSubjectToLoan[[#This Row],[Princ]],tblSubjectToLoan[[#This Row],[Int]],tblSubjectToLoan[[#This Row],[Ins]],tblSubjectToLoan[[#This Row],[Taxes]])</f>
        <v>322.72000000000003</v>
      </c>
      <c r="I3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1" s="276">
        <f>IF(tblSubjectToLoan[[#This Row],[Date]]="",IF(ROW()=ROW(tblSubjectToLoan[#Headers])+1,0,INDEX(tblSubjectToLoan[Interest],ROW()-ROW(tblSubjectToLoan[#Headers])-1)),tblSubjectToLoan[[#This Row],[Int]]+IF(ROW()=ROW(tblSubjectToLoan[#Headers])+1,0,INDEX(tblSubjectToLoan[Interest],ROW()-ROW(tblSubjectToLoan[#Headers])-1)))</f>
        <v>36068.259999999973</v>
      </c>
      <c r="K341" s="969">
        <f>IF(tblSubjectToLoan[[#This Row],[Date]]="",0,MAX(0,tblSubjectToLoan[[#This Row],[Beginning Balance]]-tblSubjectToLoan[[#This Row],[Princ]]))</f>
        <v>0</v>
      </c>
      <c r="L341" s="394">
        <f t="shared" si="27"/>
        <v>0</v>
      </c>
      <c r="M341" s="394">
        <f t="shared" ref="M341:M404" si="30">IF($A341&lt;&gt;"",M340+1,0)</f>
        <v>0</v>
      </c>
      <c r="N341" s="613" t="str">
        <f>INDEX(tblSubjectToLoan[Date],ROW()-ROW(tblContractForDeed[#Headers]))</f>
        <v/>
      </c>
      <c r="O341" s="276">
        <f>IF(ROW()=ROW(tblContractForDeed[#Headers])+1,$O$6,IF(INDEX(tblContractForDeed[End Bal],ROW()-ROW(tblContractForDeed[#Headers])-1)&lt;0,0,INDEX(tblContractForDeed[End Bal],ROW()-ROW(tblContractForDeed[#Headers])-1)))</f>
        <v>0</v>
      </c>
      <c r="P341" s="454"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1" s="276">
        <f>IF(INDEX(tblContractForDeed[End Bal],ROW()-ROW(tblBuyerOutputs[#Headers]))&lt;=0,0,($O$6+IF(ROW()=ROW(tblBuyerOutputs[#Headers])+1,0,INDEX(tblBuyerOutputs[Cumul Appr],ROW()-ROW(tblBuyerOutputs[#Headers])-1)))*$O$2/12)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13" t="str">
        <f>IF(ROW()=ROW(tblSubjectToLoan[#Headers])+1,subjectKnownBalanceDate,IF(OR(INDEX(tblSubjectToLoan[Date],ROW()-ROW(tblSubjectToLoan[#Headers])-1)="",INDEX(tblSubjectToLoan[Date],ROW()-ROW(tblSubjectToLoan[#Headers])-1)&gt;=subjectMortgageEndDate),"",EDATE(INDEX(tblSubjectToLoan[Date],ROW()-ROW(tblSubjectToLoan[#Headers])-1),1)))</f>
        <v/>
      </c>
      <c r="B342" s="276">
        <f>IF(tblSubjectToLoan[[#This Row],[Date]]="",0,IF(ROW()=ROW(tblSubjectToLoan[#Headers])+1,subjectKnownBalance,MAX(0,INDEX(tblSubjectToLoan[Ending Balance],ROW()-ROW(tblSubjectToLoan[#Headers])-1))))</f>
        <v>0</v>
      </c>
      <c r="C3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2" s="14">
        <f>IF(tblSubjectToLoan[[#This Row],[Payment]]=0,0,MAX(0,MIN(tblSubjectToLoan[[#This Row],[Beginning Balance]],tblSubjectToLoan[[#This Row],[Payment]]-tblSubjectToLoan[[#This Row],[Int]])))</f>
        <v>0</v>
      </c>
      <c r="E342" s="14">
        <f>IF(tblSubjectToLoan[[#This Row],[Date]]="",0,ROUND(tblSubjectToLoan[[#This Row],[Beginning Balance]]*(subjectInterestRate/12),2))</f>
        <v>0</v>
      </c>
      <c r="F342" s="14">
        <f t="shared" si="29"/>
        <v>134.16999999999999</v>
      </c>
      <c r="G342" s="14">
        <f t="shared" si="29"/>
        <v>188.55</v>
      </c>
      <c r="H342" s="14">
        <f>SUM(tblSubjectToLoan[[#This Row],[Princ]],tblSubjectToLoan[[#This Row],[Int]],tblSubjectToLoan[[#This Row],[Ins]],tblSubjectToLoan[[#This Row],[Taxes]])</f>
        <v>322.72000000000003</v>
      </c>
      <c r="I3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2" s="276">
        <f>IF(tblSubjectToLoan[[#This Row],[Date]]="",IF(ROW()=ROW(tblSubjectToLoan[#Headers])+1,0,INDEX(tblSubjectToLoan[Interest],ROW()-ROW(tblSubjectToLoan[#Headers])-1)),tblSubjectToLoan[[#This Row],[Int]]+IF(ROW()=ROW(tblSubjectToLoan[#Headers])+1,0,INDEX(tblSubjectToLoan[Interest],ROW()-ROW(tblSubjectToLoan[#Headers])-1)))</f>
        <v>36068.259999999973</v>
      </c>
      <c r="K342" s="969">
        <f>IF(tblSubjectToLoan[[#This Row],[Date]]="",0,MAX(0,tblSubjectToLoan[[#This Row],[Beginning Balance]]-tblSubjectToLoan[[#This Row],[Princ]]))</f>
        <v>0</v>
      </c>
      <c r="L342" s="394">
        <f t="shared" si="27"/>
        <v>0</v>
      </c>
      <c r="M342" s="394">
        <f t="shared" si="30"/>
        <v>0</v>
      </c>
      <c r="N342" s="613" t="str">
        <f>INDEX(tblSubjectToLoan[Date],ROW()-ROW(tblContractForDeed[#Headers]))</f>
        <v/>
      </c>
      <c r="O342" s="276">
        <f>IF(ROW()=ROW(tblContractForDeed[#Headers])+1,$O$6,IF(INDEX(tblContractForDeed[End Bal],ROW()-ROW(tblContractForDeed[#Headers])-1)&lt;0,0,INDEX(tblContractForDeed[End Bal],ROW()-ROW(tblContractForDeed[#Headers])-1)))</f>
        <v>0</v>
      </c>
      <c r="P342" s="454"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2" s="276">
        <f>IF(INDEX(tblContractForDeed[End Bal],ROW()-ROW(tblBuyerOutputs[#Headers]))&lt;=0,0,($O$6+IF(ROW()=ROW(tblBuyerOutputs[#Headers])+1,0,INDEX(tblBuyerOutputs[Cumul Appr],ROW()-ROW(tblBuyerOutputs[#Headers])-1)))*$O$2/12)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14" t="str">
        <f>IF(ROW()=ROW(tblSubjectToLoan[#Headers])+1,subjectKnownBalanceDate,IF(OR(INDEX(tblSubjectToLoan[Date],ROW()-ROW(tblSubjectToLoan[#Headers])-1)="",INDEX(tblSubjectToLoan[Date],ROW()-ROW(tblSubjectToLoan[#Headers])-1)&gt;=subjectMortgageEndDate),"",EDATE(INDEX(tblSubjectToLoan[Date],ROW()-ROW(tblSubjectToLoan[#Headers])-1),1)))</f>
        <v/>
      </c>
      <c r="B343" s="332">
        <f>IF(tblSubjectToLoan[[#This Row],[Date]]="",0,IF(ROW()=ROW(tblSubjectToLoan[#Headers])+1,subjectKnownBalance,MAX(0,INDEX(tblSubjectToLoan[Ending Balance],ROW()-ROW(tblSubjectToLoan[#Headers])-1))))</f>
        <v>0</v>
      </c>
      <c r="C34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3" s="21">
        <f>IF(tblSubjectToLoan[[#This Row],[Payment]]=0,0,MAX(0,MIN(tblSubjectToLoan[[#This Row],[Beginning Balance]],tblSubjectToLoan[[#This Row],[Payment]]-tblSubjectToLoan[[#This Row],[Int]])))</f>
        <v>0</v>
      </c>
      <c r="E343" s="21">
        <f>IF(tblSubjectToLoan[[#This Row],[Date]]="",0,ROUND(tblSubjectToLoan[[#This Row],[Beginning Balance]]*(subjectInterestRate/12),2))</f>
        <v>0</v>
      </c>
      <c r="F343" s="21">
        <f t="shared" si="29"/>
        <v>134.16999999999999</v>
      </c>
      <c r="G343" s="21">
        <f t="shared" si="29"/>
        <v>188.55</v>
      </c>
      <c r="H343" s="21">
        <f>SUM(tblSubjectToLoan[[#This Row],[Princ]],tblSubjectToLoan[[#This Row],[Int]],tblSubjectToLoan[[#This Row],[Ins]],tblSubjectToLoan[[#This Row],[Taxes]])</f>
        <v>322.72000000000003</v>
      </c>
      <c r="I34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43" s="332">
        <f>IF(tblSubjectToLoan[[#This Row],[Date]]="",IF(ROW()=ROW(tblSubjectToLoan[#Headers])+1,0,INDEX(tblSubjectToLoan[Interest],ROW()-ROW(tblSubjectToLoan[#Headers])-1)),tblSubjectToLoan[[#This Row],[Int]]+IF(ROW()=ROW(tblSubjectToLoan[#Headers])+1,0,INDEX(tblSubjectToLoan[Interest],ROW()-ROW(tblSubjectToLoan[#Headers])-1)))</f>
        <v>36068.259999999973</v>
      </c>
      <c r="K343" s="970">
        <f>IF(tblSubjectToLoan[[#This Row],[Date]]="",0,MAX(0,tblSubjectToLoan[[#This Row],[Beginning Balance]]-tblSubjectToLoan[[#This Row],[Princ]]))</f>
        <v>0</v>
      </c>
      <c r="L343" s="395">
        <f t="shared" si="27"/>
        <v>0</v>
      </c>
      <c r="M343" s="395">
        <f t="shared" si="30"/>
        <v>0</v>
      </c>
      <c r="N343" s="614" t="str">
        <f>INDEX(tblSubjectToLoan[Date],ROW()-ROW(tblContractForDeed[#Headers]))</f>
        <v/>
      </c>
      <c r="O343" s="332">
        <f>IF(ROW()=ROW(tblContractForDeed[#Headers])+1,$O$6,IF(INDEX(tblContractForDeed[End Bal],ROW()-ROW(tblContractForDeed[#Headers])-1)&lt;0,0,INDEX(tblContractForDeed[End Bal],ROW()-ROW(tblContractForDeed[#Headers])-1)))</f>
        <v>0</v>
      </c>
      <c r="P343" s="454"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3" s="332">
        <f>IF(INDEX(tblContractForDeed[End Bal],ROW()-ROW(tblBuyerOutputs[#Headers]))&lt;=0,0,($O$6+IF(ROW()=ROW(tblBuyerOutputs[#Headers])+1,0,INDEX(tblBuyerOutputs[Cumul Appr],ROW()-ROW(tblBuyerOutputs[#Headers])-1)))*$O$2/12)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13" t="str">
        <f>IF(ROW()=ROW(tblSubjectToLoan[#Headers])+1,subjectKnownBalanceDate,IF(OR(INDEX(tblSubjectToLoan[Date],ROW()-ROW(tblSubjectToLoan[#Headers])-1)="",INDEX(tblSubjectToLoan[Date],ROW()-ROW(tblSubjectToLoan[#Headers])-1)&gt;=subjectMortgageEndDate),"",EDATE(INDEX(tblSubjectToLoan[Date],ROW()-ROW(tblSubjectToLoan[#Headers])-1),1)))</f>
        <v/>
      </c>
      <c r="B344" s="276">
        <f>IF(tblSubjectToLoan[[#This Row],[Date]]="",0,IF(ROW()=ROW(tblSubjectToLoan[#Headers])+1,subjectKnownBalance,MAX(0,INDEX(tblSubjectToLoan[Ending Balance],ROW()-ROW(tblSubjectToLoan[#Headers])-1))))</f>
        <v>0</v>
      </c>
      <c r="C3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4" s="14">
        <f>IF(tblSubjectToLoan[[#This Row],[Payment]]=0,0,MAX(0,MIN(tblSubjectToLoan[[#This Row],[Beginning Balance]],tblSubjectToLoan[[#This Row],[Payment]]-tblSubjectToLoan[[#This Row],[Int]])))</f>
        <v>0</v>
      </c>
      <c r="E344" s="14">
        <f>IF(tblSubjectToLoan[[#This Row],[Date]]="",0,ROUND(tblSubjectToLoan[[#This Row],[Beginning Balance]]*(subjectInterestRate/12),2))</f>
        <v>0</v>
      </c>
      <c r="F344" s="14">
        <f t="shared" si="29"/>
        <v>134.16999999999999</v>
      </c>
      <c r="G344" s="14">
        <f t="shared" si="29"/>
        <v>188.55</v>
      </c>
      <c r="H344" s="14">
        <f>SUM(tblSubjectToLoan[[#This Row],[Princ]],tblSubjectToLoan[[#This Row],[Int]],tblSubjectToLoan[[#This Row],[Ins]],tblSubjectToLoan[[#This Row],[Taxes]])</f>
        <v>322.72000000000003</v>
      </c>
      <c r="I3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4" s="276">
        <f>IF(tblSubjectToLoan[[#This Row],[Date]]="",IF(ROW()=ROW(tblSubjectToLoan[#Headers])+1,0,INDEX(tblSubjectToLoan[Interest],ROW()-ROW(tblSubjectToLoan[#Headers])-1)),tblSubjectToLoan[[#This Row],[Int]]+IF(ROW()=ROW(tblSubjectToLoan[#Headers])+1,0,INDEX(tblSubjectToLoan[Interest],ROW()-ROW(tblSubjectToLoan[#Headers])-1)))</f>
        <v>36068.259999999973</v>
      </c>
      <c r="K344" s="969">
        <f>IF(tblSubjectToLoan[[#This Row],[Date]]="",0,MAX(0,tblSubjectToLoan[[#This Row],[Beginning Balance]]-tblSubjectToLoan[[#This Row],[Princ]]))</f>
        <v>0</v>
      </c>
      <c r="L344" s="394">
        <f t="shared" si="27"/>
        <v>0</v>
      </c>
      <c r="M344" s="394">
        <f t="shared" si="30"/>
        <v>0</v>
      </c>
      <c r="N344" s="613" t="str">
        <f>INDEX(tblSubjectToLoan[Date],ROW()-ROW(tblContractForDeed[#Headers]))</f>
        <v/>
      </c>
      <c r="O344" s="276">
        <f>IF(ROW()=ROW(tblContractForDeed[#Headers])+1,$O$6,IF(INDEX(tblContractForDeed[End Bal],ROW()-ROW(tblContractForDeed[#Headers])-1)&lt;0,0,INDEX(tblContractForDeed[End Bal],ROW()-ROW(tblContractForDeed[#Headers])-1)))</f>
        <v>0</v>
      </c>
      <c r="P344" s="454"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4" s="276">
        <f>IF(INDEX(tblContractForDeed[End Bal],ROW()-ROW(tblBuyerOutputs[#Headers]))&lt;=0,0,($O$6+IF(ROW()=ROW(tblBuyerOutputs[#Headers])+1,0,INDEX(tblBuyerOutputs[Cumul Appr],ROW()-ROW(tblBuyerOutputs[#Headers])-1)))*$O$2/12)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13" t="str">
        <f>IF(ROW()=ROW(tblSubjectToLoan[#Headers])+1,subjectKnownBalanceDate,IF(OR(INDEX(tblSubjectToLoan[Date],ROW()-ROW(tblSubjectToLoan[#Headers])-1)="",INDEX(tblSubjectToLoan[Date],ROW()-ROW(tblSubjectToLoan[#Headers])-1)&gt;=subjectMortgageEndDate),"",EDATE(INDEX(tblSubjectToLoan[Date],ROW()-ROW(tblSubjectToLoan[#Headers])-1),1)))</f>
        <v/>
      </c>
      <c r="B345" s="276">
        <f>IF(tblSubjectToLoan[[#This Row],[Date]]="",0,IF(ROW()=ROW(tblSubjectToLoan[#Headers])+1,subjectKnownBalance,MAX(0,INDEX(tblSubjectToLoan[Ending Balance],ROW()-ROW(tblSubjectToLoan[#Headers])-1))))</f>
        <v>0</v>
      </c>
      <c r="C3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5" s="14">
        <f>IF(tblSubjectToLoan[[#This Row],[Payment]]=0,0,MAX(0,MIN(tblSubjectToLoan[[#This Row],[Beginning Balance]],tblSubjectToLoan[[#This Row],[Payment]]-tblSubjectToLoan[[#This Row],[Int]])))</f>
        <v>0</v>
      </c>
      <c r="E345" s="14">
        <f>IF(tblSubjectToLoan[[#This Row],[Date]]="",0,ROUND(tblSubjectToLoan[[#This Row],[Beginning Balance]]*(subjectInterestRate/12),2))</f>
        <v>0</v>
      </c>
      <c r="F345" s="14">
        <f t="shared" si="29"/>
        <v>134.16999999999999</v>
      </c>
      <c r="G345" s="14">
        <f t="shared" si="29"/>
        <v>188.55</v>
      </c>
      <c r="H345" s="14">
        <f>SUM(tblSubjectToLoan[[#This Row],[Princ]],tblSubjectToLoan[[#This Row],[Int]],tblSubjectToLoan[[#This Row],[Ins]],tblSubjectToLoan[[#This Row],[Taxes]])</f>
        <v>322.72000000000003</v>
      </c>
      <c r="I3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5" s="276">
        <f>IF(tblSubjectToLoan[[#This Row],[Date]]="",IF(ROW()=ROW(tblSubjectToLoan[#Headers])+1,0,INDEX(tblSubjectToLoan[Interest],ROW()-ROW(tblSubjectToLoan[#Headers])-1)),tblSubjectToLoan[[#This Row],[Int]]+IF(ROW()=ROW(tblSubjectToLoan[#Headers])+1,0,INDEX(tblSubjectToLoan[Interest],ROW()-ROW(tblSubjectToLoan[#Headers])-1)))</f>
        <v>36068.259999999973</v>
      </c>
      <c r="K345" s="969">
        <f>IF(tblSubjectToLoan[[#This Row],[Date]]="",0,MAX(0,tblSubjectToLoan[[#This Row],[Beginning Balance]]-tblSubjectToLoan[[#This Row],[Princ]]))</f>
        <v>0</v>
      </c>
      <c r="L345" s="394">
        <f t="shared" si="27"/>
        <v>0</v>
      </c>
      <c r="M345" s="394">
        <f t="shared" si="30"/>
        <v>0</v>
      </c>
      <c r="N345" s="613" t="str">
        <f>INDEX(tblSubjectToLoan[Date],ROW()-ROW(tblContractForDeed[#Headers]))</f>
        <v/>
      </c>
      <c r="O345" s="276">
        <f>IF(ROW()=ROW(tblContractForDeed[#Headers])+1,$O$6,IF(INDEX(tblContractForDeed[End Bal],ROW()-ROW(tblContractForDeed[#Headers])-1)&lt;0,0,INDEX(tblContractForDeed[End Bal],ROW()-ROW(tblContractForDeed[#Headers])-1)))</f>
        <v>0</v>
      </c>
      <c r="P345" s="454"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5" s="276">
        <f>IF(INDEX(tblContractForDeed[End Bal],ROW()-ROW(tblBuyerOutputs[#Headers]))&lt;=0,0,($O$6+IF(ROW()=ROW(tblBuyerOutputs[#Headers])+1,0,INDEX(tblBuyerOutputs[Cumul Appr],ROW()-ROW(tblBuyerOutputs[#Headers])-1)))*$O$2/12)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13" t="str">
        <f>IF(ROW()=ROW(tblSubjectToLoan[#Headers])+1,subjectKnownBalanceDate,IF(OR(INDEX(tblSubjectToLoan[Date],ROW()-ROW(tblSubjectToLoan[#Headers])-1)="",INDEX(tblSubjectToLoan[Date],ROW()-ROW(tblSubjectToLoan[#Headers])-1)&gt;=subjectMortgageEndDate),"",EDATE(INDEX(tblSubjectToLoan[Date],ROW()-ROW(tblSubjectToLoan[#Headers])-1),1)))</f>
        <v/>
      </c>
      <c r="B346" s="276">
        <f>IF(tblSubjectToLoan[[#This Row],[Date]]="",0,IF(ROW()=ROW(tblSubjectToLoan[#Headers])+1,subjectKnownBalance,MAX(0,INDEX(tblSubjectToLoan[Ending Balance],ROW()-ROW(tblSubjectToLoan[#Headers])-1))))</f>
        <v>0</v>
      </c>
      <c r="C3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6" s="14">
        <f>IF(tblSubjectToLoan[[#This Row],[Payment]]=0,0,MAX(0,MIN(tblSubjectToLoan[[#This Row],[Beginning Balance]],tblSubjectToLoan[[#This Row],[Payment]]-tblSubjectToLoan[[#This Row],[Int]])))</f>
        <v>0</v>
      </c>
      <c r="E346" s="14">
        <f>IF(tblSubjectToLoan[[#This Row],[Date]]="",0,ROUND(tblSubjectToLoan[[#This Row],[Beginning Balance]]*(subjectInterestRate/12),2))</f>
        <v>0</v>
      </c>
      <c r="F346" s="14">
        <f t="shared" si="29"/>
        <v>134.16999999999999</v>
      </c>
      <c r="G346" s="14">
        <f t="shared" si="29"/>
        <v>188.55</v>
      </c>
      <c r="H346" s="14">
        <f>SUM(tblSubjectToLoan[[#This Row],[Princ]],tblSubjectToLoan[[#This Row],[Int]],tblSubjectToLoan[[#This Row],[Ins]],tblSubjectToLoan[[#This Row],[Taxes]])</f>
        <v>322.72000000000003</v>
      </c>
      <c r="I3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6" s="276">
        <f>IF(tblSubjectToLoan[[#This Row],[Date]]="",IF(ROW()=ROW(tblSubjectToLoan[#Headers])+1,0,INDEX(tblSubjectToLoan[Interest],ROW()-ROW(tblSubjectToLoan[#Headers])-1)),tblSubjectToLoan[[#This Row],[Int]]+IF(ROW()=ROW(tblSubjectToLoan[#Headers])+1,0,INDEX(tblSubjectToLoan[Interest],ROW()-ROW(tblSubjectToLoan[#Headers])-1)))</f>
        <v>36068.259999999973</v>
      </c>
      <c r="K346" s="969">
        <f>IF(tblSubjectToLoan[[#This Row],[Date]]="",0,MAX(0,tblSubjectToLoan[[#This Row],[Beginning Balance]]-tblSubjectToLoan[[#This Row],[Princ]]))</f>
        <v>0</v>
      </c>
      <c r="L346" s="394">
        <f t="shared" si="27"/>
        <v>0</v>
      </c>
      <c r="M346" s="394">
        <f t="shared" si="30"/>
        <v>0</v>
      </c>
      <c r="N346" s="613" t="str">
        <f>INDEX(tblSubjectToLoan[Date],ROW()-ROW(tblContractForDeed[#Headers]))</f>
        <v/>
      </c>
      <c r="O346" s="276">
        <f>IF(ROW()=ROW(tblContractForDeed[#Headers])+1,$O$6,IF(INDEX(tblContractForDeed[End Bal],ROW()-ROW(tblContractForDeed[#Headers])-1)&lt;0,0,INDEX(tblContractForDeed[End Bal],ROW()-ROW(tblContractForDeed[#Headers])-1)))</f>
        <v>0</v>
      </c>
      <c r="P346" s="454"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6" s="276">
        <f>IF(INDEX(tblContractForDeed[End Bal],ROW()-ROW(tblBuyerOutputs[#Headers]))&lt;=0,0,($O$6+IF(ROW()=ROW(tblBuyerOutputs[#Headers])+1,0,INDEX(tblBuyerOutputs[Cumul Appr],ROW()-ROW(tblBuyerOutputs[#Headers])-1)))*$O$2/12)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13" t="str">
        <f>IF(ROW()=ROW(tblSubjectToLoan[#Headers])+1,subjectKnownBalanceDate,IF(OR(INDEX(tblSubjectToLoan[Date],ROW()-ROW(tblSubjectToLoan[#Headers])-1)="",INDEX(tblSubjectToLoan[Date],ROW()-ROW(tblSubjectToLoan[#Headers])-1)&gt;=subjectMortgageEndDate),"",EDATE(INDEX(tblSubjectToLoan[Date],ROW()-ROW(tblSubjectToLoan[#Headers])-1),1)))</f>
        <v/>
      </c>
      <c r="B347" s="276">
        <f>IF(tblSubjectToLoan[[#This Row],[Date]]="",0,IF(ROW()=ROW(tblSubjectToLoan[#Headers])+1,subjectKnownBalance,MAX(0,INDEX(tblSubjectToLoan[Ending Balance],ROW()-ROW(tblSubjectToLoan[#Headers])-1))))</f>
        <v>0</v>
      </c>
      <c r="C3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7" s="14">
        <f>IF(tblSubjectToLoan[[#This Row],[Payment]]=0,0,MAX(0,MIN(tblSubjectToLoan[[#This Row],[Beginning Balance]],tblSubjectToLoan[[#This Row],[Payment]]-tblSubjectToLoan[[#This Row],[Int]])))</f>
        <v>0</v>
      </c>
      <c r="E347" s="14">
        <f>IF(tblSubjectToLoan[[#This Row],[Date]]="",0,ROUND(tblSubjectToLoan[[#This Row],[Beginning Balance]]*(subjectInterestRate/12),2))</f>
        <v>0</v>
      </c>
      <c r="F347" s="14">
        <f t="shared" si="29"/>
        <v>134.16999999999999</v>
      </c>
      <c r="G347" s="14">
        <f t="shared" si="29"/>
        <v>188.55</v>
      </c>
      <c r="H347" s="14">
        <f>SUM(tblSubjectToLoan[[#This Row],[Princ]],tblSubjectToLoan[[#This Row],[Int]],tblSubjectToLoan[[#This Row],[Ins]],tblSubjectToLoan[[#This Row],[Taxes]])</f>
        <v>322.72000000000003</v>
      </c>
      <c r="I3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7" s="276">
        <f>IF(tblSubjectToLoan[[#This Row],[Date]]="",IF(ROW()=ROW(tblSubjectToLoan[#Headers])+1,0,INDEX(tblSubjectToLoan[Interest],ROW()-ROW(tblSubjectToLoan[#Headers])-1)),tblSubjectToLoan[[#This Row],[Int]]+IF(ROW()=ROW(tblSubjectToLoan[#Headers])+1,0,INDEX(tblSubjectToLoan[Interest],ROW()-ROW(tblSubjectToLoan[#Headers])-1)))</f>
        <v>36068.259999999973</v>
      </c>
      <c r="K347" s="969">
        <f>IF(tblSubjectToLoan[[#This Row],[Date]]="",0,MAX(0,tblSubjectToLoan[[#This Row],[Beginning Balance]]-tblSubjectToLoan[[#This Row],[Princ]]))</f>
        <v>0</v>
      </c>
      <c r="L347" s="394">
        <f t="shared" si="27"/>
        <v>0</v>
      </c>
      <c r="M347" s="394">
        <f t="shared" si="30"/>
        <v>0</v>
      </c>
      <c r="N347" s="613" t="str">
        <f>INDEX(tblSubjectToLoan[Date],ROW()-ROW(tblContractForDeed[#Headers]))</f>
        <v/>
      </c>
      <c r="O347" s="276">
        <f>IF(ROW()=ROW(tblContractForDeed[#Headers])+1,$O$6,IF(INDEX(tblContractForDeed[End Bal],ROW()-ROW(tblContractForDeed[#Headers])-1)&lt;0,0,INDEX(tblContractForDeed[End Bal],ROW()-ROW(tblContractForDeed[#Headers])-1)))</f>
        <v>0</v>
      </c>
      <c r="P347" s="454"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7" s="276">
        <f>IF(INDEX(tblContractForDeed[End Bal],ROW()-ROW(tblBuyerOutputs[#Headers]))&lt;=0,0,($O$6+IF(ROW()=ROW(tblBuyerOutputs[#Headers])+1,0,INDEX(tblBuyerOutputs[Cumul Appr],ROW()-ROW(tblBuyerOutputs[#Headers])-1)))*$O$2/12)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13" t="str">
        <f>IF(ROW()=ROW(tblSubjectToLoan[#Headers])+1,subjectKnownBalanceDate,IF(OR(INDEX(tblSubjectToLoan[Date],ROW()-ROW(tblSubjectToLoan[#Headers])-1)="",INDEX(tblSubjectToLoan[Date],ROW()-ROW(tblSubjectToLoan[#Headers])-1)&gt;=subjectMortgageEndDate),"",EDATE(INDEX(tblSubjectToLoan[Date],ROW()-ROW(tblSubjectToLoan[#Headers])-1),1)))</f>
        <v/>
      </c>
      <c r="B348" s="276">
        <f>IF(tblSubjectToLoan[[#This Row],[Date]]="",0,IF(ROW()=ROW(tblSubjectToLoan[#Headers])+1,subjectKnownBalance,MAX(0,INDEX(tblSubjectToLoan[Ending Balance],ROW()-ROW(tblSubjectToLoan[#Headers])-1))))</f>
        <v>0</v>
      </c>
      <c r="C3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8" s="14">
        <f>IF(tblSubjectToLoan[[#This Row],[Payment]]=0,0,MAX(0,MIN(tblSubjectToLoan[[#This Row],[Beginning Balance]],tblSubjectToLoan[[#This Row],[Payment]]-tblSubjectToLoan[[#This Row],[Int]])))</f>
        <v>0</v>
      </c>
      <c r="E348" s="14">
        <f>IF(tblSubjectToLoan[[#This Row],[Date]]="",0,ROUND(tblSubjectToLoan[[#This Row],[Beginning Balance]]*(subjectInterestRate/12),2))</f>
        <v>0</v>
      </c>
      <c r="F348" s="14">
        <f t="shared" si="29"/>
        <v>134.16999999999999</v>
      </c>
      <c r="G348" s="14">
        <f t="shared" si="29"/>
        <v>188.55</v>
      </c>
      <c r="H348" s="14">
        <f>SUM(tblSubjectToLoan[[#This Row],[Princ]],tblSubjectToLoan[[#This Row],[Int]],tblSubjectToLoan[[#This Row],[Ins]],tblSubjectToLoan[[#This Row],[Taxes]])</f>
        <v>322.72000000000003</v>
      </c>
      <c r="I3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8" s="276">
        <f>IF(tblSubjectToLoan[[#This Row],[Date]]="",IF(ROW()=ROW(tblSubjectToLoan[#Headers])+1,0,INDEX(tblSubjectToLoan[Interest],ROW()-ROW(tblSubjectToLoan[#Headers])-1)),tblSubjectToLoan[[#This Row],[Int]]+IF(ROW()=ROW(tblSubjectToLoan[#Headers])+1,0,INDEX(tblSubjectToLoan[Interest],ROW()-ROW(tblSubjectToLoan[#Headers])-1)))</f>
        <v>36068.259999999973</v>
      </c>
      <c r="K348" s="969">
        <f>IF(tblSubjectToLoan[[#This Row],[Date]]="",0,MAX(0,tblSubjectToLoan[[#This Row],[Beginning Balance]]-tblSubjectToLoan[[#This Row],[Princ]]))</f>
        <v>0</v>
      </c>
      <c r="L348" s="394">
        <f t="shared" si="27"/>
        <v>0</v>
      </c>
      <c r="M348" s="394">
        <f t="shared" si="30"/>
        <v>0</v>
      </c>
      <c r="N348" s="613" t="str">
        <f>INDEX(tblSubjectToLoan[Date],ROW()-ROW(tblContractForDeed[#Headers]))</f>
        <v/>
      </c>
      <c r="O348" s="276">
        <f>IF(ROW()=ROW(tblContractForDeed[#Headers])+1,$O$6,IF(INDEX(tblContractForDeed[End Bal],ROW()-ROW(tblContractForDeed[#Headers])-1)&lt;0,0,INDEX(tblContractForDeed[End Bal],ROW()-ROW(tblContractForDeed[#Headers])-1)))</f>
        <v>0</v>
      </c>
      <c r="P348" s="454"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8" s="276">
        <f>IF(INDEX(tblContractForDeed[End Bal],ROW()-ROW(tblBuyerOutputs[#Headers]))&lt;=0,0,($O$6+IF(ROW()=ROW(tblBuyerOutputs[#Headers])+1,0,INDEX(tblBuyerOutputs[Cumul Appr],ROW()-ROW(tblBuyerOutputs[#Headers])-1)))*$O$2/12)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13" t="str">
        <f>IF(ROW()=ROW(tblSubjectToLoan[#Headers])+1,subjectKnownBalanceDate,IF(OR(INDEX(tblSubjectToLoan[Date],ROW()-ROW(tblSubjectToLoan[#Headers])-1)="",INDEX(tblSubjectToLoan[Date],ROW()-ROW(tblSubjectToLoan[#Headers])-1)&gt;=subjectMortgageEndDate),"",EDATE(INDEX(tblSubjectToLoan[Date],ROW()-ROW(tblSubjectToLoan[#Headers])-1),1)))</f>
        <v/>
      </c>
      <c r="B349" s="276">
        <f>IF(tblSubjectToLoan[[#This Row],[Date]]="",0,IF(ROW()=ROW(tblSubjectToLoan[#Headers])+1,subjectKnownBalance,MAX(0,INDEX(tblSubjectToLoan[Ending Balance],ROW()-ROW(tblSubjectToLoan[#Headers])-1))))</f>
        <v>0</v>
      </c>
      <c r="C3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9" s="14">
        <f>IF(tblSubjectToLoan[[#This Row],[Payment]]=0,0,MAX(0,MIN(tblSubjectToLoan[[#This Row],[Beginning Balance]],tblSubjectToLoan[[#This Row],[Payment]]-tblSubjectToLoan[[#This Row],[Int]])))</f>
        <v>0</v>
      </c>
      <c r="E349" s="14">
        <f>IF(tblSubjectToLoan[[#This Row],[Date]]="",0,ROUND(tblSubjectToLoan[[#This Row],[Beginning Balance]]*(subjectInterestRate/12),2))</f>
        <v>0</v>
      </c>
      <c r="F349" s="14">
        <f t="shared" si="29"/>
        <v>134.16999999999999</v>
      </c>
      <c r="G349" s="14">
        <f t="shared" si="29"/>
        <v>188.55</v>
      </c>
      <c r="H349" s="14">
        <f>SUM(tblSubjectToLoan[[#This Row],[Princ]],tblSubjectToLoan[[#This Row],[Int]],tblSubjectToLoan[[#This Row],[Ins]],tblSubjectToLoan[[#This Row],[Taxes]])</f>
        <v>322.72000000000003</v>
      </c>
      <c r="I3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9" s="276">
        <f>IF(tblSubjectToLoan[[#This Row],[Date]]="",IF(ROW()=ROW(tblSubjectToLoan[#Headers])+1,0,INDEX(tblSubjectToLoan[Interest],ROW()-ROW(tblSubjectToLoan[#Headers])-1)),tblSubjectToLoan[[#This Row],[Int]]+IF(ROW()=ROW(tblSubjectToLoan[#Headers])+1,0,INDEX(tblSubjectToLoan[Interest],ROW()-ROW(tblSubjectToLoan[#Headers])-1)))</f>
        <v>36068.259999999973</v>
      </c>
      <c r="K349" s="969">
        <f>IF(tblSubjectToLoan[[#This Row],[Date]]="",0,MAX(0,tblSubjectToLoan[[#This Row],[Beginning Balance]]-tblSubjectToLoan[[#This Row],[Princ]]))</f>
        <v>0</v>
      </c>
      <c r="L349" s="394">
        <f t="shared" si="27"/>
        <v>0</v>
      </c>
      <c r="M349" s="394">
        <f t="shared" si="30"/>
        <v>0</v>
      </c>
      <c r="N349" s="613" t="str">
        <f>INDEX(tblSubjectToLoan[Date],ROW()-ROW(tblContractForDeed[#Headers]))</f>
        <v/>
      </c>
      <c r="O349" s="276">
        <f>IF(ROW()=ROW(tblContractForDeed[#Headers])+1,$O$6,IF(INDEX(tblContractForDeed[End Bal],ROW()-ROW(tblContractForDeed[#Headers])-1)&lt;0,0,INDEX(tblContractForDeed[End Bal],ROW()-ROW(tblContractForDeed[#Headers])-1)))</f>
        <v>0</v>
      </c>
      <c r="P349" s="454"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9" s="276">
        <f>IF(INDEX(tblContractForDeed[End Bal],ROW()-ROW(tblBuyerOutputs[#Headers]))&lt;=0,0,($O$6+IF(ROW()=ROW(tblBuyerOutputs[#Headers])+1,0,INDEX(tblBuyerOutputs[Cumul Appr],ROW()-ROW(tblBuyerOutputs[#Headers])-1)))*$O$2/12)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13" t="str">
        <f>IF(ROW()=ROW(tblSubjectToLoan[#Headers])+1,subjectKnownBalanceDate,IF(OR(INDEX(tblSubjectToLoan[Date],ROW()-ROW(tblSubjectToLoan[#Headers])-1)="",INDEX(tblSubjectToLoan[Date],ROW()-ROW(tblSubjectToLoan[#Headers])-1)&gt;=subjectMortgageEndDate),"",EDATE(INDEX(tblSubjectToLoan[Date],ROW()-ROW(tblSubjectToLoan[#Headers])-1),1)))</f>
        <v/>
      </c>
      <c r="B350" s="276">
        <f>IF(tblSubjectToLoan[[#This Row],[Date]]="",0,IF(ROW()=ROW(tblSubjectToLoan[#Headers])+1,subjectKnownBalance,MAX(0,INDEX(tblSubjectToLoan[Ending Balance],ROW()-ROW(tblSubjectToLoan[#Headers])-1))))</f>
        <v>0</v>
      </c>
      <c r="C3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0" s="14">
        <f>IF(tblSubjectToLoan[[#This Row],[Payment]]=0,0,MAX(0,MIN(tblSubjectToLoan[[#This Row],[Beginning Balance]],tblSubjectToLoan[[#This Row],[Payment]]-tblSubjectToLoan[[#This Row],[Int]])))</f>
        <v>0</v>
      </c>
      <c r="E350" s="14">
        <f>IF(tblSubjectToLoan[[#This Row],[Date]]="",0,ROUND(tblSubjectToLoan[[#This Row],[Beginning Balance]]*(subjectInterestRate/12),2))</f>
        <v>0</v>
      </c>
      <c r="F350" s="14">
        <f t="shared" si="29"/>
        <v>134.16999999999999</v>
      </c>
      <c r="G350" s="14">
        <f t="shared" si="29"/>
        <v>188.55</v>
      </c>
      <c r="H350" s="14">
        <f>SUM(tblSubjectToLoan[[#This Row],[Princ]],tblSubjectToLoan[[#This Row],[Int]],tblSubjectToLoan[[#This Row],[Ins]],tblSubjectToLoan[[#This Row],[Taxes]])</f>
        <v>322.72000000000003</v>
      </c>
      <c r="I3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0" s="276">
        <f>IF(tblSubjectToLoan[[#This Row],[Date]]="",IF(ROW()=ROW(tblSubjectToLoan[#Headers])+1,0,INDEX(tblSubjectToLoan[Interest],ROW()-ROW(tblSubjectToLoan[#Headers])-1)),tblSubjectToLoan[[#This Row],[Int]]+IF(ROW()=ROW(tblSubjectToLoan[#Headers])+1,0,INDEX(tblSubjectToLoan[Interest],ROW()-ROW(tblSubjectToLoan[#Headers])-1)))</f>
        <v>36068.259999999973</v>
      </c>
      <c r="K350" s="969">
        <f>IF(tblSubjectToLoan[[#This Row],[Date]]="",0,MAX(0,tblSubjectToLoan[[#This Row],[Beginning Balance]]-tblSubjectToLoan[[#This Row],[Princ]]))</f>
        <v>0</v>
      </c>
      <c r="L350" s="394">
        <f t="shared" si="27"/>
        <v>0</v>
      </c>
      <c r="M350" s="394">
        <f t="shared" si="30"/>
        <v>0</v>
      </c>
      <c r="N350" s="613" t="str">
        <f>INDEX(tblSubjectToLoan[Date],ROW()-ROW(tblContractForDeed[#Headers]))</f>
        <v/>
      </c>
      <c r="O350" s="276">
        <f>IF(ROW()=ROW(tblContractForDeed[#Headers])+1,$O$6,IF(INDEX(tblContractForDeed[End Bal],ROW()-ROW(tblContractForDeed[#Headers])-1)&lt;0,0,INDEX(tblContractForDeed[End Bal],ROW()-ROW(tblContractForDeed[#Headers])-1)))</f>
        <v>0</v>
      </c>
      <c r="P350" s="454"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0" s="276">
        <f>IF(INDEX(tblContractForDeed[End Bal],ROW()-ROW(tblBuyerOutputs[#Headers]))&lt;=0,0,($O$6+IF(ROW()=ROW(tblBuyerOutputs[#Headers])+1,0,INDEX(tblBuyerOutputs[Cumul Appr],ROW()-ROW(tblBuyerOutputs[#Headers])-1)))*$O$2/12)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13" t="str">
        <f>IF(ROW()=ROW(tblSubjectToLoan[#Headers])+1,subjectKnownBalanceDate,IF(OR(INDEX(tblSubjectToLoan[Date],ROW()-ROW(tblSubjectToLoan[#Headers])-1)="",INDEX(tblSubjectToLoan[Date],ROW()-ROW(tblSubjectToLoan[#Headers])-1)&gt;=subjectMortgageEndDate),"",EDATE(INDEX(tblSubjectToLoan[Date],ROW()-ROW(tblSubjectToLoan[#Headers])-1),1)))</f>
        <v/>
      </c>
      <c r="B351" s="276">
        <f>IF(tblSubjectToLoan[[#This Row],[Date]]="",0,IF(ROW()=ROW(tblSubjectToLoan[#Headers])+1,subjectKnownBalance,MAX(0,INDEX(tblSubjectToLoan[Ending Balance],ROW()-ROW(tblSubjectToLoan[#Headers])-1))))</f>
        <v>0</v>
      </c>
      <c r="C3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1" s="14">
        <f>IF(tblSubjectToLoan[[#This Row],[Payment]]=0,0,MAX(0,MIN(tblSubjectToLoan[[#This Row],[Beginning Balance]],tblSubjectToLoan[[#This Row],[Payment]]-tblSubjectToLoan[[#This Row],[Int]])))</f>
        <v>0</v>
      </c>
      <c r="E351" s="14">
        <f>IF(tblSubjectToLoan[[#This Row],[Date]]="",0,ROUND(tblSubjectToLoan[[#This Row],[Beginning Balance]]*(subjectInterestRate/12),2))</f>
        <v>0</v>
      </c>
      <c r="F351" s="14">
        <f t="shared" ref="F351:G366" si="31">+F350</f>
        <v>134.16999999999999</v>
      </c>
      <c r="G351" s="14">
        <f t="shared" si="31"/>
        <v>188.55</v>
      </c>
      <c r="H351" s="14">
        <f>SUM(tblSubjectToLoan[[#This Row],[Princ]],tblSubjectToLoan[[#This Row],[Int]],tblSubjectToLoan[[#This Row],[Ins]],tblSubjectToLoan[[#This Row],[Taxes]])</f>
        <v>322.72000000000003</v>
      </c>
      <c r="I3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1" s="276">
        <f>IF(tblSubjectToLoan[[#This Row],[Date]]="",IF(ROW()=ROW(tblSubjectToLoan[#Headers])+1,0,INDEX(tblSubjectToLoan[Interest],ROW()-ROW(tblSubjectToLoan[#Headers])-1)),tblSubjectToLoan[[#This Row],[Int]]+IF(ROW()=ROW(tblSubjectToLoan[#Headers])+1,0,INDEX(tblSubjectToLoan[Interest],ROW()-ROW(tblSubjectToLoan[#Headers])-1)))</f>
        <v>36068.259999999973</v>
      </c>
      <c r="K351" s="969">
        <f>IF(tblSubjectToLoan[[#This Row],[Date]]="",0,MAX(0,tblSubjectToLoan[[#This Row],[Beginning Balance]]-tblSubjectToLoan[[#This Row],[Princ]]))</f>
        <v>0</v>
      </c>
      <c r="L351" s="394">
        <f t="shared" si="27"/>
        <v>0</v>
      </c>
      <c r="M351" s="394">
        <f t="shared" si="30"/>
        <v>0</v>
      </c>
      <c r="N351" s="613" t="str">
        <f>INDEX(tblSubjectToLoan[Date],ROW()-ROW(tblContractForDeed[#Headers]))</f>
        <v/>
      </c>
      <c r="O351" s="276">
        <f>IF(ROW()=ROW(tblContractForDeed[#Headers])+1,$O$6,IF(INDEX(tblContractForDeed[End Bal],ROW()-ROW(tblContractForDeed[#Headers])-1)&lt;0,0,INDEX(tblContractForDeed[End Bal],ROW()-ROW(tblContractForDeed[#Headers])-1)))</f>
        <v>0</v>
      </c>
      <c r="P351" s="454"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1" s="276">
        <f>IF(INDEX(tblContractForDeed[End Bal],ROW()-ROW(tblBuyerOutputs[#Headers]))&lt;=0,0,($O$6+IF(ROW()=ROW(tblBuyerOutputs[#Headers])+1,0,INDEX(tblBuyerOutputs[Cumul Appr],ROW()-ROW(tblBuyerOutputs[#Headers])-1)))*$O$2/12)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13" t="str">
        <f>IF(ROW()=ROW(tblSubjectToLoan[#Headers])+1,subjectKnownBalanceDate,IF(OR(INDEX(tblSubjectToLoan[Date],ROW()-ROW(tblSubjectToLoan[#Headers])-1)="",INDEX(tblSubjectToLoan[Date],ROW()-ROW(tblSubjectToLoan[#Headers])-1)&gt;=subjectMortgageEndDate),"",EDATE(INDEX(tblSubjectToLoan[Date],ROW()-ROW(tblSubjectToLoan[#Headers])-1),1)))</f>
        <v/>
      </c>
      <c r="B352" s="276">
        <f>IF(tblSubjectToLoan[[#This Row],[Date]]="",0,IF(ROW()=ROW(tblSubjectToLoan[#Headers])+1,subjectKnownBalance,MAX(0,INDEX(tblSubjectToLoan[Ending Balance],ROW()-ROW(tblSubjectToLoan[#Headers])-1))))</f>
        <v>0</v>
      </c>
      <c r="C3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2" s="14">
        <f>IF(tblSubjectToLoan[[#This Row],[Payment]]=0,0,MAX(0,MIN(tblSubjectToLoan[[#This Row],[Beginning Balance]],tblSubjectToLoan[[#This Row],[Payment]]-tblSubjectToLoan[[#This Row],[Int]])))</f>
        <v>0</v>
      </c>
      <c r="E352" s="14">
        <f>IF(tblSubjectToLoan[[#This Row],[Date]]="",0,ROUND(tblSubjectToLoan[[#This Row],[Beginning Balance]]*(subjectInterestRate/12),2))</f>
        <v>0</v>
      </c>
      <c r="F352" s="14">
        <f t="shared" si="31"/>
        <v>134.16999999999999</v>
      </c>
      <c r="G352" s="14">
        <f t="shared" si="31"/>
        <v>188.55</v>
      </c>
      <c r="H352" s="14">
        <f>SUM(tblSubjectToLoan[[#This Row],[Princ]],tblSubjectToLoan[[#This Row],[Int]],tblSubjectToLoan[[#This Row],[Ins]],tblSubjectToLoan[[#This Row],[Taxes]])</f>
        <v>322.72000000000003</v>
      </c>
      <c r="I3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2" s="276">
        <f>IF(tblSubjectToLoan[[#This Row],[Date]]="",IF(ROW()=ROW(tblSubjectToLoan[#Headers])+1,0,INDEX(tblSubjectToLoan[Interest],ROW()-ROW(tblSubjectToLoan[#Headers])-1)),tblSubjectToLoan[[#This Row],[Int]]+IF(ROW()=ROW(tblSubjectToLoan[#Headers])+1,0,INDEX(tblSubjectToLoan[Interest],ROW()-ROW(tblSubjectToLoan[#Headers])-1)))</f>
        <v>36068.259999999973</v>
      </c>
      <c r="K352" s="969">
        <f>IF(tblSubjectToLoan[[#This Row],[Date]]="",0,MAX(0,tblSubjectToLoan[[#This Row],[Beginning Balance]]-tblSubjectToLoan[[#This Row],[Princ]]))</f>
        <v>0</v>
      </c>
      <c r="L352" s="394">
        <f t="shared" si="27"/>
        <v>0</v>
      </c>
      <c r="M352" s="394">
        <f t="shared" si="30"/>
        <v>0</v>
      </c>
      <c r="N352" s="613" t="str">
        <f>INDEX(tblSubjectToLoan[Date],ROW()-ROW(tblContractForDeed[#Headers]))</f>
        <v/>
      </c>
      <c r="O352" s="276">
        <f>IF(ROW()=ROW(tblContractForDeed[#Headers])+1,$O$6,IF(INDEX(tblContractForDeed[End Bal],ROW()-ROW(tblContractForDeed[#Headers])-1)&lt;0,0,INDEX(tblContractForDeed[End Bal],ROW()-ROW(tblContractForDeed[#Headers])-1)))</f>
        <v>0</v>
      </c>
      <c r="P352" s="454"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2" s="276">
        <f>IF(INDEX(tblContractForDeed[End Bal],ROW()-ROW(tblBuyerOutputs[#Headers]))&lt;=0,0,($O$6+IF(ROW()=ROW(tblBuyerOutputs[#Headers])+1,0,INDEX(tblBuyerOutputs[Cumul Appr],ROW()-ROW(tblBuyerOutputs[#Headers])-1)))*$O$2/12)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13" t="str">
        <f>IF(ROW()=ROW(tblSubjectToLoan[#Headers])+1,subjectKnownBalanceDate,IF(OR(INDEX(tblSubjectToLoan[Date],ROW()-ROW(tblSubjectToLoan[#Headers])-1)="",INDEX(tblSubjectToLoan[Date],ROW()-ROW(tblSubjectToLoan[#Headers])-1)&gt;=subjectMortgageEndDate),"",EDATE(INDEX(tblSubjectToLoan[Date],ROW()-ROW(tblSubjectToLoan[#Headers])-1),1)))</f>
        <v/>
      </c>
      <c r="B353" s="276">
        <f>IF(tblSubjectToLoan[[#This Row],[Date]]="",0,IF(ROW()=ROW(tblSubjectToLoan[#Headers])+1,subjectKnownBalance,MAX(0,INDEX(tblSubjectToLoan[Ending Balance],ROW()-ROW(tblSubjectToLoan[#Headers])-1))))</f>
        <v>0</v>
      </c>
      <c r="C3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3" s="14">
        <f>IF(tblSubjectToLoan[[#This Row],[Payment]]=0,0,MAX(0,MIN(tblSubjectToLoan[[#This Row],[Beginning Balance]],tblSubjectToLoan[[#This Row],[Payment]]-tblSubjectToLoan[[#This Row],[Int]])))</f>
        <v>0</v>
      </c>
      <c r="E353" s="14">
        <f>IF(tblSubjectToLoan[[#This Row],[Date]]="",0,ROUND(tblSubjectToLoan[[#This Row],[Beginning Balance]]*(subjectInterestRate/12),2))</f>
        <v>0</v>
      </c>
      <c r="F353" s="14">
        <f t="shared" si="31"/>
        <v>134.16999999999999</v>
      </c>
      <c r="G353" s="14">
        <f t="shared" si="31"/>
        <v>188.55</v>
      </c>
      <c r="H353" s="14">
        <f>SUM(tblSubjectToLoan[[#This Row],[Princ]],tblSubjectToLoan[[#This Row],[Int]],tblSubjectToLoan[[#This Row],[Ins]],tblSubjectToLoan[[#This Row],[Taxes]])</f>
        <v>322.72000000000003</v>
      </c>
      <c r="I3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3" s="276">
        <f>IF(tblSubjectToLoan[[#This Row],[Date]]="",IF(ROW()=ROW(tblSubjectToLoan[#Headers])+1,0,INDEX(tblSubjectToLoan[Interest],ROW()-ROW(tblSubjectToLoan[#Headers])-1)),tblSubjectToLoan[[#This Row],[Int]]+IF(ROW()=ROW(tblSubjectToLoan[#Headers])+1,0,INDEX(tblSubjectToLoan[Interest],ROW()-ROW(tblSubjectToLoan[#Headers])-1)))</f>
        <v>36068.259999999973</v>
      </c>
      <c r="K353" s="969">
        <f>IF(tblSubjectToLoan[[#This Row],[Date]]="",0,MAX(0,tblSubjectToLoan[[#This Row],[Beginning Balance]]-tblSubjectToLoan[[#This Row],[Princ]]))</f>
        <v>0</v>
      </c>
      <c r="L353" s="394">
        <f t="shared" si="27"/>
        <v>0</v>
      </c>
      <c r="M353" s="394">
        <f t="shared" si="30"/>
        <v>0</v>
      </c>
      <c r="N353" s="613" t="str">
        <f>INDEX(tblSubjectToLoan[Date],ROW()-ROW(tblContractForDeed[#Headers]))</f>
        <v/>
      </c>
      <c r="O353" s="276">
        <f>IF(ROW()=ROW(tblContractForDeed[#Headers])+1,$O$6,IF(INDEX(tblContractForDeed[End Bal],ROW()-ROW(tblContractForDeed[#Headers])-1)&lt;0,0,INDEX(tblContractForDeed[End Bal],ROW()-ROW(tblContractForDeed[#Headers])-1)))</f>
        <v>0</v>
      </c>
      <c r="P353" s="454"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3" s="276">
        <f>IF(INDEX(tblContractForDeed[End Bal],ROW()-ROW(tblBuyerOutputs[#Headers]))&lt;=0,0,($O$6+IF(ROW()=ROW(tblBuyerOutputs[#Headers])+1,0,INDEX(tblBuyerOutputs[Cumul Appr],ROW()-ROW(tblBuyerOutputs[#Headers])-1)))*$O$2/12)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13" t="str">
        <f>IF(ROW()=ROW(tblSubjectToLoan[#Headers])+1,subjectKnownBalanceDate,IF(OR(INDEX(tblSubjectToLoan[Date],ROW()-ROW(tblSubjectToLoan[#Headers])-1)="",INDEX(tblSubjectToLoan[Date],ROW()-ROW(tblSubjectToLoan[#Headers])-1)&gt;=subjectMortgageEndDate),"",EDATE(INDEX(tblSubjectToLoan[Date],ROW()-ROW(tblSubjectToLoan[#Headers])-1),1)))</f>
        <v/>
      </c>
      <c r="B354" s="276">
        <f>IF(tblSubjectToLoan[[#This Row],[Date]]="",0,IF(ROW()=ROW(tblSubjectToLoan[#Headers])+1,subjectKnownBalance,MAX(0,INDEX(tblSubjectToLoan[Ending Balance],ROW()-ROW(tblSubjectToLoan[#Headers])-1))))</f>
        <v>0</v>
      </c>
      <c r="C3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4" s="14">
        <f>IF(tblSubjectToLoan[[#This Row],[Payment]]=0,0,MAX(0,MIN(tblSubjectToLoan[[#This Row],[Beginning Balance]],tblSubjectToLoan[[#This Row],[Payment]]-tblSubjectToLoan[[#This Row],[Int]])))</f>
        <v>0</v>
      </c>
      <c r="E354" s="14">
        <f>IF(tblSubjectToLoan[[#This Row],[Date]]="",0,ROUND(tblSubjectToLoan[[#This Row],[Beginning Balance]]*(subjectInterestRate/12),2))</f>
        <v>0</v>
      </c>
      <c r="F354" s="14">
        <f t="shared" si="31"/>
        <v>134.16999999999999</v>
      </c>
      <c r="G354" s="14">
        <f t="shared" si="31"/>
        <v>188.55</v>
      </c>
      <c r="H354" s="14">
        <f>SUM(tblSubjectToLoan[[#This Row],[Princ]],tblSubjectToLoan[[#This Row],[Int]],tblSubjectToLoan[[#This Row],[Ins]],tblSubjectToLoan[[#This Row],[Taxes]])</f>
        <v>322.72000000000003</v>
      </c>
      <c r="I3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4" s="276">
        <f>IF(tblSubjectToLoan[[#This Row],[Date]]="",IF(ROW()=ROW(tblSubjectToLoan[#Headers])+1,0,INDEX(tblSubjectToLoan[Interest],ROW()-ROW(tblSubjectToLoan[#Headers])-1)),tblSubjectToLoan[[#This Row],[Int]]+IF(ROW()=ROW(tblSubjectToLoan[#Headers])+1,0,INDEX(tblSubjectToLoan[Interest],ROW()-ROW(tblSubjectToLoan[#Headers])-1)))</f>
        <v>36068.259999999973</v>
      </c>
      <c r="K354" s="969">
        <f>IF(tblSubjectToLoan[[#This Row],[Date]]="",0,MAX(0,tblSubjectToLoan[[#This Row],[Beginning Balance]]-tblSubjectToLoan[[#This Row],[Princ]]))</f>
        <v>0</v>
      </c>
      <c r="L354" s="394">
        <f t="shared" si="27"/>
        <v>0</v>
      </c>
      <c r="M354" s="394">
        <f t="shared" si="30"/>
        <v>0</v>
      </c>
      <c r="N354" s="613" t="str">
        <f>INDEX(tblSubjectToLoan[Date],ROW()-ROW(tblContractForDeed[#Headers]))</f>
        <v/>
      </c>
      <c r="O354" s="276">
        <f>IF(ROW()=ROW(tblContractForDeed[#Headers])+1,$O$6,IF(INDEX(tblContractForDeed[End Bal],ROW()-ROW(tblContractForDeed[#Headers])-1)&lt;0,0,INDEX(tblContractForDeed[End Bal],ROW()-ROW(tblContractForDeed[#Headers])-1)))</f>
        <v>0</v>
      </c>
      <c r="P354" s="454"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4" s="276">
        <f>IF(INDEX(tblContractForDeed[End Bal],ROW()-ROW(tblBuyerOutputs[#Headers]))&lt;=0,0,($O$6+IF(ROW()=ROW(tblBuyerOutputs[#Headers])+1,0,INDEX(tblBuyerOutputs[Cumul Appr],ROW()-ROW(tblBuyerOutputs[#Headers])-1)))*$O$2/12)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14" t="str">
        <f>IF(ROW()=ROW(tblSubjectToLoan[#Headers])+1,subjectKnownBalanceDate,IF(OR(INDEX(tblSubjectToLoan[Date],ROW()-ROW(tblSubjectToLoan[#Headers])-1)="",INDEX(tblSubjectToLoan[Date],ROW()-ROW(tblSubjectToLoan[#Headers])-1)&gt;=subjectMortgageEndDate),"",EDATE(INDEX(tblSubjectToLoan[Date],ROW()-ROW(tblSubjectToLoan[#Headers])-1),1)))</f>
        <v/>
      </c>
      <c r="B355" s="332">
        <f>IF(tblSubjectToLoan[[#This Row],[Date]]="",0,IF(ROW()=ROW(tblSubjectToLoan[#Headers])+1,subjectKnownBalance,MAX(0,INDEX(tblSubjectToLoan[Ending Balance],ROW()-ROW(tblSubjectToLoan[#Headers])-1))))</f>
        <v>0</v>
      </c>
      <c r="C35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5" s="21">
        <f>IF(tblSubjectToLoan[[#This Row],[Payment]]=0,0,MAX(0,MIN(tblSubjectToLoan[[#This Row],[Beginning Balance]],tblSubjectToLoan[[#This Row],[Payment]]-tblSubjectToLoan[[#This Row],[Int]])))</f>
        <v>0</v>
      </c>
      <c r="E355" s="21">
        <f>IF(tblSubjectToLoan[[#This Row],[Date]]="",0,ROUND(tblSubjectToLoan[[#This Row],[Beginning Balance]]*(subjectInterestRate/12),2))</f>
        <v>0</v>
      </c>
      <c r="F355" s="21">
        <f t="shared" si="31"/>
        <v>134.16999999999999</v>
      </c>
      <c r="G355" s="21">
        <f t="shared" si="31"/>
        <v>188.55</v>
      </c>
      <c r="H355" s="21">
        <f>SUM(tblSubjectToLoan[[#This Row],[Princ]],tblSubjectToLoan[[#This Row],[Int]],tblSubjectToLoan[[#This Row],[Ins]],tblSubjectToLoan[[#This Row],[Taxes]])</f>
        <v>322.72000000000003</v>
      </c>
      <c r="I35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55" s="332">
        <f>IF(tblSubjectToLoan[[#This Row],[Date]]="",IF(ROW()=ROW(tblSubjectToLoan[#Headers])+1,0,INDEX(tblSubjectToLoan[Interest],ROW()-ROW(tblSubjectToLoan[#Headers])-1)),tblSubjectToLoan[[#This Row],[Int]]+IF(ROW()=ROW(tblSubjectToLoan[#Headers])+1,0,INDEX(tblSubjectToLoan[Interest],ROW()-ROW(tblSubjectToLoan[#Headers])-1)))</f>
        <v>36068.259999999973</v>
      </c>
      <c r="K355" s="970">
        <f>IF(tblSubjectToLoan[[#This Row],[Date]]="",0,MAX(0,tblSubjectToLoan[[#This Row],[Beginning Balance]]-tblSubjectToLoan[[#This Row],[Princ]]))</f>
        <v>0</v>
      </c>
      <c r="L355" s="395">
        <f t="shared" si="27"/>
        <v>0</v>
      </c>
      <c r="M355" s="395">
        <f t="shared" si="30"/>
        <v>0</v>
      </c>
      <c r="N355" s="614" t="str">
        <f>INDEX(tblSubjectToLoan[Date],ROW()-ROW(tblContractForDeed[#Headers]))</f>
        <v/>
      </c>
      <c r="O355" s="332">
        <f>IF(ROW()=ROW(tblContractForDeed[#Headers])+1,$O$6,IF(INDEX(tblContractForDeed[End Bal],ROW()-ROW(tblContractForDeed[#Headers])-1)&lt;0,0,INDEX(tblContractForDeed[End Bal],ROW()-ROW(tblContractForDeed[#Headers])-1)))</f>
        <v>0</v>
      </c>
      <c r="P355" s="454"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5" s="332">
        <f>IF(INDEX(tblContractForDeed[End Bal],ROW()-ROW(tblBuyerOutputs[#Headers]))&lt;=0,0,($O$6+IF(ROW()=ROW(tblBuyerOutputs[#Headers])+1,0,INDEX(tblBuyerOutputs[Cumul Appr],ROW()-ROW(tblBuyerOutputs[#Headers])-1)))*$O$2/12)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13" t="str">
        <f>IF(ROW()=ROW(tblSubjectToLoan[#Headers])+1,subjectKnownBalanceDate,IF(OR(INDEX(tblSubjectToLoan[Date],ROW()-ROW(tblSubjectToLoan[#Headers])-1)="",INDEX(tblSubjectToLoan[Date],ROW()-ROW(tblSubjectToLoan[#Headers])-1)&gt;=subjectMortgageEndDate),"",EDATE(INDEX(tblSubjectToLoan[Date],ROW()-ROW(tblSubjectToLoan[#Headers])-1),1)))</f>
        <v/>
      </c>
      <c r="B356" s="276">
        <f>IF(tblSubjectToLoan[[#This Row],[Date]]="",0,IF(ROW()=ROW(tblSubjectToLoan[#Headers])+1,subjectKnownBalance,MAX(0,INDEX(tblSubjectToLoan[Ending Balance],ROW()-ROW(tblSubjectToLoan[#Headers])-1))))</f>
        <v>0</v>
      </c>
      <c r="C3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6" s="14">
        <f>IF(tblSubjectToLoan[[#This Row],[Payment]]=0,0,MAX(0,MIN(tblSubjectToLoan[[#This Row],[Beginning Balance]],tblSubjectToLoan[[#This Row],[Payment]]-tblSubjectToLoan[[#This Row],[Int]])))</f>
        <v>0</v>
      </c>
      <c r="E356" s="14">
        <f>IF(tblSubjectToLoan[[#This Row],[Date]]="",0,ROUND(tblSubjectToLoan[[#This Row],[Beginning Balance]]*(subjectInterestRate/12),2))</f>
        <v>0</v>
      </c>
      <c r="F356" s="14">
        <f t="shared" si="31"/>
        <v>134.16999999999999</v>
      </c>
      <c r="G356" s="14">
        <f t="shared" si="31"/>
        <v>188.55</v>
      </c>
      <c r="H356" s="14">
        <f>SUM(tblSubjectToLoan[[#This Row],[Princ]],tblSubjectToLoan[[#This Row],[Int]],tblSubjectToLoan[[#This Row],[Ins]],tblSubjectToLoan[[#This Row],[Taxes]])</f>
        <v>322.72000000000003</v>
      </c>
      <c r="I3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6" s="276">
        <f>IF(tblSubjectToLoan[[#This Row],[Date]]="",IF(ROW()=ROW(tblSubjectToLoan[#Headers])+1,0,INDEX(tblSubjectToLoan[Interest],ROW()-ROW(tblSubjectToLoan[#Headers])-1)),tblSubjectToLoan[[#This Row],[Int]]+IF(ROW()=ROW(tblSubjectToLoan[#Headers])+1,0,INDEX(tblSubjectToLoan[Interest],ROW()-ROW(tblSubjectToLoan[#Headers])-1)))</f>
        <v>36068.259999999973</v>
      </c>
      <c r="K356" s="969">
        <f>IF(tblSubjectToLoan[[#This Row],[Date]]="",0,MAX(0,tblSubjectToLoan[[#This Row],[Beginning Balance]]-tblSubjectToLoan[[#This Row],[Princ]]))</f>
        <v>0</v>
      </c>
      <c r="L356" s="394">
        <f t="shared" si="27"/>
        <v>0</v>
      </c>
      <c r="M356" s="394">
        <f t="shared" si="30"/>
        <v>0</v>
      </c>
      <c r="N356" s="613" t="str">
        <f>INDEX(tblSubjectToLoan[Date],ROW()-ROW(tblContractForDeed[#Headers]))</f>
        <v/>
      </c>
      <c r="O356" s="276">
        <f>IF(ROW()=ROW(tblContractForDeed[#Headers])+1,$O$6,IF(INDEX(tblContractForDeed[End Bal],ROW()-ROW(tblContractForDeed[#Headers])-1)&lt;0,0,INDEX(tblContractForDeed[End Bal],ROW()-ROW(tblContractForDeed[#Headers])-1)))</f>
        <v>0</v>
      </c>
      <c r="P356" s="454"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6" s="276">
        <f>IF(INDEX(tblContractForDeed[End Bal],ROW()-ROW(tblBuyerOutputs[#Headers]))&lt;=0,0,($O$6+IF(ROW()=ROW(tblBuyerOutputs[#Headers])+1,0,INDEX(tblBuyerOutputs[Cumul Appr],ROW()-ROW(tblBuyerOutputs[#Headers])-1)))*$O$2/12)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13" t="str">
        <f>IF(ROW()=ROW(tblSubjectToLoan[#Headers])+1,subjectKnownBalanceDate,IF(OR(INDEX(tblSubjectToLoan[Date],ROW()-ROW(tblSubjectToLoan[#Headers])-1)="",INDEX(tblSubjectToLoan[Date],ROW()-ROW(tblSubjectToLoan[#Headers])-1)&gt;=subjectMortgageEndDate),"",EDATE(INDEX(tblSubjectToLoan[Date],ROW()-ROW(tblSubjectToLoan[#Headers])-1),1)))</f>
        <v/>
      </c>
      <c r="B357" s="276">
        <f>IF(tblSubjectToLoan[[#This Row],[Date]]="",0,IF(ROW()=ROW(tblSubjectToLoan[#Headers])+1,subjectKnownBalance,MAX(0,INDEX(tblSubjectToLoan[Ending Balance],ROW()-ROW(tblSubjectToLoan[#Headers])-1))))</f>
        <v>0</v>
      </c>
      <c r="C3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7" s="14">
        <f>IF(tblSubjectToLoan[[#This Row],[Payment]]=0,0,MAX(0,MIN(tblSubjectToLoan[[#This Row],[Beginning Balance]],tblSubjectToLoan[[#This Row],[Payment]]-tblSubjectToLoan[[#This Row],[Int]])))</f>
        <v>0</v>
      </c>
      <c r="E357" s="14">
        <f>IF(tblSubjectToLoan[[#This Row],[Date]]="",0,ROUND(tblSubjectToLoan[[#This Row],[Beginning Balance]]*(subjectInterestRate/12),2))</f>
        <v>0</v>
      </c>
      <c r="F357" s="14">
        <f t="shared" si="31"/>
        <v>134.16999999999999</v>
      </c>
      <c r="G357" s="14">
        <f t="shared" si="31"/>
        <v>188.55</v>
      </c>
      <c r="H357" s="14">
        <f>SUM(tblSubjectToLoan[[#This Row],[Princ]],tblSubjectToLoan[[#This Row],[Int]],tblSubjectToLoan[[#This Row],[Ins]],tblSubjectToLoan[[#This Row],[Taxes]])</f>
        <v>322.72000000000003</v>
      </c>
      <c r="I3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7" s="276">
        <f>IF(tblSubjectToLoan[[#This Row],[Date]]="",IF(ROW()=ROW(tblSubjectToLoan[#Headers])+1,0,INDEX(tblSubjectToLoan[Interest],ROW()-ROW(tblSubjectToLoan[#Headers])-1)),tblSubjectToLoan[[#This Row],[Int]]+IF(ROW()=ROW(tblSubjectToLoan[#Headers])+1,0,INDEX(tblSubjectToLoan[Interest],ROW()-ROW(tblSubjectToLoan[#Headers])-1)))</f>
        <v>36068.259999999973</v>
      </c>
      <c r="K357" s="969">
        <f>IF(tblSubjectToLoan[[#This Row],[Date]]="",0,MAX(0,tblSubjectToLoan[[#This Row],[Beginning Balance]]-tblSubjectToLoan[[#This Row],[Princ]]))</f>
        <v>0</v>
      </c>
      <c r="L357" s="394">
        <f t="shared" si="27"/>
        <v>0</v>
      </c>
      <c r="M357" s="394">
        <f t="shared" si="30"/>
        <v>0</v>
      </c>
      <c r="N357" s="613" t="str">
        <f>INDEX(tblSubjectToLoan[Date],ROW()-ROW(tblContractForDeed[#Headers]))</f>
        <v/>
      </c>
      <c r="O357" s="276">
        <f>IF(ROW()=ROW(tblContractForDeed[#Headers])+1,$O$6,IF(INDEX(tblContractForDeed[End Bal],ROW()-ROW(tblContractForDeed[#Headers])-1)&lt;0,0,INDEX(tblContractForDeed[End Bal],ROW()-ROW(tblContractForDeed[#Headers])-1)))</f>
        <v>0</v>
      </c>
      <c r="P357" s="454"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7" s="276">
        <f>IF(INDEX(tblContractForDeed[End Bal],ROW()-ROW(tblBuyerOutputs[#Headers]))&lt;=0,0,($O$6+IF(ROW()=ROW(tblBuyerOutputs[#Headers])+1,0,INDEX(tblBuyerOutputs[Cumul Appr],ROW()-ROW(tblBuyerOutputs[#Headers])-1)))*$O$2/12)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13" t="str">
        <f>IF(ROW()=ROW(tblSubjectToLoan[#Headers])+1,subjectKnownBalanceDate,IF(OR(INDEX(tblSubjectToLoan[Date],ROW()-ROW(tblSubjectToLoan[#Headers])-1)="",INDEX(tblSubjectToLoan[Date],ROW()-ROW(tblSubjectToLoan[#Headers])-1)&gt;=subjectMortgageEndDate),"",EDATE(INDEX(tblSubjectToLoan[Date],ROW()-ROW(tblSubjectToLoan[#Headers])-1),1)))</f>
        <v/>
      </c>
      <c r="B358" s="276">
        <f>IF(tblSubjectToLoan[[#This Row],[Date]]="",0,IF(ROW()=ROW(tblSubjectToLoan[#Headers])+1,subjectKnownBalance,MAX(0,INDEX(tblSubjectToLoan[Ending Balance],ROW()-ROW(tblSubjectToLoan[#Headers])-1))))</f>
        <v>0</v>
      </c>
      <c r="C3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8" s="14">
        <f>IF(tblSubjectToLoan[[#This Row],[Payment]]=0,0,MAX(0,MIN(tblSubjectToLoan[[#This Row],[Beginning Balance]],tblSubjectToLoan[[#This Row],[Payment]]-tblSubjectToLoan[[#This Row],[Int]])))</f>
        <v>0</v>
      </c>
      <c r="E358" s="14">
        <f>IF(tblSubjectToLoan[[#This Row],[Date]]="",0,ROUND(tblSubjectToLoan[[#This Row],[Beginning Balance]]*(subjectInterestRate/12),2))</f>
        <v>0</v>
      </c>
      <c r="F358" s="14">
        <f t="shared" si="31"/>
        <v>134.16999999999999</v>
      </c>
      <c r="G358" s="14">
        <f t="shared" si="31"/>
        <v>188.55</v>
      </c>
      <c r="H358" s="14">
        <f>SUM(tblSubjectToLoan[[#This Row],[Princ]],tblSubjectToLoan[[#This Row],[Int]],tblSubjectToLoan[[#This Row],[Ins]],tblSubjectToLoan[[#This Row],[Taxes]])</f>
        <v>322.72000000000003</v>
      </c>
      <c r="I3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8" s="276">
        <f>IF(tblSubjectToLoan[[#This Row],[Date]]="",IF(ROW()=ROW(tblSubjectToLoan[#Headers])+1,0,INDEX(tblSubjectToLoan[Interest],ROW()-ROW(tblSubjectToLoan[#Headers])-1)),tblSubjectToLoan[[#This Row],[Int]]+IF(ROW()=ROW(tblSubjectToLoan[#Headers])+1,0,INDEX(tblSubjectToLoan[Interest],ROW()-ROW(tblSubjectToLoan[#Headers])-1)))</f>
        <v>36068.259999999973</v>
      </c>
      <c r="K358" s="969">
        <f>IF(tblSubjectToLoan[[#This Row],[Date]]="",0,MAX(0,tblSubjectToLoan[[#This Row],[Beginning Balance]]-tblSubjectToLoan[[#This Row],[Princ]]))</f>
        <v>0</v>
      </c>
      <c r="L358" s="394">
        <f t="shared" si="27"/>
        <v>0</v>
      </c>
      <c r="M358" s="394">
        <f t="shared" si="30"/>
        <v>0</v>
      </c>
      <c r="N358" s="613" t="str">
        <f>INDEX(tblSubjectToLoan[Date],ROW()-ROW(tblContractForDeed[#Headers]))</f>
        <v/>
      </c>
      <c r="O358" s="276">
        <f>IF(ROW()=ROW(tblContractForDeed[#Headers])+1,$O$6,IF(INDEX(tblContractForDeed[End Bal],ROW()-ROW(tblContractForDeed[#Headers])-1)&lt;0,0,INDEX(tblContractForDeed[End Bal],ROW()-ROW(tblContractForDeed[#Headers])-1)))</f>
        <v>0</v>
      </c>
      <c r="P358" s="454"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8" s="276">
        <f>IF(INDEX(tblContractForDeed[End Bal],ROW()-ROW(tblBuyerOutputs[#Headers]))&lt;=0,0,($O$6+IF(ROW()=ROW(tblBuyerOutputs[#Headers])+1,0,INDEX(tblBuyerOutputs[Cumul Appr],ROW()-ROW(tblBuyerOutputs[#Headers])-1)))*$O$2/12)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13" t="str">
        <f>IF(ROW()=ROW(tblSubjectToLoan[#Headers])+1,subjectKnownBalanceDate,IF(OR(INDEX(tblSubjectToLoan[Date],ROW()-ROW(tblSubjectToLoan[#Headers])-1)="",INDEX(tblSubjectToLoan[Date],ROW()-ROW(tblSubjectToLoan[#Headers])-1)&gt;=subjectMortgageEndDate),"",EDATE(INDEX(tblSubjectToLoan[Date],ROW()-ROW(tblSubjectToLoan[#Headers])-1),1)))</f>
        <v/>
      </c>
      <c r="B359" s="276">
        <f>IF(tblSubjectToLoan[[#This Row],[Date]]="",0,IF(ROW()=ROW(tblSubjectToLoan[#Headers])+1,subjectKnownBalance,MAX(0,INDEX(tblSubjectToLoan[Ending Balance],ROW()-ROW(tblSubjectToLoan[#Headers])-1))))</f>
        <v>0</v>
      </c>
      <c r="C3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9" s="14">
        <f>IF(tblSubjectToLoan[[#This Row],[Payment]]=0,0,MAX(0,MIN(tblSubjectToLoan[[#This Row],[Beginning Balance]],tblSubjectToLoan[[#This Row],[Payment]]-tblSubjectToLoan[[#This Row],[Int]])))</f>
        <v>0</v>
      </c>
      <c r="E359" s="14">
        <f>IF(tblSubjectToLoan[[#This Row],[Date]]="",0,ROUND(tblSubjectToLoan[[#This Row],[Beginning Balance]]*(subjectInterestRate/12),2))</f>
        <v>0</v>
      </c>
      <c r="F359" s="14">
        <f t="shared" si="31"/>
        <v>134.16999999999999</v>
      </c>
      <c r="G359" s="14">
        <f t="shared" si="31"/>
        <v>188.55</v>
      </c>
      <c r="H359" s="14">
        <f>SUM(tblSubjectToLoan[[#This Row],[Princ]],tblSubjectToLoan[[#This Row],[Int]],tblSubjectToLoan[[#This Row],[Ins]],tblSubjectToLoan[[#This Row],[Taxes]])</f>
        <v>322.72000000000003</v>
      </c>
      <c r="I3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9" s="276">
        <f>IF(tblSubjectToLoan[[#This Row],[Date]]="",IF(ROW()=ROW(tblSubjectToLoan[#Headers])+1,0,INDEX(tblSubjectToLoan[Interest],ROW()-ROW(tblSubjectToLoan[#Headers])-1)),tblSubjectToLoan[[#This Row],[Int]]+IF(ROW()=ROW(tblSubjectToLoan[#Headers])+1,0,INDEX(tblSubjectToLoan[Interest],ROW()-ROW(tblSubjectToLoan[#Headers])-1)))</f>
        <v>36068.259999999973</v>
      </c>
      <c r="K359" s="969">
        <f>IF(tblSubjectToLoan[[#This Row],[Date]]="",0,MAX(0,tblSubjectToLoan[[#This Row],[Beginning Balance]]-tblSubjectToLoan[[#This Row],[Princ]]))</f>
        <v>0</v>
      </c>
      <c r="L359" s="394">
        <f t="shared" si="27"/>
        <v>0</v>
      </c>
      <c r="M359" s="394">
        <f t="shared" si="30"/>
        <v>0</v>
      </c>
      <c r="N359" s="613" t="str">
        <f>INDEX(tblSubjectToLoan[Date],ROW()-ROW(tblContractForDeed[#Headers]))</f>
        <v/>
      </c>
      <c r="O359" s="276">
        <f>IF(ROW()=ROW(tblContractForDeed[#Headers])+1,$O$6,IF(INDEX(tblContractForDeed[End Bal],ROW()-ROW(tblContractForDeed[#Headers])-1)&lt;0,0,INDEX(tblContractForDeed[End Bal],ROW()-ROW(tblContractForDeed[#Headers])-1)))</f>
        <v>0</v>
      </c>
      <c r="P359" s="454"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9" s="276">
        <f>IF(INDEX(tblContractForDeed[End Bal],ROW()-ROW(tblBuyerOutputs[#Headers]))&lt;=0,0,($O$6+IF(ROW()=ROW(tblBuyerOutputs[#Headers])+1,0,INDEX(tblBuyerOutputs[Cumul Appr],ROW()-ROW(tblBuyerOutputs[#Headers])-1)))*$O$2/12)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13" t="str">
        <f>IF(ROW()=ROW(tblSubjectToLoan[#Headers])+1,subjectKnownBalanceDate,IF(OR(INDEX(tblSubjectToLoan[Date],ROW()-ROW(tblSubjectToLoan[#Headers])-1)="",INDEX(tblSubjectToLoan[Date],ROW()-ROW(tblSubjectToLoan[#Headers])-1)&gt;=subjectMortgageEndDate),"",EDATE(INDEX(tblSubjectToLoan[Date],ROW()-ROW(tblSubjectToLoan[#Headers])-1),1)))</f>
        <v/>
      </c>
      <c r="B360" s="276">
        <f>IF(tblSubjectToLoan[[#This Row],[Date]]="",0,IF(ROW()=ROW(tblSubjectToLoan[#Headers])+1,subjectKnownBalance,MAX(0,INDEX(tblSubjectToLoan[Ending Balance],ROW()-ROW(tblSubjectToLoan[#Headers])-1))))</f>
        <v>0</v>
      </c>
      <c r="C3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0" s="14">
        <f>IF(tblSubjectToLoan[[#This Row],[Payment]]=0,0,MAX(0,MIN(tblSubjectToLoan[[#This Row],[Beginning Balance]],tblSubjectToLoan[[#This Row],[Payment]]-tblSubjectToLoan[[#This Row],[Int]])))</f>
        <v>0</v>
      </c>
      <c r="E360" s="14">
        <f>IF(tblSubjectToLoan[[#This Row],[Date]]="",0,ROUND(tblSubjectToLoan[[#This Row],[Beginning Balance]]*(subjectInterestRate/12),2))</f>
        <v>0</v>
      </c>
      <c r="F360" s="14">
        <f t="shared" si="31"/>
        <v>134.16999999999999</v>
      </c>
      <c r="G360" s="14">
        <f t="shared" si="31"/>
        <v>188.55</v>
      </c>
      <c r="H360" s="14">
        <f>SUM(tblSubjectToLoan[[#This Row],[Princ]],tblSubjectToLoan[[#This Row],[Int]],tblSubjectToLoan[[#This Row],[Ins]],tblSubjectToLoan[[#This Row],[Taxes]])</f>
        <v>322.72000000000003</v>
      </c>
      <c r="I3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0" s="276">
        <f>IF(tblSubjectToLoan[[#This Row],[Date]]="",IF(ROW()=ROW(tblSubjectToLoan[#Headers])+1,0,INDEX(tblSubjectToLoan[Interest],ROW()-ROW(tblSubjectToLoan[#Headers])-1)),tblSubjectToLoan[[#This Row],[Int]]+IF(ROW()=ROW(tblSubjectToLoan[#Headers])+1,0,INDEX(tblSubjectToLoan[Interest],ROW()-ROW(tblSubjectToLoan[#Headers])-1)))</f>
        <v>36068.259999999973</v>
      </c>
      <c r="K360" s="969">
        <f>IF(tblSubjectToLoan[[#This Row],[Date]]="",0,MAX(0,tblSubjectToLoan[[#This Row],[Beginning Balance]]-tblSubjectToLoan[[#This Row],[Princ]]))</f>
        <v>0</v>
      </c>
      <c r="L360" s="394">
        <f t="shared" si="27"/>
        <v>0</v>
      </c>
      <c r="M360" s="394">
        <f t="shared" si="30"/>
        <v>0</v>
      </c>
      <c r="N360" s="613" t="str">
        <f>INDEX(tblSubjectToLoan[Date],ROW()-ROW(tblContractForDeed[#Headers]))</f>
        <v/>
      </c>
      <c r="O360" s="276">
        <f>IF(ROW()=ROW(tblContractForDeed[#Headers])+1,$O$6,IF(INDEX(tblContractForDeed[End Bal],ROW()-ROW(tblContractForDeed[#Headers])-1)&lt;0,0,INDEX(tblContractForDeed[End Bal],ROW()-ROW(tblContractForDeed[#Headers])-1)))</f>
        <v>0</v>
      </c>
      <c r="P360" s="454"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0" s="276">
        <f>IF(INDEX(tblContractForDeed[End Bal],ROW()-ROW(tblBuyerOutputs[#Headers]))&lt;=0,0,($O$6+IF(ROW()=ROW(tblBuyerOutputs[#Headers])+1,0,INDEX(tblBuyerOutputs[Cumul Appr],ROW()-ROW(tblBuyerOutputs[#Headers])-1)))*$O$2/12)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13" t="str">
        <f>IF(ROW()=ROW(tblSubjectToLoan[#Headers])+1,subjectKnownBalanceDate,IF(OR(INDEX(tblSubjectToLoan[Date],ROW()-ROW(tblSubjectToLoan[#Headers])-1)="",INDEX(tblSubjectToLoan[Date],ROW()-ROW(tblSubjectToLoan[#Headers])-1)&gt;=subjectMortgageEndDate),"",EDATE(INDEX(tblSubjectToLoan[Date],ROW()-ROW(tblSubjectToLoan[#Headers])-1),1)))</f>
        <v/>
      </c>
      <c r="B361" s="276">
        <f>IF(tblSubjectToLoan[[#This Row],[Date]]="",0,IF(ROW()=ROW(tblSubjectToLoan[#Headers])+1,subjectKnownBalance,MAX(0,INDEX(tblSubjectToLoan[Ending Balance],ROW()-ROW(tblSubjectToLoan[#Headers])-1))))</f>
        <v>0</v>
      </c>
      <c r="C3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1" s="14">
        <f>IF(tblSubjectToLoan[[#This Row],[Payment]]=0,0,MAX(0,MIN(tblSubjectToLoan[[#This Row],[Beginning Balance]],tblSubjectToLoan[[#This Row],[Payment]]-tblSubjectToLoan[[#This Row],[Int]])))</f>
        <v>0</v>
      </c>
      <c r="E361" s="14">
        <f>IF(tblSubjectToLoan[[#This Row],[Date]]="",0,ROUND(tblSubjectToLoan[[#This Row],[Beginning Balance]]*(subjectInterestRate/12),2))</f>
        <v>0</v>
      </c>
      <c r="F361" s="14">
        <f t="shared" si="31"/>
        <v>134.16999999999999</v>
      </c>
      <c r="G361" s="14">
        <f t="shared" si="31"/>
        <v>188.55</v>
      </c>
      <c r="H361" s="14">
        <f>SUM(tblSubjectToLoan[[#This Row],[Princ]],tblSubjectToLoan[[#This Row],[Int]],tblSubjectToLoan[[#This Row],[Ins]],tblSubjectToLoan[[#This Row],[Taxes]])</f>
        <v>322.72000000000003</v>
      </c>
      <c r="I3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1" s="276">
        <f>IF(tblSubjectToLoan[[#This Row],[Date]]="",IF(ROW()=ROW(tblSubjectToLoan[#Headers])+1,0,INDEX(tblSubjectToLoan[Interest],ROW()-ROW(tblSubjectToLoan[#Headers])-1)),tblSubjectToLoan[[#This Row],[Int]]+IF(ROW()=ROW(tblSubjectToLoan[#Headers])+1,0,INDEX(tblSubjectToLoan[Interest],ROW()-ROW(tblSubjectToLoan[#Headers])-1)))</f>
        <v>36068.259999999973</v>
      </c>
      <c r="K361" s="969">
        <f>IF(tblSubjectToLoan[[#This Row],[Date]]="",0,MAX(0,tblSubjectToLoan[[#This Row],[Beginning Balance]]-tblSubjectToLoan[[#This Row],[Princ]]))</f>
        <v>0</v>
      </c>
      <c r="L361" s="394">
        <f t="shared" si="27"/>
        <v>0</v>
      </c>
      <c r="M361" s="394">
        <f t="shared" si="30"/>
        <v>0</v>
      </c>
      <c r="N361" s="613" t="str">
        <f>INDEX(tblSubjectToLoan[Date],ROW()-ROW(tblContractForDeed[#Headers]))</f>
        <v/>
      </c>
      <c r="O361" s="276">
        <f>IF(ROW()=ROW(tblContractForDeed[#Headers])+1,$O$6,IF(INDEX(tblContractForDeed[End Bal],ROW()-ROW(tblContractForDeed[#Headers])-1)&lt;0,0,INDEX(tblContractForDeed[End Bal],ROW()-ROW(tblContractForDeed[#Headers])-1)))</f>
        <v>0</v>
      </c>
      <c r="P361" s="454"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1" s="276">
        <f>IF(INDEX(tblContractForDeed[End Bal],ROW()-ROW(tblBuyerOutputs[#Headers]))&lt;=0,0,($O$6+IF(ROW()=ROW(tblBuyerOutputs[#Headers])+1,0,INDEX(tblBuyerOutputs[Cumul Appr],ROW()-ROW(tblBuyerOutputs[#Headers])-1)))*$O$2/12)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13" t="str">
        <f>IF(ROW()=ROW(tblSubjectToLoan[#Headers])+1,subjectKnownBalanceDate,IF(OR(INDEX(tblSubjectToLoan[Date],ROW()-ROW(tblSubjectToLoan[#Headers])-1)="",INDEX(tblSubjectToLoan[Date],ROW()-ROW(tblSubjectToLoan[#Headers])-1)&gt;=subjectMortgageEndDate),"",EDATE(INDEX(tblSubjectToLoan[Date],ROW()-ROW(tblSubjectToLoan[#Headers])-1),1)))</f>
        <v/>
      </c>
      <c r="B362" s="276">
        <f>IF(tblSubjectToLoan[[#This Row],[Date]]="",0,IF(ROW()=ROW(tblSubjectToLoan[#Headers])+1,subjectKnownBalance,MAX(0,INDEX(tblSubjectToLoan[Ending Balance],ROW()-ROW(tblSubjectToLoan[#Headers])-1))))</f>
        <v>0</v>
      </c>
      <c r="C3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2" s="14">
        <f>IF(tblSubjectToLoan[[#This Row],[Payment]]=0,0,MAX(0,MIN(tblSubjectToLoan[[#This Row],[Beginning Balance]],tblSubjectToLoan[[#This Row],[Payment]]-tblSubjectToLoan[[#This Row],[Int]])))</f>
        <v>0</v>
      </c>
      <c r="E362" s="14">
        <f>IF(tblSubjectToLoan[[#This Row],[Date]]="",0,ROUND(tblSubjectToLoan[[#This Row],[Beginning Balance]]*(subjectInterestRate/12),2))</f>
        <v>0</v>
      </c>
      <c r="F362" s="14">
        <f t="shared" si="31"/>
        <v>134.16999999999999</v>
      </c>
      <c r="G362" s="14">
        <f t="shared" si="31"/>
        <v>188.55</v>
      </c>
      <c r="H362" s="14">
        <f>SUM(tblSubjectToLoan[[#This Row],[Princ]],tblSubjectToLoan[[#This Row],[Int]],tblSubjectToLoan[[#This Row],[Ins]],tblSubjectToLoan[[#This Row],[Taxes]])</f>
        <v>322.72000000000003</v>
      </c>
      <c r="I3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2" s="276">
        <f>IF(tblSubjectToLoan[[#This Row],[Date]]="",IF(ROW()=ROW(tblSubjectToLoan[#Headers])+1,0,INDEX(tblSubjectToLoan[Interest],ROW()-ROW(tblSubjectToLoan[#Headers])-1)),tblSubjectToLoan[[#This Row],[Int]]+IF(ROW()=ROW(tblSubjectToLoan[#Headers])+1,0,INDEX(tblSubjectToLoan[Interest],ROW()-ROW(tblSubjectToLoan[#Headers])-1)))</f>
        <v>36068.259999999973</v>
      </c>
      <c r="K362" s="969">
        <f>IF(tblSubjectToLoan[[#This Row],[Date]]="",0,MAX(0,tblSubjectToLoan[[#This Row],[Beginning Balance]]-tblSubjectToLoan[[#This Row],[Princ]]))</f>
        <v>0</v>
      </c>
      <c r="L362" s="394">
        <f t="shared" si="27"/>
        <v>0</v>
      </c>
      <c r="M362" s="394">
        <f t="shared" si="30"/>
        <v>0</v>
      </c>
      <c r="N362" s="613" t="str">
        <f>INDEX(tblSubjectToLoan[Date],ROW()-ROW(tblContractForDeed[#Headers]))</f>
        <v/>
      </c>
      <c r="O362" s="276">
        <f>IF(ROW()=ROW(tblContractForDeed[#Headers])+1,$O$6,IF(INDEX(tblContractForDeed[End Bal],ROW()-ROW(tblContractForDeed[#Headers])-1)&lt;0,0,INDEX(tblContractForDeed[End Bal],ROW()-ROW(tblContractForDeed[#Headers])-1)))</f>
        <v>0</v>
      </c>
      <c r="P362" s="454"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2" s="276">
        <f>IF(INDEX(tblContractForDeed[End Bal],ROW()-ROW(tblBuyerOutputs[#Headers]))&lt;=0,0,($O$6+IF(ROW()=ROW(tblBuyerOutputs[#Headers])+1,0,INDEX(tblBuyerOutputs[Cumul Appr],ROW()-ROW(tblBuyerOutputs[#Headers])-1)))*$O$2/12)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13" t="str">
        <f>IF(ROW()=ROW(tblSubjectToLoan[#Headers])+1,subjectKnownBalanceDate,IF(OR(INDEX(tblSubjectToLoan[Date],ROW()-ROW(tblSubjectToLoan[#Headers])-1)="",INDEX(tblSubjectToLoan[Date],ROW()-ROW(tblSubjectToLoan[#Headers])-1)&gt;=subjectMortgageEndDate),"",EDATE(INDEX(tblSubjectToLoan[Date],ROW()-ROW(tblSubjectToLoan[#Headers])-1),1)))</f>
        <v/>
      </c>
      <c r="B363" s="276">
        <f>IF(tblSubjectToLoan[[#This Row],[Date]]="",0,IF(ROW()=ROW(tblSubjectToLoan[#Headers])+1,subjectKnownBalance,MAX(0,INDEX(tblSubjectToLoan[Ending Balance],ROW()-ROW(tblSubjectToLoan[#Headers])-1))))</f>
        <v>0</v>
      </c>
      <c r="C3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3" s="14">
        <f>IF(tblSubjectToLoan[[#This Row],[Payment]]=0,0,MAX(0,MIN(tblSubjectToLoan[[#This Row],[Beginning Balance]],tblSubjectToLoan[[#This Row],[Payment]]-tblSubjectToLoan[[#This Row],[Int]])))</f>
        <v>0</v>
      </c>
      <c r="E363" s="14">
        <f>IF(tblSubjectToLoan[[#This Row],[Date]]="",0,ROUND(tblSubjectToLoan[[#This Row],[Beginning Balance]]*(subjectInterestRate/12),2))</f>
        <v>0</v>
      </c>
      <c r="F363" s="14">
        <f t="shared" si="31"/>
        <v>134.16999999999999</v>
      </c>
      <c r="G363" s="14">
        <f t="shared" si="31"/>
        <v>188.55</v>
      </c>
      <c r="H363" s="14">
        <f>SUM(tblSubjectToLoan[[#This Row],[Princ]],tblSubjectToLoan[[#This Row],[Int]],tblSubjectToLoan[[#This Row],[Ins]],tblSubjectToLoan[[#This Row],[Taxes]])</f>
        <v>322.72000000000003</v>
      </c>
      <c r="I3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3" s="276">
        <f>IF(tblSubjectToLoan[[#This Row],[Date]]="",IF(ROW()=ROW(tblSubjectToLoan[#Headers])+1,0,INDEX(tblSubjectToLoan[Interest],ROW()-ROW(tblSubjectToLoan[#Headers])-1)),tblSubjectToLoan[[#This Row],[Int]]+IF(ROW()=ROW(tblSubjectToLoan[#Headers])+1,0,INDEX(tblSubjectToLoan[Interest],ROW()-ROW(tblSubjectToLoan[#Headers])-1)))</f>
        <v>36068.259999999973</v>
      </c>
      <c r="K363" s="969">
        <f>IF(tblSubjectToLoan[[#This Row],[Date]]="",0,MAX(0,tblSubjectToLoan[[#This Row],[Beginning Balance]]-tblSubjectToLoan[[#This Row],[Princ]]))</f>
        <v>0</v>
      </c>
      <c r="L363" s="394">
        <f t="shared" si="27"/>
        <v>0</v>
      </c>
      <c r="M363" s="394">
        <f t="shared" si="30"/>
        <v>0</v>
      </c>
      <c r="N363" s="613" t="str">
        <f>INDEX(tblSubjectToLoan[Date],ROW()-ROW(tblContractForDeed[#Headers]))</f>
        <v/>
      </c>
      <c r="O363" s="276">
        <f>IF(ROW()=ROW(tblContractForDeed[#Headers])+1,$O$6,IF(INDEX(tblContractForDeed[End Bal],ROW()-ROW(tblContractForDeed[#Headers])-1)&lt;0,0,INDEX(tblContractForDeed[End Bal],ROW()-ROW(tblContractForDeed[#Headers])-1)))</f>
        <v>0</v>
      </c>
      <c r="P363" s="454"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3" s="276">
        <f>IF(INDEX(tblContractForDeed[End Bal],ROW()-ROW(tblBuyerOutputs[#Headers]))&lt;=0,0,($O$6+IF(ROW()=ROW(tblBuyerOutputs[#Headers])+1,0,INDEX(tblBuyerOutputs[Cumul Appr],ROW()-ROW(tblBuyerOutputs[#Headers])-1)))*$O$2/12)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13" t="str">
        <f>IF(ROW()=ROW(tblSubjectToLoan[#Headers])+1,subjectKnownBalanceDate,IF(OR(INDEX(tblSubjectToLoan[Date],ROW()-ROW(tblSubjectToLoan[#Headers])-1)="",INDEX(tblSubjectToLoan[Date],ROW()-ROW(tblSubjectToLoan[#Headers])-1)&gt;=subjectMortgageEndDate),"",EDATE(INDEX(tblSubjectToLoan[Date],ROW()-ROW(tblSubjectToLoan[#Headers])-1),1)))</f>
        <v/>
      </c>
      <c r="B364" s="276">
        <f>IF(tblSubjectToLoan[[#This Row],[Date]]="",0,IF(ROW()=ROW(tblSubjectToLoan[#Headers])+1,subjectKnownBalance,MAX(0,INDEX(tblSubjectToLoan[Ending Balance],ROW()-ROW(tblSubjectToLoan[#Headers])-1))))</f>
        <v>0</v>
      </c>
      <c r="C3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4" s="14">
        <f>IF(tblSubjectToLoan[[#This Row],[Payment]]=0,0,MAX(0,MIN(tblSubjectToLoan[[#This Row],[Beginning Balance]],tblSubjectToLoan[[#This Row],[Payment]]-tblSubjectToLoan[[#This Row],[Int]])))</f>
        <v>0</v>
      </c>
      <c r="E364" s="14">
        <f>IF(tblSubjectToLoan[[#This Row],[Date]]="",0,ROUND(tblSubjectToLoan[[#This Row],[Beginning Balance]]*(subjectInterestRate/12),2))</f>
        <v>0</v>
      </c>
      <c r="F364" s="14">
        <f t="shared" si="31"/>
        <v>134.16999999999999</v>
      </c>
      <c r="G364" s="14">
        <f t="shared" si="31"/>
        <v>188.55</v>
      </c>
      <c r="H364" s="14">
        <f>SUM(tblSubjectToLoan[[#This Row],[Princ]],tblSubjectToLoan[[#This Row],[Int]],tblSubjectToLoan[[#This Row],[Ins]],tblSubjectToLoan[[#This Row],[Taxes]])</f>
        <v>322.72000000000003</v>
      </c>
      <c r="I3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4" s="276">
        <f>IF(tblSubjectToLoan[[#This Row],[Date]]="",IF(ROW()=ROW(tblSubjectToLoan[#Headers])+1,0,INDEX(tblSubjectToLoan[Interest],ROW()-ROW(tblSubjectToLoan[#Headers])-1)),tblSubjectToLoan[[#This Row],[Int]]+IF(ROW()=ROW(tblSubjectToLoan[#Headers])+1,0,INDEX(tblSubjectToLoan[Interest],ROW()-ROW(tblSubjectToLoan[#Headers])-1)))</f>
        <v>36068.259999999973</v>
      </c>
      <c r="K364" s="969">
        <f>IF(tblSubjectToLoan[[#This Row],[Date]]="",0,MAX(0,tblSubjectToLoan[[#This Row],[Beginning Balance]]-tblSubjectToLoan[[#This Row],[Princ]]))</f>
        <v>0</v>
      </c>
      <c r="L364" s="394">
        <f t="shared" si="27"/>
        <v>0</v>
      </c>
      <c r="M364" s="394">
        <f t="shared" si="30"/>
        <v>0</v>
      </c>
      <c r="N364" s="613" t="str">
        <f>INDEX(tblSubjectToLoan[Date],ROW()-ROW(tblContractForDeed[#Headers]))</f>
        <v/>
      </c>
      <c r="O364" s="276">
        <f>IF(ROW()=ROW(tblContractForDeed[#Headers])+1,$O$6,IF(INDEX(tblContractForDeed[End Bal],ROW()-ROW(tblContractForDeed[#Headers])-1)&lt;0,0,INDEX(tblContractForDeed[End Bal],ROW()-ROW(tblContractForDeed[#Headers])-1)))</f>
        <v>0</v>
      </c>
      <c r="P364" s="454"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4" s="276">
        <f>IF(INDEX(tblContractForDeed[End Bal],ROW()-ROW(tblBuyerOutputs[#Headers]))&lt;=0,0,($O$6+IF(ROW()=ROW(tblBuyerOutputs[#Headers])+1,0,INDEX(tblBuyerOutputs[Cumul Appr],ROW()-ROW(tblBuyerOutputs[#Headers])-1)))*$O$2/12)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13" t="str">
        <f>IF(ROW()=ROW(tblSubjectToLoan[#Headers])+1,subjectKnownBalanceDate,IF(OR(INDEX(tblSubjectToLoan[Date],ROW()-ROW(tblSubjectToLoan[#Headers])-1)="",INDEX(tblSubjectToLoan[Date],ROW()-ROW(tblSubjectToLoan[#Headers])-1)&gt;=subjectMortgageEndDate),"",EDATE(INDEX(tblSubjectToLoan[Date],ROW()-ROW(tblSubjectToLoan[#Headers])-1),1)))</f>
        <v/>
      </c>
      <c r="B365" s="276">
        <f>IF(tblSubjectToLoan[[#This Row],[Date]]="",0,IF(ROW()=ROW(tblSubjectToLoan[#Headers])+1,subjectKnownBalance,MAX(0,INDEX(tblSubjectToLoan[Ending Balance],ROW()-ROW(tblSubjectToLoan[#Headers])-1))))</f>
        <v>0</v>
      </c>
      <c r="C3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5" s="14">
        <f>IF(tblSubjectToLoan[[#This Row],[Payment]]=0,0,MAX(0,MIN(tblSubjectToLoan[[#This Row],[Beginning Balance]],tblSubjectToLoan[[#This Row],[Payment]]-tblSubjectToLoan[[#This Row],[Int]])))</f>
        <v>0</v>
      </c>
      <c r="E365" s="14">
        <f>IF(tblSubjectToLoan[[#This Row],[Date]]="",0,ROUND(tblSubjectToLoan[[#This Row],[Beginning Balance]]*(subjectInterestRate/12),2))</f>
        <v>0</v>
      </c>
      <c r="F365" s="14">
        <f t="shared" si="31"/>
        <v>134.16999999999999</v>
      </c>
      <c r="G365" s="14">
        <f t="shared" si="31"/>
        <v>188.55</v>
      </c>
      <c r="H365" s="14">
        <f>SUM(tblSubjectToLoan[[#This Row],[Princ]],tblSubjectToLoan[[#This Row],[Int]],tblSubjectToLoan[[#This Row],[Ins]],tblSubjectToLoan[[#This Row],[Taxes]])</f>
        <v>322.72000000000003</v>
      </c>
      <c r="I3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5" s="276">
        <f>IF(tblSubjectToLoan[[#This Row],[Date]]="",IF(ROW()=ROW(tblSubjectToLoan[#Headers])+1,0,INDEX(tblSubjectToLoan[Interest],ROW()-ROW(tblSubjectToLoan[#Headers])-1)),tblSubjectToLoan[[#This Row],[Int]]+IF(ROW()=ROW(tblSubjectToLoan[#Headers])+1,0,INDEX(tblSubjectToLoan[Interest],ROW()-ROW(tblSubjectToLoan[#Headers])-1)))</f>
        <v>36068.259999999973</v>
      </c>
      <c r="K365" s="969">
        <f>IF(tblSubjectToLoan[[#This Row],[Date]]="",0,MAX(0,tblSubjectToLoan[[#This Row],[Beginning Balance]]-tblSubjectToLoan[[#This Row],[Princ]]))</f>
        <v>0</v>
      </c>
      <c r="L365" s="394">
        <f t="shared" si="27"/>
        <v>0</v>
      </c>
      <c r="M365" s="394">
        <f t="shared" si="30"/>
        <v>0</v>
      </c>
      <c r="N365" s="613" t="str">
        <f>INDEX(tblSubjectToLoan[Date],ROW()-ROW(tblContractForDeed[#Headers]))</f>
        <v/>
      </c>
      <c r="O365" s="276">
        <f>IF(ROW()=ROW(tblContractForDeed[#Headers])+1,$O$6,IF(INDEX(tblContractForDeed[End Bal],ROW()-ROW(tblContractForDeed[#Headers])-1)&lt;0,0,INDEX(tblContractForDeed[End Bal],ROW()-ROW(tblContractForDeed[#Headers])-1)))</f>
        <v>0</v>
      </c>
      <c r="P365" s="454"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5" s="276">
        <f>IF(INDEX(tblContractForDeed[End Bal],ROW()-ROW(tblBuyerOutputs[#Headers]))&lt;=0,0,($O$6+IF(ROW()=ROW(tblBuyerOutputs[#Headers])+1,0,INDEX(tblBuyerOutputs[Cumul Appr],ROW()-ROW(tblBuyerOutputs[#Headers])-1)))*$O$2/12)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13" t="str">
        <f>IF(ROW()=ROW(tblSubjectToLoan[#Headers])+1,subjectKnownBalanceDate,IF(OR(INDEX(tblSubjectToLoan[Date],ROW()-ROW(tblSubjectToLoan[#Headers])-1)="",INDEX(tblSubjectToLoan[Date],ROW()-ROW(tblSubjectToLoan[#Headers])-1)&gt;=subjectMortgageEndDate),"",EDATE(INDEX(tblSubjectToLoan[Date],ROW()-ROW(tblSubjectToLoan[#Headers])-1),1)))</f>
        <v/>
      </c>
      <c r="B366" s="276">
        <f>IF(tblSubjectToLoan[[#This Row],[Date]]="",0,IF(ROW()=ROW(tblSubjectToLoan[#Headers])+1,subjectKnownBalance,MAX(0,INDEX(tblSubjectToLoan[Ending Balance],ROW()-ROW(tblSubjectToLoan[#Headers])-1))))</f>
        <v>0</v>
      </c>
      <c r="C3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6" s="14">
        <f>IF(tblSubjectToLoan[[#This Row],[Payment]]=0,0,MAX(0,MIN(tblSubjectToLoan[[#This Row],[Beginning Balance]],tblSubjectToLoan[[#This Row],[Payment]]-tblSubjectToLoan[[#This Row],[Int]])))</f>
        <v>0</v>
      </c>
      <c r="E366" s="14">
        <f>IF(tblSubjectToLoan[[#This Row],[Date]]="",0,ROUND(tblSubjectToLoan[[#This Row],[Beginning Balance]]*(subjectInterestRate/12),2))</f>
        <v>0</v>
      </c>
      <c r="F366" s="14">
        <f t="shared" si="31"/>
        <v>134.16999999999999</v>
      </c>
      <c r="G366" s="14">
        <f t="shared" si="31"/>
        <v>188.55</v>
      </c>
      <c r="H366" s="14">
        <f>SUM(tblSubjectToLoan[[#This Row],[Princ]],tblSubjectToLoan[[#This Row],[Int]],tblSubjectToLoan[[#This Row],[Ins]],tblSubjectToLoan[[#This Row],[Taxes]])</f>
        <v>322.72000000000003</v>
      </c>
      <c r="I3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6" s="276">
        <f>IF(tblSubjectToLoan[[#This Row],[Date]]="",IF(ROW()=ROW(tblSubjectToLoan[#Headers])+1,0,INDEX(tblSubjectToLoan[Interest],ROW()-ROW(tblSubjectToLoan[#Headers])-1)),tblSubjectToLoan[[#This Row],[Int]]+IF(ROW()=ROW(tblSubjectToLoan[#Headers])+1,0,INDEX(tblSubjectToLoan[Interest],ROW()-ROW(tblSubjectToLoan[#Headers])-1)))</f>
        <v>36068.259999999973</v>
      </c>
      <c r="K366" s="969">
        <f>IF(tblSubjectToLoan[[#This Row],[Date]]="",0,MAX(0,tblSubjectToLoan[[#This Row],[Beginning Balance]]-tblSubjectToLoan[[#This Row],[Princ]]))</f>
        <v>0</v>
      </c>
      <c r="L366" s="394">
        <f t="shared" si="27"/>
        <v>0</v>
      </c>
      <c r="M366" s="394">
        <f t="shared" si="30"/>
        <v>0</v>
      </c>
      <c r="N366" s="613" t="str">
        <f>INDEX(tblSubjectToLoan[Date],ROW()-ROW(tblContractForDeed[#Headers]))</f>
        <v/>
      </c>
      <c r="O366" s="276">
        <f>IF(ROW()=ROW(tblContractForDeed[#Headers])+1,$O$6,IF(INDEX(tblContractForDeed[End Bal],ROW()-ROW(tblContractForDeed[#Headers])-1)&lt;0,0,INDEX(tblContractForDeed[End Bal],ROW()-ROW(tblContractForDeed[#Headers])-1)))</f>
        <v>0</v>
      </c>
      <c r="P366" s="454"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6" s="276">
        <f>IF(INDEX(tblContractForDeed[End Bal],ROW()-ROW(tblBuyerOutputs[#Headers]))&lt;=0,0,($O$6+IF(ROW()=ROW(tblBuyerOutputs[#Headers])+1,0,INDEX(tblBuyerOutputs[Cumul Appr],ROW()-ROW(tblBuyerOutputs[#Headers])-1)))*$O$2/12)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14" t="str">
        <f>IF(ROW()=ROW(tblSubjectToLoan[#Headers])+1,subjectKnownBalanceDate,IF(OR(INDEX(tblSubjectToLoan[Date],ROW()-ROW(tblSubjectToLoan[#Headers])-1)="",INDEX(tblSubjectToLoan[Date],ROW()-ROW(tblSubjectToLoan[#Headers])-1)&gt;=subjectMortgageEndDate),"",EDATE(INDEX(tblSubjectToLoan[Date],ROW()-ROW(tblSubjectToLoan[#Headers])-1),1)))</f>
        <v/>
      </c>
      <c r="B367" s="332">
        <f>IF(tblSubjectToLoan[[#This Row],[Date]]="",0,IF(ROW()=ROW(tblSubjectToLoan[#Headers])+1,subjectKnownBalance,MAX(0,INDEX(tblSubjectToLoan[Ending Balance],ROW()-ROW(tblSubjectToLoan[#Headers])-1))))</f>
        <v>0</v>
      </c>
      <c r="C36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7" s="21">
        <f>IF(tblSubjectToLoan[[#This Row],[Payment]]=0,0,MAX(0,MIN(tblSubjectToLoan[[#This Row],[Beginning Balance]],tblSubjectToLoan[[#This Row],[Payment]]-tblSubjectToLoan[[#This Row],[Int]])))</f>
        <v>0</v>
      </c>
      <c r="E367" s="21">
        <f>IF(tblSubjectToLoan[[#This Row],[Date]]="",0,ROUND(tblSubjectToLoan[[#This Row],[Beginning Balance]]*(subjectInterestRate/12),2))</f>
        <v>0</v>
      </c>
      <c r="F367" s="21">
        <f t="shared" ref="F367:G382" si="32">+F366</f>
        <v>134.16999999999999</v>
      </c>
      <c r="G367" s="21">
        <f t="shared" si="32"/>
        <v>188.55</v>
      </c>
      <c r="H367" s="21">
        <f>SUM(tblSubjectToLoan[[#This Row],[Princ]],tblSubjectToLoan[[#This Row],[Int]],tblSubjectToLoan[[#This Row],[Ins]],tblSubjectToLoan[[#This Row],[Taxes]])</f>
        <v>322.72000000000003</v>
      </c>
      <c r="I36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67" s="332">
        <f>IF(tblSubjectToLoan[[#This Row],[Date]]="",IF(ROW()=ROW(tblSubjectToLoan[#Headers])+1,0,INDEX(tblSubjectToLoan[Interest],ROW()-ROW(tblSubjectToLoan[#Headers])-1)),tblSubjectToLoan[[#This Row],[Int]]+IF(ROW()=ROW(tblSubjectToLoan[#Headers])+1,0,INDEX(tblSubjectToLoan[Interest],ROW()-ROW(tblSubjectToLoan[#Headers])-1)))</f>
        <v>36068.259999999973</v>
      </c>
      <c r="K367" s="970">
        <f>IF(tblSubjectToLoan[[#This Row],[Date]]="",0,MAX(0,tblSubjectToLoan[[#This Row],[Beginning Balance]]-tblSubjectToLoan[[#This Row],[Princ]]))</f>
        <v>0</v>
      </c>
      <c r="L367" s="395">
        <f t="shared" si="27"/>
        <v>0</v>
      </c>
      <c r="M367" s="395">
        <f t="shared" si="30"/>
        <v>0</v>
      </c>
      <c r="N367" s="614" t="str">
        <f>INDEX(tblSubjectToLoan[Date],ROW()-ROW(tblContractForDeed[#Headers]))</f>
        <v/>
      </c>
      <c r="O367" s="332">
        <f>IF(ROW()=ROW(tblContractForDeed[#Headers])+1,$O$6,IF(INDEX(tblContractForDeed[End Bal],ROW()-ROW(tblContractForDeed[#Headers])-1)&lt;0,0,INDEX(tblContractForDeed[End Bal],ROW()-ROW(tblContractForDeed[#Headers])-1)))</f>
        <v>0</v>
      </c>
      <c r="P367" s="454"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7" s="332">
        <f>IF(INDEX(tblContractForDeed[End Bal],ROW()-ROW(tblBuyerOutputs[#Headers]))&lt;=0,0,($O$6+IF(ROW()=ROW(tblBuyerOutputs[#Headers])+1,0,INDEX(tblBuyerOutputs[Cumul Appr],ROW()-ROW(tblBuyerOutputs[#Headers])-1)))*$O$2/12)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13" t="str">
        <f>IF(ROW()=ROW(tblSubjectToLoan[#Headers])+1,subjectKnownBalanceDate,IF(OR(INDEX(tblSubjectToLoan[Date],ROW()-ROW(tblSubjectToLoan[#Headers])-1)="",INDEX(tblSubjectToLoan[Date],ROW()-ROW(tblSubjectToLoan[#Headers])-1)&gt;=subjectMortgageEndDate),"",EDATE(INDEX(tblSubjectToLoan[Date],ROW()-ROW(tblSubjectToLoan[#Headers])-1),1)))</f>
        <v/>
      </c>
      <c r="B368" s="276">
        <f>IF(tblSubjectToLoan[[#This Row],[Date]]="",0,IF(ROW()=ROW(tblSubjectToLoan[#Headers])+1,subjectKnownBalance,MAX(0,INDEX(tblSubjectToLoan[Ending Balance],ROW()-ROW(tblSubjectToLoan[#Headers])-1))))</f>
        <v>0</v>
      </c>
      <c r="C3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8" s="14">
        <f>IF(tblSubjectToLoan[[#This Row],[Payment]]=0,0,MAX(0,MIN(tblSubjectToLoan[[#This Row],[Beginning Balance]],tblSubjectToLoan[[#This Row],[Payment]]-tblSubjectToLoan[[#This Row],[Int]])))</f>
        <v>0</v>
      </c>
      <c r="E368" s="14">
        <f>IF(tblSubjectToLoan[[#This Row],[Date]]="",0,ROUND(tblSubjectToLoan[[#This Row],[Beginning Balance]]*(subjectInterestRate/12),2))</f>
        <v>0</v>
      </c>
      <c r="F368" s="14">
        <f t="shared" si="32"/>
        <v>134.16999999999999</v>
      </c>
      <c r="G368" s="14">
        <f t="shared" si="32"/>
        <v>188.55</v>
      </c>
      <c r="H368" s="14">
        <f>SUM(tblSubjectToLoan[[#This Row],[Princ]],tblSubjectToLoan[[#This Row],[Int]],tblSubjectToLoan[[#This Row],[Ins]],tblSubjectToLoan[[#This Row],[Taxes]])</f>
        <v>322.72000000000003</v>
      </c>
      <c r="I3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8" s="276">
        <f>IF(tblSubjectToLoan[[#This Row],[Date]]="",IF(ROW()=ROW(tblSubjectToLoan[#Headers])+1,0,INDEX(tblSubjectToLoan[Interest],ROW()-ROW(tblSubjectToLoan[#Headers])-1)),tblSubjectToLoan[[#This Row],[Int]]+IF(ROW()=ROW(tblSubjectToLoan[#Headers])+1,0,INDEX(tblSubjectToLoan[Interest],ROW()-ROW(tblSubjectToLoan[#Headers])-1)))</f>
        <v>36068.259999999973</v>
      </c>
      <c r="K368" s="969">
        <f>IF(tblSubjectToLoan[[#This Row],[Date]]="",0,MAX(0,tblSubjectToLoan[[#This Row],[Beginning Balance]]-tblSubjectToLoan[[#This Row],[Princ]]))</f>
        <v>0</v>
      </c>
      <c r="L368" s="394">
        <f t="shared" si="27"/>
        <v>0</v>
      </c>
      <c r="M368" s="394">
        <f t="shared" si="30"/>
        <v>0</v>
      </c>
      <c r="N368" s="613" t="str">
        <f>INDEX(tblSubjectToLoan[Date],ROW()-ROW(tblContractForDeed[#Headers]))</f>
        <v/>
      </c>
      <c r="O368" s="276">
        <f>IF(ROW()=ROW(tblContractForDeed[#Headers])+1,$O$6,IF(INDEX(tblContractForDeed[End Bal],ROW()-ROW(tblContractForDeed[#Headers])-1)&lt;0,0,INDEX(tblContractForDeed[End Bal],ROW()-ROW(tblContractForDeed[#Headers])-1)))</f>
        <v>0</v>
      </c>
      <c r="P368" s="454"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8" s="276">
        <f>IF(INDEX(tblContractForDeed[End Bal],ROW()-ROW(tblBuyerOutputs[#Headers]))&lt;=0,0,($O$6+IF(ROW()=ROW(tblBuyerOutputs[#Headers])+1,0,INDEX(tblBuyerOutputs[Cumul Appr],ROW()-ROW(tblBuyerOutputs[#Headers])-1)))*$O$2/12)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13" t="str">
        <f>IF(ROW()=ROW(tblSubjectToLoan[#Headers])+1,subjectKnownBalanceDate,IF(OR(INDEX(tblSubjectToLoan[Date],ROW()-ROW(tblSubjectToLoan[#Headers])-1)="",INDEX(tblSubjectToLoan[Date],ROW()-ROW(tblSubjectToLoan[#Headers])-1)&gt;=subjectMortgageEndDate),"",EDATE(INDEX(tblSubjectToLoan[Date],ROW()-ROW(tblSubjectToLoan[#Headers])-1),1)))</f>
        <v/>
      </c>
      <c r="B369" s="276">
        <f>IF(tblSubjectToLoan[[#This Row],[Date]]="",0,IF(ROW()=ROW(tblSubjectToLoan[#Headers])+1,subjectKnownBalance,MAX(0,INDEX(tblSubjectToLoan[Ending Balance],ROW()-ROW(tblSubjectToLoan[#Headers])-1))))</f>
        <v>0</v>
      </c>
      <c r="C3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9" s="14">
        <f>IF(tblSubjectToLoan[[#This Row],[Payment]]=0,0,MAX(0,MIN(tblSubjectToLoan[[#This Row],[Beginning Balance]],tblSubjectToLoan[[#This Row],[Payment]]-tblSubjectToLoan[[#This Row],[Int]])))</f>
        <v>0</v>
      </c>
      <c r="E369" s="14">
        <f>IF(tblSubjectToLoan[[#This Row],[Date]]="",0,ROUND(tblSubjectToLoan[[#This Row],[Beginning Balance]]*(subjectInterestRate/12),2))</f>
        <v>0</v>
      </c>
      <c r="F369" s="14">
        <f t="shared" si="32"/>
        <v>134.16999999999999</v>
      </c>
      <c r="G369" s="14">
        <f t="shared" si="32"/>
        <v>188.55</v>
      </c>
      <c r="H369" s="14">
        <f>SUM(tblSubjectToLoan[[#This Row],[Princ]],tblSubjectToLoan[[#This Row],[Int]],tblSubjectToLoan[[#This Row],[Ins]],tblSubjectToLoan[[#This Row],[Taxes]])</f>
        <v>322.72000000000003</v>
      </c>
      <c r="I3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9" s="276">
        <f>IF(tblSubjectToLoan[[#This Row],[Date]]="",IF(ROW()=ROW(tblSubjectToLoan[#Headers])+1,0,INDEX(tblSubjectToLoan[Interest],ROW()-ROW(tblSubjectToLoan[#Headers])-1)),tblSubjectToLoan[[#This Row],[Int]]+IF(ROW()=ROW(tblSubjectToLoan[#Headers])+1,0,INDEX(tblSubjectToLoan[Interest],ROW()-ROW(tblSubjectToLoan[#Headers])-1)))</f>
        <v>36068.259999999973</v>
      </c>
      <c r="K369" s="969">
        <f>IF(tblSubjectToLoan[[#This Row],[Date]]="",0,MAX(0,tblSubjectToLoan[[#This Row],[Beginning Balance]]-tblSubjectToLoan[[#This Row],[Princ]]))</f>
        <v>0</v>
      </c>
      <c r="L369" s="394">
        <f t="shared" si="27"/>
        <v>0</v>
      </c>
      <c r="M369" s="394">
        <f t="shared" si="30"/>
        <v>0</v>
      </c>
      <c r="N369" s="613" t="str">
        <f>INDEX(tblSubjectToLoan[Date],ROW()-ROW(tblContractForDeed[#Headers]))</f>
        <v/>
      </c>
      <c r="O369" s="276">
        <f>IF(ROW()=ROW(tblContractForDeed[#Headers])+1,$O$6,IF(INDEX(tblContractForDeed[End Bal],ROW()-ROW(tblContractForDeed[#Headers])-1)&lt;0,0,INDEX(tblContractForDeed[End Bal],ROW()-ROW(tblContractForDeed[#Headers])-1)))</f>
        <v>0</v>
      </c>
      <c r="P369" s="454"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9" s="276">
        <f>IF(INDEX(tblContractForDeed[End Bal],ROW()-ROW(tblBuyerOutputs[#Headers]))&lt;=0,0,($O$6+IF(ROW()=ROW(tblBuyerOutputs[#Headers])+1,0,INDEX(tblBuyerOutputs[Cumul Appr],ROW()-ROW(tblBuyerOutputs[#Headers])-1)))*$O$2/12)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13" t="str">
        <f>IF(ROW()=ROW(tblSubjectToLoan[#Headers])+1,subjectKnownBalanceDate,IF(OR(INDEX(tblSubjectToLoan[Date],ROW()-ROW(tblSubjectToLoan[#Headers])-1)="",INDEX(tblSubjectToLoan[Date],ROW()-ROW(tblSubjectToLoan[#Headers])-1)&gt;=subjectMortgageEndDate),"",EDATE(INDEX(tblSubjectToLoan[Date],ROW()-ROW(tblSubjectToLoan[#Headers])-1),1)))</f>
        <v/>
      </c>
      <c r="B370" s="276">
        <f>IF(tblSubjectToLoan[[#This Row],[Date]]="",0,IF(ROW()=ROW(tblSubjectToLoan[#Headers])+1,subjectKnownBalance,MAX(0,INDEX(tblSubjectToLoan[Ending Balance],ROW()-ROW(tblSubjectToLoan[#Headers])-1))))</f>
        <v>0</v>
      </c>
      <c r="C3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0" s="14">
        <f>IF(tblSubjectToLoan[[#This Row],[Payment]]=0,0,MAX(0,MIN(tblSubjectToLoan[[#This Row],[Beginning Balance]],tblSubjectToLoan[[#This Row],[Payment]]-tblSubjectToLoan[[#This Row],[Int]])))</f>
        <v>0</v>
      </c>
      <c r="E370" s="14">
        <f>IF(tblSubjectToLoan[[#This Row],[Date]]="",0,ROUND(tblSubjectToLoan[[#This Row],[Beginning Balance]]*(subjectInterestRate/12),2))</f>
        <v>0</v>
      </c>
      <c r="F370" s="14">
        <f t="shared" si="32"/>
        <v>134.16999999999999</v>
      </c>
      <c r="G370" s="14">
        <f t="shared" si="32"/>
        <v>188.55</v>
      </c>
      <c r="H370" s="14">
        <f>SUM(tblSubjectToLoan[[#This Row],[Princ]],tblSubjectToLoan[[#This Row],[Int]],tblSubjectToLoan[[#This Row],[Ins]],tblSubjectToLoan[[#This Row],[Taxes]])</f>
        <v>322.72000000000003</v>
      </c>
      <c r="I3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0" s="276">
        <f>IF(tblSubjectToLoan[[#This Row],[Date]]="",IF(ROW()=ROW(tblSubjectToLoan[#Headers])+1,0,INDEX(tblSubjectToLoan[Interest],ROW()-ROW(tblSubjectToLoan[#Headers])-1)),tblSubjectToLoan[[#This Row],[Int]]+IF(ROW()=ROW(tblSubjectToLoan[#Headers])+1,0,INDEX(tblSubjectToLoan[Interest],ROW()-ROW(tblSubjectToLoan[#Headers])-1)))</f>
        <v>36068.259999999973</v>
      </c>
      <c r="K370" s="969">
        <f>IF(tblSubjectToLoan[[#This Row],[Date]]="",0,MAX(0,tblSubjectToLoan[[#This Row],[Beginning Balance]]-tblSubjectToLoan[[#This Row],[Princ]]))</f>
        <v>0</v>
      </c>
      <c r="L370" s="394">
        <f t="shared" si="27"/>
        <v>0</v>
      </c>
      <c r="M370" s="394">
        <f t="shared" si="30"/>
        <v>0</v>
      </c>
      <c r="N370" s="613" t="str">
        <f>INDEX(tblSubjectToLoan[Date],ROW()-ROW(tblContractForDeed[#Headers]))</f>
        <v/>
      </c>
      <c r="O370" s="276">
        <f>IF(ROW()=ROW(tblContractForDeed[#Headers])+1,$O$6,IF(INDEX(tblContractForDeed[End Bal],ROW()-ROW(tblContractForDeed[#Headers])-1)&lt;0,0,INDEX(tblContractForDeed[End Bal],ROW()-ROW(tblContractForDeed[#Headers])-1)))</f>
        <v>0</v>
      </c>
      <c r="P370" s="454"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0" s="276">
        <f>IF(INDEX(tblContractForDeed[End Bal],ROW()-ROW(tblBuyerOutputs[#Headers]))&lt;=0,0,($O$6+IF(ROW()=ROW(tblBuyerOutputs[#Headers])+1,0,INDEX(tblBuyerOutputs[Cumul Appr],ROW()-ROW(tblBuyerOutputs[#Headers])-1)))*$O$2/12)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13" t="str">
        <f>IF(ROW()=ROW(tblSubjectToLoan[#Headers])+1,subjectKnownBalanceDate,IF(OR(INDEX(tblSubjectToLoan[Date],ROW()-ROW(tblSubjectToLoan[#Headers])-1)="",INDEX(tblSubjectToLoan[Date],ROW()-ROW(tblSubjectToLoan[#Headers])-1)&gt;=subjectMortgageEndDate),"",EDATE(INDEX(tblSubjectToLoan[Date],ROW()-ROW(tblSubjectToLoan[#Headers])-1),1)))</f>
        <v/>
      </c>
      <c r="B371" s="276">
        <f>IF(tblSubjectToLoan[[#This Row],[Date]]="",0,IF(ROW()=ROW(tblSubjectToLoan[#Headers])+1,subjectKnownBalance,MAX(0,INDEX(tblSubjectToLoan[Ending Balance],ROW()-ROW(tblSubjectToLoan[#Headers])-1))))</f>
        <v>0</v>
      </c>
      <c r="C3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1" s="14">
        <f>IF(tblSubjectToLoan[[#This Row],[Payment]]=0,0,MAX(0,MIN(tblSubjectToLoan[[#This Row],[Beginning Balance]],tblSubjectToLoan[[#This Row],[Payment]]-tblSubjectToLoan[[#This Row],[Int]])))</f>
        <v>0</v>
      </c>
      <c r="E371" s="14">
        <f>IF(tblSubjectToLoan[[#This Row],[Date]]="",0,ROUND(tblSubjectToLoan[[#This Row],[Beginning Balance]]*(subjectInterestRate/12),2))</f>
        <v>0</v>
      </c>
      <c r="F371" s="14">
        <f t="shared" si="32"/>
        <v>134.16999999999999</v>
      </c>
      <c r="G371" s="14">
        <f t="shared" si="32"/>
        <v>188.55</v>
      </c>
      <c r="H371" s="14">
        <f>SUM(tblSubjectToLoan[[#This Row],[Princ]],tblSubjectToLoan[[#This Row],[Int]],tblSubjectToLoan[[#This Row],[Ins]],tblSubjectToLoan[[#This Row],[Taxes]])</f>
        <v>322.72000000000003</v>
      </c>
      <c r="I3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1" s="276">
        <f>IF(tblSubjectToLoan[[#This Row],[Date]]="",IF(ROW()=ROW(tblSubjectToLoan[#Headers])+1,0,INDEX(tblSubjectToLoan[Interest],ROW()-ROW(tblSubjectToLoan[#Headers])-1)),tblSubjectToLoan[[#This Row],[Int]]+IF(ROW()=ROW(tblSubjectToLoan[#Headers])+1,0,INDEX(tblSubjectToLoan[Interest],ROW()-ROW(tblSubjectToLoan[#Headers])-1)))</f>
        <v>36068.259999999973</v>
      </c>
      <c r="K371" s="969">
        <f>IF(tblSubjectToLoan[[#This Row],[Date]]="",0,MAX(0,tblSubjectToLoan[[#This Row],[Beginning Balance]]-tblSubjectToLoan[[#This Row],[Princ]]))</f>
        <v>0</v>
      </c>
      <c r="L371" s="394">
        <f t="shared" si="27"/>
        <v>0</v>
      </c>
      <c r="M371" s="394">
        <f t="shared" si="30"/>
        <v>0</v>
      </c>
      <c r="N371" s="613" t="str">
        <f>INDEX(tblSubjectToLoan[Date],ROW()-ROW(tblContractForDeed[#Headers]))</f>
        <v/>
      </c>
      <c r="O371" s="276">
        <f>IF(ROW()=ROW(tblContractForDeed[#Headers])+1,$O$6,IF(INDEX(tblContractForDeed[End Bal],ROW()-ROW(tblContractForDeed[#Headers])-1)&lt;0,0,INDEX(tblContractForDeed[End Bal],ROW()-ROW(tblContractForDeed[#Headers])-1)))</f>
        <v>0</v>
      </c>
      <c r="P371" s="454"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1" s="276">
        <f>IF(INDEX(tblContractForDeed[End Bal],ROW()-ROW(tblBuyerOutputs[#Headers]))&lt;=0,0,($O$6+IF(ROW()=ROW(tblBuyerOutputs[#Headers])+1,0,INDEX(tblBuyerOutputs[Cumul Appr],ROW()-ROW(tblBuyerOutputs[#Headers])-1)))*$O$2/12)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13" t="str">
        <f>IF(ROW()=ROW(tblSubjectToLoan[#Headers])+1,subjectKnownBalanceDate,IF(OR(INDEX(tblSubjectToLoan[Date],ROW()-ROW(tblSubjectToLoan[#Headers])-1)="",INDEX(tblSubjectToLoan[Date],ROW()-ROW(tblSubjectToLoan[#Headers])-1)&gt;=subjectMortgageEndDate),"",EDATE(INDEX(tblSubjectToLoan[Date],ROW()-ROW(tblSubjectToLoan[#Headers])-1),1)))</f>
        <v/>
      </c>
      <c r="B372" s="276">
        <f>IF(tblSubjectToLoan[[#This Row],[Date]]="",0,IF(ROW()=ROW(tblSubjectToLoan[#Headers])+1,subjectKnownBalance,MAX(0,INDEX(tblSubjectToLoan[Ending Balance],ROW()-ROW(tblSubjectToLoan[#Headers])-1))))</f>
        <v>0</v>
      </c>
      <c r="C3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2" s="14">
        <f>IF(tblSubjectToLoan[[#This Row],[Payment]]=0,0,MAX(0,MIN(tblSubjectToLoan[[#This Row],[Beginning Balance]],tblSubjectToLoan[[#This Row],[Payment]]-tblSubjectToLoan[[#This Row],[Int]])))</f>
        <v>0</v>
      </c>
      <c r="E372" s="14">
        <f>IF(tblSubjectToLoan[[#This Row],[Date]]="",0,ROUND(tblSubjectToLoan[[#This Row],[Beginning Balance]]*(subjectInterestRate/12),2))</f>
        <v>0</v>
      </c>
      <c r="F372" s="14">
        <f t="shared" si="32"/>
        <v>134.16999999999999</v>
      </c>
      <c r="G372" s="14">
        <f t="shared" si="32"/>
        <v>188.55</v>
      </c>
      <c r="H372" s="14">
        <f>SUM(tblSubjectToLoan[[#This Row],[Princ]],tblSubjectToLoan[[#This Row],[Int]],tblSubjectToLoan[[#This Row],[Ins]],tblSubjectToLoan[[#This Row],[Taxes]])</f>
        <v>322.72000000000003</v>
      </c>
      <c r="I3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2" s="276">
        <f>IF(tblSubjectToLoan[[#This Row],[Date]]="",IF(ROW()=ROW(tblSubjectToLoan[#Headers])+1,0,INDEX(tblSubjectToLoan[Interest],ROW()-ROW(tblSubjectToLoan[#Headers])-1)),tblSubjectToLoan[[#This Row],[Int]]+IF(ROW()=ROW(tblSubjectToLoan[#Headers])+1,0,INDEX(tblSubjectToLoan[Interest],ROW()-ROW(tblSubjectToLoan[#Headers])-1)))</f>
        <v>36068.259999999973</v>
      </c>
      <c r="K372" s="969">
        <f>IF(tblSubjectToLoan[[#This Row],[Date]]="",0,MAX(0,tblSubjectToLoan[[#This Row],[Beginning Balance]]-tblSubjectToLoan[[#This Row],[Princ]]))</f>
        <v>0</v>
      </c>
      <c r="L372" s="394">
        <f t="shared" ref="L372:L435" si="33">IF(MOD(M372,12)=0,M372/12,L371)</f>
        <v>0</v>
      </c>
      <c r="M372" s="394">
        <f t="shared" si="30"/>
        <v>0</v>
      </c>
      <c r="N372" s="613" t="str">
        <f>INDEX(tblSubjectToLoan[Date],ROW()-ROW(tblContractForDeed[#Headers]))</f>
        <v/>
      </c>
      <c r="O372" s="276">
        <f>IF(ROW()=ROW(tblContractForDeed[#Headers])+1,$O$6,IF(INDEX(tblContractForDeed[End Bal],ROW()-ROW(tblContractForDeed[#Headers])-1)&lt;0,0,INDEX(tblContractForDeed[End Bal],ROW()-ROW(tblContractForDeed[#Headers])-1)))</f>
        <v>0</v>
      </c>
      <c r="P372" s="454"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2" s="276">
        <f>IF(INDEX(tblContractForDeed[End Bal],ROW()-ROW(tblBuyerOutputs[#Headers]))&lt;=0,0,($O$6+IF(ROW()=ROW(tblBuyerOutputs[#Headers])+1,0,INDEX(tblBuyerOutputs[Cumul Appr],ROW()-ROW(tblBuyerOutputs[#Headers])-1)))*$O$2/12)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13" t="str">
        <f>IF(ROW()=ROW(tblSubjectToLoan[#Headers])+1,subjectKnownBalanceDate,IF(OR(INDEX(tblSubjectToLoan[Date],ROW()-ROW(tblSubjectToLoan[#Headers])-1)="",INDEX(tblSubjectToLoan[Date],ROW()-ROW(tblSubjectToLoan[#Headers])-1)&gt;=subjectMortgageEndDate),"",EDATE(INDEX(tblSubjectToLoan[Date],ROW()-ROW(tblSubjectToLoan[#Headers])-1),1)))</f>
        <v/>
      </c>
      <c r="B373" s="276">
        <f>IF(tblSubjectToLoan[[#This Row],[Date]]="",0,IF(ROW()=ROW(tblSubjectToLoan[#Headers])+1,subjectKnownBalance,MAX(0,INDEX(tblSubjectToLoan[Ending Balance],ROW()-ROW(tblSubjectToLoan[#Headers])-1))))</f>
        <v>0</v>
      </c>
      <c r="C3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3" s="14">
        <f>IF(tblSubjectToLoan[[#This Row],[Payment]]=0,0,MAX(0,MIN(tblSubjectToLoan[[#This Row],[Beginning Balance]],tblSubjectToLoan[[#This Row],[Payment]]-tblSubjectToLoan[[#This Row],[Int]])))</f>
        <v>0</v>
      </c>
      <c r="E373" s="14">
        <f>IF(tblSubjectToLoan[[#This Row],[Date]]="",0,ROUND(tblSubjectToLoan[[#This Row],[Beginning Balance]]*(subjectInterestRate/12),2))</f>
        <v>0</v>
      </c>
      <c r="F373" s="14">
        <f t="shared" si="32"/>
        <v>134.16999999999999</v>
      </c>
      <c r="G373" s="14">
        <f t="shared" si="32"/>
        <v>188.55</v>
      </c>
      <c r="H373" s="14">
        <f>SUM(tblSubjectToLoan[[#This Row],[Princ]],tblSubjectToLoan[[#This Row],[Int]],tblSubjectToLoan[[#This Row],[Ins]],tblSubjectToLoan[[#This Row],[Taxes]])</f>
        <v>322.72000000000003</v>
      </c>
      <c r="I3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3" s="276">
        <f>IF(tblSubjectToLoan[[#This Row],[Date]]="",IF(ROW()=ROW(tblSubjectToLoan[#Headers])+1,0,INDEX(tblSubjectToLoan[Interest],ROW()-ROW(tblSubjectToLoan[#Headers])-1)),tblSubjectToLoan[[#This Row],[Int]]+IF(ROW()=ROW(tblSubjectToLoan[#Headers])+1,0,INDEX(tblSubjectToLoan[Interest],ROW()-ROW(tblSubjectToLoan[#Headers])-1)))</f>
        <v>36068.259999999973</v>
      </c>
      <c r="K373" s="969">
        <f>IF(tblSubjectToLoan[[#This Row],[Date]]="",0,MAX(0,tblSubjectToLoan[[#This Row],[Beginning Balance]]-tblSubjectToLoan[[#This Row],[Princ]]))</f>
        <v>0</v>
      </c>
      <c r="L373" s="394">
        <f t="shared" si="33"/>
        <v>0</v>
      </c>
      <c r="M373" s="394">
        <f t="shared" si="30"/>
        <v>0</v>
      </c>
      <c r="N373" s="613" t="str">
        <f>INDEX(tblSubjectToLoan[Date],ROW()-ROW(tblContractForDeed[#Headers]))</f>
        <v/>
      </c>
      <c r="O373" s="276">
        <f>IF(ROW()=ROW(tblContractForDeed[#Headers])+1,$O$6,IF(INDEX(tblContractForDeed[End Bal],ROW()-ROW(tblContractForDeed[#Headers])-1)&lt;0,0,INDEX(tblContractForDeed[End Bal],ROW()-ROW(tblContractForDeed[#Headers])-1)))</f>
        <v>0</v>
      </c>
      <c r="P373" s="454"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3" s="276">
        <f>IF(INDEX(tblContractForDeed[End Bal],ROW()-ROW(tblBuyerOutputs[#Headers]))&lt;=0,0,($O$6+IF(ROW()=ROW(tblBuyerOutputs[#Headers])+1,0,INDEX(tblBuyerOutputs[Cumul Appr],ROW()-ROW(tblBuyerOutputs[#Headers])-1)))*$O$2/12)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13" t="str">
        <f>IF(ROW()=ROW(tblSubjectToLoan[#Headers])+1,subjectKnownBalanceDate,IF(OR(INDEX(tblSubjectToLoan[Date],ROW()-ROW(tblSubjectToLoan[#Headers])-1)="",INDEX(tblSubjectToLoan[Date],ROW()-ROW(tblSubjectToLoan[#Headers])-1)&gt;=subjectMortgageEndDate),"",EDATE(INDEX(tblSubjectToLoan[Date],ROW()-ROW(tblSubjectToLoan[#Headers])-1),1)))</f>
        <v/>
      </c>
      <c r="B374" s="276">
        <f>IF(tblSubjectToLoan[[#This Row],[Date]]="",0,IF(ROW()=ROW(tblSubjectToLoan[#Headers])+1,subjectKnownBalance,MAX(0,INDEX(tblSubjectToLoan[Ending Balance],ROW()-ROW(tblSubjectToLoan[#Headers])-1))))</f>
        <v>0</v>
      </c>
      <c r="C3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4" s="14">
        <f>IF(tblSubjectToLoan[[#This Row],[Payment]]=0,0,MAX(0,MIN(tblSubjectToLoan[[#This Row],[Beginning Balance]],tblSubjectToLoan[[#This Row],[Payment]]-tblSubjectToLoan[[#This Row],[Int]])))</f>
        <v>0</v>
      </c>
      <c r="E374" s="14">
        <f>IF(tblSubjectToLoan[[#This Row],[Date]]="",0,ROUND(tblSubjectToLoan[[#This Row],[Beginning Balance]]*(subjectInterestRate/12),2))</f>
        <v>0</v>
      </c>
      <c r="F374" s="14">
        <f t="shared" si="32"/>
        <v>134.16999999999999</v>
      </c>
      <c r="G374" s="14">
        <f t="shared" si="32"/>
        <v>188.55</v>
      </c>
      <c r="H374" s="14">
        <f>SUM(tblSubjectToLoan[[#This Row],[Princ]],tblSubjectToLoan[[#This Row],[Int]],tblSubjectToLoan[[#This Row],[Ins]],tblSubjectToLoan[[#This Row],[Taxes]])</f>
        <v>322.72000000000003</v>
      </c>
      <c r="I3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4" s="276">
        <f>IF(tblSubjectToLoan[[#This Row],[Date]]="",IF(ROW()=ROW(tblSubjectToLoan[#Headers])+1,0,INDEX(tblSubjectToLoan[Interest],ROW()-ROW(tblSubjectToLoan[#Headers])-1)),tblSubjectToLoan[[#This Row],[Int]]+IF(ROW()=ROW(tblSubjectToLoan[#Headers])+1,0,INDEX(tblSubjectToLoan[Interest],ROW()-ROW(tblSubjectToLoan[#Headers])-1)))</f>
        <v>36068.259999999973</v>
      </c>
      <c r="K374" s="969">
        <f>IF(tblSubjectToLoan[[#This Row],[Date]]="",0,MAX(0,tblSubjectToLoan[[#This Row],[Beginning Balance]]-tblSubjectToLoan[[#This Row],[Princ]]))</f>
        <v>0</v>
      </c>
      <c r="L374" s="394">
        <f t="shared" si="33"/>
        <v>0</v>
      </c>
      <c r="M374" s="394">
        <f t="shared" si="30"/>
        <v>0</v>
      </c>
      <c r="N374" s="613" t="str">
        <f>INDEX(tblSubjectToLoan[Date],ROW()-ROW(tblContractForDeed[#Headers]))</f>
        <v/>
      </c>
      <c r="O374" s="276">
        <f>IF(ROW()=ROW(tblContractForDeed[#Headers])+1,$O$6,IF(INDEX(tblContractForDeed[End Bal],ROW()-ROW(tblContractForDeed[#Headers])-1)&lt;0,0,INDEX(tblContractForDeed[End Bal],ROW()-ROW(tblContractForDeed[#Headers])-1)))</f>
        <v>0</v>
      </c>
      <c r="P374" s="454"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4" s="276">
        <f>IF(INDEX(tblContractForDeed[End Bal],ROW()-ROW(tblBuyerOutputs[#Headers]))&lt;=0,0,($O$6+IF(ROW()=ROW(tblBuyerOutputs[#Headers])+1,0,INDEX(tblBuyerOutputs[Cumul Appr],ROW()-ROW(tblBuyerOutputs[#Headers])-1)))*$O$2/12)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13" t="str">
        <f>IF(ROW()=ROW(tblSubjectToLoan[#Headers])+1,subjectKnownBalanceDate,IF(OR(INDEX(tblSubjectToLoan[Date],ROW()-ROW(tblSubjectToLoan[#Headers])-1)="",INDEX(tblSubjectToLoan[Date],ROW()-ROW(tblSubjectToLoan[#Headers])-1)&gt;=subjectMortgageEndDate),"",EDATE(INDEX(tblSubjectToLoan[Date],ROW()-ROW(tblSubjectToLoan[#Headers])-1),1)))</f>
        <v/>
      </c>
      <c r="B375" s="276">
        <f>IF(tblSubjectToLoan[[#This Row],[Date]]="",0,IF(ROW()=ROW(tblSubjectToLoan[#Headers])+1,subjectKnownBalance,MAX(0,INDEX(tblSubjectToLoan[Ending Balance],ROW()-ROW(tblSubjectToLoan[#Headers])-1))))</f>
        <v>0</v>
      </c>
      <c r="C3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5" s="14">
        <f>IF(tblSubjectToLoan[[#This Row],[Payment]]=0,0,MAX(0,MIN(tblSubjectToLoan[[#This Row],[Beginning Balance]],tblSubjectToLoan[[#This Row],[Payment]]-tblSubjectToLoan[[#This Row],[Int]])))</f>
        <v>0</v>
      </c>
      <c r="E375" s="14">
        <f>IF(tblSubjectToLoan[[#This Row],[Date]]="",0,ROUND(tblSubjectToLoan[[#This Row],[Beginning Balance]]*(subjectInterestRate/12),2))</f>
        <v>0</v>
      </c>
      <c r="F375" s="14">
        <f t="shared" si="32"/>
        <v>134.16999999999999</v>
      </c>
      <c r="G375" s="14">
        <f t="shared" si="32"/>
        <v>188.55</v>
      </c>
      <c r="H375" s="14">
        <f>SUM(tblSubjectToLoan[[#This Row],[Princ]],tblSubjectToLoan[[#This Row],[Int]],tblSubjectToLoan[[#This Row],[Ins]],tblSubjectToLoan[[#This Row],[Taxes]])</f>
        <v>322.72000000000003</v>
      </c>
      <c r="I3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5" s="276">
        <f>IF(tblSubjectToLoan[[#This Row],[Date]]="",IF(ROW()=ROW(tblSubjectToLoan[#Headers])+1,0,INDEX(tblSubjectToLoan[Interest],ROW()-ROW(tblSubjectToLoan[#Headers])-1)),tblSubjectToLoan[[#This Row],[Int]]+IF(ROW()=ROW(tblSubjectToLoan[#Headers])+1,0,INDEX(tblSubjectToLoan[Interest],ROW()-ROW(tblSubjectToLoan[#Headers])-1)))</f>
        <v>36068.259999999973</v>
      </c>
      <c r="K375" s="969">
        <f>IF(tblSubjectToLoan[[#This Row],[Date]]="",0,MAX(0,tblSubjectToLoan[[#This Row],[Beginning Balance]]-tblSubjectToLoan[[#This Row],[Princ]]))</f>
        <v>0</v>
      </c>
      <c r="L375" s="394">
        <f t="shared" si="33"/>
        <v>0</v>
      </c>
      <c r="M375" s="394">
        <f t="shared" si="30"/>
        <v>0</v>
      </c>
      <c r="N375" s="613" t="str">
        <f>INDEX(tblSubjectToLoan[Date],ROW()-ROW(tblContractForDeed[#Headers]))</f>
        <v/>
      </c>
      <c r="O375" s="276">
        <f>IF(ROW()=ROW(tblContractForDeed[#Headers])+1,$O$6,IF(INDEX(tblContractForDeed[End Bal],ROW()-ROW(tblContractForDeed[#Headers])-1)&lt;0,0,INDEX(tblContractForDeed[End Bal],ROW()-ROW(tblContractForDeed[#Headers])-1)))</f>
        <v>0</v>
      </c>
      <c r="P375" s="454"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5" s="276">
        <f>IF(INDEX(tblContractForDeed[End Bal],ROW()-ROW(tblBuyerOutputs[#Headers]))&lt;=0,0,($O$6+IF(ROW()=ROW(tblBuyerOutputs[#Headers])+1,0,INDEX(tblBuyerOutputs[Cumul Appr],ROW()-ROW(tblBuyerOutputs[#Headers])-1)))*$O$2/12)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13" t="str">
        <f>IF(ROW()=ROW(tblSubjectToLoan[#Headers])+1,subjectKnownBalanceDate,IF(OR(INDEX(tblSubjectToLoan[Date],ROW()-ROW(tblSubjectToLoan[#Headers])-1)="",INDEX(tblSubjectToLoan[Date],ROW()-ROW(tblSubjectToLoan[#Headers])-1)&gt;=subjectMortgageEndDate),"",EDATE(INDEX(tblSubjectToLoan[Date],ROW()-ROW(tblSubjectToLoan[#Headers])-1),1)))</f>
        <v/>
      </c>
      <c r="B376" s="276">
        <f>IF(tblSubjectToLoan[[#This Row],[Date]]="",0,IF(ROW()=ROW(tblSubjectToLoan[#Headers])+1,subjectKnownBalance,MAX(0,INDEX(tblSubjectToLoan[Ending Balance],ROW()-ROW(tblSubjectToLoan[#Headers])-1))))</f>
        <v>0</v>
      </c>
      <c r="C3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6" s="14">
        <f>IF(tblSubjectToLoan[[#This Row],[Payment]]=0,0,MAX(0,MIN(tblSubjectToLoan[[#This Row],[Beginning Balance]],tblSubjectToLoan[[#This Row],[Payment]]-tblSubjectToLoan[[#This Row],[Int]])))</f>
        <v>0</v>
      </c>
      <c r="E376" s="14">
        <f>IF(tblSubjectToLoan[[#This Row],[Date]]="",0,ROUND(tblSubjectToLoan[[#This Row],[Beginning Balance]]*(subjectInterestRate/12),2))</f>
        <v>0</v>
      </c>
      <c r="F376" s="14">
        <f t="shared" si="32"/>
        <v>134.16999999999999</v>
      </c>
      <c r="G376" s="14">
        <f t="shared" si="32"/>
        <v>188.55</v>
      </c>
      <c r="H376" s="14">
        <f>SUM(tblSubjectToLoan[[#This Row],[Princ]],tblSubjectToLoan[[#This Row],[Int]],tblSubjectToLoan[[#This Row],[Ins]],tblSubjectToLoan[[#This Row],[Taxes]])</f>
        <v>322.72000000000003</v>
      </c>
      <c r="I3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6" s="276">
        <f>IF(tblSubjectToLoan[[#This Row],[Date]]="",IF(ROW()=ROW(tblSubjectToLoan[#Headers])+1,0,INDEX(tblSubjectToLoan[Interest],ROW()-ROW(tblSubjectToLoan[#Headers])-1)),tblSubjectToLoan[[#This Row],[Int]]+IF(ROW()=ROW(tblSubjectToLoan[#Headers])+1,0,INDEX(tblSubjectToLoan[Interest],ROW()-ROW(tblSubjectToLoan[#Headers])-1)))</f>
        <v>36068.259999999973</v>
      </c>
      <c r="K376" s="969">
        <f>IF(tblSubjectToLoan[[#This Row],[Date]]="",0,MAX(0,tblSubjectToLoan[[#This Row],[Beginning Balance]]-tblSubjectToLoan[[#This Row],[Princ]]))</f>
        <v>0</v>
      </c>
      <c r="L376" s="394">
        <f t="shared" si="33"/>
        <v>0</v>
      </c>
      <c r="M376" s="394">
        <f t="shared" si="30"/>
        <v>0</v>
      </c>
      <c r="N376" s="613" t="str">
        <f>INDEX(tblSubjectToLoan[Date],ROW()-ROW(tblContractForDeed[#Headers]))</f>
        <v/>
      </c>
      <c r="O376" s="276">
        <f>IF(ROW()=ROW(tblContractForDeed[#Headers])+1,$O$6,IF(INDEX(tblContractForDeed[End Bal],ROW()-ROW(tblContractForDeed[#Headers])-1)&lt;0,0,INDEX(tblContractForDeed[End Bal],ROW()-ROW(tblContractForDeed[#Headers])-1)))</f>
        <v>0</v>
      </c>
      <c r="P376" s="454"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6" s="276">
        <f>IF(INDEX(tblContractForDeed[End Bal],ROW()-ROW(tblBuyerOutputs[#Headers]))&lt;=0,0,($O$6+IF(ROW()=ROW(tblBuyerOutputs[#Headers])+1,0,INDEX(tblBuyerOutputs[Cumul Appr],ROW()-ROW(tblBuyerOutputs[#Headers])-1)))*$O$2/12)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13" t="str">
        <f>IF(ROW()=ROW(tblSubjectToLoan[#Headers])+1,subjectKnownBalanceDate,IF(OR(INDEX(tblSubjectToLoan[Date],ROW()-ROW(tblSubjectToLoan[#Headers])-1)="",INDEX(tblSubjectToLoan[Date],ROW()-ROW(tblSubjectToLoan[#Headers])-1)&gt;=subjectMortgageEndDate),"",EDATE(INDEX(tblSubjectToLoan[Date],ROW()-ROW(tblSubjectToLoan[#Headers])-1),1)))</f>
        <v/>
      </c>
      <c r="B377" s="276">
        <f>IF(tblSubjectToLoan[[#This Row],[Date]]="",0,IF(ROW()=ROW(tblSubjectToLoan[#Headers])+1,subjectKnownBalance,MAX(0,INDEX(tblSubjectToLoan[Ending Balance],ROW()-ROW(tblSubjectToLoan[#Headers])-1))))</f>
        <v>0</v>
      </c>
      <c r="C3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7" s="14">
        <f>IF(tblSubjectToLoan[[#This Row],[Payment]]=0,0,MAX(0,MIN(tblSubjectToLoan[[#This Row],[Beginning Balance]],tblSubjectToLoan[[#This Row],[Payment]]-tblSubjectToLoan[[#This Row],[Int]])))</f>
        <v>0</v>
      </c>
      <c r="E377" s="14">
        <f>IF(tblSubjectToLoan[[#This Row],[Date]]="",0,ROUND(tblSubjectToLoan[[#This Row],[Beginning Balance]]*(subjectInterestRate/12),2))</f>
        <v>0</v>
      </c>
      <c r="F377" s="14">
        <f t="shared" si="32"/>
        <v>134.16999999999999</v>
      </c>
      <c r="G377" s="14">
        <f t="shared" si="32"/>
        <v>188.55</v>
      </c>
      <c r="H377" s="14">
        <f>SUM(tblSubjectToLoan[[#This Row],[Princ]],tblSubjectToLoan[[#This Row],[Int]],tblSubjectToLoan[[#This Row],[Ins]],tblSubjectToLoan[[#This Row],[Taxes]])</f>
        <v>322.72000000000003</v>
      </c>
      <c r="I3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7" s="276">
        <f>IF(tblSubjectToLoan[[#This Row],[Date]]="",IF(ROW()=ROW(tblSubjectToLoan[#Headers])+1,0,INDEX(tblSubjectToLoan[Interest],ROW()-ROW(tblSubjectToLoan[#Headers])-1)),tblSubjectToLoan[[#This Row],[Int]]+IF(ROW()=ROW(tblSubjectToLoan[#Headers])+1,0,INDEX(tblSubjectToLoan[Interest],ROW()-ROW(tblSubjectToLoan[#Headers])-1)))</f>
        <v>36068.259999999973</v>
      </c>
      <c r="K377" s="969">
        <f>IF(tblSubjectToLoan[[#This Row],[Date]]="",0,MAX(0,tblSubjectToLoan[[#This Row],[Beginning Balance]]-tblSubjectToLoan[[#This Row],[Princ]]))</f>
        <v>0</v>
      </c>
      <c r="L377" s="394">
        <f t="shared" si="33"/>
        <v>0</v>
      </c>
      <c r="M377" s="394">
        <f t="shared" si="30"/>
        <v>0</v>
      </c>
      <c r="N377" s="613" t="str">
        <f>INDEX(tblSubjectToLoan[Date],ROW()-ROW(tblContractForDeed[#Headers]))</f>
        <v/>
      </c>
      <c r="O377" s="276">
        <f>IF(ROW()=ROW(tblContractForDeed[#Headers])+1,$O$6,IF(INDEX(tblContractForDeed[End Bal],ROW()-ROW(tblContractForDeed[#Headers])-1)&lt;0,0,INDEX(tblContractForDeed[End Bal],ROW()-ROW(tblContractForDeed[#Headers])-1)))</f>
        <v>0</v>
      </c>
      <c r="P377" s="454"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7" s="276">
        <f>IF(INDEX(tblContractForDeed[End Bal],ROW()-ROW(tblBuyerOutputs[#Headers]))&lt;=0,0,($O$6+IF(ROW()=ROW(tblBuyerOutputs[#Headers])+1,0,INDEX(tblBuyerOutputs[Cumul Appr],ROW()-ROW(tblBuyerOutputs[#Headers])-1)))*$O$2/12)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13" t="str">
        <f>IF(ROW()=ROW(tblSubjectToLoan[#Headers])+1,subjectKnownBalanceDate,IF(OR(INDEX(tblSubjectToLoan[Date],ROW()-ROW(tblSubjectToLoan[#Headers])-1)="",INDEX(tblSubjectToLoan[Date],ROW()-ROW(tblSubjectToLoan[#Headers])-1)&gt;=subjectMortgageEndDate),"",EDATE(INDEX(tblSubjectToLoan[Date],ROW()-ROW(tblSubjectToLoan[#Headers])-1),1)))</f>
        <v/>
      </c>
      <c r="B378" s="276">
        <f>IF(tblSubjectToLoan[[#This Row],[Date]]="",0,IF(ROW()=ROW(tblSubjectToLoan[#Headers])+1,subjectKnownBalance,MAX(0,INDEX(tblSubjectToLoan[Ending Balance],ROW()-ROW(tblSubjectToLoan[#Headers])-1))))</f>
        <v>0</v>
      </c>
      <c r="C3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8" s="14">
        <f>IF(tblSubjectToLoan[[#This Row],[Payment]]=0,0,MAX(0,MIN(tblSubjectToLoan[[#This Row],[Beginning Balance]],tblSubjectToLoan[[#This Row],[Payment]]-tblSubjectToLoan[[#This Row],[Int]])))</f>
        <v>0</v>
      </c>
      <c r="E378" s="14">
        <f>IF(tblSubjectToLoan[[#This Row],[Date]]="",0,ROUND(tblSubjectToLoan[[#This Row],[Beginning Balance]]*(subjectInterestRate/12),2))</f>
        <v>0</v>
      </c>
      <c r="F378" s="14">
        <f t="shared" si="32"/>
        <v>134.16999999999999</v>
      </c>
      <c r="G378" s="14">
        <f t="shared" si="32"/>
        <v>188.55</v>
      </c>
      <c r="H378" s="14">
        <f>SUM(tblSubjectToLoan[[#This Row],[Princ]],tblSubjectToLoan[[#This Row],[Int]],tblSubjectToLoan[[#This Row],[Ins]],tblSubjectToLoan[[#This Row],[Taxes]])</f>
        <v>322.72000000000003</v>
      </c>
      <c r="I3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8" s="276">
        <f>IF(tblSubjectToLoan[[#This Row],[Date]]="",IF(ROW()=ROW(tblSubjectToLoan[#Headers])+1,0,INDEX(tblSubjectToLoan[Interest],ROW()-ROW(tblSubjectToLoan[#Headers])-1)),tblSubjectToLoan[[#This Row],[Int]]+IF(ROW()=ROW(tblSubjectToLoan[#Headers])+1,0,INDEX(tblSubjectToLoan[Interest],ROW()-ROW(tblSubjectToLoan[#Headers])-1)))</f>
        <v>36068.259999999973</v>
      </c>
      <c r="K378" s="969">
        <f>IF(tblSubjectToLoan[[#This Row],[Date]]="",0,MAX(0,tblSubjectToLoan[[#This Row],[Beginning Balance]]-tblSubjectToLoan[[#This Row],[Princ]]))</f>
        <v>0</v>
      </c>
      <c r="L378" s="394">
        <f t="shared" si="33"/>
        <v>0</v>
      </c>
      <c r="M378" s="394">
        <f t="shared" si="30"/>
        <v>0</v>
      </c>
      <c r="N378" s="613" t="str">
        <f>INDEX(tblSubjectToLoan[Date],ROW()-ROW(tblContractForDeed[#Headers]))</f>
        <v/>
      </c>
      <c r="O378" s="276">
        <f>IF(ROW()=ROW(tblContractForDeed[#Headers])+1,$O$6,IF(INDEX(tblContractForDeed[End Bal],ROW()-ROW(tblContractForDeed[#Headers])-1)&lt;0,0,INDEX(tblContractForDeed[End Bal],ROW()-ROW(tblContractForDeed[#Headers])-1)))</f>
        <v>0</v>
      </c>
      <c r="P378" s="454"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8" s="276">
        <f>IF(INDEX(tblContractForDeed[End Bal],ROW()-ROW(tblBuyerOutputs[#Headers]))&lt;=0,0,($O$6+IF(ROW()=ROW(tblBuyerOutputs[#Headers])+1,0,INDEX(tblBuyerOutputs[Cumul Appr],ROW()-ROW(tblBuyerOutputs[#Headers])-1)))*$O$2/12)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14" t="str">
        <f>IF(ROW()=ROW(tblSubjectToLoan[#Headers])+1,subjectKnownBalanceDate,IF(OR(INDEX(tblSubjectToLoan[Date],ROW()-ROW(tblSubjectToLoan[#Headers])-1)="",INDEX(tblSubjectToLoan[Date],ROW()-ROW(tblSubjectToLoan[#Headers])-1)&gt;=subjectMortgageEndDate),"",EDATE(INDEX(tblSubjectToLoan[Date],ROW()-ROW(tblSubjectToLoan[#Headers])-1),1)))</f>
        <v/>
      </c>
      <c r="B379" s="332">
        <f>IF(tblSubjectToLoan[[#This Row],[Date]]="",0,IF(ROW()=ROW(tblSubjectToLoan[#Headers])+1,subjectKnownBalance,MAX(0,INDEX(tblSubjectToLoan[Ending Balance],ROW()-ROW(tblSubjectToLoan[#Headers])-1))))</f>
        <v>0</v>
      </c>
      <c r="C37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9" s="21">
        <f>IF(tblSubjectToLoan[[#This Row],[Payment]]=0,0,MAX(0,MIN(tblSubjectToLoan[[#This Row],[Beginning Balance]],tblSubjectToLoan[[#This Row],[Payment]]-tblSubjectToLoan[[#This Row],[Int]])))</f>
        <v>0</v>
      </c>
      <c r="E379" s="21">
        <f>IF(tblSubjectToLoan[[#This Row],[Date]]="",0,ROUND(tblSubjectToLoan[[#This Row],[Beginning Balance]]*(subjectInterestRate/12),2))</f>
        <v>0</v>
      </c>
      <c r="F379" s="21">
        <f t="shared" si="32"/>
        <v>134.16999999999999</v>
      </c>
      <c r="G379" s="21">
        <f t="shared" si="32"/>
        <v>188.55</v>
      </c>
      <c r="H379" s="21">
        <f>SUM(tblSubjectToLoan[[#This Row],[Princ]],tblSubjectToLoan[[#This Row],[Int]],tblSubjectToLoan[[#This Row],[Ins]],tblSubjectToLoan[[#This Row],[Taxes]])</f>
        <v>322.72000000000003</v>
      </c>
      <c r="I37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79" s="332">
        <f>IF(tblSubjectToLoan[[#This Row],[Date]]="",IF(ROW()=ROW(tblSubjectToLoan[#Headers])+1,0,INDEX(tblSubjectToLoan[Interest],ROW()-ROW(tblSubjectToLoan[#Headers])-1)),tblSubjectToLoan[[#This Row],[Int]]+IF(ROW()=ROW(tblSubjectToLoan[#Headers])+1,0,INDEX(tblSubjectToLoan[Interest],ROW()-ROW(tblSubjectToLoan[#Headers])-1)))</f>
        <v>36068.259999999973</v>
      </c>
      <c r="K379" s="970">
        <f>IF(tblSubjectToLoan[[#This Row],[Date]]="",0,MAX(0,tblSubjectToLoan[[#This Row],[Beginning Balance]]-tblSubjectToLoan[[#This Row],[Princ]]))</f>
        <v>0</v>
      </c>
      <c r="L379" s="395">
        <f t="shared" si="33"/>
        <v>0</v>
      </c>
      <c r="M379" s="395">
        <f t="shared" si="30"/>
        <v>0</v>
      </c>
      <c r="N379" s="614" t="str">
        <f>INDEX(tblSubjectToLoan[Date],ROW()-ROW(tblContractForDeed[#Headers]))</f>
        <v/>
      </c>
      <c r="O379" s="332">
        <f>IF(ROW()=ROW(tblContractForDeed[#Headers])+1,$O$6,IF(INDEX(tblContractForDeed[End Bal],ROW()-ROW(tblContractForDeed[#Headers])-1)&lt;0,0,INDEX(tblContractForDeed[End Bal],ROW()-ROW(tblContractForDeed[#Headers])-1)))</f>
        <v>0</v>
      </c>
      <c r="P379" s="454"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9" s="332">
        <f>IF(INDEX(tblContractForDeed[End Bal],ROW()-ROW(tblBuyerOutputs[#Headers]))&lt;=0,0,($O$6+IF(ROW()=ROW(tblBuyerOutputs[#Headers])+1,0,INDEX(tblBuyerOutputs[Cumul Appr],ROW()-ROW(tblBuyerOutputs[#Headers])-1)))*$O$2/12)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13" t="str">
        <f>IF(ROW()=ROW(tblSubjectToLoan[#Headers])+1,subjectKnownBalanceDate,IF(OR(INDEX(tblSubjectToLoan[Date],ROW()-ROW(tblSubjectToLoan[#Headers])-1)="",INDEX(tblSubjectToLoan[Date],ROW()-ROW(tblSubjectToLoan[#Headers])-1)&gt;=subjectMortgageEndDate),"",EDATE(INDEX(tblSubjectToLoan[Date],ROW()-ROW(tblSubjectToLoan[#Headers])-1),1)))</f>
        <v/>
      </c>
      <c r="B380" s="276">
        <f>IF(tblSubjectToLoan[[#This Row],[Date]]="",0,IF(ROW()=ROW(tblSubjectToLoan[#Headers])+1,subjectKnownBalance,MAX(0,INDEX(tblSubjectToLoan[Ending Balance],ROW()-ROW(tblSubjectToLoan[#Headers])-1))))</f>
        <v>0</v>
      </c>
      <c r="C3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0" s="14">
        <f>IF(tblSubjectToLoan[[#This Row],[Payment]]=0,0,MAX(0,MIN(tblSubjectToLoan[[#This Row],[Beginning Balance]],tblSubjectToLoan[[#This Row],[Payment]]-tblSubjectToLoan[[#This Row],[Int]])))</f>
        <v>0</v>
      </c>
      <c r="E380" s="14">
        <f>IF(tblSubjectToLoan[[#This Row],[Date]]="",0,ROUND(tblSubjectToLoan[[#This Row],[Beginning Balance]]*(subjectInterestRate/12),2))</f>
        <v>0</v>
      </c>
      <c r="F380" s="14">
        <f t="shared" si="32"/>
        <v>134.16999999999999</v>
      </c>
      <c r="G380" s="14">
        <f t="shared" si="32"/>
        <v>188.55</v>
      </c>
      <c r="H380" s="14">
        <f>SUM(tblSubjectToLoan[[#This Row],[Princ]],tblSubjectToLoan[[#This Row],[Int]],tblSubjectToLoan[[#This Row],[Ins]],tblSubjectToLoan[[#This Row],[Taxes]])</f>
        <v>322.72000000000003</v>
      </c>
      <c r="I3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0" s="276">
        <f>IF(tblSubjectToLoan[[#This Row],[Date]]="",IF(ROW()=ROW(tblSubjectToLoan[#Headers])+1,0,INDEX(tblSubjectToLoan[Interest],ROW()-ROW(tblSubjectToLoan[#Headers])-1)),tblSubjectToLoan[[#This Row],[Int]]+IF(ROW()=ROW(tblSubjectToLoan[#Headers])+1,0,INDEX(tblSubjectToLoan[Interest],ROW()-ROW(tblSubjectToLoan[#Headers])-1)))</f>
        <v>36068.259999999973</v>
      </c>
      <c r="K380" s="969">
        <f>IF(tblSubjectToLoan[[#This Row],[Date]]="",0,MAX(0,tblSubjectToLoan[[#This Row],[Beginning Balance]]-tblSubjectToLoan[[#This Row],[Princ]]))</f>
        <v>0</v>
      </c>
      <c r="L380" s="394">
        <f t="shared" si="33"/>
        <v>0</v>
      </c>
      <c r="M380" s="394">
        <f t="shared" si="30"/>
        <v>0</v>
      </c>
      <c r="N380" s="613" t="str">
        <f>INDEX(tblSubjectToLoan[Date],ROW()-ROW(tblContractForDeed[#Headers]))</f>
        <v/>
      </c>
      <c r="O380" s="276">
        <f>IF(ROW()=ROW(tblContractForDeed[#Headers])+1,$O$6,IF(INDEX(tblContractForDeed[End Bal],ROW()-ROW(tblContractForDeed[#Headers])-1)&lt;0,0,INDEX(tblContractForDeed[End Bal],ROW()-ROW(tblContractForDeed[#Headers])-1)))</f>
        <v>0</v>
      </c>
      <c r="P380" s="454"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0" s="276">
        <f>IF(INDEX(tblContractForDeed[End Bal],ROW()-ROW(tblBuyerOutputs[#Headers]))&lt;=0,0,($O$6+IF(ROW()=ROW(tblBuyerOutputs[#Headers])+1,0,INDEX(tblBuyerOutputs[Cumul Appr],ROW()-ROW(tblBuyerOutputs[#Headers])-1)))*$O$2/12)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13" t="str">
        <f>IF(ROW()=ROW(tblSubjectToLoan[#Headers])+1,subjectKnownBalanceDate,IF(OR(INDEX(tblSubjectToLoan[Date],ROW()-ROW(tblSubjectToLoan[#Headers])-1)="",INDEX(tblSubjectToLoan[Date],ROW()-ROW(tblSubjectToLoan[#Headers])-1)&gt;=subjectMortgageEndDate),"",EDATE(INDEX(tblSubjectToLoan[Date],ROW()-ROW(tblSubjectToLoan[#Headers])-1),1)))</f>
        <v/>
      </c>
      <c r="B381" s="276">
        <f>IF(tblSubjectToLoan[[#This Row],[Date]]="",0,IF(ROW()=ROW(tblSubjectToLoan[#Headers])+1,subjectKnownBalance,MAX(0,INDEX(tblSubjectToLoan[Ending Balance],ROW()-ROW(tblSubjectToLoan[#Headers])-1))))</f>
        <v>0</v>
      </c>
      <c r="C3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1" s="14">
        <f>IF(tblSubjectToLoan[[#This Row],[Payment]]=0,0,MAX(0,MIN(tblSubjectToLoan[[#This Row],[Beginning Balance]],tblSubjectToLoan[[#This Row],[Payment]]-tblSubjectToLoan[[#This Row],[Int]])))</f>
        <v>0</v>
      </c>
      <c r="E381" s="14">
        <f>IF(tblSubjectToLoan[[#This Row],[Date]]="",0,ROUND(tblSubjectToLoan[[#This Row],[Beginning Balance]]*(subjectInterestRate/12),2))</f>
        <v>0</v>
      </c>
      <c r="F381" s="14">
        <f t="shared" si="32"/>
        <v>134.16999999999999</v>
      </c>
      <c r="G381" s="14">
        <f t="shared" si="32"/>
        <v>188.55</v>
      </c>
      <c r="H381" s="14">
        <f>SUM(tblSubjectToLoan[[#This Row],[Princ]],tblSubjectToLoan[[#This Row],[Int]],tblSubjectToLoan[[#This Row],[Ins]],tblSubjectToLoan[[#This Row],[Taxes]])</f>
        <v>322.72000000000003</v>
      </c>
      <c r="I3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1" s="276">
        <f>IF(tblSubjectToLoan[[#This Row],[Date]]="",IF(ROW()=ROW(tblSubjectToLoan[#Headers])+1,0,INDEX(tblSubjectToLoan[Interest],ROW()-ROW(tblSubjectToLoan[#Headers])-1)),tblSubjectToLoan[[#This Row],[Int]]+IF(ROW()=ROW(tblSubjectToLoan[#Headers])+1,0,INDEX(tblSubjectToLoan[Interest],ROW()-ROW(tblSubjectToLoan[#Headers])-1)))</f>
        <v>36068.259999999973</v>
      </c>
      <c r="K381" s="969">
        <f>IF(tblSubjectToLoan[[#This Row],[Date]]="",0,MAX(0,tblSubjectToLoan[[#This Row],[Beginning Balance]]-tblSubjectToLoan[[#This Row],[Princ]]))</f>
        <v>0</v>
      </c>
      <c r="L381" s="394">
        <f t="shared" si="33"/>
        <v>0</v>
      </c>
      <c r="M381" s="394">
        <f t="shared" si="30"/>
        <v>0</v>
      </c>
      <c r="N381" s="613" t="str">
        <f>INDEX(tblSubjectToLoan[Date],ROW()-ROW(tblContractForDeed[#Headers]))</f>
        <v/>
      </c>
      <c r="O381" s="276">
        <f>IF(ROW()=ROW(tblContractForDeed[#Headers])+1,$O$6,IF(INDEX(tblContractForDeed[End Bal],ROW()-ROW(tblContractForDeed[#Headers])-1)&lt;0,0,INDEX(tblContractForDeed[End Bal],ROW()-ROW(tblContractForDeed[#Headers])-1)))</f>
        <v>0</v>
      </c>
      <c r="P381" s="454"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1" s="276">
        <f>IF(INDEX(tblContractForDeed[End Bal],ROW()-ROW(tblBuyerOutputs[#Headers]))&lt;=0,0,($O$6+IF(ROW()=ROW(tblBuyerOutputs[#Headers])+1,0,INDEX(tblBuyerOutputs[Cumul Appr],ROW()-ROW(tblBuyerOutputs[#Headers])-1)))*$O$2/12)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13" t="str">
        <f>IF(ROW()=ROW(tblSubjectToLoan[#Headers])+1,subjectKnownBalanceDate,IF(OR(INDEX(tblSubjectToLoan[Date],ROW()-ROW(tblSubjectToLoan[#Headers])-1)="",INDEX(tblSubjectToLoan[Date],ROW()-ROW(tblSubjectToLoan[#Headers])-1)&gt;=subjectMortgageEndDate),"",EDATE(INDEX(tblSubjectToLoan[Date],ROW()-ROW(tblSubjectToLoan[#Headers])-1),1)))</f>
        <v/>
      </c>
      <c r="B382" s="276">
        <f>IF(tblSubjectToLoan[[#This Row],[Date]]="",0,IF(ROW()=ROW(tblSubjectToLoan[#Headers])+1,subjectKnownBalance,MAX(0,INDEX(tblSubjectToLoan[Ending Balance],ROW()-ROW(tblSubjectToLoan[#Headers])-1))))</f>
        <v>0</v>
      </c>
      <c r="C3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2" s="14">
        <f>IF(tblSubjectToLoan[[#This Row],[Payment]]=0,0,MAX(0,MIN(tblSubjectToLoan[[#This Row],[Beginning Balance]],tblSubjectToLoan[[#This Row],[Payment]]-tblSubjectToLoan[[#This Row],[Int]])))</f>
        <v>0</v>
      </c>
      <c r="E382" s="14">
        <f>IF(tblSubjectToLoan[[#This Row],[Date]]="",0,ROUND(tblSubjectToLoan[[#This Row],[Beginning Balance]]*(subjectInterestRate/12),2))</f>
        <v>0</v>
      </c>
      <c r="F382" s="14">
        <f t="shared" si="32"/>
        <v>134.16999999999999</v>
      </c>
      <c r="G382" s="14">
        <f t="shared" si="32"/>
        <v>188.55</v>
      </c>
      <c r="H382" s="14">
        <f>SUM(tblSubjectToLoan[[#This Row],[Princ]],tblSubjectToLoan[[#This Row],[Int]],tblSubjectToLoan[[#This Row],[Ins]],tblSubjectToLoan[[#This Row],[Taxes]])</f>
        <v>322.72000000000003</v>
      </c>
      <c r="I3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2" s="276">
        <f>IF(tblSubjectToLoan[[#This Row],[Date]]="",IF(ROW()=ROW(tblSubjectToLoan[#Headers])+1,0,INDEX(tblSubjectToLoan[Interest],ROW()-ROW(tblSubjectToLoan[#Headers])-1)),tblSubjectToLoan[[#This Row],[Int]]+IF(ROW()=ROW(tblSubjectToLoan[#Headers])+1,0,INDEX(tblSubjectToLoan[Interest],ROW()-ROW(tblSubjectToLoan[#Headers])-1)))</f>
        <v>36068.259999999973</v>
      </c>
      <c r="K382" s="969">
        <f>IF(tblSubjectToLoan[[#This Row],[Date]]="",0,MAX(0,tblSubjectToLoan[[#This Row],[Beginning Balance]]-tblSubjectToLoan[[#This Row],[Princ]]))</f>
        <v>0</v>
      </c>
      <c r="L382" s="394">
        <f t="shared" si="33"/>
        <v>0</v>
      </c>
      <c r="M382" s="394">
        <f t="shared" si="30"/>
        <v>0</v>
      </c>
      <c r="N382" s="613" t="str">
        <f>INDEX(tblSubjectToLoan[Date],ROW()-ROW(tblContractForDeed[#Headers]))</f>
        <v/>
      </c>
      <c r="O382" s="276">
        <f>IF(ROW()=ROW(tblContractForDeed[#Headers])+1,$O$6,IF(INDEX(tblContractForDeed[End Bal],ROW()-ROW(tblContractForDeed[#Headers])-1)&lt;0,0,INDEX(tblContractForDeed[End Bal],ROW()-ROW(tblContractForDeed[#Headers])-1)))</f>
        <v>0</v>
      </c>
      <c r="P382" s="454"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2" s="276">
        <f>IF(INDEX(tblContractForDeed[End Bal],ROW()-ROW(tblBuyerOutputs[#Headers]))&lt;=0,0,($O$6+IF(ROW()=ROW(tblBuyerOutputs[#Headers])+1,0,INDEX(tblBuyerOutputs[Cumul Appr],ROW()-ROW(tblBuyerOutputs[#Headers])-1)))*$O$2/12)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13" t="str">
        <f>IF(ROW()=ROW(tblSubjectToLoan[#Headers])+1,subjectKnownBalanceDate,IF(OR(INDEX(tblSubjectToLoan[Date],ROW()-ROW(tblSubjectToLoan[#Headers])-1)="",INDEX(tblSubjectToLoan[Date],ROW()-ROW(tblSubjectToLoan[#Headers])-1)&gt;=subjectMortgageEndDate),"",EDATE(INDEX(tblSubjectToLoan[Date],ROW()-ROW(tblSubjectToLoan[#Headers])-1),1)))</f>
        <v/>
      </c>
      <c r="B383" s="276">
        <f>IF(tblSubjectToLoan[[#This Row],[Date]]="",0,IF(ROW()=ROW(tblSubjectToLoan[#Headers])+1,subjectKnownBalance,MAX(0,INDEX(tblSubjectToLoan[Ending Balance],ROW()-ROW(tblSubjectToLoan[#Headers])-1))))</f>
        <v>0</v>
      </c>
      <c r="C3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3" s="14">
        <f>IF(tblSubjectToLoan[[#This Row],[Payment]]=0,0,MAX(0,MIN(tblSubjectToLoan[[#This Row],[Beginning Balance]],tblSubjectToLoan[[#This Row],[Payment]]-tblSubjectToLoan[[#This Row],[Int]])))</f>
        <v>0</v>
      </c>
      <c r="E383" s="14">
        <f>IF(tblSubjectToLoan[[#This Row],[Date]]="",0,ROUND(tblSubjectToLoan[[#This Row],[Beginning Balance]]*(subjectInterestRate/12),2))</f>
        <v>0</v>
      </c>
      <c r="F383" s="14">
        <f t="shared" ref="F383:G398" si="34">+F382</f>
        <v>134.16999999999999</v>
      </c>
      <c r="G383" s="14">
        <f t="shared" si="34"/>
        <v>188.55</v>
      </c>
      <c r="H383" s="14">
        <f>SUM(tblSubjectToLoan[[#This Row],[Princ]],tblSubjectToLoan[[#This Row],[Int]],tblSubjectToLoan[[#This Row],[Ins]],tblSubjectToLoan[[#This Row],[Taxes]])</f>
        <v>322.72000000000003</v>
      </c>
      <c r="I3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3" s="276">
        <f>IF(tblSubjectToLoan[[#This Row],[Date]]="",IF(ROW()=ROW(tblSubjectToLoan[#Headers])+1,0,INDEX(tblSubjectToLoan[Interest],ROW()-ROW(tblSubjectToLoan[#Headers])-1)),tblSubjectToLoan[[#This Row],[Int]]+IF(ROW()=ROW(tblSubjectToLoan[#Headers])+1,0,INDEX(tblSubjectToLoan[Interest],ROW()-ROW(tblSubjectToLoan[#Headers])-1)))</f>
        <v>36068.259999999973</v>
      </c>
      <c r="K383" s="969">
        <f>IF(tblSubjectToLoan[[#This Row],[Date]]="",0,MAX(0,tblSubjectToLoan[[#This Row],[Beginning Balance]]-tblSubjectToLoan[[#This Row],[Princ]]))</f>
        <v>0</v>
      </c>
      <c r="L383" s="394">
        <f t="shared" si="33"/>
        <v>0</v>
      </c>
      <c r="M383" s="394">
        <f t="shared" si="30"/>
        <v>0</v>
      </c>
      <c r="N383" s="613" t="str">
        <f>INDEX(tblSubjectToLoan[Date],ROW()-ROW(tblContractForDeed[#Headers]))</f>
        <v/>
      </c>
      <c r="O383" s="276">
        <f>IF(ROW()=ROW(tblContractForDeed[#Headers])+1,$O$6,IF(INDEX(tblContractForDeed[End Bal],ROW()-ROW(tblContractForDeed[#Headers])-1)&lt;0,0,INDEX(tblContractForDeed[End Bal],ROW()-ROW(tblContractForDeed[#Headers])-1)))</f>
        <v>0</v>
      </c>
      <c r="P383" s="454"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3" s="276">
        <f>IF(INDEX(tblContractForDeed[End Bal],ROW()-ROW(tblBuyerOutputs[#Headers]))&lt;=0,0,($O$6+IF(ROW()=ROW(tblBuyerOutputs[#Headers])+1,0,INDEX(tblBuyerOutputs[Cumul Appr],ROW()-ROW(tblBuyerOutputs[#Headers])-1)))*$O$2/12)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13" t="str">
        <f>IF(ROW()=ROW(tblSubjectToLoan[#Headers])+1,subjectKnownBalanceDate,IF(OR(INDEX(tblSubjectToLoan[Date],ROW()-ROW(tblSubjectToLoan[#Headers])-1)="",INDEX(tblSubjectToLoan[Date],ROW()-ROW(tblSubjectToLoan[#Headers])-1)&gt;=subjectMortgageEndDate),"",EDATE(INDEX(tblSubjectToLoan[Date],ROW()-ROW(tblSubjectToLoan[#Headers])-1),1)))</f>
        <v/>
      </c>
      <c r="B384" s="276">
        <f>IF(tblSubjectToLoan[[#This Row],[Date]]="",0,IF(ROW()=ROW(tblSubjectToLoan[#Headers])+1,subjectKnownBalance,MAX(0,INDEX(tblSubjectToLoan[Ending Balance],ROW()-ROW(tblSubjectToLoan[#Headers])-1))))</f>
        <v>0</v>
      </c>
      <c r="C3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4" s="14">
        <f>IF(tblSubjectToLoan[[#This Row],[Payment]]=0,0,MAX(0,MIN(tblSubjectToLoan[[#This Row],[Beginning Balance]],tblSubjectToLoan[[#This Row],[Payment]]-tblSubjectToLoan[[#This Row],[Int]])))</f>
        <v>0</v>
      </c>
      <c r="E384" s="14">
        <f>IF(tblSubjectToLoan[[#This Row],[Date]]="",0,ROUND(tblSubjectToLoan[[#This Row],[Beginning Balance]]*(subjectInterestRate/12),2))</f>
        <v>0</v>
      </c>
      <c r="F384" s="14">
        <f t="shared" si="34"/>
        <v>134.16999999999999</v>
      </c>
      <c r="G384" s="14">
        <f t="shared" si="34"/>
        <v>188.55</v>
      </c>
      <c r="H384" s="14">
        <f>SUM(tblSubjectToLoan[[#This Row],[Princ]],tblSubjectToLoan[[#This Row],[Int]],tblSubjectToLoan[[#This Row],[Ins]],tblSubjectToLoan[[#This Row],[Taxes]])</f>
        <v>322.72000000000003</v>
      </c>
      <c r="I3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4" s="276">
        <f>IF(tblSubjectToLoan[[#This Row],[Date]]="",IF(ROW()=ROW(tblSubjectToLoan[#Headers])+1,0,INDEX(tblSubjectToLoan[Interest],ROW()-ROW(tblSubjectToLoan[#Headers])-1)),tblSubjectToLoan[[#This Row],[Int]]+IF(ROW()=ROW(tblSubjectToLoan[#Headers])+1,0,INDEX(tblSubjectToLoan[Interest],ROW()-ROW(tblSubjectToLoan[#Headers])-1)))</f>
        <v>36068.259999999973</v>
      </c>
      <c r="K384" s="969">
        <f>IF(tblSubjectToLoan[[#This Row],[Date]]="",0,MAX(0,tblSubjectToLoan[[#This Row],[Beginning Balance]]-tblSubjectToLoan[[#This Row],[Princ]]))</f>
        <v>0</v>
      </c>
      <c r="L384" s="394">
        <f t="shared" si="33"/>
        <v>0</v>
      </c>
      <c r="M384" s="394">
        <f t="shared" si="30"/>
        <v>0</v>
      </c>
      <c r="N384" s="613" t="str">
        <f>INDEX(tblSubjectToLoan[Date],ROW()-ROW(tblContractForDeed[#Headers]))</f>
        <v/>
      </c>
      <c r="O384" s="276">
        <f>IF(ROW()=ROW(tblContractForDeed[#Headers])+1,$O$6,IF(INDEX(tblContractForDeed[End Bal],ROW()-ROW(tblContractForDeed[#Headers])-1)&lt;0,0,INDEX(tblContractForDeed[End Bal],ROW()-ROW(tblContractForDeed[#Headers])-1)))</f>
        <v>0</v>
      </c>
      <c r="P384" s="454"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4" s="276">
        <f>IF(INDEX(tblContractForDeed[End Bal],ROW()-ROW(tblBuyerOutputs[#Headers]))&lt;=0,0,($O$6+IF(ROW()=ROW(tblBuyerOutputs[#Headers])+1,0,INDEX(tblBuyerOutputs[Cumul Appr],ROW()-ROW(tblBuyerOutputs[#Headers])-1)))*$O$2/12)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13" t="str">
        <f>IF(ROW()=ROW(tblSubjectToLoan[#Headers])+1,subjectKnownBalanceDate,IF(OR(INDEX(tblSubjectToLoan[Date],ROW()-ROW(tblSubjectToLoan[#Headers])-1)="",INDEX(tblSubjectToLoan[Date],ROW()-ROW(tblSubjectToLoan[#Headers])-1)&gt;=subjectMortgageEndDate),"",EDATE(INDEX(tblSubjectToLoan[Date],ROW()-ROW(tblSubjectToLoan[#Headers])-1),1)))</f>
        <v/>
      </c>
      <c r="B385" s="276">
        <f>IF(tblSubjectToLoan[[#This Row],[Date]]="",0,IF(ROW()=ROW(tblSubjectToLoan[#Headers])+1,subjectKnownBalance,MAX(0,INDEX(tblSubjectToLoan[Ending Balance],ROW()-ROW(tblSubjectToLoan[#Headers])-1))))</f>
        <v>0</v>
      </c>
      <c r="C3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5" s="14">
        <f>IF(tblSubjectToLoan[[#This Row],[Payment]]=0,0,MAX(0,MIN(tblSubjectToLoan[[#This Row],[Beginning Balance]],tblSubjectToLoan[[#This Row],[Payment]]-tblSubjectToLoan[[#This Row],[Int]])))</f>
        <v>0</v>
      </c>
      <c r="E385" s="14">
        <f>IF(tblSubjectToLoan[[#This Row],[Date]]="",0,ROUND(tblSubjectToLoan[[#This Row],[Beginning Balance]]*(subjectInterestRate/12),2))</f>
        <v>0</v>
      </c>
      <c r="F385" s="14">
        <f t="shared" si="34"/>
        <v>134.16999999999999</v>
      </c>
      <c r="G385" s="14">
        <f t="shared" si="34"/>
        <v>188.55</v>
      </c>
      <c r="H385" s="14">
        <f>SUM(tblSubjectToLoan[[#This Row],[Princ]],tblSubjectToLoan[[#This Row],[Int]],tblSubjectToLoan[[#This Row],[Ins]],tblSubjectToLoan[[#This Row],[Taxes]])</f>
        <v>322.72000000000003</v>
      </c>
      <c r="I3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5" s="276">
        <f>IF(tblSubjectToLoan[[#This Row],[Date]]="",IF(ROW()=ROW(tblSubjectToLoan[#Headers])+1,0,INDEX(tblSubjectToLoan[Interest],ROW()-ROW(tblSubjectToLoan[#Headers])-1)),tblSubjectToLoan[[#This Row],[Int]]+IF(ROW()=ROW(tblSubjectToLoan[#Headers])+1,0,INDEX(tblSubjectToLoan[Interest],ROW()-ROW(tblSubjectToLoan[#Headers])-1)))</f>
        <v>36068.259999999973</v>
      </c>
      <c r="K385" s="969">
        <f>IF(tblSubjectToLoan[[#This Row],[Date]]="",0,MAX(0,tblSubjectToLoan[[#This Row],[Beginning Balance]]-tblSubjectToLoan[[#This Row],[Princ]]))</f>
        <v>0</v>
      </c>
      <c r="L385" s="394">
        <f t="shared" si="33"/>
        <v>0</v>
      </c>
      <c r="M385" s="394">
        <f t="shared" si="30"/>
        <v>0</v>
      </c>
      <c r="N385" s="613" t="str">
        <f>INDEX(tblSubjectToLoan[Date],ROW()-ROW(tblContractForDeed[#Headers]))</f>
        <v/>
      </c>
      <c r="O385" s="276">
        <f>IF(ROW()=ROW(tblContractForDeed[#Headers])+1,$O$6,IF(INDEX(tblContractForDeed[End Bal],ROW()-ROW(tblContractForDeed[#Headers])-1)&lt;0,0,INDEX(tblContractForDeed[End Bal],ROW()-ROW(tblContractForDeed[#Headers])-1)))</f>
        <v>0</v>
      </c>
      <c r="P385" s="454"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5" s="276">
        <f>IF(INDEX(tblContractForDeed[End Bal],ROW()-ROW(tblBuyerOutputs[#Headers]))&lt;=0,0,($O$6+IF(ROW()=ROW(tblBuyerOutputs[#Headers])+1,0,INDEX(tblBuyerOutputs[Cumul Appr],ROW()-ROW(tblBuyerOutputs[#Headers])-1)))*$O$2/12)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13" t="str">
        <f>IF(ROW()=ROW(tblSubjectToLoan[#Headers])+1,subjectKnownBalanceDate,IF(OR(INDEX(tblSubjectToLoan[Date],ROW()-ROW(tblSubjectToLoan[#Headers])-1)="",INDEX(tblSubjectToLoan[Date],ROW()-ROW(tblSubjectToLoan[#Headers])-1)&gt;=subjectMortgageEndDate),"",EDATE(INDEX(tblSubjectToLoan[Date],ROW()-ROW(tblSubjectToLoan[#Headers])-1),1)))</f>
        <v/>
      </c>
      <c r="B386" s="276">
        <f>IF(tblSubjectToLoan[[#This Row],[Date]]="",0,IF(ROW()=ROW(tblSubjectToLoan[#Headers])+1,subjectKnownBalance,MAX(0,INDEX(tblSubjectToLoan[Ending Balance],ROW()-ROW(tblSubjectToLoan[#Headers])-1))))</f>
        <v>0</v>
      </c>
      <c r="C3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6" s="14">
        <f>IF(tblSubjectToLoan[[#This Row],[Payment]]=0,0,MAX(0,MIN(tblSubjectToLoan[[#This Row],[Beginning Balance]],tblSubjectToLoan[[#This Row],[Payment]]-tblSubjectToLoan[[#This Row],[Int]])))</f>
        <v>0</v>
      </c>
      <c r="E386" s="14">
        <f>IF(tblSubjectToLoan[[#This Row],[Date]]="",0,ROUND(tblSubjectToLoan[[#This Row],[Beginning Balance]]*(subjectInterestRate/12),2))</f>
        <v>0</v>
      </c>
      <c r="F386" s="14">
        <f t="shared" si="34"/>
        <v>134.16999999999999</v>
      </c>
      <c r="G386" s="14">
        <f t="shared" si="34"/>
        <v>188.55</v>
      </c>
      <c r="H386" s="14">
        <f>SUM(tblSubjectToLoan[[#This Row],[Princ]],tblSubjectToLoan[[#This Row],[Int]],tblSubjectToLoan[[#This Row],[Ins]],tblSubjectToLoan[[#This Row],[Taxes]])</f>
        <v>322.72000000000003</v>
      </c>
      <c r="I3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6" s="276">
        <f>IF(tblSubjectToLoan[[#This Row],[Date]]="",IF(ROW()=ROW(tblSubjectToLoan[#Headers])+1,0,INDEX(tblSubjectToLoan[Interest],ROW()-ROW(tblSubjectToLoan[#Headers])-1)),tblSubjectToLoan[[#This Row],[Int]]+IF(ROW()=ROW(tblSubjectToLoan[#Headers])+1,0,INDEX(tblSubjectToLoan[Interest],ROW()-ROW(tblSubjectToLoan[#Headers])-1)))</f>
        <v>36068.259999999973</v>
      </c>
      <c r="K386" s="969">
        <f>IF(tblSubjectToLoan[[#This Row],[Date]]="",0,MAX(0,tblSubjectToLoan[[#This Row],[Beginning Balance]]-tblSubjectToLoan[[#This Row],[Princ]]))</f>
        <v>0</v>
      </c>
      <c r="L386" s="394">
        <f t="shared" si="33"/>
        <v>0</v>
      </c>
      <c r="M386" s="394">
        <f t="shared" si="30"/>
        <v>0</v>
      </c>
      <c r="N386" s="613" t="str">
        <f>INDEX(tblSubjectToLoan[Date],ROW()-ROW(tblContractForDeed[#Headers]))</f>
        <v/>
      </c>
      <c r="O386" s="276">
        <f>IF(ROW()=ROW(tblContractForDeed[#Headers])+1,$O$6,IF(INDEX(tblContractForDeed[End Bal],ROW()-ROW(tblContractForDeed[#Headers])-1)&lt;0,0,INDEX(tblContractForDeed[End Bal],ROW()-ROW(tblContractForDeed[#Headers])-1)))</f>
        <v>0</v>
      </c>
      <c r="P386" s="454"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6" s="276">
        <f>IF(INDEX(tblContractForDeed[End Bal],ROW()-ROW(tblBuyerOutputs[#Headers]))&lt;=0,0,($O$6+IF(ROW()=ROW(tblBuyerOutputs[#Headers])+1,0,INDEX(tblBuyerOutputs[Cumul Appr],ROW()-ROW(tblBuyerOutputs[#Headers])-1)))*$O$2/12)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13" t="str">
        <f>IF(ROW()=ROW(tblSubjectToLoan[#Headers])+1,subjectKnownBalanceDate,IF(OR(INDEX(tblSubjectToLoan[Date],ROW()-ROW(tblSubjectToLoan[#Headers])-1)="",INDEX(tblSubjectToLoan[Date],ROW()-ROW(tblSubjectToLoan[#Headers])-1)&gt;=subjectMortgageEndDate),"",EDATE(INDEX(tblSubjectToLoan[Date],ROW()-ROW(tblSubjectToLoan[#Headers])-1),1)))</f>
        <v/>
      </c>
      <c r="B387" s="276">
        <f>IF(tblSubjectToLoan[[#This Row],[Date]]="",0,IF(ROW()=ROW(tblSubjectToLoan[#Headers])+1,subjectKnownBalance,MAX(0,INDEX(tblSubjectToLoan[Ending Balance],ROW()-ROW(tblSubjectToLoan[#Headers])-1))))</f>
        <v>0</v>
      </c>
      <c r="C3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7" s="14">
        <f>IF(tblSubjectToLoan[[#This Row],[Payment]]=0,0,MAX(0,MIN(tblSubjectToLoan[[#This Row],[Beginning Balance]],tblSubjectToLoan[[#This Row],[Payment]]-tblSubjectToLoan[[#This Row],[Int]])))</f>
        <v>0</v>
      </c>
      <c r="E387" s="14">
        <f>IF(tblSubjectToLoan[[#This Row],[Date]]="",0,ROUND(tblSubjectToLoan[[#This Row],[Beginning Balance]]*(subjectInterestRate/12),2))</f>
        <v>0</v>
      </c>
      <c r="F387" s="14">
        <f t="shared" si="34"/>
        <v>134.16999999999999</v>
      </c>
      <c r="G387" s="14">
        <f t="shared" si="34"/>
        <v>188.55</v>
      </c>
      <c r="H387" s="14">
        <f>SUM(tblSubjectToLoan[[#This Row],[Princ]],tblSubjectToLoan[[#This Row],[Int]],tblSubjectToLoan[[#This Row],[Ins]],tblSubjectToLoan[[#This Row],[Taxes]])</f>
        <v>322.72000000000003</v>
      </c>
      <c r="I3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7" s="276">
        <f>IF(tblSubjectToLoan[[#This Row],[Date]]="",IF(ROW()=ROW(tblSubjectToLoan[#Headers])+1,0,INDEX(tblSubjectToLoan[Interest],ROW()-ROW(tblSubjectToLoan[#Headers])-1)),tblSubjectToLoan[[#This Row],[Int]]+IF(ROW()=ROW(tblSubjectToLoan[#Headers])+1,0,INDEX(tblSubjectToLoan[Interest],ROW()-ROW(tblSubjectToLoan[#Headers])-1)))</f>
        <v>36068.259999999973</v>
      </c>
      <c r="K387" s="969">
        <f>IF(tblSubjectToLoan[[#This Row],[Date]]="",0,MAX(0,tblSubjectToLoan[[#This Row],[Beginning Balance]]-tblSubjectToLoan[[#This Row],[Princ]]))</f>
        <v>0</v>
      </c>
      <c r="L387" s="394">
        <f t="shared" si="33"/>
        <v>0</v>
      </c>
      <c r="M387" s="394">
        <f t="shared" si="30"/>
        <v>0</v>
      </c>
      <c r="N387" s="613" t="str">
        <f>INDEX(tblSubjectToLoan[Date],ROW()-ROW(tblContractForDeed[#Headers]))</f>
        <v/>
      </c>
      <c r="O387" s="276">
        <f>IF(ROW()=ROW(tblContractForDeed[#Headers])+1,$O$6,IF(INDEX(tblContractForDeed[End Bal],ROW()-ROW(tblContractForDeed[#Headers])-1)&lt;0,0,INDEX(tblContractForDeed[End Bal],ROW()-ROW(tblContractForDeed[#Headers])-1)))</f>
        <v>0</v>
      </c>
      <c r="P387" s="454"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7" s="276">
        <f>IF(INDEX(tblContractForDeed[End Bal],ROW()-ROW(tblBuyerOutputs[#Headers]))&lt;=0,0,($O$6+IF(ROW()=ROW(tblBuyerOutputs[#Headers])+1,0,INDEX(tblBuyerOutputs[Cumul Appr],ROW()-ROW(tblBuyerOutputs[#Headers])-1)))*$O$2/12)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13" t="str">
        <f>IF(ROW()=ROW(tblSubjectToLoan[#Headers])+1,subjectKnownBalanceDate,IF(OR(INDEX(tblSubjectToLoan[Date],ROW()-ROW(tblSubjectToLoan[#Headers])-1)="",INDEX(tblSubjectToLoan[Date],ROW()-ROW(tblSubjectToLoan[#Headers])-1)&gt;=subjectMortgageEndDate),"",EDATE(INDEX(tblSubjectToLoan[Date],ROW()-ROW(tblSubjectToLoan[#Headers])-1),1)))</f>
        <v/>
      </c>
      <c r="B388" s="276">
        <f>IF(tblSubjectToLoan[[#This Row],[Date]]="",0,IF(ROW()=ROW(tblSubjectToLoan[#Headers])+1,subjectKnownBalance,MAX(0,INDEX(tblSubjectToLoan[Ending Balance],ROW()-ROW(tblSubjectToLoan[#Headers])-1))))</f>
        <v>0</v>
      </c>
      <c r="C3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8" s="14">
        <f>IF(tblSubjectToLoan[[#This Row],[Payment]]=0,0,MAX(0,MIN(tblSubjectToLoan[[#This Row],[Beginning Balance]],tblSubjectToLoan[[#This Row],[Payment]]-tblSubjectToLoan[[#This Row],[Int]])))</f>
        <v>0</v>
      </c>
      <c r="E388" s="14">
        <f>IF(tblSubjectToLoan[[#This Row],[Date]]="",0,ROUND(tblSubjectToLoan[[#This Row],[Beginning Balance]]*(subjectInterestRate/12),2))</f>
        <v>0</v>
      </c>
      <c r="F388" s="14">
        <f t="shared" si="34"/>
        <v>134.16999999999999</v>
      </c>
      <c r="G388" s="14">
        <f t="shared" si="34"/>
        <v>188.55</v>
      </c>
      <c r="H388" s="14">
        <f>SUM(tblSubjectToLoan[[#This Row],[Princ]],tblSubjectToLoan[[#This Row],[Int]],tblSubjectToLoan[[#This Row],[Ins]],tblSubjectToLoan[[#This Row],[Taxes]])</f>
        <v>322.72000000000003</v>
      </c>
      <c r="I3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8" s="276">
        <f>IF(tblSubjectToLoan[[#This Row],[Date]]="",IF(ROW()=ROW(tblSubjectToLoan[#Headers])+1,0,INDEX(tblSubjectToLoan[Interest],ROW()-ROW(tblSubjectToLoan[#Headers])-1)),tblSubjectToLoan[[#This Row],[Int]]+IF(ROW()=ROW(tblSubjectToLoan[#Headers])+1,0,INDEX(tblSubjectToLoan[Interest],ROW()-ROW(tblSubjectToLoan[#Headers])-1)))</f>
        <v>36068.259999999973</v>
      </c>
      <c r="K388" s="969">
        <f>IF(tblSubjectToLoan[[#This Row],[Date]]="",0,MAX(0,tblSubjectToLoan[[#This Row],[Beginning Balance]]-tblSubjectToLoan[[#This Row],[Princ]]))</f>
        <v>0</v>
      </c>
      <c r="L388" s="394">
        <f t="shared" si="33"/>
        <v>0</v>
      </c>
      <c r="M388" s="394">
        <f t="shared" si="30"/>
        <v>0</v>
      </c>
      <c r="N388" s="613" t="str">
        <f>INDEX(tblSubjectToLoan[Date],ROW()-ROW(tblContractForDeed[#Headers]))</f>
        <v/>
      </c>
      <c r="O388" s="276">
        <f>IF(ROW()=ROW(tblContractForDeed[#Headers])+1,$O$6,IF(INDEX(tblContractForDeed[End Bal],ROW()-ROW(tblContractForDeed[#Headers])-1)&lt;0,0,INDEX(tblContractForDeed[End Bal],ROW()-ROW(tblContractForDeed[#Headers])-1)))</f>
        <v>0</v>
      </c>
      <c r="P388" s="454"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8" s="276">
        <f>IF(INDEX(tblContractForDeed[End Bal],ROW()-ROW(tblBuyerOutputs[#Headers]))&lt;=0,0,($O$6+IF(ROW()=ROW(tblBuyerOutputs[#Headers])+1,0,INDEX(tblBuyerOutputs[Cumul Appr],ROW()-ROW(tblBuyerOutputs[#Headers])-1)))*$O$2/12)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13" t="str">
        <f>IF(ROW()=ROW(tblSubjectToLoan[#Headers])+1,subjectKnownBalanceDate,IF(OR(INDEX(tblSubjectToLoan[Date],ROW()-ROW(tblSubjectToLoan[#Headers])-1)="",INDEX(tblSubjectToLoan[Date],ROW()-ROW(tblSubjectToLoan[#Headers])-1)&gt;=subjectMortgageEndDate),"",EDATE(INDEX(tblSubjectToLoan[Date],ROW()-ROW(tblSubjectToLoan[#Headers])-1),1)))</f>
        <v/>
      </c>
      <c r="B389" s="276">
        <f>IF(tblSubjectToLoan[[#This Row],[Date]]="",0,IF(ROW()=ROW(tblSubjectToLoan[#Headers])+1,subjectKnownBalance,MAX(0,INDEX(tblSubjectToLoan[Ending Balance],ROW()-ROW(tblSubjectToLoan[#Headers])-1))))</f>
        <v>0</v>
      </c>
      <c r="C3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9" s="14">
        <f>IF(tblSubjectToLoan[[#This Row],[Payment]]=0,0,MAX(0,MIN(tblSubjectToLoan[[#This Row],[Beginning Balance]],tblSubjectToLoan[[#This Row],[Payment]]-tblSubjectToLoan[[#This Row],[Int]])))</f>
        <v>0</v>
      </c>
      <c r="E389" s="14">
        <f>IF(tblSubjectToLoan[[#This Row],[Date]]="",0,ROUND(tblSubjectToLoan[[#This Row],[Beginning Balance]]*(subjectInterestRate/12),2))</f>
        <v>0</v>
      </c>
      <c r="F389" s="14">
        <f t="shared" si="34"/>
        <v>134.16999999999999</v>
      </c>
      <c r="G389" s="14">
        <f t="shared" si="34"/>
        <v>188.55</v>
      </c>
      <c r="H389" s="14">
        <f>SUM(tblSubjectToLoan[[#This Row],[Princ]],tblSubjectToLoan[[#This Row],[Int]],tblSubjectToLoan[[#This Row],[Ins]],tblSubjectToLoan[[#This Row],[Taxes]])</f>
        <v>322.72000000000003</v>
      </c>
      <c r="I3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9" s="276">
        <f>IF(tblSubjectToLoan[[#This Row],[Date]]="",IF(ROW()=ROW(tblSubjectToLoan[#Headers])+1,0,INDEX(tblSubjectToLoan[Interest],ROW()-ROW(tblSubjectToLoan[#Headers])-1)),tblSubjectToLoan[[#This Row],[Int]]+IF(ROW()=ROW(tblSubjectToLoan[#Headers])+1,0,INDEX(tblSubjectToLoan[Interest],ROW()-ROW(tblSubjectToLoan[#Headers])-1)))</f>
        <v>36068.259999999973</v>
      </c>
      <c r="K389" s="969">
        <f>IF(tblSubjectToLoan[[#This Row],[Date]]="",0,MAX(0,tblSubjectToLoan[[#This Row],[Beginning Balance]]-tblSubjectToLoan[[#This Row],[Princ]]))</f>
        <v>0</v>
      </c>
      <c r="L389" s="394">
        <f t="shared" si="33"/>
        <v>0</v>
      </c>
      <c r="M389" s="394">
        <f t="shared" si="30"/>
        <v>0</v>
      </c>
      <c r="N389" s="613" t="str">
        <f>INDEX(tblSubjectToLoan[Date],ROW()-ROW(tblContractForDeed[#Headers]))</f>
        <v/>
      </c>
      <c r="O389" s="276">
        <f>IF(ROW()=ROW(tblContractForDeed[#Headers])+1,$O$6,IF(INDEX(tblContractForDeed[End Bal],ROW()-ROW(tblContractForDeed[#Headers])-1)&lt;0,0,INDEX(tblContractForDeed[End Bal],ROW()-ROW(tblContractForDeed[#Headers])-1)))</f>
        <v>0</v>
      </c>
      <c r="P389" s="454"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9" s="276">
        <f>IF(INDEX(tblContractForDeed[End Bal],ROW()-ROW(tblBuyerOutputs[#Headers]))&lt;=0,0,($O$6+IF(ROW()=ROW(tblBuyerOutputs[#Headers])+1,0,INDEX(tblBuyerOutputs[Cumul Appr],ROW()-ROW(tblBuyerOutputs[#Headers])-1)))*$O$2/12)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13" t="str">
        <f>IF(ROW()=ROW(tblSubjectToLoan[#Headers])+1,subjectKnownBalanceDate,IF(OR(INDEX(tblSubjectToLoan[Date],ROW()-ROW(tblSubjectToLoan[#Headers])-1)="",INDEX(tblSubjectToLoan[Date],ROW()-ROW(tblSubjectToLoan[#Headers])-1)&gt;=subjectMortgageEndDate),"",EDATE(INDEX(tblSubjectToLoan[Date],ROW()-ROW(tblSubjectToLoan[#Headers])-1),1)))</f>
        <v/>
      </c>
      <c r="B390" s="276">
        <f>IF(tblSubjectToLoan[[#This Row],[Date]]="",0,IF(ROW()=ROW(tblSubjectToLoan[#Headers])+1,subjectKnownBalance,MAX(0,INDEX(tblSubjectToLoan[Ending Balance],ROW()-ROW(tblSubjectToLoan[#Headers])-1))))</f>
        <v>0</v>
      </c>
      <c r="C3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0" s="14">
        <f>IF(tblSubjectToLoan[[#This Row],[Payment]]=0,0,MAX(0,MIN(tblSubjectToLoan[[#This Row],[Beginning Balance]],tblSubjectToLoan[[#This Row],[Payment]]-tblSubjectToLoan[[#This Row],[Int]])))</f>
        <v>0</v>
      </c>
      <c r="E390" s="14">
        <f>IF(tblSubjectToLoan[[#This Row],[Date]]="",0,ROUND(tblSubjectToLoan[[#This Row],[Beginning Balance]]*(subjectInterestRate/12),2))</f>
        <v>0</v>
      </c>
      <c r="F390" s="14">
        <f t="shared" si="34"/>
        <v>134.16999999999999</v>
      </c>
      <c r="G390" s="14">
        <f t="shared" si="34"/>
        <v>188.55</v>
      </c>
      <c r="H390" s="14">
        <f>SUM(tblSubjectToLoan[[#This Row],[Princ]],tblSubjectToLoan[[#This Row],[Int]],tblSubjectToLoan[[#This Row],[Ins]],tblSubjectToLoan[[#This Row],[Taxes]])</f>
        <v>322.72000000000003</v>
      </c>
      <c r="I3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0" s="276">
        <f>IF(tblSubjectToLoan[[#This Row],[Date]]="",IF(ROW()=ROW(tblSubjectToLoan[#Headers])+1,0,INDEX(tblSubjectToLoan[Interest],ROW()-ROW(tblSubjectToLoan[#Headers])-1)),tblSubjectToLoan[[#This Row],[Int]]+IF(ROW()=ROW(tblSubjectToLoan[#Headers])+1,0,INDEX(tblSubjectToLoan[Interest],ROW()-ROW(tblSubjectToLoan[#Headers])-1)))</f>
        <v>36068.259999999973</v>
      </c>
      <c r="K390" s="969">
        <f>IF(tblSubjectToLoan[[#This Row],[Date]]="",0,MAX(0,tblSubjectToLoan[[#This Row],[Beginning Balance]]-tblSubjectToLoan[[#This Row],[Princ]]))</f>
        <v>0</v>
      </c>
      <c r="L390" s="394">
        <f t="shared" si="33"/>
        <v>0</v>
      </c>
      <c r="M390" s="394">
        <f t="shared" si="30"/>
        <v>0</v>
      </c>
      <c r="N390" s="613" t="str">
        <f>INDEX(tblSubjectToLoan[Date],ROW()-ROW(tblContractForDeed[#Headers]))</f>
        <v/>
      </c>
      <c r="O390" s="276">
        <f>IF(ROW()=ROW(tblContractForDeed[#Headers])+1,$O$6,IF(INDEX(tblContractForDeed[End Bal],ROW()-ROW(tblContractForDeed[#Headers])-1)&lt;0,0,INDEX(tblContractForDeed[End Bal],ROW()-ROW(tblContractForDeed[#Headers])-1)))</f>
        <v>0</v>
      </c>
      <c r="P390" s="454"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0" s="276">
        <f>IF(INDEX(tblContractForDeed[End Bal],ROW()-ROW(tblBuyerOutputs[#Headers]))&lt;=0,0,($O$6+IF(ROW()=ROW(tblBuyerOutputs[#Headers])+1,0,INDEX(tblBuyerOutputs[Cumul Appr],ROW()-ROW(tblBuyerOutputs[#Headers])-1)))*$O$2/12)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14" t="str">
        <f>IF(ROW()=ROW(tblSubjectToLoan[#Headers])+1,subjectKnownBalanceDate,IF(OR(INDEX(tblSubjectToLoan[Date],ROW()-ROW(tblSubjectToLoan[#Headers])-1)="",INDEX(tblSubjectToLoan[Date],ROW()-ROW(tblSubjectToLoan[#Headers])-1)&gt;=subjectMortgageEndDate),"",EDATE(INDEX(tblSubjectToLoan[Date],ROW()-ROW(tblSubjectToLoan[#Headers])-1),1)))</f>
        <v/>
      </c>
      <c r="B391" s="332">
        <f>IF(tblSubjectToLoan[[#This Row],[Date]]="",0,IF(ROW()=ROW(tblSubjectToLoan[#Headers])+1,subjectKnownBalance,MAX(0,INDEX(tblSubjectToLoan[Ending Balance],ROW()-ROW(tblSubjectToLoan[#Headers])-1))))</f>
        <v>0</v>
      </c>
      <c r="C39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1" s="21">
        <f>IF(tblSubjectToLoan[[#This Row],[Payment]]=0,0,MAX(0,MIN(tblSubjectToLoan[[#This Row],[Beginning Balance]],tblSubjectToLoan[[#This Row],[Payment]]-tblSubjectToLoan[[#This Row],[Int]])))</f>
        <v>0</v>
      </c>
      <c r="E391" s="21">
        <f>IF(tblSubjectToLoan[[#This Row],[Date]]="",0,ROUND(tblSubjectToLoan[[#This Row],[Beginning Balance]]*(subjectInterestRate/12),2))</f>
        <v>0</v>
      </c>
      <c r="F391" s="21">
        <f t="shared" si="34"/>
        <v>134.16999999999999</v>
      </c>
      <c r="G391" s="21">
        <f t="shared" si="34"/>
        <v>188.55</v>
      </c>
      <c r="H391" s="21">
        <f>SUM(tblSubjectToLoan[[#This Row],[Princ]],tblSubjectToLoan[[#This Row],[Int]],tblSubjectToLoan[[#This Row],[Ins]],tblSubjectToLoan[[#This Row],[Taxes]])</f>
        <v>322.72000000000003</v>
      </c>
      <c r="I39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91" s="332">
        <f>IF(tblSubjectToLoan[[#This Row],[Date]]="",IF(ROW()=ROW(tblSubjectToLoan[#Headers])+1,0,INDEX(tblSubjectToLoan[Interest],ROW()-ROW(tblSubjectToLoan[#Headers])-1)),tblSubjectToLoan[[#This Row],[Int]]+IF(ROW()=ROW(tblSubjectToLoan[#Headers])+1,0,INDEX(tblSubjectToLoan[Interest],ROW()-ROW(tblSubjectToLoan[#Headers])-1)))</f>
        <v>36068.259999999973</v>
      </c>
      <c r="K391" s="970">
        <f>IF(tblSubjectToLoan[[#This Row],[Date]]="",0,MAX(0,tblSubjectToLoan[[#This Row],[Beginning Balance]]-tblSubjectToLoan[[#This Row],[Princ]]))</f>
        <v>0</v>
      </c>
      <c r="L391" s="395">
        <f t="shared" si="33"/>
        <v>0</v>
      </c>
      <c r="M391" s="395">
        <f t="shared" si="30"/>
        <v>0</v>
      </c>
      <c r="N391" s="614" t="str">
        <f>INDEX(tblSubjectToLoan[Date],ROW()-ROW(tblContractForDeed[#Headers]))</f>
        <v/>
      </c>
      <c r="O391" s="332">
        <f>IF(ROW()=ROW(tblContractForDeed[#Headers])+1,$O$6,IF(INDEX(tblContractForDeed[End Bal],ROW()-ROW(tblContractForDeed[#Headers])-1)&lt;0,0,INDEX(tblContractForDeed[End Bal],ROW()-ROW(tblContractForDeed[#Headers])-1)))</f>
        <v>0</v>
      </c>
      <c r="P391" s="454"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1" s="332">
        <f>IF(INDEX(tblContractForDeed[End Bal],ROW()-ROW(tblBuyerOutputs[#Headers]))&lt;=0,0,($O$6+IF(ROW()=ROW(tblBuyerOutputs[#Headers])+1,0,INDEX(tblBuyerOutputs[Cumul Appr],ROW()-ROW(tblBuyerOutputs[#Headers])-1)))*$O$2/12)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13" t="str">
        <f>IF(ROW()=ROW(tblSubjectToLoan[#Headers])+1,subjectKnownBalanceDate,IF(OR(INDEX(tblSubjectToLoan[Date],ROW()-ROW(tblSubjectToLoan[#Headers])-1)="",INDEX(tblSubjectToLoan[Date],ROW()-ROW(tblSubjectToLoan[#Headers])-1)&gt;=subjectMortgageEndDate),"",EDATE(INDEX(tblSubjectToLoan[Date],ROW()-ROW(tblSubjectToLoan[#Headers])-1),1)))</f>
        <v/>
      </c>
      <c r="B392" s="276">
        <f>IF(tblSubjectToLoan[[#This Row],[Date]]="",0,IF(ROW()=ROW(tblSubjectToLoan[#Headers])+1,subjectKnownBalance,MAX(0,INDEX(tblSubjectToLoan[Ending Balance],ROW()-ROW(tblSubjectToLoan[#Headers])-1))))</f>
        <v>0</v>
      </c>
      <c r="C3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2" s="14">
        <f>IF(tblSubjectToLoan[[#This Row],[Payment]]=0,0,MAX(0,MIN(tblSubjectToLoan[[#This Row],[Beginning Balance]],tblSubjectToLoan[[#This Row],[Payment]]-tblSubjectToLoan[[#This Row],[Int]])))</f>
        <v>0</v>
      </c>
      <c r="E392" s="14">
        <f>IF(tblSubjectToLoan[[#This Row],[Date]]="",0,ROUND(tblSubjectToLoan[[#This Row],[Beginning Balance]]*(subjectInterestRate/12),2))</f>
        <v>0</v>
      </c>
      <c r="F392" s="14">
        <f t="shared" si="34"/>
        <v>134.16999999999999</v>
      </c>
      <c r="G392" s="14">
        <f t="shared" si="34"/>
        <v>188.55</v>
      </c>
      <c r="H392" s="14">
        <f>SUM(tblSubjectToLoan[[#This Row],[Princ]],tblSubjectToLoan[[#This Row],[Int]],tblSubjectToLoan[[#This Row],[Ins]],tblSubjectToLoan[[#This Row],[Taxes]])</f>
        <v>322.72000000000003</v>
      </c>
      <c r="I3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2" s="276">
        <f>IF(tblSubjectToLoan[[#This Row],[Date]]="",IF(ROW()=ROW(tblSubjectToLoan[#Headers])+1,0,INDEX(tblSubjectToLoan[Interest],ROW()-ROW(tblSubjectToLoan[#Headers])-1)),tblSubjectToLoan[[#This Row],[Int]]+IF(ROW()=ROW(tblSubjectToLoan[#Headers])+1,0,INDEX(tblSubjectToLoan[Interest],ROW()-ROW(tblSubjectToLoan[#Headers])-1)))</f>
        <v>36068.259999999973</v>
      </c>
      <c r="K392" s="969">
        <f>IF(tblSubjectToLoan[[#This Row],[Date]]="",0,MAX(0,tblSubjectToLoan[[#This Row],[Beginning Balance]]-tblSubjectToLoan[[#This Row],[Princ]]))</f>
        <v>0</v>
      </c>
      <c r="L392" s="394">
        <f t="shared" si="33"/>
        <v>0</v>
      </c>
      <c r="M392" s="394">
        <f t="shared" si="30"/>
        <v>0</v>
      </c>
      <c r="N392" s="613" t="str">
        <f>INDEX(tblSubjectToLoan[Date],ROW()-ROW(tblContractForDeed[#Headers]))</f>
        <v/>
      </c>
      <c r="O392" s="276">
        <f>IF(ROW()=ROW(tblContractForDeed[#Headers])+1,$O$6,IF(INDEX(tblContractForDeed[End Bal],ROW()-ROW(tblContractForDeed[#Headers])-1)&lt;0,0,INDEX(tblContractForDeed[End Bal],ROW()-ROW(tblContractForDeed[#Headers])-1)))</f>
        <v>0</v>
      </c>
      <c r="P392" s="454"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2" s="276">
        <f>IF(INDEX(tblContractForDeed[End Bal],ROW()-ROW(tblBuyerOutputs[#Headers]))&lt;=0,0,($O$6+IF(ROW()=ROW(tblBuyerOutputs[#Headers])+1,0,INDEX(tblBuyerOutputs[Cumul Appr],ROW()-ROW(tblBuyerOutputs[#Headers])-1)))*$O$2/12)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13" t="str">
        <f>IF(ROW()=ROW(tblSubjectToLoan[#Headers])+1,subjectKnownBalanceDate,IF(OR(INDEX(tblSubjectToLoan[Date],ROW()-ROW(tblSubjectToLoan[#Headers])-1)="",INDEX(tblSubjectToLoan[Date],ROW()-ROW(tblSubjectToLoan[#Headers])-1)&gt;=subjectMortgageEndDate),"",EDATE(INDEX(tblSubjectToLoan[Date],ROW()-ROW(tblSubjectToLoan[#Headers])-1),1)))</f>
        <v/>
      </c>
      <c r="B393" s="276">
        <f>IF(tblSubjectToLoan[[#This Row],[Date]]="",0,IF(ROW()=ROW(tblSubjectToLoan[#Headers])+1,subjectKnownBalance,MAX(0,INDEX(tblSubjectToLoan[Ending Balance],ROW()-ROW(tblSubjectToLoan[#Headers])-1))))</f>
        <v>0</v>
      </c>
      <c r="C3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3" s="14">
        <f>IF(tblSubjectToLoan[[#This Row],[Payment]]=0,0,MAX(0,MIN(tblSubjectToLoan[[#This Row],[Beginning Balance]],tblSubjectToLoan[[#This Row],[Payment]]-tblSubjectToLoan[[#This Row],[Int]])))</f>
        <v>0</v>
      </c>
      <c r="E393" s="14">
        <f>IF(tblSubjectToLoan[[#This Row],[Date]]="",0,ROUND(tblSubjectToLoan[[#This Row],[Beginning Balance]]*(subjectInterestRate/12),2))</f>
        <v>0</v>
      </c>
      <c r="F393" s="14">
        <f t="shared" si="34"/>
        <v>134.16999999999999</v>
      </c>
      <c r="G393" s="14">
        <f t="shared" si="34"/>
        <v>188.55</v>
      </c>
      <c r="H393" s="14">
        <f>SUM(tblSubjectToLoan[[#This Row],[Princ]],tblSubjectToLoan[[#This Row],[Int]],tblSubjectToLoan[[#This Row],[Ins]],tblSubjectToLoan[[#This Row],[Taxes]])</f>
        <v>322.72000000000003</v>
      </c>
      <c r="I3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3" s="276">
        <f>IF(tblSubjectToLoan[[#This Row],[Date]]="",IF(ROW()=ROW(tblSubjectToLoan[#Headers])+1,0,INDEX(tblSubjectToLoan[Interest],ROW()-ROW(tblSubjectToLoan[#Headers])-1)),tblSubjectToLoan[[#This Row],[Int]]+IF(ROW()=ROW(tblSubjectToLoan[#Headers])+1,0,INDEX(tblSubjectToLoan[Interest],ROW()-ROW(tblSubjectToLoan[#Headers])-1)))</f>
        <v>36068.259999999973</v>
      </c>
      <c r="K393" s="969">
        <f>IF(tblSubjectToLoan[[#This Row],[Date]]="",0,MAX(0,tblSubjectToLoan[[#This Row],[Beginning Balance]]-tblSubjectToLoan[[#This Row],[Princ]]))</f>
        <v>0</v>
      </c>
      <c r="L393" s="394">
        <f t="shared" si="33"/>
        <v>0</v>
      </c>
      <c r="M393" s="394">
        <f t="shared" si="30"/>
        <v>0</v>
      </c>
      <c r="N393" s="613" t="str">
        <f>INDEX(tblSubjectToLoan[Date],ROW()-ROW(tblContractForDeed[#Headers]))</f>
        <v/>
      </c>
      <c r="O393" s="276">
        <f>IF(ROW()=ROW(tblContractForDeed[#Headers])+1,$O$6,IF(INDEX(tblContractForDeed[End Bal],ROW()-ROW(tblContractForDeed[#Headers])-1)&lt;0,0,INDEX(tblContractForDeed[End Bal],ROW()-ROW(tblContractForDeed[#Headers])-1)))</f>
        <v>0</v>
      </c>
      <c r="P393" s="454"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3" s="276">
        <f>IF(INDEX(tblContractForDeed[End Bal],ROW()-ROW(tblBuyerOutputs[#Headers]))&lt;=0,0,($O$6+IF(ROW()=ROW(tblBuyerOutputs[#Headers])+1,0,INDEX(tblBuyerOutputs[Cumul Appr],ROW()-ROW(tblBuyerOutputs[#Headers])-1)))*$O$2/12)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13" t="str">
        <f>IF(ROW()=ROW(tblSubjectToLoan[#Headers])+1,subjectKnownBalanceDate,IF(OR(INDEX(tblSubjectToLoan[Date],ROW()-ROW(tblSubjectToLoan[#Headers])-1)="",INDEX(tblSubjectToLoan[Date],ROW()-ROW(tblSubjectToLoan[#Headers])-1)&gt;=subjectMortgageEndDate),"",EDATE(INDEX(tblSubjectToLoan[Date],ROW()-ROW(tblSubjectToLoan[#Headers])-1),1)))</f>
        <v/>
      </c>
      <c r="B394" s="276">
        <f>IF(tblSubjectToLoan[[#This Row],[Date]]="",0,IF(ROW()=ROW(tblSubjectToLoan[#Headers])+1,subjectKnownBalance,MAX(0,INDEX(tblSubjectToLoan[Ending Balance],ROW()-ROW(tblSubjectToLoan[#Headers])-1))))</f>
        <v>0</v>
      </c>
      <c r="C3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4" s="14">
        <f>IF(tblSubjectToLoan[[#This Row],[Payment]]=0,0,MAX(0,MIN(tblSubjectToLoan[[#This Row],[Beginning Balance]],tblSubjectToLoan[[#This Row],[Payment]]-tblSubjectToLoan[[#This Row],[Int]])))</f>
        <v>0</v>
      </c>
      <c r="E394" s="14">
        <f>IF(tblSubjectToLoan[[#This Row],[Date]]="",0,ROUND(tblSubjectToLoan[[#This Row],[Beginning Balance]]*(subjectInterestRate/12),2))</f>
        <v>0</v>
      </c>
      <c r="F394" s="14">
        <f t="shared" si="34"/>
        <v>134.16999999999999</v>
      </c>
      <c r="G394" s="14">
        <f t="shared" si="34"/>
        <v>188.55</v>
      </c>
      <c r="H394" s="14">
        <f>SUM(tblSubjectToLoan[[#This Row],[Princ]],tblSubjectToLoan[[#This Row],[Int]],tblSubjectToLoan[[#This Row],[Ins]],tblSubjectToLoan[[#This Row],[Taxes]])</f>
        <v>322.72000000000003</v>
      </c>
      <c r="I3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4" s="276">
        <f>IF(tblSubjectToLoan[[#This Row],[Date]]="",IF(ROW()=ROW(tblSubjectToLoan[#Headers])+1,0,INDEX(tblSubjectToLoan[Interest],ROW()-ROW(tblSubjectToLoan[#Headers])-1)),tblSubjectToLoan[[#This Row],[Int]]+IF(ROW()=ROW(tblSubjectToLoan[#Headers])+1,0,INDEX(tblSubjectToLoan[Interest],ROW()-ROW(tblSubjectToLoan[#Headers])-1)))</f>
        <v>36068.259999999973</v>
      </c>
      <c r="K394" s="969">
        <f>IF(tblSubjectToLoan[[#This Row],[Date]]="",0,MAX(0,tblSubjectToLoan[[#This Row],[Beginning Balance]]-tblSubjectToLoan[[#This Row],[Princ]]))</f>
        <v>0</v>
      </c>
      <c r="L394" s="394">
        <f t="shared" si="33"/>
        <v>0</v>
      </c>
      <c r="M394" s="394">
        <f t="shared" si="30"/>
        <v>0</v>
      </c>
      <c r="N394" s="613" t="str">
        <f>INDEX(tblSubjectToLoan[Date],ROW()-ROW(tblContractForDeed[#Headers]))</f>
        <v/>
      </c>
      <c r="O394" s="276">
        <f>IF(ROW()=ROW(tblContractForDeed[#Headers])+1,$O$6,IF(INDEX(tblContractForDeed[End Bal],ROW()-ROW(tblContractForDeed[#Headers])-1)&lt;0,0,INDEX(tblContractForDeed[End Bal],ROW()-ROW(tblContractForDeed[#Headers])-1)))</f>
        <v>0</v>
      </c>
      <c r="P394" s="454"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4" s="276">
        <f>IF(INDEX(tblContractForDeed[End Bal],ROW()-ROW(tblBuyerOutputs[#Headers]))&lt;=0,0,($O$6+IF(ROW()=ROW(tblBuyerOutputs[#Headers])+1,0,INDEX(tblBuyerOutputs[Cumul Appr],ROW()-ROW(tblBuyerOutputs[#Headers])-1)))*$O$2/12)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13" t="str">
        <f>IF(ROW()=ROW(tblSubjectToLoan[#Headers])+1,subjectKnownBalanceDate,IF(OR(INDEX(tblSubjectToLoan[Date],ROW()-ROW(tblSubjectToLoan[#Headers])-1)="",INDEX(tblSubjectToLoan[Date],ROW()-ROW(tblSubjectToLoan[#Headers])-1)&gt;=subjectMortgageEndDate),"",EDATE(INDEX(tblSubjectToLoan[Date],ROW()-ROW(tblSubjectToLoan[#Headers])-1),1)))</f>
        <v/>
      </c>
      <c r="B395" s="276">
        <f>IF(tblSubjectToLoan[[#This Row],[Date]]="",0,IF(ROW()=ROW(tblSubjectToLoan[#Headers])+1,subjectKnownBalance,MAX(0,INDEX(tblSubjectToLoan[Ending Balance],ROW()-ROW(tblSubjectToLoan[#Headers])-1))))</f>
        <v>0</v>
      </c>
      <c r="C3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5" s="14">
        <f>IF(tblSubjectToLoan[[#This Row],[Payment]]=0,0,MAX(0,MIN(tblSubjectToLoan[[#This Row],[Beginning Balance]],tblSubjectToLoan[[#This Row],[Payment]]-tblSubjectToLoan[[#This Row],[Int]])))</f>
        <v>0</v>
      </c>
      <c r="E395" s="14">
        <f>IF(tblSubjectToLoan[[#This Row],[Date]]="",0,ROUND(tblSubjectToLoan[[#This Row],[Beginning Balance]]*(subjectInterestRate/12),2))</f>
        <v>0</v>
      </c>
      <c r="F395" s="14">
        <f t="shared" si="34"/>
        <v>134.16999999999999</v>
      </c>
      <c r="G395" s="14">
        <f t="shared" si="34"/>
        <v>188.55</v>
      </c>
      <c r="H395" s="14">
        <f>SUM(tblSubjectToLoan[[#This Row],[Princ]],tblSubjectToLoan[[#This Row],[Int]],tblSubjectToLoan[[#This Row],[Ins]],tblSubjectToLoan[[#This Row],[Taxes]])</f>
        <v>322.72000000000003</v>
      </c>
      <c r="I3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5" s="276">
        <f>IF(tblSubjectToLoan[[#This Row],[Date]]="",IF(ROW()=ROW(tblSubjectToLoan[#Headers])+1,0,INDEX(tblSubjectToLoan[Interest],ROW()-ROW(tblSubjectToLoan[#Headers])-1)),tblSubjectToLoan[[#This Row],[Int]]+IF(ROW()=ROW(tblSubjectToLoan[#Headers])+1,0,INDEX(tblSubjectToLoan[Interest],ROW()-ROW(tblSubjectToLoan[#Headers])-1)))</f>
        <v>36068.259999999973</v>
      </c>
      <c r="K395" s="969">
        <f>IF(tblSubjectToLoan[[#This Row],[Date]]="",0,MAX(0,tblSubjectToLoan[[#This Row],[Beginning Balance]]-tblSubjectToLoan[[#This Row],[Princ]]))</f>
        <v>0</v>
      </c>
      <c r="L395" s="394">
        <f t="shared" si="33"/>
        <v>0</v>
      </c>
      <c r="M395" s="394">
        <f t="shared" si="30"/>
        <v>0</v>
      </c>
      <c r="N395" s="613" t="str">
        <f>INDEX(tblSubjectToLoan[Date],ROW()-ROW(tblContractForDeed[#Headers]))</f>
        <v/>
      </c>
      <c r="O395" s="276">
        <f>IF(ROW()=ROW(tblContractForDeed[#Headers])+1,$O$6,IF(INDEX(tblContractForDeed[End Bal],ROW()-ROW(tblContractForDeed[#Headers])-1)&lt;0,0,INDEX(tblContractForDeed[End Bal],ROW()-ROW(tblContractForDeed[#Headers])-1)))</f>
        <v>0</v>
      </c>
      <c r="P395" s="454"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5" s="276">
        <f>IF(INDEX(tblContractForDeed[End Bal],ROW()-ROW(tblBuyerOutputs[#Headers]))&lt;=0,0,($O$6+IF(ROW()=ROW(tblBuyerOutputs[#Headers])+1,0,INDEX(tblBuyerOutputs[Cumul Appr],ROW()-ROW(tblBuyerOutputs[#Headers])-1)))*$O$2/12)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13" t="str">
        <f>IF(ROW()=ROW(tblSubjectToLoan[#Headers])+1,subjectKnownBalanceDate,IF(OR(INDEX(tblSubjectToLoan[Date],ROW()-ROW(tblSubjectToLoan[#Headers])-1)="",INDEX(tblSubjectToLoan[Date],ROW()-ROW(tblSubjectToLoan[#Headers])-1)&gt;=subjectMortgageEndDate),"",EDATE(INDEX(tblSubjectToLoan[Date],ROW()-ROW(tblSubjectToLoan[#Headers])-1),1)))</f>
        <v/>
      </c>
      <c r="B396" s="276">
        <f>IF(tblSubjectToLoan[[#This Row],[Date]]="",0,IF(ROW()=ROW(tblSubjectToLoan[#Headers])+1,subjectKnownBalance,MAX(0,INDEX(tblSubjectToLoan[Ending Balance],ROW()-ROW(tblSubjectToLoan[#Headers])-1))))</f>
        <v>0</v>
      </c>
      <c r="C3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6" s="14">
        <f>IF(tblSubjectToLoan[[#This Row],[Payment]]=0,0,MAX(0,MIN(tblSubjectToLoan[[#This Row],[Beginning Balance]],tblSubjectToLoan[[#This Row],[Payment]]-tblSubjectToLoan[[#This Row],[Int]])))</f>
        <v>0</v>
      </c>
      <c r="E396" s="14">
        <f>IF(tblSubjectToLoan[[#This Row],[Date]]="",0,ROUND(tblSubjectToLoan[[#This Row],[Beginning Balance]]*(subjectInterestRate/12),2))</f>
        <v>0</v>
      </c>
      <c r="F396" s="14">
        <f t="shared" si="34"/>
        <v>134.16999999999999</v>
      </c>
      <c r="G396" s="14">
        <f t="shared" si="34"/>
        <v>188.55</v>
      </c>
      <c r="H396" s="14">
        <f>SUM(tblSubjectToLoan[[#This Row],[Princ]],tblSubjectToLoan[[#This Row],[Int]],tblSubjectToLoan[[#This Row],[Ins]],tblSubjectToLoan[[#This Row],[Taxes]])</f>
        <v>322.72000000000003</v>
      </c>
      <c r="I3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6" s="276">
        <f>IF(tblSubjectToLoan[[#This Row],[Date]]="",IF(ROW()=ROW(tblSubjectToLoan[#Headers])+1,0,INDEX(tblSubjectToLoan[Interest],ROW()-ROW(tblSubjectToLoan[#Headers])-1)),tblSubjectToLoan[[#This Row],[Int]]+IF(ROW()=ROW(tblSubjectToLoan[#Headers])+1,0,INDEX(tblSubjectToLoan[Interest],ROW()-ROW(tblSubjectToLoan[#Headers])-1)))</f>
        <v>36068.259999999973</v>
      </c>
      <c r="K396" s="969">
        <f>IF(tblSubjectToLoan[[#This Row],[Date]]="",0,MAX(0,tblSubjectToLoan[[#This Row],[Beginning Balance]]-tblSubjectToLoan[[#This Row],[Princ]]))</f>
        <v>0</v>
      </c>
      <c r="L396" s="394">
        <f t="shared" si="33"/>
        <v>0</v>
      </c>
      <c r="M396" s="394">
        <f t="shared" si="30"/>
        <v>0</v>
      </c>
      <c r="N396" s="613" t="str">
        <f>INDEX(tblSubjectToLoan[Date],ROW()-ROW(tblContractForDeed[#Headers]))</f>
        <v/>
      </c>
      <c r="O396" s="276">
        <f>IF(ROW()=ROW(tblContractForDeed[#Headers])+1,$O$6,IF(INDEX(tblContractForDeed[End Bal],ROW()-ROW(tblContractForDeed[#Headers])-1)&lt;0,0,INDEX(tblContractForDeed[End Bal],ROW()-ROW(tblContractForDeed[#Headers])-1)))</f>
        <v>0</v>
      </c>
      <c r="P396" s="454"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6" s="276">
        <f>IF(INDEX(tblContractForDeed[End Bal],ROW()-ROW(tblBuyerOutputs[#Headers]))&lt;=0,0,($O$6+IF(ROW()=ROW(tblBuyerOutputs[#Headers])+1,0,INDEX(tblBuyerOutputs[Cumul Appr],ROW()-ROW(tblBuyerOutputs[#Headers])-1)))*$O$2/12)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13" t="str">
        <f>IF(ROW()=ROW(tblSubjectToLoan[#Headers])+1,subjectKnownBalanceDate,IF(OR(INDEX(tblSubjectToLoan[Date],ROW()-ROW(tblSubjectToLoan[#Headers])-1)="",INDEX(tblSubjectToLoan[Date],ROW()-ROW(tblSubjectToLoan[#Headers])-1)&gt;=subjectMortgageEndDate),"",EDATE(INDEX(tblSubjectToLoan[Date],ROW()-ROW(tblSubjectToLoan[#Headers])-1),1)))</f>
        <v/>
      </c>
      <c r="B397" s="276">
        <f>IF(tblSubjectToLoan[[#This Row],[Date]]="",0,IF(ROW()=ROW(tblSubjectToLoan[#Headers])+1,subjectKnownBalance,MAX(0,INDEX(tblSubjectToLoan[Ending Balance],ROW()-ROW(tblSubjectToLoan[#Headers])-1))))</f>
        <v>0</v>
      </c>
      <c r="C3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7" s="14">
        <f>IF(tblSubjectToLoan[[#This Row],[Payment]]=0,0,MAX(0,MIN(tblSubjectToLoan[[#This Row],[Beginning Balance]],tblSubjectToLoan[[#This Row],[Payment]]-tblSubjectToLoan[[#This Row],[Int]])))</f>
        <v>0</v>
      </c>
      <c r="E397" s="14">
        <f>IF(tblSubjectToLoan[[#This Row],[Date]]="",0,ROUND(tblSubjectToLoan[[#This Row],[Beginning Balance]]*(subjectInterestRate/12),2))</f>
        <v>0</v>
      </c>
      <c r="F397" s="14">
        <f t="shared" si="34"/>
        <v>134.16999999999999</v>
      </c>
      <c r="G397" s="14">
        <f t="shared" si="34"/>
        <v>188.55</v>
      </c>
      <c r="H397" s="14">
        <f>SUM(tblSubjectToLoan[[#This Row],[Princ]],tblSubjectToLoan[[#This Row],[Int]],tblSubjectToLoan[[#This Row],[Ins]],tblSubjectToLoan[[#This Row],[Taxes]])</f>
        <v>322.72000000000003</v>
      </c>
      <c r="I3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7" s="276">
        <f>IF(tblSubjectToLoan[[#This Row],[Date]]="",IF(ROW()=ROW(tblSubjectToLoan[#Headers])+1,0,INDEX(tblSubjectToLoan[Interest],ROW()-ROW(tblSubjectToLoan[#Headers])-1)),tblSubjectToLoan[[#This Row],[Int]]+IF(ROW()=ROW(tblSubjectToLoan[#Headers])+1,0,INDEX(tblSubjectToLoan[Interest],ROW()-ROW(tblSubjectToLoan[#Headers])-1)))</f>
        <v>36068.259999999973</v>
      </c>
      <c r="K397" s="969">
        <f>IF(tblSubjectToLoan[[#This Row],[Date]]="",0,MAX(0,tblSubjectToLoan[[#This Row],[Beginning Balance]]-tblSubjectToLoan[[#This Row],[Princ]]))</f>
        <v>0</v>
      </c>
      <c r="L397" s="394">
        <f t="shared" si="33"/>
        <v>0</v>
      </c>
      <c r="M397" s="394">
        <f t="shared" si="30"/>
        <v>0</v>
      </c>
      <c r="N397" s="613" t="str">
        <f>INDEX(tblSubjectToLoan[Date],ROW()-ROW(tblContractForDeed[#Headers]))</f>
        <v/>
      </c>
      <c r="O397" s="276">
        <f>IF(ROW()=ROW(tblContractForDeed[#Headers])+1,$O$6,IF(INDEX(tblContractForDeed[End Bal],ROW()-ROW(tblContractForDeed[#Headers])-1)&lt;0,0,INDEX(tblContractForDeed[End Bal],ROW()-ROW(tblContractForDeed[#Headers])-1)))</f>
        <v>0</v>
      </c>
      <c r="P397" s="454"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7" s="276">
        <f>IF(INDEX(tblContractForDeed[End Bal],ROW()-ROW(tblBuyerOutputs[#Headers]))&lt;=0,0,($O$6+IF(ROW()=ROW(tblBuyerOutputs[#Headers])+1,0,INDEX(tblBuyerOutputs[Cumul Appr],ROW()-ROW(tblBuyerOutputs[#Headers])-1)))*$O$2/12)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13" t="str">
        <f>IF(ROW()=ROW(tblSubjectToLoan[#Headers])+1,subjectKnownBalanceDate,IF(OR(INDEX(tblSubjectToLoan[Date],ROW()-ROW(tblSubjectToLoan[#Headers])-1)="",INDEX(tblSubjectToLoan[Date],ROW()-ROW(tblSubjectToLoan[#Headers])-1)&gt;=subjectMortgageEndDate),"",EDATE(INDEX(tblSubjectToLoan[Date],ROW()-ROW(tblSubjectToLoan[#Headers])-1),1)))</f>
        <v/>
      </c>
      <c r="B398" s="276">
        <f>IF(tblSubjectToLoan[[#This Row],[Date]]="",0,IF(ROW()=ROW(tblSubjectToLoan[#Headers])+1,subjectKnownBalance,MAX(0,INDEX(tblSubjectToLoan[Ending Balance],ROW()-ROW(tblSubjectToLoan[#Headers])-1))))</f>
        <v>0</v>
      </c>
      <c r="C3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8" s="14">
        <f>IF(tblSubjectToLoan[[#This Row],[Payment]]=0,0,MAX(0,MIN(tblSubjectToLoan[[#This Row],[Beginning Balance]],tblSubjectToLoan[[#This Row],[Payment]]-tblSubjectToLoan[[#This Row],[Int]])))</f>
        <v>0</v>
      </c>
      <c r="E398" s="14">
        <f>IF(tblSubjectToLoan[[#This Row],[Date]]="",0,ROUND(tblSubjectToLoan[[#This Row],[Beginning Balance]]*(subjectInterestRate/12),2))</f>
        <v>0</v>
      </c>
      <c r="F398" s="14">
        <f t="shared" si="34"/>
        <v>134.16999999999999</v>
      </c>
      <c r="G398" s="14">
        <f t="shared" si="34"/>
        <v>188.55</v>
      </c>
      <c r="H398" s="14">
        <f>SUM(tblSubjectToLoan[[#This Row],[Princ]],tblSubjectToLoan[[#This Row],[Int]],tblSubjectToLoan[[#This Row],[Ins]],tblSubjectToLoan[[#This Row],[Taxes]])</f>
        <v>322.72000000000003</v>
      </c>
      <c r="I3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8" s="276">
        <f>IF(tblSubjectToLoan[[#This Row],[Date]]="",IF(ROW()=ROW(tblSubjectToLoan[#Headers])+1,0,INDEX(tblSubjectToLoan[Interest],ROW()-ROW(tblSubjectToLoan[#Headers])-1)),tblSubjectToLoan[[#This Row],[Int]]+IF(ROW()=ROW(tblSubjectToLoan[#Headers])+1,0,INDEX(tblSubjectToLoan[Interest],ROW()-ROW(tblSubjectToLoan[#Headers])-1)))</f>
        <v>36068.259999999973</v>
      </c>
      <c r="K398" s="969">
        <f>IF(tblSubjectToLoan[[#This Row],[Date]]="",0,MAX(0,tblSubjectToLoan[[#This Row],[Beginning Balance]]-tblSubjectToLoan[[#This Row],[Princ]]))</f>
        <v>0</v>
      </c>
      <c r="L398" s="394">
        <f t="shared" si="33"/>
        <v>0</v>
      </c>
      <c r="M398" s="394">
        <f t="shared" si="30"/>
        <v>0</v>
      </c>
      <c r="N398" s="613" t="str">
        <f>INDEX(tblSubjectToLoan[Date],ROW()-ROW(tblContractForDeed[#Headers]))</f>
        <v/>
      </c>
      <c r="O398" s="276">
        <f>IF(ROW()=ROW(tblContractForDeed[#Headers])+1,$O$6,IF(INDEX(tblContractForDeed[End Bal],ROW()-ROW(tblContractForDeed[#Headers])-1)&lt;0,0,INDEX(tblContractForDeed[End Bal],ROW()-ROW(tblContractForDeed[#Headers])-1)))</f>
        <v>0</v>
      </c>
      <c r="P398" s="454"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8" s="276">
        <f>IF(INDEX(tblContractForDeed[End Bal],ROW()-ROW(tblBuyerOutputs[#Headers]))&lt;=0,0,($O$6+IF(ROW()=ROW(tblBuyerOutputs[#Headers])+1,0,INDEX(tblBuyerOutputs[Cumul Appr],ROW()-ROW(tblBuyerOutputs[#Headers])-1)))*$O$2/12)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13" t="str">
        <f>IF(ROW()=ROW(tblSubjectToLoan[#Headers])+1,subjectKnownBalanceDate,IF(OR(INDEX(tblSubjectToLoan[Date],ROW()-ROW(tblSubjectToLoan[#Headers])-1)="",INDEX(tblSubjectToLoan[Date],ROW()-ROW(tblSubjectToLoan[#Headers])-1)&gt;=subjectMortgageEndDate),"",EDATE(INDEX(tblSubjectToLoan[Date],ROW()-ROW(tblSubjectToLoan[#Headers])-1),1)))</f>
        <v/>
      </c>
      <c r="B399" s="276">
        <f>IF(tblSubjectToLoan[[#This Row],[Date]]="",0,IF(ROW()=ROW(tblSubjectToLoan[#Headers])+1,subjectKnownBalance,MAX(0,INDEX(tblSubjectToLoan[Ending Balance],ROW()-ROW(tblSubjectToLoan[#Headers])-1))))</f>
        <v>0</v>
      </c>
      <c r="C3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9" s="14">
        <f>IF(tblSubjectToLoan[[#This Row],[Payment]]=0,0,MAX(0,MIN(tblSubjectToLoan[[#This Row],[Beginning Balance]],tblSubjectToLoan[[#This Row],[Payment]]-tblSubjectToLoan[[#This Row],[Int]])))</f>
        <v>0</v>
      </c>
      <c r="E399" s="14">
        <f>IF(tblSubjectToLoan[[#This Row],[Date]]="",0,ROUND(tblSubjectToLoan[[#This Row],[Beginning Balance]]*(subjectInterestRate/12),2))</f>
        <v>0</v>
      </c>
      <c r="F399" s="14">
        <f t="shared" ref="F399:G414" si="35">+F398</f>
        <v>134.16999999999999</v>
      </c>
      <c r="G399" s="14">
        <f t="shared" si="35"/>
        <v>188.55</v>
      </c>
      <c r="H399" s="14">
        <f>SUM(tblSubjectToLoan[[#This Row],[Princ]],tblSubjectToLoan[[#This Row],[Int]],tblSubjectToLoan[[#This Row],[Ins]],tblSubjectToLoan[[#This Row],[Taxes]])</f>
        <v>322.72000000000003</v>
      </c>
      <c r="I3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9" s="276">
        <f>IF(tblSubjectToLoan[[#This Row],[Date]]="",IF(ROW()=ROW(tblSubjectToLoan[#Headers])+1,0,INDEX(tblSubjectToLoan[Interest],ROW()-ROW(tblSubjectToLoan[#Headers])-1)),tblSubjectToLoan[[#This Row],[Int]]+IF(ROW()=ROW(tblSubjectToLoan[#Headers])+1,0,INDEX(tblSubjectToLoan[Interest],ROW()-ROW(tblSubjectToLoan[#Headers])-1)))</f>
        <v>36068.259999999973</v>
      </c>
      <c r="K399" s="969">
        <f>IF(tblSubjectToLoan[[#This Row],[Date]]="",0,MAX(0,tblSubjectToLoan[[#This Row],[Beginning Balance]]-tblSubjectToLoan[[#This Row],[Princ]]))</f>
        <v>0</v>
      </c>
      <c r="L399" s="394">
        <f t="shared" si="33"/>
        <v>0</v>
      </c>
      <c r="M399" s="394">
        <f t="shared" si="30"/>
        <v>0</v>
      </c>
      <c r="N399" s="613" t="str">
        <f>INDEX(tblSubjectToLoan[Date],ROW()-ROW(tblContractForDeed[#Headers]))</f>
        <v/>
      </c>
      <c r="O399" s="276">
        <f>IF(ROW()=ROW(tblContractForDeed[#Headers])+1,$O$6,IF(INDEX(tblContractForDeed[End Bal],ROW()-ROW(tblContractForDeed[#Headers])-1)&lt;0,0,INDEX(tblContractForDeed[End Bal],ROW()-ROW(tblContractForDeed[#Headers])-1)))</f>
        <v>0</v>
      </c>
      <c r="P399" s="454"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9" s="276">
        <f>IF(INDEX(tblContractForDeed[End Bal],ROW()-ROW(tblBuyerOutputs[#Headers]))&lt;=0,0,($O$6+IF(ROW()=ROW(tblBuyerOutputs[#Headers])+1,0,INDEX(tblBuyerOutputs[Cumul Appr],ROW()-ROW(tblBuyerOutputs[#Headers])-1)))*$O$2/12)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13" t="str">
        <f>IF(ROW()=ROW(tblSubjectToLoan[#Headers])+1,subjectKnownBalanceDate,IF(OR(INDEX(tblSubjectToLoan[Date],ROW()-ROW(tblSubjectToLoan[#Headers])-1)="",INDEX(tblSubjectToLoan[Date],ROW()-ROW(tblSubjectToLoan[#Headers])-1)&gt;=subjectMortgageEndDate),"",EDATE(INDEX(tblSubjectToLoan[Date],ROW()-ROW(tblSubjectToLoan[#Headers])-1),1)))</f>
        <v/>
      </c>
      <c r="B400" s="276">
        <f>IF(tblSubjectToLoan[[#This Row],[Date]]="",0,IF(ROW()=ROW(tblSubjectToLoan[#Headers])+1,subjectKnownBalance,MAX(0,INDEX(tblSubjectToLoan[Ending Balance],ROW()-ROW(tblSubjectToLoan[#Headers])-1))))</f>
        <v>0</v>
      </c>
      <c r="C4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0" s="14">
        <f>IF(tblSubjectToLoan[[#This Row],[Payment]]=0,0,MAX(0,MIN(tblSubjectToLoan[[#This Row],[Beginning Balance]],tblSubjectToLoan[[#This Row],[Payment]]-tblSubjectToLoan[[#This Row],[Int]])))</f>
        <v>0</v>
      </c>
      <c r="E400" s="14">
        <f>IF(tblSubjectToLoan[[#This Row],[Date]]="",0,ROUND(tblSubjectToLoan[[#This Row],[Beginning Balance]]*(subjectInterestRate/12),2))</f>
        <v>0</v>
      </c>
      <c r="F400" s="14">
        <f t="shared" si="35"/>
        <v>134.16999999999999</v>
      </c>
      <c r="G400" s="14">
        <f t="shared" si="35"/>
        <v>188.55</v>
      </c>
      <c r="H400" s="14">
        <f>SUM(tblSubjectToLoan[[#This Row],[Princ]],tblSubjectToLoan[[#This Row],[Int]],tblSubjectToLoan[[#This Row],[Ins]],tblSubjectToLoan[[#This Row],[Taxes]])</f>
        <v>322.72000000000003</v>
      </c>
      <c r="I4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0" s="276">
        <f>IF(tblSubjectToLoan[[#This Row],[Date]]="",IF(ROW()=ROW(tblSubjectToLoan[#Headers])+1,0,INDEX(tblSubjectToLoan[Interest],ROW()-ROW(tblSubjectToLoan[#Headers])-1)),tblSubjectToLoan[[#This Row],[Int]]+IF(ROW()=ROW(tblSubjectToLoan[#Headers])+1,0,INDEX(tblSubjectToLoan[Interest],ROW()-ROW(tblSubjectToLoan[#Headers])-1)))</f>
        <v>36068.259999999973</v>
      </c>
      <c r="K400" s="969">
        <f>IF(tblSubjectToLoan[[#This Row],[Date]]="",0,MAX(0,tblSubjectToLoan[[#This Row],[Beginning Balance]]-tblSubjectToLoan[[#This Row],[Princ]]))</f>
        <v>0</v>
      </c>
      <c r="L400" s="394">
        <f t="shared" si="33"/>
        <v>0</v>
      </c>
      <c r="M400" s="394">
        <f t="shared" si="30"/>
        <v>0</v>
      </c>
      <c r="N400" s="613" t="str">
        <f>INDEX(tblSubjectToLoan[Date],ROW()-ROW(tblContractForDeed[#Headers]))</f>
        <v/>
      </c>
      <c r="O400" s="276">
        <f>IF(ROW()=ROW(tblContractForDeed[#Headers])+1,$O$6,IF(INDEX(tblContractForDeed[End Bal],ROW()-ROW(tblContractForDeed[#Headers])-1)&lt;0,0,INDEX(tblContractForDeed[End Bal],ROW()-ROW(tblContractForDeed[#Headers])-1)))</f>
        <v>0</v>
      </c>
      <c r="P400" s="454"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0" s="276">
        <f>IF(INDEX(tblContractForDeed[End Bal],ROW()-ROW(tblBuyerOutputs[#Headers]))&lt;=0,0,($O$6+IF(ROW()=ROW(tblBuyerOutputs[#Headers])+1,0,INDEX(tblBuyerOutputs[Cumul Appr],ROW()-ROW(tblBuyerOutputs[#Headers])-1)))*$O$2/12)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13" t="str">
        <f>IF(ROW()=ROW(tblSubjectToLoan[#Headers])+1,subjectKnownBalanceDate,IF(OR(INDEX(tblSubjectToLoan[Date],ROW()-ROW(tblSubjectToLoan[#Headers])-1)="",INDEX(tblSubjectToLoan[Date],ROW()-ROW(tblSubjectToLoan[#Headers])-1)&gt;=subjectMortgageEndDate),"",EDATE(INDEX(tblSubjectToLoan[Date],ROW()-ROW(tblSubjectToLoan[#Headers])-1),1)))</f>
        <v/>
      </c>
      <c r="B401" s="276">
        <f>IF(tblSubjectToLoan[[#This Row],[Date]]="",0,IF(ROW()=ROW(tblSubjectToLoan[#Headers])+1,subjectKnownBalance,MAX(0,INDEX(tblSubjectToLoan[Ending Balance],ROW()-ROW(tblSubjectToLoan[#Headers])-1))))</f>
        <v>0</v>
      </c>
      <c r="C4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1" s="14">
        <f>IF(tblSubjectToLoan[[#This Row],[Payment]]=0,0,MAX(0,MIN(tblSubjectToLoan[[#This Row],[Beginning Balance]],tblSubjectToLoan[[#This Row],[Payment]]-tblSubjectToLoan[[#This Row],[Int]])))</f>
        <v>0</v>
      </c>
      <c r="E401" s="14">
        <f>IF(tblSubjectToLoan[[#This Row],[Date]]="",0,ROUND(tblSubjectToLoan[[#This Row],[Beginning Balance]]*(subjectInterestRate/12),2))</f>
        <v>0</v>
      </c>
      <c r="F401" s="14">
        <f t="shared" si="35"/>
        <v>134.16999999999999</v>
      </c>
      <c r="G401" s="14">
        <f t="shared" si="35"/>
        <v>188.55</v>
      </c>
      <c r="H401" s="14">
        <f>SUM(tblSubjectToLoan[[#This Row],[Princ]],tblSubjectToLoan[[#This Row],[Int]],tblSubjectToLoan[[#This Row],[Ins]],tblSubjectToLoan[[#This Row],[Taxes]])</f>
        <v>322.72000000000003</v>
      </c>
      <c r="I4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1" s="276">
        <f>IF(tblSubjectToLoan[[#This Row],[Date]]="",IF(ROW()=ROW(tblSubjectToLoan[#Headers])+1,0,INDEX(tblSubjectToLoan[Interest],ROW()-ROW(tblSubjectToLoan[#Headers])-1)),tblSubjectToLoan[[#This Row],[Int]]+IF(ROW()=ROW(tblSubjectToLoan[#Headers])+1,0,INDEX(tblSubjectToLoan[Interest],ROW()-ROW(tblSubjectToLoan[#Headers])-1)))</f>
        <v>36068.259999999973</v>
      </c>
      <c r="K401" s="969">
        <f>IF(tblSubjectToLoan[[#This Row],[Date]]="",0,MAX(0,tblSubjectToLoan[[#This Row],[Beginning Balance]]-tblSubjectToLoan[[#This Row],[Princ]]))</f>
        <v>0</v>
      </c>
      <c r="L401" s="394">
        <f t="shared" si="33"/>
        <v>0</v>
      </c>
      <c r="M401" s="394">
        <f t="shared" si="30"/>
        <v>0</v>
      </c>
      <c r="N401" s="613" t="str">
        <f>INDEX(tblSubjectToLoan[Date],ROW()-ROW(tblContractForDeed[#Headers]))</f>
        <v/>
      </c>
      <c r="O401" s="276">
        <f>IF(ROW()=ROW(tblContractForDeed[#Headers])+1,$O$6,IF(INDEX(tblContractForDeed[End Bal],ROW()-ROW(tblContractForDeed[#Headers])-1)&lt;0,0,INDEX(tblContractForDeed[End Bal],ROW()-ROW(tblContractForDeed[#Headers])-1)))</f>
        <v>0</v>
      </c>
      <c r="P401" s="454"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1" s="276">
        <f>IF(INDEX(tblContractForDeed[End Bal],ROW()-ROW(tblBuyerOutputs[#Headers]))&lt;=0,0,($O$6+IF(ROW()=ROW(tblBuyerOutputs[#Headers])+1,0,INDEX(tblBuyerOutputs[Cumul Appr],ROW()-ROW(tblBuyerOutputs[#Headers])-1)))*$O$2/12)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13" t="str">
        <f>IF(ROW()=ROW(tblSubjectToLoan[#Headers])+1,subjectKnownBalanceDate,IF(OR(INDEX(tblSubjectToLoan[Date],ROW()-ROW(tblSubjectToLoan[#Headers])-1)="",INDEX(tblSubjectToLoan[Date],ROW()-ROW(tblSubjectToLoan[#Headers])-1)&gt;=subjectMortgageEndDate),"",EDATE(INDEX(tblSubjectToLoan[Date],ROW()-ROW(tblSubjectToLoan[#Headers])-1),1)))</f>
        <v/>
      </c>
      <c r="B402" s="276">
        <f>IF(tblSubjectToLoan[[#This Row],[Date]]="",0,IF(ROW()=ROW(tblSubjectToLoan[#Headers])+1,subjectKnownBalance,MAX(0,INDEX(tblSubjectToLoan[Ending Balance],ROW()-ROW(tblSubjectToLoan[#Headers])-1))))</f>
        <v>0</v>
      </c>
      <c r="C4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2" s="14">
        <f>IF(tblSubjectToLoan[[#This Row],[Payment]]=0,0,MAX(0,MIN(tblSubjectToLoan[[#This Row],[Beginning Balance]],tblSubjectToLoan[[#This Row],[Payment]]-tblSubjectToLoan[[#This Row],[Int]])))</f>
        <v>0</v>
      </c>
      <c r="E402" s="14">
        <f>IF(tblSubjectToLoan[[#This Row],[Date]]="",0,ROUND(tblSubjectToLoan[[#This Row],[Beginning Balance]]*(subjectInterestRate/12),2))</f>
        <v>0</v>
      </c>
      <c r="F402" s="14">
        <f t="shared" si="35"/>
        <v>134.16999999999999</v>
      </c>
      <c r="G402" s="14">
        <f t="shared" si="35"/>
        <v>188.55</v>
      </c>
      <c r="H402" s="14">
        <f>SUM(tblSubjectToLoan[[#This Row],[Princ]],tblSubjectToLoan[[#This Row],[Int]],tblSubjectToLoan[[#This Row],[Ins]],tblSubjectToLoan[[#This Row],[Taxes]])</f>
        <v>322.72000000000003</v>
      </c>
      <c r="I4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2" s="276">
        <f>IF(tblSubjectToLoan[[#This Row],[Date]]="",IF(ROW()=ROW(tblSubjectToLoan[#Headers])+1,0,INDEX(tblSubjectToLoan[Interest],ROW()-ROW(tblSubjectToLoan[#Headers])-1)),tblSubjectToLoan[[#This Row],[Int]]+IF(ROW()=ROW(tblSubjectToLoan[#Headers])+1,0,INDEX(tblSubjectToLoan[Interest],ROW()-ROW(tblSubjectToLoan[#Headers])-1)))</f>
        <v>36068.259999999973</v>
      </c>
      <c r="K402" s="969">
        <f>IF(tblSubjectToLoan[[#This Row],[Date]]="",0,MAX(0,tblSubjectToLoan[[#This Row],[Beginning Balance]]-tblSubjectToLoan[[#This Row],[Princ]]))</f>
        <v>0</v>
      </c>
      <c r="L402" s="394">
        <f t="shared" si="33"/>
        <v>0</v>
      </c>
      <c r="M402" s="394">
        <f t="shared" si="30"/>
        <v>0</v>
      </c>
      <c r="N402" s="613" t="str">
        <f>INDEX(tblSubjectToLoan[Date],ROW()-ROW(tblContractForDeed[#Headers]))</f>
        <v/>
      </c>
      <c r="O402" s="276">
        <f>IF(ROW()=ROW(tblContractForDeed[#Headers])+1,$O$6,IF(INDEX(tblContractForDeed[End Bal],ROW()-ROW(tblContractForDeed[#Headers])-1)&lt;0,0,INDEX(tblContractForDeed[End Bal],ROW()-ROW(tblContractForDeed[#Headers])-1)))</f>
        <v>0</v>
      </c>
      <c r="P402" s="454"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2" s="276">
        <f>IF(INDEX(tblContractForDeed[End Bal],ROW()-ROW(tblBuyerOutputs[#Headers]))&lt;=0,0,($O$6+IF(ROW()=ROW(tblBuyerOutputs[#Headers])+1,0,INDEX(tblBuyerOutputs[Cumul Appr],ROW()-ROW(tblBuyerOutputs[#Headers])-1)))*$O$2/12)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14" t="str">
        <f>IF(ROW()=ROW(tblSubjectToLoan[#Headers])+1,subjectKnownBalanceDate,IF(OR(INDEX(tblSubjectToLoan[Date],ROW()-ROW(tblSubjectToLoan[#Headers])-1)="",INDEX(tblSubjectToLoan[Date],ROW()-ROW(tblSubjectToLoan[#Headers])-1)&gt;=subjectMortgageEndDate),"",EDATE(INDEX(tblSubjectToLoan[Date],ROW()-ROW(tblSubjectToLoan[#Headers])-1),1)))</f>
        <v/>
      </c>
      <c r="B403" s="332">
        <f>IF(tblSubjectToLoan[[#This Row],[Date]]="",0,IF(ROW()=ROW(tblSubjectToLoan[#Headers])+1,subjectKnownBalance,MAX(0,INDEX(tblSubjectToLoan[Ending Balance],ROW()-ROW(tblSubjectToLoan[#Headers])-1))))</f>
        <v>0</v>
      </c>
      <c r="C40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3" s="21">
        <f>IF(tblSubjectToLoan[[#This Row],[Payment]]=0,0,MAX(0,MIN(tblSubjectToLoan[[#This Row],[Beginning Balance]],tblSubjectToLoan[[#This Row],[Payment]]-tblSubjectToLoan[[#This Row],[Int]])))</f>
        <v>0</v>
      </c>
      <c r="E403" s="21">
        <f>IF(tblSubjectToLoan[[#This Row],[Date]]="",0,ROUND(tblSubjectToLoan[[#This Row],[Beginning Balance]]*(subjectInterestRate/12),2))</f>
        <v>0</v>
      </c>
      <c r="F403" s="21">
        <f t="shared" si="35"/>
        <v>134.16999999999999</v>
      </c>
      <c r="G403" s="21">
        <f t="shared" si="35"/>
        <v>188.55</v>
      </c>
      <c r="H403" s="21">
        <f>SUM(tblSubjectToLoan[[#This Row],[Princ]],tblSubjectToLoan[[#This Row],[Int]],tblSubjectToLoan[[#This Row],[Ins]],tblSubjectToLoan[[#This Row],[Taxes]])</f>
        <v>322.72000000000003</v>
      </c>
      <c r="I40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03" s="332">
        <f>IF(tblSubjectToLoan[[#This Row],[Date]]="",IF(ROW()=ROW(tblSubjectToLoan[#Headers])+1,0,INDEX(tblSubjectToLoan[Interest],ROW()-ROW(tblSubjectToLoan[#Headers])-1)),tblSubjectToLoan[[#This Row],[Int]]+IF(ROW()=ROW(tblSubjectToLoan[#Headers])+1,0,INDEX(tblSubjectToLoan[Interest],ROW()-ROW(tblSubjectToLoan[#Headers])-1)))</f>
        <v>36068.259999999973</v>
      </c>
      <c r="K403" s="970">
        <f>IF(tblSubjectToLoan[[#This Row],[Date]]="",0,MAX(0,tblSubjectToLoan[[#This Row],[Beginning Balance]]-tblSubjectToLoan[[#This Row],[Princ]]))</f>
        <v>0</v>
      </c>
      <c r="L403" s="395">
        <f t="shared" si="33"/>
        <v>0</v>
      </c>
      <c r="M403" s="395">
        <f t="shared" si="30"/>
        <v>0</v>
      </c>
      <c r="N403" s="614" t="str">
        <f>INDEX(tblSubjectToLoan[Date],ROW()-ROW(tblContractForDeed[#Headers]))</f>
        <v/>
      </c>
      <c r="O403" s="332">
        <f>IF(ROW()=ROW(tblContractForDeed[#Headers])+1,$O$6,IF(INDEX(tblContractForDeed[End Bal],ROW()-ROW(tblContractForDeed[#Headers])-1)&lt;0,0,INDEX(tblContractForDeed[End Bal],ROW()-ROW(tblContractForDeed[#Headers])-1)))</f>
        <v>0</v>
      </c>
      <c r="P403" s="454"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3" s="332">
        <f>IF(INDEX(tblContractForDeed[End Bal],ROW()-ROW(tblBuyerOutputs[#Headers]))&lt;=0,0,($O$6+IF(ROW()=ROW(tblBuyerOutputs[#Headers])+1,0,INDEX(tblBuyerOutputs[Cumul Appr],ROW()-ROW(tblBuyerOutputs[#Headers])-1)))*$O$2/12)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13" t="str">
        <f>IF(ROW()=ROW(tblSubjectToLoan[#Headers])+1,subjectKnownBalanceDate,IF(OR(INDEX(tblSubjectToLoan[Date],ROW()-ROW(tblSubjectToLoan[#Headers])-1)="",INDEX(tblSubjectToLoan[Date],ROW()-ROW(tblSubjectToLoan[#Headers])-1)&gt;=subjectMortgageEndDate),"",EDATE(INDEX(tblSubjectToLoan[Date],ROW()-ROW(tblSubjectToLoan[#Headers])-1),1)))</f>
        <v/>
      </c>
      <c r="B404" s="276">
        <f>IF(tblSubjectToLoan[[#This Row],[Date]]="",0,IF(ROW()=ROW(tblSubjectToLoan[#Headers])+1,subjectKnownBalance,MAX(0,INDEX(tblSubjectToLoan[Ending Balance],ROW()-ROW(tblSubjectToLoan[#Headers])-1))))</f>
        <v>0</v>
      </c>
      <c r="C4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4" s="14">
        <f>IF(tblSubjectToLoan[[#This Row],[Payment]]=0,0,MAX(0,MIN(tblSubjectToLoan[[#This Row],[Beginning Balance]],tblSubjectToLoan[[#This Row],[Payment]]-tblSubjectToLoan[[#This Row],[Int]])))</f>
        <v>0</v>
      </c>
      <c r="E404" s="14">
        <f>IF(tblSubjectToLoan[[#This Row],[Date]]="",0,ROUND(tblSubjectToLoan[[#This Row],[Beginning Balance]]*(subjectInterestRate/12),2))</f>
        <v>0</v>
      </c>
      <c r="F404" s="14">
        <f t="shared" si="35"/>
        <v>134.16999999999999</v>
      </c>
      <c r="G404" s="14">
        <f t="shared" si="35"/>
        <v>188.55</v>
      </c>
      <c r="H404" s="14">
        <f>SUM(tblSubjectToLoan[[#This Row],[Princ]],tblSubjectToLoan[[#This Row],[Int]],tblSubjectToLoan[[#This Row],[Ins]],tblSubjectToLoan[[#This Row],[Taxes]])</f>
        <v>322.72000000000003</v>
      </c>
      <c r="I4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4" s="276">
        <f>IF(tblSubjectToLoan[[#This Row],[Date]]="",IF(ROW()=ROW(tblSubjectToLoan[#Headers])+1,0,INDEX(tblSubjectToLoan[Interest],ROW()-ROW(tblSubjectToLoan[#Headers])-1)),tblSubjectToLoan[[#This Row],[Int]]+IF(ROW()=ROW(tblSubjectToLoan[#Headers])+1,0,INDEX(tblSubjectToLoan[Interest],ROW()-ROW(tblSubjectToLoan[#Headers])-1)))</f>
        <v>36068.259999999973</v>
      </c>
      <c r="K404" s="969">
        <f>IF(tblSubjectToLoan[[#This Row],[Date]]="",0,MAX(0,tblSubjectToLoan[[#This Row],[Beginning Balance]]-tblSubjectToLoan[[#This Row],[Princ]]))</f>
        <v>0</v>
      </c>
      <c r="L404" s="394">
        <f t="shared" si="33"/>
        <v>0</v>
      </c>
      <c r="M404" s="394">
        <f t="shared" si="30"/>
        <v>0</v>
      </c>
      <c r="N404" s="613" t="str">
        <f>INDEX(tblSubjectToLoan[Date],ROW()-ROW(tblContractForDeed[#Headers]))</f>
        <v/>
      </c>
      <c r="O404" s="276">
        <f>IF(ROW()=ROW(tblContractForDeed[#Headers])+1,$O$6,IF(INDEX(tblContractForDeed[End Bal],ROW()-ROW(tblContractForDeed[#Headers])-1)&lt;0,0,INDEX(tblContractForDeed[End Bal],ROW()-ROW(tblContractForDeed[#Headers])-1)))</f>
        <v>0</v>
      </c>
      <c r="P404" s="454"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4" s="276">
        <f>IF(INDEX(tblContractForDeed[End Bal],ROW()-ROW(tblBuyerOutputs[#Headers]))&lt;=0,0,($O$6+IF(ROW()=ROW(tblBuyerOutputs[#Headers])+1,0,INDEX(tblBuyerOutputs[Cumul Appr],ROW()-ROW(tblBuyerOutputs[#Headers])-1)))*$O$2/12)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13" t="str">
        <f>IF(ROW()=ROW(tblSubjectToLoan[#Headers])+1,subjectKnownBalanceDate,IF(OR(INDEX(tblSubjectToLoan[Date],ROW()-ROW(tblSubjectToLoan[#Headers])-1)="",INDEX(tblSubjectToLoan[Date],ROW()-ROW(tblSubjectToLoan[#Headers])-1)&gt;=subjectMortgageEndDate),"",EDATE(INDEX(tblSubjectToLoan[Date],ROW()-ROW(tblSubjectToLoan[#Headers])-1),1)))</f>
        <v/>
      </c>
      <c r="B405" s="276">
        <f>IF(tblSubjectToLoan[[#This Row],[Date]]="",0,IF(ROW()=ROW(tblSubjectToLoan[#Headers])+1,subjectKnownBalance,MAX(0,INDEX(tblSubjectToLoan[Ending Balance],ROW()-ROW(tblSubjectToLoan[#Headers])-1))))</f>
        <v>0</v>
      </c>
      <c r="C4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5" s="14">
        <f>IF(tblSubjectToLoan[[#This Row],[Payment]]=0,0,MAX(0,MIN(tblSubjectToLoan[[#This Row],[Beginning Balance]],tblSubjectToLoan[[#This Row],[Payment]]-tblSubjectToLoan[[#This Row],[Int]])))</f>
        <v>0</v>
      </c>
      <c r="E405" s="14">
        <f>IF(tblSubjectToLoan[[#This Row],[Date]]="",0,ROUND(tblSubjectToLoan[[#This Row],[Beginning Balance]]*(subjectInterestRate/12),2))</f>
        <v>0</v>
      </c>
      <c r="F405" s="14">
        <f t="shared" si="35"/>
        <v>134.16999999999999</v>
      </c>
      <c r="G405" s="14">
        <f t="shared" si="35"/>
        <v>188.55</v>
      </c>
      <c r="H405" s="14">
        <f>SUM(tblSubjectToLoan[[#This Row],[Princ]],tblSubjectToLoan[[#This Row],[Int]],tblSubjectToLoan[[#This Row],[Ins]],tblSubjectToLoan[[#This Row],[Taxes]])</f>
        <v>322.72000000000003</v>
      </c>
      <c r="I4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5" s="276">
        <f>IF(tblSubjectToLoan[[#This Row],[Date]]="",IF(ROW()=ROW(tblSubjectToLoan[#Headers])+1,0,INDEX(tblSubjectToLoan[Interest],ROW()-ROW(tblSubjectToLoan[#Headers])-1)),tblSubjectToLoan[[#This Row],[Int]]+IF(ROW()=ROW(tblSubjectToLoan[#Headers])+1,0,INDEX(tblSubjectToLoan[Interest],ROW()-ROW(tblSubjectToLoan[#Headers])-1)))</f>
        <v>36068.259999999973</v>
      </c>
      <c r="K405" s="969">
        <f>IF(tblSubjectToLoan[[#This Row],[Date]]="",0,MAX(0,tblSubjectToLoan[[#This Row],[Beginning Balance]]-tblSubjectToLoan[[#This Row],[Princ]]))</f>
        <v>0</v>
      </c>
      <c r="L405" s="394">
        <f t="shared" si="33"/>
        <v>0</v>
      </c>
      <c r="M405" s="394">
        <f t="shared" ref="M405:M468" si="36">IF($A405&lt;&gt;"",M404+1,0)</f>
        <v>0</v>
      </c>
      <c r="N405" s="613" t="str">
        <f>INDEX(tblSubjectToLoan[Date],ROW()-ROW(tblContractForDeed[#Headers]))</f>
        <v/>
      </c>
      <c r="O405" s="276">
        <f>IF(ROW()=ROW(tblContractForDeed[#Headers])+1,$O$6,IF(INDEX(tblContractForDeed[End Bal],ROW()-ROW(tblContractForDeed[#Headers])-1)&lt;0,0,INDEX(tblContractForDeed[End Bal],ROW()-ROW(tblContractForDeed[#Headers])-1)))</f>
        <v>0</v>
      </c>
      <c r="P405" s="454"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5" s="276">
        <f>IF(INDEX(tblContractForDeed[End Bal],ROW()-ROW(tblBuyerOutputs[#Headers]))&lt;=0,0,($O$6+IF(ROW()=ROW(tblBuyerOutputs[#Headers])+1,0,INDEX(tblBuyerOutputs[Cumul Appr],ROW()-ROW(tblBuyerOutputs[#Headers])-1)))*$O$2/12)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13" t="str">
        <f>IF(ROW()=ROW(tblSubjectToLoan[#Headers])+1,subjectKnownBalanceDate,IF(OR(INDEX(tblSubjectToLoan[Date],ROW()-ROW(tblSubjectToLoan[#Headers])-1)="",INDEX(tblSubjectToLoan[Date],ROW()-ROW(tblSubjectToLoan[#Headers])-1)&gt;=subjectMortgageEndDate),"",EDATE(INDEX(tblSubjectToLoan[Date],ROW()-ROW(tblSubjectToLoan[#Headers])-1),1)))</f>
        <v/>
      </c>
      <c r="B406" s="276">
        <f>IF(tblSubjectToLoan[[#This Row],[Date]]="",0,IF(ROW()=ROW(tblSubjectToLoan[#Headers])+1,subjectKnownBalance,MAX(0,INDEX(tblSubjectToLoan[Ending Balance],ROW()-ROW(tblSubjectToLoan[#Headers])-1))))</f>
        <v>0</v>
      </c>
      <c r="C4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6" s="14">
        <f>IF(tblSubjectToLoan[[#This Row],[Payment]]=0,0,MAX(0,MIN(tblSubjectToLoan[[#This Row],[Beginning Balance]],tblSubjectToLoan[[#This Row],[Payment]]-tblSubjectToLoan[[#This Row],[Int]])))</f>
        <v>0</v>
      </c>
      <c r="E406" s="14">
        <f>IF(tblSubjectToLoan[[#This Row],[Date]]="",0,ROUND(tblSubjectToLoan[[#This Row],[Beginning Balance]]*(subjectInterestRate/12),2))</f>
        <v>0</v>
      </c>
      <c r="F406" s="14">
        <f t="shared" si="35"/>
        <v>134.16999999999999</v>
      </c>
      <c r="G406" s="14">
        <f t="shared" si="35"/>
        <v>188.55</v>
      </c>
      <c r="H406" s="14">
        <f>SUM(tblSubjectToLoan[[#This Row],[Princ]],tblSubjectToLoan[[#This Row],[Int]],tblSubjectToLoan[[#This Row],[Ins]],tblSubjectToLoan[[#This Row],[Taxes]])</f>
        <v>322.72000000000003</v>
      </c>
      <c r="I4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6" s="276">
        <f>IF(tblSubjectToLoan[[#This Row],[Date]]="",IF(ROW()=ROW(tblSubjectToLoan[#Headers])+1,0,INDEX(tblSubjectToLoan[Interest],ROW()-ROW(tblSubjectToLoan[#Headers])-1)),tblSubjectToLoan[[#This Row],[Int]]+IF(ROW()=ROW(tblSubjectToLoan[#Headers])+1,0,INDEX(tblSubjectToLoan[Interest],ROW()-ROW(tblSubjectToLoan[#Headers])-1)))</f>
        <v>36068.259999999973</v>
      </c>
      <c r="K406" s="969">
        <f>IF(tblSubjectToLoan[[#This Row],[Date]]="",0,MAX(0,tblSubjectToLoan[[#This Row],[Beginning Balance]]-tblSubjectToLoan[[#This Row],[Princ]]))</f>
        <v>0</v>
      </c>
      <c r="L406" s="394">
        <f t="shared" si="33"/>
        <v>0</v>
      </c>
      <c r="M406" s="394">
        <f t="shared" si="36"/>
        <v>0</v>
      </c>
      <c r="N406" s="613" t="str">
        <f>INDEX(tblSubjectToLoan[Date],ROW()-ROW(tblContractForDeed[#Headers]))</f>
        <v/>
      </c>
      <c r="O406" s="276">
        <f>IF(ROW()=ROW(tblContractForDeed[#Headers])+1,$O$6,IF(INDEX(tblContractForDeed[End Bal],ROW()-ROW(tblContractForDeed[#Headers])-1)&lt;0,0,INDEX(tblContractForDeed[End Bal],ROW()-ROW(tblContractForDeed[#Headers])-1)))</f>
        <v>0</v>
      </c>
      <c r="P406" s="454"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6" s="276">
        <f>IF(INDEX(tblContractForDeed[End Bal],ROW()-ROW(tblBuyerOutputs[#Headers]))&lt;=0,0,($O$6+IF(ROW()=ROW(tblBuyerOutputs[#Headers])+1,0,INDEX(tblBuyerOutputs[Cumul Appr],ROW()-ROW(tblBuyerOutputs[#Headers])-1)))*$O$2/12)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13" t="str">
        <f>IF(ROW()=ROW(tblSubjectToLoan[#Headers])+1,subjectKnownBalanceDate,IF(OR(INDEX(tblSubjectToLoan[Date],ROW()-ROW(tblSubjectToLoan[#Headers])-1)="",INDEX(tblSubjectToLoan[Date],ROW()-ROW(tblSubjectToLoan[#Headers])-1)&gt;=subjectMortgageEndDate),"",EDATE(INDEX(tblSubjectToLoan[Date],ROW()-ROW(tblSubjectToLoan[#Headers])-1),1)))</f>
        <v/>
      </c>
      <c r="B407" s="276">
        <f>IF(tblSubjectToLoan[[#This Row],[Date]]="",0,IF(ROW()=ROW(tblSubjectToLoan[#Headers])+1,subjectKnownBalance,MAX(0,INDEX(tblSubjectToLoan[Ending Balance],ROW()-ROW(tblSubjectToLoan[#Headers])-1))))</f>
        <v>0</v>
      </c>
      <c r="C4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7" s="14">
        <f>IF(tblSubjectToLoan[[#This Row],[Payment]]=0,0,MAX(0,MIN(tblSubjectToLoan[[#This Row],[Beginning Balance]],tblSubjectToLoan[[#This Row],[Payment]]-tblSubjectToLoan[[#This Row],[Int]])))</f>
        <v>0</v>
      </c>
      <c r="E407" s="14">
        <f>IF(tblSubjectToLoan[[#This Row],[Date]]="",0,ROUND(tblSubjectToLoan[[#This Row],[Beginning Balance]]*(subjectInterestRate/12),2))</f>
        <v>0</v>
      </c>
      <c r="F407" s="14">
        <f t="shared" si="35"/>
        <v>134.16999999999999</v>
      </c>
      <c r="G407" s="14">
        <f t="shared" si="35"/>
        <v>188.55</v>
      </c>
      <c r="H407" s="14">
        <f>SUM(tblSubjectToLoan[[#This Row],[Princ]],tblSubjectToLoan[[#This Row],[Int]],tblSubjectToLoan[[#This Row],[Ins]],tblSubjectToLoan[[#This Row],[Taxes]])</f>
        <v>322.72000000000003</v>
      </c>
      <c r="I4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7" s="276">
        <f>IF(tblSubjectToLoan[[#This Row],[Date]]="",IF(ROW()=ROW(tblSubjectToLoan[#Headers])+1,0,INDEX(tblSubjectToLoan[Interest],ROW()-ROW(tblSubjectToLoan[#Headers])-1)),tblSubjectToLoan[[#This Row],[Int]]+IF(ROW()=ROW(tblSubjectToLoan[#Headers])+1,0,INDEX(tblSubjectToLoan[Interest],ROW()-ROW(tblSubjectToLoan[#Headers])-1)))</f>
        <v>36068.259999999973</v>
      </c>
      <c r="K407" s="969">
        <f>IF(tblSubjectToLoan[[#This Row],[Date]]="",0,MAX(0,tblSubjectToLoan[[#This Row],[Beginning Balance]]-tblSubjectToLoan[[#This Row],[Princ]]))</f>
        <v>0</v>
      </c>
      <c r="L407" s="394">
        <f t="shared" si="33"/>
        <v>0</v>
      </c>
      <c r="M407" s="394">
        <f t="shared" si="36"/>
        <v>0</v>
      </c>
      <c r="N407" s="613" t="str">
        <f>INDEX(tblSubjectToLoan[Date],ROW()-ROW(tblContractForDeed[#Headers]))</f>
        <v/>
      </c>
      <c r="O407" s="276">
        <f>IF(ROW()=ROW(tblContractForDeed[#Headers])+1,$O$6,IF(INDEX(tblContractForDeed[End Bal],ROW()-ROW(tblContractForDeed[#Headers])-1)&lt;0,0,INDEX(tblContractForDeed[End Bal],ROW()-ROW(tblContractForDeed[#Headers])-1)))</f>
        <v>0</v>
      </c>
      <c r="P407" s="454"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7" s="276">
        <f>IF(INDEX(tblContractForDeed[End Bal],ROW()-ROW(tblBuyerOutputs[#Headers]))&lt;=0,0,($O$6+IF(ROW()=ROW(tblBuyerOutputs[#Headers])+1,0,INDEX(tblBuyerOutputs[Cumul Appr],ROW()-ROW(tblBuyerOutputs[#Headers])-1)))*$O$2/12)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13" t="str">
        <f>IF(ROW()=ROW(tblSubjectToLoan[#Headers])+1,subjectKnownBalanceDate,IF(OR(INDEX(tblSubjectToLoan[Date],ROW()-ROW(tblSubjectToLoan[#Headers])-1)="",INDEX(tblSubjectToLoan[Date],ROW()-ROW(tblSubjectToLoan[#Headers])-1)&gt;=subjectMortgageEndDate),"",EDATE(INDEX(tblSubjectToLoan[Date],ROW()-ROW(tblSubjectToLoan[#Headers])-1),1)))</f>
        <v/>
      </c>
      <c r="B408" s="276">
        <f>IF(tblSubjectToLoan[[#This Row],[Date]]="",0,IF(ROW()=ROW(tblSubjectToLoan[#Headers])+1,subjectKnownBalance,MAX(0,INDEX(tblSubjectToLoan[Ending Balance],ROW()-ROW(tblSubjectToLoan[#Headers])-1))))</f>
        <v>0</v>
      </c>
      <c r="C4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8" s="14">
        <f>IF(tblSubjectToLoan[[#This Row],[Payment]]=0,0,MAX(0,MIN(tblSubjectToLoan[[#This Row],[Beginning Balance]],tblSubjectToLoan[[#This Row],[Payment]]-tblSubjectToLoan[[#This Row],[Int]])))</f>
        <v>0</v>
      </c>
      <c r="E408" s="14">
        <f>IF(tblSubjectToLoan[[#This Row],[Date]]="",0,ROUND(tblSubjectToLoan[[#This Row],[Beginning Balance]]*(subjectInterestRate/12),2))</f>
        <v>0</v>
      </c>
      <c r="F408" s="14">
        <f t="shared" si="35"/>
        <v>134.16999999999999</v>
      </c>
      <c r="G408" s="14">
        <f t="shared" si="35"/>
        <v>188.55</v>
      </c>
      <c r="H408" s="14">
        <f>SUM(tblSubjectToLoan[[#This Row],[Princ]],tblSubjectToLoan[[#This Row],[Int]],tblSubjectToLoan[[#This Row],[Ins]],tblSubjectToLoan[[#This Row],[Taxes]])</f>
        <v>322.72000000000003</v>
      </c>
      <c r="I4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8" s="276">
        <f>IF(tblSubjectToLoan[[#This Row],[Date]]="",IF(ROW()=ROW(tblSubjectToLoan[#Headers])+1,0,INDEX(tblSubjectToLoan[Interest],ROW()-ROW(tblSubjectToLoan[#Headers])-1)),tblSubjectToLoan[[#This Row],[Int]]+IF(ROW()=ROW(tblSubjectToLoan[#Headers])+1,0,INDEX(tblSubjectToLoan[Interest],ROW()-ROW(tblSubjectToLoan[#Headers])-1)))</f>
        <v>36068.259999999973</v>
      </c>
      <c r="K408" s="969">
        <f>IF(tblSubjectToLoan[[#This Row],[Date]]="",0,MAX(0,tblSubjectToLoan[[#This Row],[Beginning Balance]]-tblSubjectToLoan[[#This Row],[Princ]]))</f>
        <v>0</v>
      </c>
      <c r="L408" s="394">
        <f t="shared" si="33"/>
        <v>0</v>
      </c>
      <c r="M408" s="394">
        <f t="shared" si="36"/>
        <v>0</v>
      </c>
      <c r="N408" s="613" t="str">
        <f>INDEX(tblSubjectToLoan[Date],ROW()-ROW(tblContractForDeed[#Headers]))</f>
        <v/>
      </c>
      <c r="O408" s="276">
        <f>IF(ROW()=ROW(tblContractForDeed[#Headers])+1,$O$6,IF(INDEX(tblContractForDeed[End Bal],ROW()-ROW(tblContractForDeed[#Headers])-1)&lt;0,0,INDEX(tblContractForDeed[End Bal],ROW()-ROW(tblContractForDeed[#Headers])-1)))</f>
        <v>0</v>
      </c>
      <c r="P408" s="454"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8" s="276">
        <f>IF(INDEX(tblContractForDeed[End Bal],ROW()-ROW(tblBuyerOutputs[#Headers]))&lt;=0,0,($O$6+IF(ROW()=ROW(tblBuyerOutputs[#Headers])+1,0,INDEX(tblBuyerOutputs[Cumul Appr],ROW()-ROW(tblBuyerOutputs[#Headers])-1)))*$O$2/12)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13" t="str">
        <f>IF(ROW()=ROW(tblSubjectToLoan[#Headers])+1,subjectKnownBalanceDate,IF(OR(INDEX(tblSubjectToLoan[Date],ROW()-ROW(tblSubjectToLoan[#Headers])-1)="",INDEX(tblSubjectToLoan[Date],ROW()-ROW(tblSubjectToLoan[#Headers])-1)&gt;=subjectMortgageEndDate),"",EDATE(INDEX(tblSubjectToLoan[Date],ROW()-ROW(tblSubjectToLoan[#Headers])-1),1)))</f>
        <v/>
      </c>
      <c r="B409" s="276">
        <f>IF(tblSubjectToLoan[[#This Row],[Date]]="",0,IF(ROW()=ROW(tblSubjectToLoan[#Headers])+1,subjectKnownBalance,MAX(0,INDEX(tblSubjectToLoan[Ending Balance],ROW()-ROW(tblSubjectToLoan[#Headers])-1))))</f>
        <v>0</v>
      </c>
      <c r="C4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9" s="14">
        <f>IF(tblSubjectToLoan[[#This Row],[Payment]]=0,0,MAX(0,MIN(tblSubjectToLoan[[#This Row],[Beginning Balance]],tblSubjectToLoan[[#This Row],[Payment]]-tblSubjectToLoan[[#This Row],[Int]])))</f>
        <v>0</v>
      </c>
      <c r="E409" s="14">
        <f>IF(tblSubjectToLoan[[#This Row],[Date]]="",0,ROUND(tblSubjectToLoan[[#This Row],[Beginning Balance]]*(subjectInterestRate/12),2))</f>
        <v>0</v>
      </c>
      <c r="F409" s="14">
        <f t="shared" si="35"/>
        <v>134.16999999999999</v>
      </c>
      <c r="G409" s="14">
        <f t="shared" si="35"/>
        <v>188.55</v>
      </c>
      <c r="H409" s="14">
        <f>SUM(tblSubjectToLoan[[#This Row],[Princ]],tblSubjectToLoan[[#This Row],[Int]],tblSubjectToLoan[[#This Row],[Ins]],tblSubjectToLoan[[#This Row],[Taxes]])</f>
        <v>322.72000000000003</v>
      </c>
      <c r="I4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9" s="276">
        <f>IF(tblSubjectToLoan[[#This Row],[Date]]="",IF(ROW()=ROW(tblSubjectToLoan[#Headers])+1,0,INDEX(tblSubjectToLoan[Interest],ROW()-ROW(tblSubjectToLoan[#Headers])-1)),tblSubjectToLoan[[#This Row],[Int]]+IF(ROW()=ROW(tblSubjectToLoan[#Headers])+1,0,INDEX(tblSubjectToLoan[Interest],ROW()-ROW(tblSubjectToLoan[#Headers])-1)))</f>
        <v>36068.259999999973</v>
      </c>
      <c r="K409" s="969">
        <f>IF(tblSubjectToLoan[[#This Row],[Date]]="",0,MAX(0,tblSubjectToLoan[[#This Row],[Beginning Balance]]-tblSubjectToLoan[[#This Row],[Princ]]))</f>
        <v>0</v>
      </c>
      <c r="L409" s="394">
        <f t="shared" si="33"/>
        <v>0</v>
      </c>
      <c r="M409" s="394">
        <f t="shared" si="36"/>
        <v>0</v>
      </c>
      <c r="N409" s="613" t="str">
        <f>INDEX(tblSubjectToLoan[Date],ROW()-ROW(tblContractForDeed[#Headers]))</f>
        <v/>
      </c>
      <c r="O409" s="276">
        <f>IF(ROW()=ROW(tblContractForDeed[#Headers])+1,$O$6,IF(INDEX(tblContractForDeed[End Bal],ROW()-ROW(tblContractForDeed[#Headers])-1)&lt;0,0,INDEX(tblContractForDeed[End Bal],ROW()-ROW(tblContractForDeed[#Headers])-1)))</f>
        <v>0</v>
      </c>
      <c r="P409" s="454"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9" s="276">
        <f>IF(INDEX(tblContractForDeed[End Bal],ROW()-ROW(tblBuyerOutputs[#Headers]))&lt;=0,0,($O$6+IF(ROW()=ROW(tblBuyerOutputs[#Headers])+1,0,INDEX(tblBuyerOutputs[Cumul Appr],ROW()-ROW(tblBuyerOutputs[#Headers])-1)))*$O$2/12)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13" t="str">
        <f>IF(ROW()=ROW(tblSubjectToLoan[#Headers])+1,subjectKnownBalanceDate,IF(OR(INDEX(tblSubjectToLoan[Date],ROW()-ROW(tblSubjectToLoan[#Headers])-1)="",INDEX(tblSubjectToLoan[Date],ROW()-ROW(tblSubjectToLoan[#Headers])-1)&gt;=subjectMortgageEndDate),"",EDATE(INDEX(tblSubjectToLoan[Date],ROW()-ROW(tblSubjectToLoan[#Headers])-1),1)))</f>
        <v/>
      </c>
      <c r="B410" s="276">
        <f>IF(tblSubjectToLoan[[#This Row],[Date]]="",0,IF(ROW()=ROW(tblSubjectToLoan[#Headers])+1,subjectKnownBalance,MAX(0,INDEX(tblSubjectToLoan[Ending Balance],ROW()-ROW(tblSubjectToLoan[#Headers])-1))))</f>
        <v>0</v>
      </c>
      <c r="C4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0" s="14">
        <f>IF(tblSubjectToLoan[[#This Row],[Payment]]=0,0,MAX(0,MIN(tblSubjectToLoan[[#This Row],[Beginning Balance]],tblSubjectToLoan[[#This Row],[Payment]]-tblSubjectToLoan[[#This Row],[Int]])))</f>
        <v>0</v>
      </c>
      <c r="E410" s="14">
        <f>IF(tblSubjectToLoan[[#This Row],[Date]]="",0,ROUND(tblSubjectToLoan[[#This Row],[Beginning Balance]]*(subjectInterestRate/12),2))</f>
        <v>0</v>
      </c>
      <c r="F410" s="14">
        <f t="shared" si="35"/>
        <v>134.16999999999999</v>
      </c>
      <c r="G410" s="14">
        <f t="shared" si="35"/>
        <v>188.55</v>
      </c>
      <c r="H410" s="14">
        <f>SUM(tblSubjectToLoan[[#This Row],[Princ]],tblSubjectToLoan[[#This Row],[Int]],tblSubjectToLoan[[#This Row],[Ins]],tblSubjectToLoan[[#This Row],[Taxes]])</f>
        <v>322.72000000000003</v>
      </c>
      <c r="I4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0" s="276">
        <f>IF(tblSubjectToLoan[[#This Row],[Date]]="",IF(ROW()=ROW(tblSubjectToLoan[#Headers])+1,0,INDEX(tblSubjectToLoan[Interest],ROW()-ROW(tblSubjectToLoan[#Headers])-1)),tblSubjectToLoan[[#This Row],[Int]]+IF(ROW()=ROW(tblSubjectToLoan[#Headers])+1,0,INDEX(tblSubjectToLoan[Interest],ROW()-ROW(tblSubjectToLoan[#Headers])-1)))</f>
        <v>36068.259999999973</v>
      </c>
      <c r="K410" s="969">
        <f>IF(tblSubjectToLoan[[#This Row],[Date]]="",0,MAX(0,tblSubjectToLoan[[#This Row],[Beginning Balance]]-tblSubjectToLoan[[#This Row],[Princ]]))</f>
        <v>0</v>
      </c>
      <c r="L410" s="394">
        <f t="shared" si="33"/>
        <v>0</v>
      </c>
      <c r="M410" s="394">
        <f t="shared" si="36"/>
        <v>0</v>
      </c>
      <c r="N410" s="613" t="str">
        <f>INDEX(tblSubjectToLoan[Date],ROW()-ROW(tblContractForDeed[#Headers]))</f>
        <v/>
      </c>
      <c r="O410" s="276">
        <f>IF(ROW()=ROW(tblContractForDeed[#Headers])+1,$O$6,IF(INDEX(tblContractForDeed[End Bal],ROW()-ROW(tblContractForDeed[#Headers])-1)&lt;0,0,INDEX(tblContractForDeed[End Bal],ROW()-ROW(tblContractForDeed[#Headers])-1)))</f>
        <v>0</v>
      </c>
      <c r="P410" s="454"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0" s="276">
        <f>IF(INDEX(tblContractForDeed[End Bal],ROW()-ROW(tblBuyerOutputs[#Headers]))&lt;=0,0,($O$6+IF(ROW()=ROW(tblBuyerOutputs[#Headers])+1,0,INDEX(tblBuyerOutputs[Cumul Appr],ROW()-ROW(tblBuyerOutputs[#Headers])-1)))*$O$2/12)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13" t="str">
        <f>IF(ROW()=ROW(tblSubjectToLoan[#Headers])+1,subjectKnownBalanceDate,IF(OR(INDEX(tblSubjectToLoan[Date],ROW()-ROW(tblSubjectToLoan[#Headers])-1)="",INDEX(tblSubjectToLoan[Date],ROW()-ROW(tblSubjectToLoan[#Headers])-1)&gt;=subjectMortgageEndDate),"",EDATE(INDEX(tblSubjectToLoan[Date],ROW()-ROW(tblSubjectToLoan[#Headers])-1),1)))</f>
        <v/>
      </c>
      <c r="B411" s="276">
        <f>IF(tblSubjectToLoan[[#This Row],[Date]]="",0,IF(ROW()=ROW(tblSubjectToLoan[#Headers])+1,subjectKnownBalance,MAX(0,INDEX(tblSubjectToLoan[Ending Balance],ROW()-ROW(tblSubjectToLoan[#Headers])-1))))</f>
        <v>0</v>
      </c>
      <c r="C4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1" s="14">
        <f>IF(tblSubjectToLoan[[#This Row],[Payment]]=0,0,MAX(0,MIN(tblSubjectToLoan[[#This Row],[Beginning Balance]],tblSubjectToLoan[[#This Row],[Payment]]-tblSubjectToLoan[[#This Row],[Int]])))</f>
        <v>0</v>
      </c>
      <c r="E411" s="14">
        <f>IF(tblSubjectToLoan[[#This Row],[Date]]="",0,ROUND(tblSubjectToLoan[[#This Row],[Beginning Balance]]*(subjectInterestRate/12),2))</f>
        <v>0</v>
      </c>
      <c r="F411" s="14">
        <f t="shared" si="35"/>
        <v>134.16999999999999</v>
      </c>
      <c r="G411" s="14">
        <f t="shared" si="35"/>
        <v>188.55</v>
      </c>
      <c r="H411" s="14">
        <f>SUM(tblSubjectToLoan[[#This Row],[Princ]],tblSubjectToLoan[[#This Row],[Int]],tblSubjectToLoan[[#This Row],[Ins]],tblSubjectToLoan[[#This Row],[Taxes]])</f>
        <v>322.72000000000003</v>
      </c>
      <c r="I4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1" s="276">
        <f>IF(tblSubjectToLoan[[#This Row],[Date]]="",IF(ROW()=ROW(tblSubjectToLoan[#Headers])+1,0,INDEX(tblSubjectToLoan[Interest],ROW()-ROW(tblSubjectToLoan[#Headers])-1)),tblSubjectToLoan[[#This Row],[Int]]+IF(ROW()=ROW(tblSubjectToLoan[#Headers])+1,0,INDEX(tblSubjectToLoan[Interest],ROW()-ROW(tblSubjectToLoan[#Headers])-1)))</f>
        <v>36068.259999999973</v>
      </c>
      <c r="K411" s="969">
        <f>IF(tblSubjectToLoan[[#This Row],[Date]]="",0,MAX(0,tblSubjectToLoan[[#This Row],[Beginning Balance]]-tblSubjectToLoan[[#This Row],[Princ]]))</f>
        <v>0</v>
      </c>
      <c r="L411" s="394">
        <f t="shared" si="33"/>
        <v>0</v>
      </c>
      <c r="M411" s="394">
        <f t="shared" si="36"/>
        <v>0</v>
      </c>
      <c r="N411" s="613" t="str">
        <f>INDEX(tblSubjectToLoan[Date],ROW()-ROW(tblContractForDeed[#Headers]))</f>
        <v/>
      </c>
      <c r="O411" s="276">
        <f>IF(ROW()=ROW(tblContractForDeed[#Headers])+1,$O$6,IF(INDEX(tblContractForDeed[End Bal],ROW()-ROW(tblContractForDeed[#Headers])-1)&lt;0,0,INDEX(tblContractForDeed[End Bal],ROW()-ROW(tblContractForDeed[#Headers])-1)))</f>
        <v>0</v>
      </c>
      <c r="P411" s="454"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1" s="276">
        <f>IF(INDEX(tblContractForDeed[End Bal],ROW()-ROW(tblBuyerOutputs[#Headers]))&lt;=0,0,($O$6+IF(ROW()=ROW(tblBuyerOutputs[#Headers])+1,0,INDEX(tblBuyerOutputs[Cumul Appr],ROW()-ROW(tblBuyerOutputs[#Headers])-1)))*$O$2/12)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13" t="str">
        <f>IF(ROW()=ROW(tblSubjectToLoan[#Headers])+1,subjectKnownBalanceDate,IF(OR(INDEX(tblSubjectToLoan[Date],ROW()-ROW(tblSubjectToLoan[#Headers])-1)="",INDEX(tblSubjectToLoan[Date],ROW()-ROW(tblSubjectToLoan[#Headers])-1)&gt;=subjectMortgageEndDate),"",EDATE(INDEX(tblSubjectToLoan[Date],ROW()-ROW(tblSubjectToLoan[#Headers])-1),1)))</f>
        <v/>
      </c>
      <c r="B412" s="276">
        <f>IF(tblSubjectToLoan[[#This Row],[Date]]="",0,IF(ROW()=ROW(tblSubjectToLoan[#Headers])+1,subjectKnownBalance,MAX(0,INDEX(tblSubjectToLoan[Ending Balance],ROW()-ROW(tblSubjectToLoan[#Headers])-1))))</f>
        <v>0</v>
      </c>
      <c r="C4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2" s="14">
        <f>IF(tblSubjectToLoan[[#This Row],[Payment]]=0,0,MAX(0,MIN(tblSubjectToLoan[[#This Row],[Beginning Balance]],tblSubjectToLoan[[#This Row],[Payment]]-tblSubjectToLoan[[#This Row],[Int]])))</f>
        <v>0</v>
      </c>
      <c r="E412" s="14">
        <f>IF(tblSubjectToLoan[[#This Row],[Date]]="",0,ROUND(tblSubjectToLoan[[#This Row],[Beginning Balance]]*(subjectInterestRate/12),2))</f>
        <v>0</v>
      </c>
      <c r="F412" s="14">
        <f t="shared" si="35"/>
        <v>134.16999999999999</v>
      </c>
      <c r="G412" s="14">
        <f t="shared" si="35"/>
        <v>188.55</v>
      </c>
      <c r="H412" s="14">
        <f>SUM(tblSubjectToLoan[[#This Row],[Princ]],tblSubjectToLoan[[#This Row],[Int]],tblSubjectToLoan[[#This Row],[Ins]],tblSubjectToLoan[[#This Row],[Taxes]])</f>
        <v>322.72000000000003</v>
      </c>
      <c r="I4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2" s="276">
        <f>IF(tblSubjectToLoan[[#This Row],[Date]]="",IF(ROW()=ROW(tblSubjectToLoan[#Headers])+1,0,INDEX(tblSubjectToLoan[Interest],ROW()-ROW(tblSubjectToLoan[#Headers])-1)),tblSubjectToLoan[[#This Row],[Int]]+IF(ROW()=ROW(tblSubjectToLoan[#Headers])+1,0,INDEX(tblSubjectToLoan[Interest],ROW()-ROW(tblSubjectToLoan[#Headers])-1)))</f>
        <v>36068.259999999973</v>
      </c>
      <c r="K412" s="969">
        <f>IF(tblSubjectToLoan[[#This Row],[Date]]="",0,MAX(0,tblSubjectToLoan[[#This Row],[Beginning Balance]]-tblSubjectToLoan[[#This Row],[Princ]]))</f>
        <v>0</v>
      </c>
      <c r="L412" s="394">
        <f t="shared" si="33"/>
        <v>0</v>
      </c>
      <c r="M412" s="394">
        <f t="shared" si="36"/>
        <v>0</v>
      </c>
      <c r="N412" s="613" t="str">
        <f>INDEX(tblSubjectToLoan[Date],ROW()-ROW(tblContractForDeed[#Headers]))</f>
        <v/>
      </c>
      <c r="O412" s="276">
        <f>IF(ROW()=ROW(tblContractForDeed[#Headers])+1,$O$6,IF(INDEX(tblContractForDeed[End Bal],ROW()-ROW(tblContractForDeed[#Headers])-1)&lt;0,0,INDEX(tblContractForDeed[End Bal],ROW()-ROW(tblContractForDeed[#Headers])-1)))</f>
        <v>0</v>
      </c>
      <c r="P412" s="454"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2" s="276">
        <f>IF(INDEX(tblContractForDeed[End Bal],ROW()-ROW(tblBuyerOutputs[#Headers]))&lt;=0,0,($O$6+IF(ROW()=ROW(tblBuyerOutputs[#Headers])+1,0,INDEX(tblBuyerOutputs[Cumul Appr],ROW()-ROW(tblBuyerOutputs[#Headers])-1)))*$O$2/12)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13" t="str">
        <f>IF(ROW()=ROW(tblSubjectToLoan[#Headers])+1,subjectKnownBalanceDate,IF(OR(INDEX(tblSubjectToLoan[Date],ROW()-ROW(tblSubjectToLoan[#Headers])-1)="",INDEX(tblSubjectToLoan[Date],ROW()-ROW(tblSubjectToLoan[#Headers])-1)&gt;=subjectMortgageEndDate),"",EDATE(INDEX(tblSubjectToLoan[Date],ROW()-ROW(tblSubjectToLoan[#Headers])-1),1)))</f>
        <v/>
      </c>
      <c r="B413" s="276">
        <f>IF(tblSubjectToLoan[[#This Row],[Date]]="",0,IF(ROW()=ROW(tblSubjectToLoan[#Headers])+1,subjectKnownBalance,MAX(0,INDEX(tblSubjectToLoan[Ending Balance],ROW()-ROW(tblSubjectToLoan[#Headers])-1))))</f>
        <v>0</v>
      </c>
      <c r="C4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3" s="14">
        <f>IF(tblSubjectToLoan[[#This Row],[Payment]]=0,0,MAX(0,MIN(tblSubjectToLoan[[#This Row],[Beginning Balance]],tblSubjectToLoan[[#This Row],[Payment]]-tblSubjectToLoan[[#This Row],[Int]])))</f>
        <v>0</v>
      </c>
      <c r="E413" s="14">
        <f>IF(tblSubjectToLoan[[#This Row],[Date]]="",0,ROUND(tblSubjectToLoan[[#This Row],[Beginning Balance]]*(subjectInterestRate/12),2))</f>
        <v>0</v>
      </c>
      <c r="F413" s="14">
        <f t="shared" si="35"/>
        <v>134.16999999999999</v>
      </c>
      <c r="G413" s="14">
        <f t="shared" si="35"/>
        <v>188.55</v>
      </c>
      <c r="H413" s="14">
        <f>SUM(tblSubjectToLoan[[#This Row],[Princ]],tblSubjectToLoan[[#This Row],[Int]],tblSubjectToLoan[[#This Row],[Ins]],tblSubjectToLoan[[#This Row],[Taxes]])</f>
        <v>322.72000000000003</v>
      </c>
      <c r="I4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3" s="276">
        <f>IF(tblSubjectToLoan[[#This Row],[Date]]="",IF(ROW()=ROW(tblSubjectToLoan[#Headers])+1,0,INDEX(tblSubjectToLoan[Interest],ROW()-ROW(tblSubjectToLoan[#Headers])-1)),tblSubjectToLoan[[#This Row],[Int]]+IF(ROW()=ROW(tblSubjectToLoan[#Headers])+1,0,INDEX(tblSubjectToLoan[Interest],ROW()-ROW(tblSubjectToLoan[#Headers])-1)))</f>
        <v>36068.259999999973</v>
      </c>
      <c r="K413" s="969">
        <f>IF(tblSubjectToLoan[[#This Row],[Date]]="",0,MAX(0,tblSubjectToLoan[[#This Row],[Beginning Balance]]-tblSubjectToLoan[[#This Row],[Princ]]))</f>
        <v>0</v>
      </c>
      <c r="L413" s="394">
        <f t="shared" si="33"/>
        <v>0</v>
      </c>
      <c r="M413" s="394">
        <f t="shared" si="36"/>
        <v>0</v>
      </c>
      <c r="N413" s="613" t="str">
        <f>INDEX(tblSubjectToLoan[Date],ROW()-ROW(tblContractForDeed[#Headers]))</f>
        <v/>
      </c>
      <c r="O413" s="276">
        <f>IF(ROW()=ROW(tblContractForDeed[#Headers])+1,$O$6,IF(INDEX(tblContractForDeed[End Bal],ROW()-ROW(tblContractForDeed[#Headers])-1)&lt;0,0,INDEX(tblContractForDeed[End Bal],ROW()-ROW(tblContractForDeed[#Headers])-1)))</f>
        <v>0</v>
      </c>
      <c r="P413" s="454"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3" s="276">
        <f>IF(INDEX(tblContractForDeed[End Bal],ROW()-ROW(tblBuyerOutputs[#Headers]))&lt;=0,0,($O$6+IF(ROW()=ROW(tblBuyerOutputs[#Headers])+1,0,INDEX(tblBuyerOutputs[Cumul Appr],ROW()-ROW(tblBuyerOutputs[#Headers])-1)))*$O$2/12)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13" t="str">
        <f>IF(ROW()=ROW(tblSubjectToLoan[#Headers])+1,subjectKnownBalanceDate,IF(OR(INDEX(tblSubjectToLoan[Date],ROW()-ROW(tblSubjectToLoan[#Headers])-1)="",INDEX(tblSubjectToLoan[Date],ROW()-ROW(tblSubjectToLoan[#Headers])-1)&gt;=subjectMortgageEndDate),"",EDATE(INDEX(tblSubjectToLoan[Date],ROW()-ROW(tblSubjectToLoan[#Headers])-1),1)))</f>
        <v/>
      </c>
      <c r="B414" s="276">
        <f>IF(tblSubjectToLoan[[#This Row],[Date]]="",0,IF(ROW()=ROW(tblSubjectToLoan[#Headers])+1,subjectKnownBalance,MAX(0,INDEX(tblSubjectToLoan[Ending Balance],ROW()-ROW(tblSubjectToLoan[#Headers])-1))))</f>
        <v>0</v>
      </c>
      <c r="C4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4" s="14">
        <f>IF(tblSubjectToLoan[[#This Row],[Payment]]=0,0,MAX(0,MIN(tblSubjectToLoan[[#This Row],[Beginning Balance]],tblSubjectToLoan[[#This Row],[Payment]]-tblSubjectToLoan[[#This Row],[Int]])))</f>
        <v>0</v>
      </c>
      <c r="E414" s="14">
        <f>IF(tblSubjectToLoan[[#This Row],[Date]]="",0,ROUND(tblSubjectToLoan[[#This Row],[Beginning Balance]]*(subjectInterestRate/12),2))</f>
        <v>0</v>
      </c>
      <c r="F414" s="14">
        <f t="shared" si="35"/>
        <v>134.16999999999999</v>
      </c>
      <c r="G414" s="14">
        <f t="shared" si="35"/>
        <v>188.55</v>
      </c>
      <c r="H414" s="14">
        <f>SUM(tblSubjectToLoan[[#This Row],[Princ]],tblSubjectToLoan[[#This Row],[Int]],tblSubjectToLoan[[#This Row],[Ins]],tblSubjectToLoan[[#This Row],[Taxes]])</f>
        <v>322.72000000000003</v>
      </c>
      <c r="I4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4" s="276">
        <f>IF(tblSubjectToLoan[[#This Row],[Date]]="",IF(ROW()=ROW(tblSubjectToLoan[#Headers])+1,0,INDEX(tblSubjectToLoan[Interest],ROW()-ROW(tblSubjectToLoan[#Headers])-1)),tblSubjectToLoan[[#This Row],[Int]]+IF(ROW()=ROW(tblSubjectToLoan[#Headers])+1,0,INDEX(tblSubjectToLoan[Interest],ROW()-ROW(tblSubjectToLoan[#Headers])-1)))</f>
        <v>36068.259999999973</v>
      </c>
      <c r="K414" s="969">
        <f>IF(tblSubjectToLoan[[#This Row],[Date]]="",0,MAX(0,tblSubjectToLoan[[#This Row],[Beginning Balance]]-tblSubjectToLoan[[#This Row],[Princ]]))</f>
        <v>0</v>
      </c>
      <c r="L414" s="394">
        <f t="shared" si="33"/>
        <v>0</v>
      </c>
      <c r="M414" s="394">
        <f t="shared" si="36"/>
        <v>0</v>
      </c>
      <c r="N414" s="613" t="str">
        <f>INDEX(tblSubjectToLoan[Date],ROW()-ROW(tblContractForDeed[#Headers]))</f>
        <v/>
      </c>
      <c r="O414" s="276">
        <f>IF(ROW()=ROW(tblContractForDeed[#Headers])+1,$O$6,IF(INDEX(tblContractForDeed[End Bal],ROW()-ROW(tblContractForDeed[#Headers])-1)&lt;0,0,INDEX(tblContractForDeed[End Bal],ROW()-ROW(tblContractForDeed[#Headers])-1)))</f>
        <v>0</v>
      </c>
      <c r="P414" s="454"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4" s="276">
        <f>IF(INDEX(tblContractForDeed[End Bal],ROW()-ROW(tblBuyerOutputs[#Headers]))&lt;=0,0,($O$6+IF(ROW()=ROW(tblBuyerOutputs[#Headers])+1,0,INDEX(tblBuyerOutputs[Cumul Appr],ROW()-ROW(tblBuyerOutputs[#Headers])-1)))*$O$2/12)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14" t="str">
        <f>IF(ROW()=ROW(tblSubjectToLoan[#Headers])+1,subjectKnownBalanceDate,IF(OR(INDEX(tblSubjectToLoan[Date],ROW()-ROW(tblSubjectToLoan[#Headers])-1)="",INDEX(tblSubjectToLoan[Date],ROW()-ROW(tblSubjectToLoan[#Headers])-1)&gt;=subjectMortgageEndDate),"",EDATE(INDEX(tblSubjectToLoan[Date],ROW()-ROW(tblSubjectToLoan[#Headers])-1),1)))</f>
        <v/>
      </c>
      <c r="B415" s="332">
        <f>IF(tblSubjectToLoan[[#This Row],[Date]]="",0,IF(ROW()=ROW(tblSubjectToLoan[#Headers])+1,subjectKnownBalance,MAX(0,INDEX(tblSubjectToLoan[Ending Balance],ROW()-ROW(tblSubjectToLoan[#Headers])-1))))</f>
        <v>0</v>
      </c>
      <c r="C41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5" s="21">
        <f>IF(tblSubjectToLoan[[#This Row],[Payment]]=0,0,MAX(0,MIN(tblSubjectToLoan[[#This Row],[Beginning Balance]],tblSubjectToLoan[[#This Row],[Payment]]-tblSubjectToLoan[[#This Row],[Int]])))</f>
        <v>0</v>
      </c>
      <c r="E415" s="21">
        <f>IF(tblSubjectToLoan[[#This Row],[Date]]="",0,ROUND(tblSubjectToLoan[[#This Row],[Beginning Balance]]*(subjectInterestRate/12),2))</f>
        <v>0</v>
      </c>
      <c r="F415" s="21">
        <f t="shared" ref="F415:G430" si="37">+F414</f>
        <v>134.16999999999999</v>
      </c>
      <c r="G415" s="21">
        <f t="shared" si="37"/>
        <v>188.55</v>
      </c>
      <c r="H415" s="21">
        <f>SUM(tblSubjectToLoan[[#This Row],[Princ]],tblSubjectToLoan[[#This Row],[Int]],tblSubjectToLoan[[#This Row],[Ins]],tblSubjectToLoan[[#This Row],[Taxes]])</f>
        <v>322.72000000000003</v>
      </c>
      <c r="I41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15" s="332">
        <f>IF(tblSubjectToLoan[[#This Row],[Date]]="",IF(ROW()=ROW(tblSubjectToLoan[#Headers])+1,0,INDEX(tblSubjectToLoan[Interest],ROW()-ROW(tblSubjectToLoan[#Headers])-1)),tblSubjectToLoan[[#This Row],[Int]]+IF(ROW()=ROW(tblSubjectToLoan[#Headers])+1,0,INDEX(tblSubjectToLoan[Interest],ROW()-ROW(tblSubjectToLoan[#Headers])-1)))</f>
        <v>36068.259999999973</v>
      </c>
      <c r="K415" s="970">
        <f>IF(tblSubjectToLoan[[#This Row],[Date]]="",0,MAX(0,tblSubjectToLoan[[#This Row],[Beginning Balance]]-tblSubjectToLoan[[#This Row],[Princ]]))</f>
        <v>0</v>
      </c>
      <c r="L415" s="395">
        <f t="shared" si="33"/>
        <v>0</v>
      </c>
      <c r="M415" s="395">
        <f t="shared" si="36"/>
        <v>0</v>
      </c>
      <c r="N415" s="614" t="str">
        <f>INDEX(tblSubjectToLoan[Date],ROW()-ROW(tblContractForDeed[#Headers]))</f>
        <v/>
      </c>
      <c r="O415" s="332">
        <f>IF(ROW()=ROW(tblContractForDeed[#Headers])+1,$O$6,IF(INDEX(tblContractForDeed[End Bal],ROW()-ROW(tblContractForDeed[#Headers])-1)&lt;0,0,INDEX(tblContractForDeed[End Bal],ROW()-ROW(tblContractForDeed[#Headers])-1)))</f>
        <v>0</v>
      </c>
      <c r="P415" s="454"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5" s="332">
        <f>IF(INDEX(tblContractForDeed[End Bal],ROW()-ROW(tblBuyerOutputs[#Headers]))&lt;=0,0,($O$6+IF(ROW()=ROW(tblBuyerOutputs[#Headers])+1,0,INDEX(tblBuyerOutputs[Cumul Appr],ROW()-ROW(tblBuyerOutputs[#Headers])-1)))*$O$2/12)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13" t="str">
        <f>IF(ROW()=ROW(tblSubjectToLoan[#Headers])+1,subjectKnownBalanceDate,IF(OR(INDEX(tblSubjectToLoan[Date],ROW()-ROW(tblSubjectToLoan[#Headers])-1)="",INDEX(tblSubjectToLoan[Date],ROW()-ROW(tblSubjectToLoan[#Headers])-1)&gt;=subjectMortgageEndDate),"",EDATE(INDEX(tblSubjectToLoan[Date],ROW()-ROW(tblSubjectToLoan[#Headers])-1),1)))</f>
        <v/>
      </c>
      <c r="B416" s="276">
        <f>IF(tblSubjectToLoan[[#This Row],[Date]]="",0,IF(ROW()=ROW(tblSubjectToLoan[#Headers])+1,subjectKnownBalance,MAX(0,INDEX(tblSubjectToLoan[Ending Balance],ROW()-ROW(tblSubjectToLoan[#Headers])-1))))</f>
        <v>0</v>
      </c>
      <c r="C4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6" s="14">
        <f>IF(tblSubjectToLoan[[#This Row],[Payment]]=0,0,MAX(0,MIN(tblSubjectToLoan[[#This Row],[Beginning Balance]],tblSubjectToLoan[[#This Row],[Payment]]-tblSubjectToLoan[[#This Row],[Int]])))</f>
        <v>0</v>
      </c>
      <c r="E416" s="14">
        <f>IF(tblSubjectToLoan[[#This Row],[Date]]="",0,ROUND(tblSubjectToLoan[[#This Row],[Beginning Balance]]*(subjectInterestRate/12),2))</f>
        <v>0</v>
      </c>
      <c r="F416" s="14">
        <f t="shared" si="37"/>
        <v>134.16999999999999</v>
      </c>
      <c r="G416" s="14">
        <f t="shared" si="37"/>
        <v>188.55</v>
      </c>
      <c r="H416" s="14">
        <f>SUM(tblSubjectToLoan[[#This Row],[Princ]],tblSubjectToLoan[[#This Row],[Int]],tblSubjectToLoan[[#This Row],[Ins]],tblSubjectToLoan[[#This Row],[Taxes]])</f>
        <v>322.72000000000003</v>
      </c>
      <c r="I4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6" s="276">
        <f>IF(tblSubjectToLoan[[#This Row],[Date]]="",IF(ROW()=ROW(tblSubjectToLoan[#Headers])+1,0,INDEX(tblSubjectToLoan[Interest],ROW()-ROW(tblSubjectToLoan[#Headers])-1)),tblSubjectToLoan[[#This Row],[Int]]+IF(ROW()=ROW(tblSubjectToLoan[#Headers])+1,0,INDEX(tblSubjectToLoan[Interest],ROW()-ROW(tblSubjectToLoan[#Headers])-1)))</f>
        <v>36068.259999999973</v>
      </c>
      <c r="K416" s="969">
        <f>IF(tblSubjectToLoan[[#This Row],[Date]]="",0,MAX(0,tblSubjectToLoan[[#This Row],[Beginning Balance]]-tblSubjectToLoan[[#This Row],[Princ]]))</f>
        <v>0</v>
      </c>
      <c r="L416" s="394">
        <f t="shared" si="33"/>
        <v>0</v>
      </c>
      <c r="M416" s="394">
        <f t="shared" si="36"/>
        <v>0</v>
      </c>
      <c r="N416" s="613" t="str">
        <f>INDEX(tblSubjectToLoan[Date],ROW()-ROW(tblContractForDeed[#Headers]))</f>
        <v/>
      </c>
      <c r="O416" s="276">
        <f>IF(ROW()=ROW(tblContractForDeed[#Headers])+1,$O$6,IF(INDEX(tblContractForDeed[End Bal],ROW()-ROW(tblContractForDeed[#Headers])-1)&lt;0,0,INDEX(tblContractForDeed[End Bal],ROW()-ROW(tblContractForDeed[#Headers])-1)))</f>
        <v>0</v>
      </c>
      <c r="P416" s="454"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6" s="276">
        <f>IF(INDEX(tblContractForDeed[End Bal],ROW()-ROW(tblBuyerOutputs[#Headers]))&lt;=0,0,($O$6+IF(ROW()=ROW(tblBuyerOutputs[#Headers])+1,0,INDEX(tblBuyerOutputs[Cumul Appr],ROW()-ROW(tblBuyerOutputs[#Headers])-1)))*$O$2/12)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13" t="str">
        <f>IF(ROW()=ROW(tblSubjectToLoan[#Headers])+1,subjectKnownBalanceDate,IF(OR(INDEX(tblSubjectToLoan[Date],ROW()-ROW(tblSubjectToLoan[#Headers])-1)="",INDEX(tblSubjectToLoan[Date],ROW()-ROW(tblSubjectToLoan[#Headers])-1)&gt;=subjectMortgageEndDate),"",EDATE(INDEX(tblSubjectToLoan[Date],ROW()-ROW(tblSubjectToLoan[#Headers])-1),1)))</f>
        <v/>
      </c>
      <c r="B417" s="276">
        <f>IF(tblSubjectToLoan[[#This Row],[Date]]="",0,IF(ROW()=ROW(tblSubjectToLoan[#Headers])+1,subjectKnownBalance,MAX(0,INDEX(tblSubjectToLoan[Ending Balance],ROW()-ROW(tblSubjectToLoan[#Headers])-1))))</f>
        <v>0</v>
      </c>
      <c r="C4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7" s="14">
        <f>IF(tblSubjectToLoan[[#This Row],[Payment]]=0,0,MAX(0,MIN(tblSubjectToLoan[[#This Row],[Beginning Balance]],tblSubjectToLoan[[#This Row],[Payment]]-tblSubjectToLoan[[#This Row],[Int]])))</f>
        <v>0</v>
      </c>
      <c r="E417" s="14">
        <f>IF(tblSubjectToLoan[[#This Row],[Date]]="",0,ROUND(tblSubjectToLoan[[#This Row],[Beginning Balance]]*(subjectInterestRate/12),2))</f>
        <v>0</v>
      </c>
      <c r="F417" s="14">
        <f t="shared" si="37"/>
        <v>134.16999999999999</v>
      </c>
      <c r="G417" s="14">
        <f t="shared" si="37"/>
        <v>188.55</v>
      </c>
      <c r="H417" s="14">
        <f>SUM(tblSubjectToLoan[[#This Row],[Princ]],tblSubjectToLoan[[#This Row],[Int]],tblSubjectToLoan[[#This Row],[Ins]],tblSubjectToLoan[[#This Row],[Taxes]])</f>
        <v>322.72000000000003</v>
      </c>
      <c r="I4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7" s="276">
        <f>IF(tblSubjectToLoan[[#This Row],[Date]]="",IF(ROW()=ROW(tblSubjectToLoan[#Headers])+1,0,INDEX(tblSubjectToLoan[Interest],ROW()-ROW(tblSubjectToLoan[#Headers])-1)),tblSubjectToLoan[[#This Row],[Int]]+IF(ROW()=ROW(tblSubjectToLoan[#Headers])+1,0,INDEX(tblSubjectToLoan[Interest],ROW()-ROW(tblSubjectToLoan[#Headers])-1)))</f>
        <v>36068.259999999973</v>
      </c>
      <c r="K417" s="969">
        <f>IF(tblSubjectToLoan[[#This Row],[Date]]="",0,MAX(0,tblSubjectToLoan[[#This Row],[Beginning Balance]]-tblSubjectToLoan[[#This Row],[Princ]]))</f>
        <v>0</v>
      </c>
      <c r="L417" s="394">
        <f t="shared" si="33"/>
        <v>0</v>
      </c>
      <c r="M417" s="394">
        <f t="shared" si="36"/>
        <v>0</v>
      </c>
      <c r="N417" s="613" t="str">
        <f>INDEX(tblSubjectToLoan[Date],ROW()-ROW(tblContractForDeed[#Headers]))</f>
        <v/>
      </c>
      <c r="O417" s="276">
        <f>IF(ROW()=ROW(tblContractForDeed[#Headers])+1,$O$6,IF(INDEX(tblContractForDeed[End Bal],ROW()-ROW(tblContractForDeed[#Headers])-1)&lt;0,0,INDEX(tblContractForDeed[End Bal],ROW()-ROW(tblContractForDeed[#Headers])-1)))</f>
        <v>0</v>
      </c>
      <c r="P417" s="454"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7" s="276">
        <f>IF(INDEX(tblContractForDeed[End Bal],ROW()-ROW(tblBuyerOutputs[#Headers]))&lt;=0,0,($O$6+IF(ROW()=ROW(tblBuyerOutputs[#Headers])+1,0,INDEX(tblBuyerOutputs[Cumul Appr],ROW()-ROW(tblBuyerOutputs[#Headers])-1)))*$O$2/12)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13" t="str">
        <f>IF(ROW()=ROW(tblSubjectToLoan[#Headers])+1,subjectKnownBalanceDate,IF(OR(INDEX(tblSubjectToLoan[Date],ROW()-ROW(tblSubjectToLoan[#Headers])-1)="",INDEX(tblSubjectToLoan[Date],ROW()-ROW(tblSubjectToLoan[#Headers])-1)&gt;=subjectMortgageEndDate),"",EDATE(INDEX(tblSubjectToLoan[Date],ROW()-ROW(tblSubjectToLoan[#Headers])-1),1)))</f>
        <v/>
      </c>
      <c r="B418" s="276">
        <f>IF(tblSubjectToLoan[[#This Row],[Date]]="",0,IF(ROW()=ROW(tblSubjectToLoan[#Headers])+1,subjectKnownBalance,MAX(0,INDEX(tblSubjectToLoan[Ending Balance],ROW()-ROW(tblSubjectToLoan[#Headers])-1))))</f>
        <v>0</v>
      </c>
      <c r="C4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8" s="14">
        <f>IF(tblSubjectToLoan[[#This Row],[Payment]]=0,0,MAX(0,MIN(tblSubjectToLoan[[#This Row],[Beginning Balance]],tblSubjectToLoan[[#This Row],[Payment]]-tblSubjectToLoan[[#This Row],[Int]])))</f>
        <v>0</v>
      </c>
      <c r="E418" s="14">
        <f>IF(tblSubjectToLoan[[#This Row],[Date]]="",0,ROUND(tblSubjectToLoan[[#This Row],[Beginning Balance]]*(subjectInterestRate/12),2))</f>
        <v>0</v>
      </c>
      <c r="F418" s="14">
        <f t="shared" si="37"/>
        <v>134.16999999999999</v>
      </c>
      <c r="G418" s="14">
        <f t="shared" si="37"/>
        <v>188.55</v>
      </c>
      <c r="H418" s="14">
        <f>SUM(tblSubjectToLoan[[#This Row],[Princ]],tblSubjectToLoan[[#This Row],[Int]],tblSubjectToLoan[[#This Row],[Ins]],tblSubjectToLoan[[#This Row],[Taxes]])</f>
        <v>322.72000000000003</v>
      </c>
      <c r="I4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8" s="276">
        <f>IF(tblSubjectToLoan[[#This Row],[Date]]="",IF(ROW()=ROW(tblSubjectToLoan[#Headers])+1,0,INDEX(tblSubjectToLoan[Interest],ROW()-ROW(tblSubjectToLoan[#Headers])-1)),tblSubjectToLoan[[#This Row],[Int]]+IF(ROW()=ROW(tblSubjectToLoan[#Headers])+1,0,INDEX(tblSubjectToLoan[Interest],ROW()-ROW(tblSubjectToLoan[#Headers])-1)))</f>
        <v>36068.259999999973</v>
      </c>
      <c r="K418" s="969">
        <f>IF(tblSubjectToLoan[[#This Row],[Date]]="",0,MAX(0,tblSubjectToLoan[[#This Row],[Beginning Balance]]-tblSubjectToLoan[[#This Row],[Princ]]))</f>
        <v>0</v>
      </c>
      <c r="L418" s="394">
        <f t="shared" si="33"/>
        <v>0</v>
      </c>
      <c r="M418" s="394">
        <f t="shared" si="36"/>
        <v>0</v>
      </c>
      <c r="N418" s="613" t="str">
        <f>INDEX(tblSubjectToLoan[Date],ROW()-ROW(tblContractForDeed[#Headers]))</f>
        <v/>
      </c>
      <c r="O418" s="276">
        <f>IF(ROW()=ROW(tblContractForDeed[#Headers])+1,$O$6,IF(INDEX(tblContractForDeed[End Bal],ROW()-ROW(tblContractForDeed[#Headers])-1)&lt;0,0,INDEX(tblContractForDeed[End Bal],ROW()-ROW(tblContractForDeed[#Headers])-1)))</f>
        <v>0</v>
      </c>
      <c r="P418" s="454"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8" s="276">
        <f>IF(INDEX(tblContractForDeed[End Bal],ROW()-ROW(tblBuyerOutputs[#Headers]))&lt;=0,0,($O$6+IF(ROW()=ROW(tblBuyerOutputs[#Headers])+1,0,INDEX(tblBuyerOutputs[Cumul Appr],ROW()-ROW(tblBuyerOutputs[#Headers])-1)))*$O$2/12)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13" t="str">
        <f>IF(ROW()=ROW(tblSubjectToLoan[#Headers])+1,subjectKnownBalanceDate,IF(OR(INDEX(tblSubjectToLoan[Date],ROW()-ROW(tblSubjectToLoan[#Headers])-1)="",INDEX(tblSubjectToLoan[Date],ROW()-ROW(tblSubjectToLoan[#Headers])-1)&gt;=subjectMortgageEndDate),"",EDATE(INDEX(tblSubjectToLoan[Date],ROW()-ROW(tblSubjectToLoan[#Headers])-1),1)))</f>
        <v/>
      </c>
      <c r="B419" s="276">
        <f>IF(tblSubjectToLoan[[#This Row],[Date]]="",0,IF(ROW()=ROW(tblSubjectToLoan[#Headers])+1,subjectKnownBalance,MAX(0,INDEX(tblSubjectToLoan[Ending Balance],ROW()-ROW(tblSubjectToLoan[#Headers])-1))))</f>
        <v>0</v>
      </c>
      <c r="C4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9" s="14">
        <f>IF(tblSubjectToLoan[[#This Row],[Payment]]=0,0,MAX(0,MIN(tblSubjectToLoan[[#This Row],[Beginning Balance]],tblSubjectToLoan[[#This Row],[Payment]]-tblSubjectToLoan[[#This Row],[Int]])))</f>
        <v>0</v>
      </c>
      <c r="E419" s="14">
        <f>IF(tblSubjectToLoan[[#This Row],[Date]]="",0,ROUND(tblSubjectToLoan[[#This Row],[Beginning Balance]]*(subjectInterestRate/12),2))</f>
        <v>0</v>
      </c>
      <c r="F419" s="14">
        <f t="shared" si="37"/>
        <v>134.16999999999999</v>
      </c>
      <c r="G419" s="14">
        <f t="shared" si="37"/>
        <v>188.55</v>
      </c>
      <c r="H419" s="14">
        <f>SUM(tblSubjectToLoan[[#This Row],[Princ]],tblSubjectToLoan[[#This Row],[Int]],tblSubjectToLoan[[#This Row],[Ins]],tblSubjectToLoan[[#This Row],[Taxes]])</f>
        <v>322.72000000000003</v>
      </c>
      <c r="I4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9" s="276">
        <f>IF(tblSubjectToLoan[[#This Row],[Date]]="",IF(ROW()=ROW(tblSubjectToLoan[#Headers])+1,0,INDEX(tblSubjectToLoan[Interest],ROW()-ROW(tblSubjectToLoan[#Headers])-1)),tblSubjectToLoan[[#This Row],[Int]]+IF(ROW()=ROW(tblSubjectToLoan[#Headers])+1,0,INDEX(tblSubjectToLoan[Interest],ROW()-ROW(tblSubjectToLoan[#Headers])-1)))</f>
        <v>36068.259999999973</v>
      </c>
      <c r="K419" s="969">
        <f>IF(tblSubjectToLoan[[#This Row],[Date]]="",0,MAX(0,tblSubjectToLoan[[#This Row],[Beginning Balance]]-tblSubjectToLoan[[#This Row],[Princ]]))</f>
        <v>0</v>
      </c>
      <c r="L419" s="394">
        <f t="shared" si="33"/>
        <v>0</v>
      </c>
      <c r="M419" s="394">
        <f t="shared" si="36"/>
        <v>0</v>
      </c>
      <c r="N419" s="613" t="str">
        <f>INDEX(tblSubjectToLoan[Date],ROW()-ROW(tblContractForDeed[#Headers]))</f>
        <v/>
      </c>
      <c r="O419" s="276">
        <f>IF(ROW()=ROW(tblContractForDeed[#Headers])+1,$O$6,IF(INDEX(tblContractForDeed[End Bal],ROW()-ROW(tblContractForDeed[#Headers])-1)&lt;0,0,INDEX(tblContractForDeed[End Bal],ROW()-ROW(tblContractForDeed[#Headers])-1)))</f>
        <v>0</v>
      </c>
      <c r="P419" s="454"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9" s="276">
        <f>IF(INDEX(tblContractForDeed[End Bal],ROW()-ROW(tblBuyerOutputs[#Headers]))&lt;=0,0,($O$6+IF(ROW()=ROW(tblBuyerOutputs[#Headers])+1,0,INDEX(tblBuyerOutputs[Cumul Appr],ROW()-ROW(tblBuyerOutputs[#Headers])-1)))*$O$2/12)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13" t="str">
        <f>IF(ROW()=ROW(tblSubjectToLoan[#Headers])+1,subjectKnownBalanceDate,IF(OR(INDEX(tblSubjectToLoan[Date],ROW()-ROW(tblSubjectToLoan[#Headers])-1)="",INDEX(tblSubjectToLoan[Date],ROW()-ROW(tblSubjectToLoan[#Headers])-1)&gt;=subjectMortgageEndDate),"",EDATE(INDEX(tblSubjectToLoan[Date],ROW()-ROW(tblSubjectToLoan[#Headers])-1),1)))</f>
        <v/>
      </c>
      <c r="B420" s="276">
        <f>IF(tblSubjectToLoan[[#This Row],[Date]]="",0,IF(ROW()=ROW(tblSubjectToLoan[#Headers])+1,subjectKnownBalance,MAX(0,INDEX(tblSubjectToLoan[Ending Balance],ROW()-ROW(tblSubjectToLoan[#Headers])-1))))</f>
        <v>0</v>
      </c>
      <c r="C4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0" s="14">
        <f>IF(tblSubjectToLoan[[#This Row],[Payment]]=0,0,MAX(0,MIN(tblSubjectToLoan[[#This Row],[Beginning Balance]],tblSubjectToLoan[[#This Row],[Payment]]-tblSubjectToLoan[[#This Row],[Int]])))</f>
        <v>0</v>
      </c>
      <c r="E420" s="14">
        <f>IF(tblSubjectToLoan[[#This Row],[Date]]="",0,ROUND(tblSubjectToLoan[[#This Row],[Beginning Balance]]*(subjectInterestRate/12),2))</f>
        <v>0</v>
      </c>
      <c r="F420" s="14">
        <f t="shared" si="37"/>
        <v>134.16999999999999</v>
      </c>
      <c r="G420" s="14">
        <f t="shared" si="37"/>
        <v>188.55</v>
      </c>
      <c r="H420" s="14">
        <f>SUM(tblSubjectToLoan[[#This Row],[Princ]],tblSubjectToLoan[[#This Row],[Int]],tblSubjectToLoan[[#This Row],[Ins]],tblSubjectToLoan[[#This Row],[Taxes]])</f>
        <v>322.72000000000003</v>
      </c>
      <c r="I4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0" s="276">
        <f>IF(tblSubjectToLoan[[#This Row],[Date]]="",IF(ROW()=ROW(tblSubjectToLoan[#Headers])+1,0,INDEX(tblSubjectToLoan[Interest],ROW()-ROW(tblSubjectToLoan[#Headers])-1)),tblSubjectToLoan[[#This Row],[Int]]+IF(ROW()=ROW(tblSubjectToLoan[#Headers])+1,0,INDEX(tblSubjectToLoan[Interest],ROW()-ROW(tblSubjectToLoan[#Headers])-1)))</f>
        <v>36068.259999999973</v>
      </c>
      <c r="K420" s="969">
        <f>IF(tblSubjectToLoan[[#This Row],[Date]]="",0,MAX(0,tblSubjectToLoan[[#This Row],[Beginning Balance]]-tblSubjectToLoan[[#This Row],[Princ]]))</f>
        <v>0</v>
      </c>
      <c r="L420" s="394">
        <f t="shared" si="33"/>
        <v>0</v>
      </c>
      <c r="M420" s="394">
        <f t="shared" si="36"/>
        <v>0</v>
      </c>
      <c r="N420" s="613" t="str">
        <f>INDEX(tblSubjectToLoan[Date],ROW()-ROW(tblContractForDeed[#Headers]))</f>
        <v/>
      </c>
      <c r="O420" s="276">
        <f>IF(ROW()=ROW(tblContractForDeed[#Headers])+1,$O$6,IF(INDEX(tblContractForDeed[End Bal],ROW()-ROW(tblContractForDeed[#Headers])-1)&lt;0,0,INDEX(tblContractForDeed[End Bal],ROW()-ROW(tblContractForDeed[#Headers])-1)))</f>
        <v>0</v>
      </c>
      <c r="P420" s="454"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0" s="276">
        <f>IF(INDEX(tblContractForDeed[End Bal],ROW()-ROW(tblBuyerOutputs[#Headers]))&lt;=0,0,($O$6+IF(ROW()=ROW(tblBuyerOutputs[#Headers])+1,0,INDEX(tblBuyerOutputs[Cumul Appr],ROW()-ROW(tblBuyerOutputs[#Headers])-1)))*$O$2/12)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13" t="str">
        <f>IF(ROW()=ROW(tblSubjectToLoan[#Headers])+1,subjectKnownBalanceDate,IF(OR(INDEX(tblSubjectToLoan[Date],ROW()-ROW(tblSubjectToLoan[#Headers])-1)="",INDEX(tblSubjectToLoan[Date],ROW()-ROW(tblSubjectToLoan[#Headers])-1)&gt;=subjectMortgageEndDate),"",EDATE(INDEX(tblSubjectToLoan[Date],ROW()-ROW(tblSubjectToLoan[#Headers])-1),1)))</f>
        <v/>
      </c>
      <c r="B421" s="276">
        <f>IF(tblSubjectToLoan[[#This Row],[Date]]="",0,IF(ROW()=ROW(tblSubjectToLoan[#Headers])+1,subjectKnownBalance,MAX(0,INDEX(tblSubjectToLoan[Ending Balance],ROW()-ROW(tblSubjectToLoan[#Headers])-1))))</f>
        <v>0</v>
      </c>
      <c r="C4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1" s="14">
        <f>IF(tblSubjectToLoan[[#This Row],[Payment]]=0,0,MAX(0,MIN(tblSubjectToLoan[[#This Row],[Beginning Balance]],tblSubjectToLoan[[#This Row],[Payment]]-tblSubjectToLoan[[#This Row],[Int]])))</f>
        <v>0</v>
      </c>
      <c r="E421" s="14">
        <f>IF(tblSubjectToLoan[[#This Row],[Date]]="",0,ROUND(tblSubjectToLoan[[#This Row],[Beginning Balance]]*(subjectInterestRate/12),2))</f>
        <v>0</v>
      </c>
      <c r="F421" s="14">
        <f t="shared" si="37"/>
        <v>134.16999999999999</v>
      </c>
      <c r="G421" s="14">
        <f t="shared" si="37"/>
        <v>188.55</v>
      </c>
      <c r="H421" s="14">
        <f>SUM(tblSubjectToLoan[[#This Row],[Princ]],tblSubjectToLoan[[#This Row],[Int]],tblSubjectToLoan[[#This Row],[Ins]],tblSubjectToLoan[[#This Row],[Taxes]])</f>
        <v>322.72000000000003</v>
      </c>
      <c r="I4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1" s="276">
        <f>IF(tblSubjectToLoan[[#This Row],[Date]]="",IF(ROW()=ROW(tblSubjectToLoan[#Headers])+1,0,INDEX(tblSubjectToLoan[Interest],ROW()-ROW(tblSubjectToLoan[#Headers])-1)),tblSubjectToLoan[[#This Row],[Int]]+IF(ROW()=ROW(tblSubjectToLoan[#Headers])+1,0,INDEX(tblSubjectToLoan[Interest],ROW()-ROW(tblSubjectToLoan[#Headers])-1)))</f>
        <v>36068.259999999973</v>
      </c>
      <c r="K421" s="969">
        <f>IF(tblSubjectToLoan[[#This Row],[Date]]="",0,MAX(0,tblSubjectToLoan[[#This Row],[Beginning Balance]]-tblSubjectToLoan[[#This Row],[Princ]]))</f>
        <v>0</v>
      </c>
      <c r="L421" s="394">
        <f t="shared" si="33"/>
        <v>0</v>
      </c>
      <c r="M421" s="394">
        <f t="shared" si="36"/>
        <v>0</v>
      </c>
      <c r="N421" s="613" t="str">
        <f>INDEX(tblSubjectToLoan[Date],ROW()-ROW(tblContractForDeed[#Headers]))</f>
        <v/>
      </c>
      <c r="O421" s="276">
        <f>IF(ROW()=ROW(tblContractForDeed[#Headers])+1,$O$6,IF(INDEX(tblContractForDeed[End Bal],ROW()-ROW(tblContractForDeed[#Headers])-1)&lt;0,0,INDEX(tblContractForDeed[End Bal],ROW()-ROW(tblContractForDeed[#Headers])-1)))</f>
        <v>0</v>
      </c>
      <c r="P421" s="454"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1" s="276">
        <f>IF(INDEX(tblContractForDeed[End Bal],ROW()-ROW(tblBuyerOutputs[#Headers]))&lt;=0,0,($O$6+IF(ROW()=ROW(tblBuyerOutputs[#Headers])+1,0,INDEX(tblBuyerOutputs[Cumul Appr],ROW()-ROW(tblBuyerOutputs[#Headers])-1)))*$O$2/12)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13" t="str">
        <f>IF(ROW()=ROW(tblSubjectToLoan[#Headers])+1,subjectKnownBalanceDate,IF(OR(INDEX(tblSubjectToLoan[Date],ROW()-ROW(tblSubjectToLoan[#Headers])-1)="",INDEX(tblSubjectToLoan[Date],ROW()-ROW(tblSubjectToLoan[#Headers])-1)&gt;=subjectMortgageEndDate),"",EDATE(INDEX(tblSubjectToLoan[Date],ROW()-ROW(tblSubjectToLoan[#Headers])-1),1)))</f>
        <v/>
      </c>
      <c r="B422" s="276">
        <f>IF(tblSubjectToLoan[[#This Row],[Date]]="",0,IF(ROW()=ROW(tblSubjectToLoan[#Headers])+1,subjectKnownBalance,MAX(0,INDEX(tblSubjectToLoan[Ending Balance],ROW()-ROW(tblSubjectToLoan[#Headers])-1))))</f>
        <v>0</v>
      </c>
      <c r="C4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2" s="14">
        <f>IF(tblSubjectToLoan[[#This Row],[Payment]]=0,0,MAX(0,MIN(tblSubjectToLoan[[#This Row],[Beginning Balance]],tblSubjectToLoan[[#This Row],[Payment]]-tblSubjectToLoan[[#This Row],[Int]])))</f>
        <v>0</v>
      </c>
      <c r="E422" s="14">
        <f>IF(tblSubjectToLoan[[#This Row],[Date]]="",0,ROUND(tblSubjectToLoan[[#This Row],[Beginning Balance]]*(subjectInterestRate/12),2))</f>
        <v>0</v>
      </c>
      <c r="F422" s="14">
        <f t="shared" si="37"/>
        <v>134.16999999999999</v>
      </c>
      <c r="G422" s="14">
        <f t="shared" si="37"/>
        <v>188.55</v>
      </c>
      <c r="H422" s="14">
        <f>SUM(tblSubjectToLoan[[#This Row],[Princ]],tblSubjectToLoan[[#This Row],[Int]],tblSubjectToLoan[[#This Row],[Ins]],tblSubjectToLoan[[#This Row],[Taxes]])</f>
        <v>322.72000000000003</v>
      </c>
      <c r="I4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2" s="276">
        <f>IF(tblSubjectToLoan[[#This Row],[Date]]="",IF(ROW()=ROW(tblSubjectToLoan[#Headers])+1,0,INDEX(tblSubjectToLoan[Interest],ROW()-ROW(tblSubjectToLoan[#Headers])-1)),tblSubjectToLoan[[#This Row],[Int]]+IF(ROW()=ROW(tblSubjectToLoan[#Headers])+1,0,INDEX(tblSubjectToLoan[Interest],ROW()-ROW(tblSubjectToLoan[#Headers])-1)))</f>
        <v>36068.259999999973</v>
      </c>
      <c r="K422" s="969">
        <f>IF(tblSubjectToLoan[[#This Row],[Date]]="",0,MAX(0,tblSubjectToLoan[[#This Row],[Beginning Balance]]-tblSubjectToLoan[[#This Row],[Princ]]))</f>
        <v>0</v>
      </c>
      <c r="L422" s="394">
        <f t="shared" si="33"/>
        <v>0</v>
      </c>
      <c r="M422" s="394">
        <f t="shared" si="36"/>
        <v>0</v>
      </c>
      <c r="N422" s="613" t="str">
        <f>INDEX(tblSubjectToLoan[Date],ROW()-ROW(tblContractForDeed[#Headers]))</f>
        <v/>
      </c>
      <c r="O422" s="276">
        <f>IF(ROW()=ROW(tblContractForDeed[#Headers])+1,$O$6,IF(INDEX(tblContractForDeed[End Bal],ROW()-ROW(tblContractForDeed[#Headers])-1)&lt;0,0,INDEX(tblContractForDeed[End Bal],ROW()-ROW(tblContractForDeed[#Headers])-1)))</f>
        <v>0</v>
      </c>
      <c r="P422" s="454"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2" s="276">
        <f>IF(INDEX(tblContractForDeed[End Bal],ROW()-ROW(tblBuyerOutputs[#Headers]))&lt;=0,0,($O$6+IF(ROW()=ROW(tblBuyerOutputs[#Headers])+1,0,INDEX(tblBuyerOutputs[Cumul Appr],ROW()-ROW(tblBuyerOutputs[#Headers])-1)))*$O$2/12)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13" t="str">
        <f>IF(ROW()=ROW(tblSubjectToLoan[#Headers])+1,subjectKnownBalanceDate,IF(OR(INDEX(tblSubjectToLoan[Date],ROW()-ROW(tblSubjectToLoan[#Headers])-1)="",INDEX(tblSubjectToLoan[Date],ROW()-ROW(tblSubjectToLoan[#Headers])-1)&gt;=subjectMortgageEndDate),"",EDATE(INDEX(tblSubjectToLoan[Date],ROW()-ROW(tblSubjectToLoan[#Headers])-1),1)))</f>
        <v/>
      </c>
      <c r="B423" s="276">
        <f>IF(tblSubjectToLoan[[#This Row],[Date]]="",0,IF(ROW()=ROW(tblSubjectToLoan[#Headers])+1,subjectKnownBalance,MAX(0,INDEX(tblSubjectToLoan[Ending Balance],ROW()-ROW(tblSubjectToLoan[#Headers])-1))))</f>
        <v>0</v>
      </c>
      <c r="C4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3" s="14">
        <f>IF(tblSubjectToLoan[[#This Row],[Payment]]=0,0,MAX(0,MIN(tblSubjectToLoan[[#This Row],[Beginning Balance]],tblSubjectToLoan[[#This Row],[Payment]]-tblSubjectToLoan[[#This Row],[Int]])))</f>
        <v>0</v>
      </c>
      <c r="E423" s="14">
        <f>IF(tblSubjectToLoan[[#This Row],[Date]]="",0,ROUND(tblSubjectToLoan[[#This Row],[Beginning Balance]]*(subjectInterestRate/12),2))</f>
        <v>0</v>
      </c>
      <c r="F423" s="14">
        <f t="shared" si="37"/>
        <v>134.16999999999999</v>
      </c>
      <c r="G423" s="14">
        <f t="shared" si="37"/>
        <v>188.55</v>
      </c>
      <c r="H423" s="14">
        <f>SUM(tblSubjectToLoan[[#This Row],[Princ]],tblSubjectToLoan[[#This Row],[Int]],tblSubjectToLoan[[#This Row],[Ins]],tblSubjectToLoan[[#This Row],[Taxes]])</f>
        <v>322.72000000000003</v>
      </c>
      <c r="I4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3" s="276">
        <f>IF(tblSubjectToLoan[[#This Row],[Date]]="",IF(ROW()=ROW(tblSubjectToLoan[#Headers])+1,0,INDEX(tblSubjectToLoan[Interest],ROW()-ROW(tblSubjectToLoan[#Headers])-1)),tblSubjectToLoan[[#This Row],[Int]]+IF(ROW()=ROW(tblSubjectToLoan[#Headers])+1,0,INDEX(tblSubjectToLoan[Interest],ROW()-ROW(tblSubjectToLoan[#Headers])-1)))</f>
        <v>36068.259999999973</v>
      </c>
      <c r="K423" s="969">
        <f>IF(tblSubjectToLoan[[#This Row],[Date]]="",0,MAX(0,tblSubjectToLoan[[#This Row],[Beginning Balance]]-tblSubjectToLoan[[#This Row],[Princ]]))</f>
        <v>0</v>
      </c>
      <c r="L423" s="394">
        <f t="shared" si="33"/>
        <v>0</v>
      </c>
      <c r="M423" s="394">
        <f t="shared" si="36"/>
        <v>0</v>
      </c>
      <c r="N423" s="613" t="str">
        <f>INDEX(tblSubjectToLoan[Date],ROW()-ROW(tblContractForDeed[#Headers]))</f>
        <v/>
      </c>
      <c r="O423" s="276">
        <f>IF(ROW()=ROW(tblContractForDeed[#Headers])+1,$O$6,IF(INDEX(tblContractForDeed[End Bal],ROW()-ROW(tblContractForDeed[#Headers])-1)&lt;0,0,INDEX(tblContractForDeed[End Bal],ROW()-ROW(tblContractForDeed[#Headers])-1)))</f>
        <v>0</v>
      </c>
      <c r="P423" s="454"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3" s="276">
        <f>IF(INDEX(tblContractForDeed[End Bal],ROW()-ROW(tblBuyerOutputs[#Headers]))&lt;=0,0,($O$6+IF(ROW()=ROW(tblBuyerOutputs[#Headers])+1,0,INDEX(tblBuyerOutputs[Cumul Appr],ROW()-ROW(tblBuyerOutputs[#Headers])-1)))*$O$2/12)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13" t="str">
        <f>IF(ROW()=ROW(tblSubjectToLoan[#Headers])+1,subjectKnownBalanceDate,IF(OR(INDEX(tblSubjectToLoan[Date],ROW()-ROW(tblSubjectToLoan[#Headers])-1)="",INDEX(tblSubjectToLoan[Date],ROW()-ROW(tblSubjectToLoan[#Headers])-1)&gt;=subjectMortgageEndDate),"",EDATE(INDEX(tblSubjectToLoan[Date],ROW()-ROW(tblSubjectToLoan[#Headers])-1),1)))</f>
        <v/>
      </c>
      <c r="B424" s="276">
        <f>IF(tblSubjectToLoan[[#This Row],[Date]]="",0,IF(ROW()=ROW(tblSubjectToLoan[#Headers])+1,subjectKnownBalance,MAX(0,INDEX(tblSubjectToLoan[Ending Balance],ROW()-ROW(tblSubjectToLoan[#Headers])-1))))</f>
        <v>0</v>
      </c>
      <c r="C4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4" s="14">
        <f>IF(tblSubjectToLoan[[#This Row],[Payment]]=0,0,MAX(0,MIN(tblSubjectToLoan[[#This Row],[Beginning Balance]],tblSubjectToLoan[[#This Row],[Payment]]-tblSubjectToLoan[[#This Row],[Int]])))</f>
        <v>0</v>
      </c>
      <c r="E424" s="14">
        <f>IF(tblSubjectToLoan[[#This Row],[Date]]="",0,ROUND(tblSubjectToLoan[[#This Row],[Beginning Balance]]*(subjectInterestRate/12),2))</f>
        <v>0</v>
      </c>
      <c r="F424" s="14">
        <f t="shared" si="37"/>
        <v>134.16999999999999</v>
      </c>
      <c r="G424" s="14">
        <f t="shared" si="37"/>
        <v>188.55</v>
      </c>
      <c r="H424" s="14">
        <f>SUM(tblSubjectToLoan[[#This Row],[Princ]],tblSubjectToLoan[[#This Row],[Int]],tblSubjectToLoan[[#This Row],[Ins]],tblSubjectToLoan[[#This Row],[Taxes]])</f>
        <v>322.72000000000003</v>
      </c>
      <c r="I4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4" s="276">
        <f>IF(tblSubjectToLoan[[#This Row],[Date]]="",IF(ROW()=ROW(tblSubjectToLoan[#Headers])+1,0,INDEX(tblSubjectToLoan[Interest],ROW()-ROW(tblSubjectToLoan[#Headers])-1)),tblSubjectToLoan[[#This Row],[Int]]+IF(ROW()=ROW(tblSubjectToLoan[#Headers])+1,0,INDEX(tblSubjectToLoan[Interest],ROW()-ROW(tblSubjectToLoan[#Headers])-1)))</f>
        <v>36068.259999999973</v>
      </c>
      <c r="K424" s="969">
        <f>IF(tblSubjectToLoan[[#This Row],[Date]]="",0,MAX(0,tblSubjectToLoan[[#This Row],[Beginning Balance]]-tblSubjectToLoan[[#This Row],[Princ]]))</f>
        <v>0</v>
      </c>
      <c r="L424" s="394">
        <f t="shared" si="33"/>
        <v>0</v>
      </c>
      <c r="M424" s="394">
        <f t="shared" si="36"/>
        <v>0</v>
      </c>
      <c r="N424" s="613" t="str">
        <f>INDEX(tblSubjectToLoan[Date],ROW()-ROW(tblContractForDeed[#Headers]))</f>
        <v/>
      </c>
      <c r="O424" s="276">
        <f>IF(ROW()=ROW(tblContractForDeed[#Headers])+1,$O$6,IF(INDEX(tblContractForDeed[End Bal],ROW()-ROW(tblContractForDeed[#Headers])-1)&lt;0,0,INDEX(tblContractForDeed[End Bal],ROW()-ROW(tblContractForDeed[#Headers])-1)))</f>
        <v>0</v>
      </c>
      <c r="P424" s="454"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4" s="276">
        <f>IF(INDEX(tblContractForDeed[End Bal],ROW()-ROW(tblBuyerOutputs[#Headers]))&lt;=0,0,($O$6+IF(ROW()=ROW(tblBuyerOutputs[#Headers])+1,0,INDEX(tblBuyerOutputs[Cumul Appr],ROW()-ROW(tblBuyerOutputs[#Headers])-1)))*$O$2/12)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13" t="str">
        <f>IF(ROW()=ROW(tblSubjectToLoan[#Headers])+1,subjectKnownBalanceDate,IF(OR(INDEX(tblSubjectToLoan[Date],ROW()-ROW(tblSubjectToLoan[#Headers])-1)="",INDEX(tblSubjectToLoan[Date],ROW()-ROW(tblSubjectToLoan[#Headers])-1)&gt;=subjectMortgageEndDate),"",EDATE(INDEX(tblSubjectToLoan[Date],ROW()-ROW(tblSubjectToLoan[#Headers])-1),1)))</f>
        <v/>
      </c>
      <c r="B425" s="276">
        <f>IF(tblSubjectToLoan[[#This Row],[Date]]="",0,IF(ROW()=ROW(tblSubjectToLoan[#Headers])+1,subjectKnownBalance,MAX(0,INDEX(tblSubjectToLoan[Ending Balance],ROW()-ROW(tblSubjectToLoan[#Headers])-1))))</f>
        <v>0</v>
      </c>
      <c r="C4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5" s="14">
        <f>IF(tblSubjectToLoan[[#This Row],[Payment]]=0,0,MAX(0,MIN(tblSubjectToLoan[[#This Row],[Beginning Balance]],tblSubjectToLoan[[#This Row],[Payment]]-tblSubjectToLoan[[#This Row],[Int]])))</f>
        <v>0</v>
      </c>
      <c r="E425" s="14">
        <f>IF(tblSubjectToLoan[[#This Row],[Date]]="",0,ROUND(tblSubjectToLoan[[#This Row],[Beginning Balance]]*(subjectInterestRate/12),2))</f>
        <v>0</v>
      </c>
      <c r="F425" s="14">
        <f t="shared" si="37"/>
        <v>134.16999999999999</v>
      </c>
      <c r="G425" s="14">
        <f t="shared" si="37"/>
        <v>188.55</v>
      </c>
      <c r="H425" s="14">
        <f>SUM(tblSubjectToLoan[[#This Row],[Princ]],tblSubjectToLoan[[#This Row],[Int]],tblSubjectToLoan[[#This Row],[Ins]],tblSubjectToLoan[[#This Row],[Taxes]])</f>
        <v>322.72000000000003</v>
      </c>
      <c r="I4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5" s="276">
        <f>IF(tblSubjectToLoan[[#This Row],[Date]]="",IF(ROW()=ROW(tblSubjectToLoan[#Headers])+1,0,INDEX(tblSubjectToLoan[Interest],ROW()-ROW(tblSubjectToLoan[#Headers])-1)),tblSubjectToLoan[[#This Row],[Int]]+IF(ROW()=ROW(tblSubjectToLoan[#Headers])+1,0,INDEX(tblSubjectToLoan[Interest],ROW()-ROW(tblSubjectToLoan[#Headers])-1)))</f>
        <v>36068.259999999973</v>
      </c>
      <c r="K425" s="969">
        <f>IF(tblSubjectToLoan[[#This Row],[Date]]="",0,MAX(0,tblSubjectToLoan[[#This Row],[Beginning Balance]]-tblSubjectToLoan[[#This Row],[Princ]]))</f>
        <v>0</v>
      </c>
      <c r="L425" s="394">
        <f t="shared" si="33"/>
        <v>0</v>
      </c>
      <c r="M425" s="394">
        <f t="shared" si="36"/>
        <v>0</v>
      </c>
      <c r="N425" s="613" t="str">
        <f>INDEX(tblSubjectToLoan[Date],ROW()-ROW(tblContractForDeed[#Headers]))</f>
        <v/>
      </c>
      <c r="O425" s="276">
        <f>IF(ROW()=ROW(tblContractForDeed[#Headers])+1,$O$6,IF(INDEX(tblContractForDeed[End Bal],ROW()-ROW(tblContractForDeed[#Headers])-1)&lt;0,0,INDEX(tblContractForDeed[End Bal],ROW()-ROW(tblContractForDeed[#Headers])-1)))</f>
        <v>0</v>
      </c>
      <c r="P425" s="454"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5" s="276">
        <f>IF(INDEX(tblContractForDeed[End Bal],ROW()-ROW(tblBuyerOutputs[#Headers]))&lt;=0,0,($O$6+IF(ROW()=ROW(tblBuyerOutputs[#Headers])+1,0,INDEX(tblBuyerOutputs[Cumul Appr],ROW()-ROW(tblBuyerOutputs[#Headers])-1)))*$O$2/12)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13" t="str">
        <f>IF(ROW()=ROW(tblSubjectToLoan[#Headers])+1,subjectKnownBalanceDate,IF(OR(INDEX(tblSubjectToLoan[Date],ROW()-ROW(tblSubjectToLoan[#Headers])-1)="",INDEX(tblSubjectToLoan[Date],ROW()-ROW(tblSubjectToLoan[#Headers])-1)&gt;=subjectMortgageEndDate),"",EDATE(INDEX(tblSubjectToLoan[Date],ROW()-ROW(tblSubjectToLoan[#Headers])-1),1)))</f>
        <v/>
      </c>
      <c r="B426" s="276">
        <f>IF(tblSubjectToLoan[[#This Row],[Date]]="",0,IF(ROW()=ROW(tblSubjectToLoan[#Headers])+1,subjectKnownBalance,MAX(0,INDEX(tblSubjectToLoan[Ending Balance],ROW()-ROW(tblSubjectToLoan[#Headers])-1))))</f>
        <v>0</v>
      </c>
      <c r="C4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6" s="14">
        <f>IF(tblSubjectToLoan[[#This Row],[Payment]]=0,0,MAX(0,MIN(tblSubjectToLoan[[#This Row],[Beginning Balance]],tblSubjectToLoan[[#This Row],[Payment]]-tblSubjectToLoan[[#This Row],[Int]])))</f>
        <v>0</v>
      </c>
      <c r="E426" s="14">
        <f>IF(tblSubjectToLoan[[#This Row],[Date]]="",0,ROUND(tblSubjectToLoan[[#This Row],[Beginning Balance]]*(subjectInterestRate/12),2))</f>
        <v>0</v>
      </c>
      <c r="F426" s="14">
        <f t="shared" si="37"/>
        <v>134.16999999999999</v>
      </c>
      <c r="G426" s="14">
        <f t="shared" si="37"/>
        <v>188.55</v>
      </c>
      <c r="H426" s="14">
        <f>SUM(tblSubjectToLoan[[#This Row],[Princ]],tblSubjectToLoan[[#This Row],[Int]],tblSubjectToLoan[[#This Row],[Ins]],tblSubjectToLoan[[#This Row],[Taxes]])</f>
        <v>322.72000000000003</v>
      </c>
      <c r="I4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6" s="276">
        <f>IF(tblSubjectToLoan[[#This Row],[Date]]="",IF(ROW()=ROW(tblSubjectToLoan[#Headers])+1,0,INDEX(tblSubjectToLoan[Interest],ROW()-ROW(tblSubjectToLoan[#Headers])-1)),tblSubjectToLoan[[#This Row],[Int]]+IF(ROW()=ROW(tblSubjectToLoan[#Headers])+1,0,INDEX(tblSubjectToLoan[Interest],ROW()-ROW(tblSubjectToLoan[#Headers])-1)))</f>
        <v>36068.259999999973</v>
      </c>
      <c r="K426" s="969">
        <f>IF(tblSubjectToLoan[[#This Row],[Date]]="",0,MAX(0,tblSubjectToLoan[[#This Row],[Beginning Balance]]-tblSubjectToLoan[[#This Row],[Princ]]))</f>
        <v>0</v>
      </c>
      <c r="L426" s="394">
        <f t="shared" si="33"/>
        <v>0</v>
      </c>
      <c r="M426" s="394">
        <f t="shared" si="36"/>
        <v>0</v>
      </c>
      <c r="N426" s="613" t="str">
        <f>INDEX(tblSubjectToLoan[Date],ROW()-ROW(tblContractForDeed[#Headers]))</f>
        <v/>
      </c>
      <c r="O426" s="276">
        <f>IF(ROW()=ROW(tblContractForDeed[#Headers])+1,$O$6,IF(INDEX(tblContractForDeed[End Bal],ROW()-ROW(tblContractForDeed[#Headers])-1)&lt;0,0,INDEX(tblContractForDeed[End Bal],ROW()-ROW(tblContractForDeed[#Headers])-1)))</f>
        <v>0</v>
      </c>
      <c r="P426" s="454"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6" s="276">
        <f>IF(INDEX(tblContractForDeed[End Bal],ROW()-ROW(tblBuyerOutputs[#Headers]))&lt;=0,0,($O$6+IF(ROW()=ROW(tblBuyerOutputs[#Headers])+1,0,INDEX(tblBuyerOutputs[Cumul Appr],ROW()-ROW(tblBuyerOutputs[#Headers])-1)))*$O$2/12)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14" t="str">
        <f>IF(ROW()=ROW(tblSubjectToLoan[#Headers])+1,subjectKnownBalanceDate,IF(OR(INDEX(tblSubjectToLoan[Date],ROW()-ROW(tblSubjectToLoan[#Headers])-1)="",INDEX(tblSubjectToLoan[Date],ROW()-ROW(tblSubjectToLoan[#Headers])-1)&gt;=subjectMortgageEndDate),"",EDATE(INDEX(tblSubjectToLoan[Date],ROW()-ROW(tblSubjectToLoan[#Headers])-1),1)))</f>
        <v/>
      </c>
      <c r="B427" s="332">
        <f>IF(tblSubjectToLoan[[#This Row],[Date]]="",0,IF(ROW()=ROW(tblSubjectToLoan[#Headers])+1,subjectKnownBalance,MAX(0,INDEX(tblSubjectToLoan[Ending Balance],ROW()-ROW(tblSubjectToLoan[#Headers])-1))))</f>
        <v>0</v>
      </c>
      <c r="C42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7" s="21">
        <f>IF(tblSubjectToLoan[[#This Row],[Payment]]=0,0,MAX(0,MIN(tblSubjectToLoan[[#This Row],[Beginning Balance]],tblSubjectToLoan[[#This Row],[Payment]]-tblSubjectToLoan[[#This Row],[Int]])))</f>
        <v>0</v>
      </c>
      <c r="E427" s="21">
        <f>IF(tblSubjectToLoan[[#This Row],[Date]]="",0,ROUND(tblSubjectToLoan[[#This Row],[Beginning Balance]]*(subjectInterestRate/12),2))</f>
        <v>0</v>
      </c>
      <c r="F427" s="21">
        <f t="shared" si="37"/>
        <v>134.16999999999999</v>
      </c>
      <c r="G427" s="21">
        <f t="shared" si="37"/>
        <v>188.55</v>
      </c>
      <c r="H427" s="21">
        <f>SUM(tblSubjectToLoan[[#This Row],[Princ]],tblSubjectToLoan[[#This Row],[Int]],tblSubjectToLoan[[#This Row],[Ins]],tblSubjectToLoan[[#This Row],[Taxes]])</f>
        <v>322.72000000000003</v>
      </c>
      <c r="I42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27" s="332">
        <f>IF(tblSubjectToLoan[[#This Row],[Date]]="",IF(ROW()=ROW(tblSubjectToLoan[#Headers])+1,0,INDEX(tblSubjectToLoan[Interest],ROW()-ROW(tblSubjectToLoan[#Headers])-1)),tblSubjectToLoan[[#This Row],[Int]]+IF(ROW()=ROW(tblSubjectToLoan[#Headers])+1,0,INDEX(tblSubjectToLoan[Interest],ROW()-ROW(tblSubjectToLoan[#Headers])-1)))</f>
        <v>36068.259999999973</v>
      </c>
      <c r="K427" s="970">
        <f>IF(tblSubjectToLoan[[#This Row],[Date]]="",0,MAX(0,tblSubjectToLoan[[#This Row],[Beginning Balance]]-tblSubjectToLoan[[#This Row],[Princ]]))</f>
        <v>0</v>
      </c>
      <c r="L427" s="395">
        <f t="shared" si="33"/>
        <v>0</v>
      </c>
      <c r="M427" s="395">
        <f t="shared" si="36"/>
        <v>0</v>
      </c>
      <c r="N427" s="614" t="str">
        <f>INDEX(tblSubjectToLoan[Date],ROW()-ROW(tblContractForDeed[#Headers]))</f>
        <v/>
      </c>
      <c r="O427" s="332">
        <f>IF(ROW()=ROW(tblContractForDeed[#Headers])+1,$O$6,IF(INDEX(tblContractForDeed[End Bal],ROW()-ROW(tblContractForDeed[#Headers])-1)&lt;0,0,INDEX(tblContractForDeed[End Bal],ROW()-ROW(tblContractForDeed[#Headers])-1)))</f>
        <v>0</v>
      </c>
      <c r="P427" s="454"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7" s="332">
        <f>IF(INDEX(tblContractForDeed[End Bal],ROW()-ROW(tblBuyerOutputs[#Headers]))&lt;=0,0,($O$6+IF(ROW()=ROW(tblBuyerOutputs[#Headers])+1,0,INDEX(tblBuyerOutputs[Cumul Appr],ROW()-ROW(tblBuyerOutputs[#Headers])-1)))*$O$2/12)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13" t="str">
        <f>IF(ROW()=ROW(tblSubjectToLoan[#Headers])+1,subjectKnownBalanceDate,IF(OR(INDEX(tblSubjectToLoan[Date],ROW()-ROW(tblSubjectToLoan[#Headers])-1)="",INDEX(tblSubjectToLoan[Date],ROW()-ROW(tblSubjectToLoan[#Headers])-1)&gt;=subjectMortgageEndDate),"",EDATE(INDEX(tblSubjectToLoan[Date],ROW()-ROW(tblSubjectToLoan[#Headers])-1),1)))</f>
        <v/>
      </c>
      <c r="B428" s="276">
        <f>IF(tblSubjectToLoan[[#This Row],[Date]]="",0,IF(ROW()=ROW(tblSubjectToLoan[#Headers])+1,subjectKnownBalance,MAX(0,INDEX(tblSubjectToLoan[Ending Balance],ROW()-ROW(tblSubjectToLoan[#Headers])-1))))</f>
        <v>0</v>
      </c>
      <c r="C4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8" s="14">
        <f>IF(tblSubjectToLoan[[#This Row],[Payment]]=0,0,MAX(0,MIN(tblSubjectToLoan[[#This Row],[Beginning Balance]],tblSubjectToLoan[[#This Row],[Payment]]-tblSubjectToLoan[[#This Row],[Int]])))</f>
        <v>0</v>
      </c>
      <c r="E428" s="14">
        <f>IF(tblSubjectToLoan[[#This Row],[Date]]="",0,ROUND(tblSubjectToLoan[[#This Row],[Beginning Balance]]*(subjectInterestRate/12),2))</f>
        <v>0</v>
      </c>
      <c r="F428" s="14">
        <f t="shared" si="37"/>
        <v>134.16999999999999</v>
      </c>
      <c r="G428" s="14">
        <f t="shared" si="37"/>
        <v>188.55</v>
      </c>
      <c r="H428" s="14">
        <f>SUM(tblSubjectToLoan[[#This Row],[Princ]],tblSubjectToLoan[[#This Row],[Int]],tblSubjectToLoan[[#This Row],[Ins]],tblSubjectToLoan[[#This Row],[Taxes]])</f>
        <v>322.72000000000003</v>
      </c>
      <c r="I4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8" s="276">
        <f>IF(tblSubjectToLoan[[#This Row],[Date]]="",IF(ROW()=ROW(tblSubjectToLoan[#Headers])+1,0,INDEX(tblSubjectToLoan[Interest],ROW()-ROW(tblSubjectToLoan[#Headers])-1)),tblSubjectToLoan[[#This Row],[Int]]+IF(ROW()=ROW(tblSubjectToLoan[#Headers])+1,0,INDEX(tblSubjectToLoan[Interest],ROW()-ROW(tblSubjectToLoan[#Headers])-1)))</f>
        <v>36068.259999999973</v>
      </c>
      <c r="K428" s="969">
        <f>IF(tblSubjectToLoan[[#This Row],[Date]]="",0,MAX(0,tblSubjectToLoan[[#This Row],[Beginning Balance]]-tblSubjectToLoan[[#This Row],[Princ]]))</f>
        <v>0</v>
      </c>
      <c r="L428" s="394">
        <f t="shared" si="33"/>
        <v>0</v>
      </c>
      <c r="M428" s="394">
        <f t="shared" si="36"/>
        <v>0</v>
      </c>
      <c r="N428" s="613" t="str">
        <f>INDEX(tblSubjectToLoan[Date],ROW()-ROW(tblContractForDeed[#Headers]))</f>
        <v/>
      </c>
      <c r="O428" s="276">
        <f>IF(ROW()=ROW(tblContractForDeed[#Headers])+1,$O$6,IF(INDEX(tblContractForDeed[End Bal],ROW()-ROW(tblContractForDeed[#Headers])-1)&lt;0,0,INDEX(tblContractForDeed[End Bal],ROW()-ROW(tblContractForDeed[#Headers])-1)))</f>
        <v>0</v>
      </c>
      <c r="P428" s="454"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8" s="276">
        <f>IF(INDEX(tblContractForDeed[End Bal],ROW()-ROW(tblBuyerOutputs[#Headers]))&lt;=0,0,($O$6+IF(ROW()=ROW(tblBuyerOutputs[#Headers])+1,0,INDEX(tblBuyerOutputs[Cumul Appr],ROW()-ROW(tblBuyerOutputs[#Headers])-1)))*$O$2/12)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13" t="str">
        <f>IF(ROW()=ROW(tblSubjectToLoan[#Headers])+1,subjectKnownBalanceDate,IF(OR(INDEX(tblSubjectToLoan[Date],ROW()-ROW(tblSubjectToLoan[#Headers])-1)="",INDEX(tblSubjectToLoan[Date],ROW()-ROW(tblSubjectToLoan[#Headers])-1)&gt;=subjectMortgageEndDate),"",EDATE(INDEX(tblSubjectToLoan[Date],ROW()-ROW(tblSubjectToLoan[#Headers])-1),1)))</f>
        <v/>
      </c>
      <c r="B429" s="276">
        <f>IF(tblSubjectToLoan[[#This Row],[Date]]="",0,IF(ROW()=ROW(tblSubjectToLoan[#Headers])+1,subjectKnownBalance,MAX(0,INDEX(tblSubjectToLoan[Ending Balance],ROW()-ROW(tblSubjectToLoan[#Headers])-1))))</f>
        <v>0</v>
      </c>
      <c r="C4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9" s="14">
        <f>IF(tblSubjectToLoan[[#This Row],[Payment]]=0,0,MAX(0,MIN(tblSubjectToLoan[[#This Row],[Beginning Balance]],tblSubjectToLoan[[#This Row],[Payment]]-tblSubjectToLoan[[#This Row],[Int]])))</f>
        <v>0</v>
      </c>
      <c r="E429" s="14">
        <f>IF(tblSubjectToLoan[[#This Row],[Date]]="",0,ROUND(tblSubjectToLoan[[#This Row],[Beginning Balance]]*(subjectInterestRate/12),2))</f>
        <v>0</v>
      </c>
      <c r="F429" s="14">
        <f t="shared" si="37"/>
        <v>134.16999999999999</v>
      </c>
      <c r="G429" s="14">
        <f t="shared" si="37"/>
        <v>188.55</v>
      </c>
      <c r="H429" s="14">
        <f>SUM(tblSubjectToLoan[[#This Row],[Princ]],tblSubjectToLoan[[#This Row],[Int]],tblSubjectToLoan[[#This Row],[Ins]],tblSubjectToLoan[[#This Row],[Taxes]])</f>
        <v>322.72000000000003</v>
      </c>
      <c r="I4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9" s="276">
        <f>IF(tblSubjectToLoan[[#This Row],[Date]]="",IF(ROW()=ROW(tblSubjectToLoan[#Headers])+1,0,INDEX(tblSubjectToLoan[Interest],ROW()-ROW(tblSubjectToLoan[#Headers])-1)),tblSubjectToLoan[[#This Row],[Int]]+IF(ROW()=ROW(tblSubjectToLoan[#Headers])+1,0,INDEX(tblSubjectToLoan[Interest],ROW()-ROW(tblSubjectToLoan[#Headers])-1)))</f>
        <v>36068.259999999973</v>
      </c>
      <c r="K429" s="969">
        <f>IF(tblSubjectToLoan[[#This Row],[Date]]="",0,MAX(0,tblSubjectToLoan[[#This Row],[Beginning Balance]]-tblSubjectToLoan[[#This Row],[Princ]]))</f>
        <v>0</v>
      </c>
      <c r="L429" s="394">
        <f t="shared" si="33"/>
        <v>0</v>
      </c>
      <c r="M429" s="394">
        <f t="shared" si="36"/>
        <v>0</v>
      </c>
      <c r="N429" s="613" t="str">
        <f>INDEX(tblSubjectToLoan[Date],ROW()-ROW(tblContractForDeed[#Headers]))</f>
        <v/>
      </c>
      <c r="O429" s="276">
        <f>IF(ROW()=ROW(tblContractForDeed[#Headers])+1,$O$6,IF(INDEX(tblContractForDeed[End Bal],ROW()-ROW(tblContractForDeed[#Headers])-1)&lt;0,0,INDEX(tblContractForDeed[End Bal],ROW()-ROW(tblContractForDeed[#Headers])-1)))</f>
        <v>0</v>
      </c>
      <c r="P429" s="454"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9" s="276">
        <f>IF(INDEX(tblContractForDeed[End Bal],ROW()-ROW(tblBuyerOutputs[#Headers]))&lt;=0,0,($O$6+IF(ROW()=ROW(tblBuyerOutputs[#Headers])+1,0,INDEX(tblBuyerOutputs[Cumul Appr],ROW()-ROW(tblBuyerOutputs[#Headers])-1)))*$O$2/12)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13" t="str">
        <f>IF(ROW()=ROW(tblSubjectToLoan[#Headers])+1,subjectKnownBalanceDate,IF(OR(INDEX(tblSubjectToLoan[Date],ROW()-ROW(tblSubjectToLoan[#Headers])-1)="",INDEX(tblSubjectToLoan[Date],ROW()-ROW(tblSubjectToLoan[#Headers])-1)&gt;=subjectMortgageEndDate),"",EDATE(INDEX(tblSubjectToLoan[Date],ROW()-ROW(tblSubjectToLoan[#Headers])-1),1)))</f>
        <v/>
      </c>
      <c r="B430" s="276">
        <f>IF(tblSubjectToLoan[[#This Row],[Date]]="",0,IF(ROW()=ROW(tblSubjectToLoan[#Headers])+1,subjectKnownBalance,MAX(0,INDEX(tblSubjectToLoan[Ending Balance],ROW()-ROW(tblSubjectToLoan[#Headers])-1))))</f>
        <v>0</v>
      </c>
      <c r="C4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0" s="14">
        <f>IF(tblSubjectToLoan[[#This Row],[Payment]]=0,0,MAX(0,MIN(tblSubjectToLoan[[#This Row],[Beginning Balance]],tblSubjectToLoan[[#This Row],[Payment]]-tblSubjectToLoan[[#This Row],[Int]])))</f>
        <v>0</v>
      </c>
      <c r="E430" s="14">
        <f>IF(tblSubjectToLoan[[#This Row],[Date]]="",0,ROUND(tblSubjectToLoan[[#This Row],[Beginning Balance]]*(subjectInterestRate/12),2))</f>
        <v>0</v>
      </c>
      <c r="F430" s="14">
        <f t="shared" si="37"/>
        <v>134.16999999999999</v>
      </c>
      <c r="G430" s="14">
        <f t="shared" si="37"/>
        <v>188.55</v>
      </c>
      <c r="H430" s="14">
        <f>SUM(tblSubjectToLoan[[#This Row],[Princ]],tblSubjectToLoan[[#This Row],[Int]],tblSubjectToLoan[[#This Row],[Ins]],tblSubjectToLoan[[#This Row],[Taxes]])</f>
        <v>322.72000000000003</v>
      </c>
      <c r="I4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0" s="276">
        <f>IF(tblSubjectToLoan[[#This Row],[Date]]="",IF(ROW()=ROW(tblSubjectToLoan[#Headers])+1,0,INDEX(tblSubjectToLoan[Interest],ROW()-ROW(tblSubjectToLoan[#Headers])-1)),tblSubjectToLoan[[#This Row],[Int]]+IF(ROW()=ROW(tblSubjectToLoan[#Headers])+1,0,INDEX(tblSubjectToLoan[Interest],ROW()-ROW(tblSubjectToLoan[#Headers])-1)))</f>
        <v>36068.259999999973</v>
      </c>
      <c r="K430" s="969">
        <f>IF(tblSubjectToLoan[[#This Row],[Date]]="",0,MAX(0,tblSubjectToLoan[[#This Row],[Beginning Balance]]-tblSubjectToLoan[[#This Row],[Princ]]))</f>
        <v>0</v>
      </c>
      <c r="L430" s="394">
        <f t="shared" si="33"/>
        <v>0</v>
      </c>
      <c r="M430" s="394">
        <f t="shared" si="36"/>
        <v>0</v>
      </c>
      <c r="N430" s="613" t="str">
        <f>INDEX(tblSubjectToLoan[Date],ROW()-ROW(tblContractForDeed[#Headers]))</f>
        <v/>
      </c>
      <c r="O430" s="276">
        <f>IF(ROW()=ROW(tblContractForDeed[#Headers])+1,$O$6,IF(INDEX(tblContractForDeed[End Bal],ROW()-ROW(tblContractForDeed[#Headers])-1)&lt;0,0,INDEX(tblContractForDeed[End Bal],ROW()-ROW(tblContractForDeed[#Headers])-1)))</f>
        <v>0</v>
      </c>
      <c r="P430" s="454"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0" s="276">
        <f>IF(INDEX(tblContractForDeed[End Bal],ROW()-ROW(tblBuyerOutputs[#Headers]))&lt;=0,0,($O$6+IF(ROW()=ROW(tblBuyerOutputs[#Headers])+1,0,INDEX(tblBuyerOutputs[Cumul Appr],ROW()-ROW(tblBuyerOutputs[#Headers])-1)))*$O$2/12)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13" t="str">
        <f>IF(ROW()=ROW(tblSubjectToLoan[#Headers])+1,subjectKnownBalanceDate,IF(OR(INDEX(tblSubjectToLoan[Date],ROW()-ROW(tblSubjectToLoan[#Headers])-1)="",INDEX(tblSubjectToLoan[Date],ROW()-ROW(tblSubjectToLoan[#Headers])-1)&gt;=subjectMortgageEndDate),"",EDATE(INDEX(tblSubjectToLoan[Date],ROW()-ROW(tblSubjectToLoan[#Headers])-1),1)))</f>
        <v/>
      </c>
      <c r="B431" s="276">
        <f>IF(tblSubjectToLoan[[#This Row],[Date]]="",0,IF(ROW()=ROW(tblSubjectToLoan[#Headers])+1,subjectKnownBalance,MAX(0,INDEX(tblSubjectToLoan[Ending Balance],ROW()-ROW(tblSubjectToLoan[#Headers])-1))))</f>
        <v>0</v>
      </c>
      <c r="C4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1" s="14">
        <f>IF(tblSubjectToLoan[[#This Row],[Payment]]=0,0,MAX(0,MIN(tblSubjectToLoan[[#This Row],[Beginning Balance]],tblSubjectToLoan[[#This Row],[Payment]]-tblSubjectToLoan[[#This Row],[Int]])))</f>
        <v>0</v>
      </c>
      <c r="E431" s="14">
        <f>IF(tblSubjectToLoan[[#This Row],[Date]]="",0,ROUND(tblSubjectToLoan[[#This Row],[Beginning Balance]]*(subjectInterestRate/12),2))</f>
        <v>0</v>
      </c>
      <c r="F431" s="14">
        <f t="shared" ref="F431:G446" si="38">+F430</f>
        <v>134.16999999999999</v>
      </c>
      <c r="G431" s="14">
        <f t="shared" si="38"/>
        <v>188.55</v>
      </c>
      <c r="H431" s="14">
        <f>SUM(tblSubjectToLoan[[#This Row],[Princ]],tblSubjectToLoan[[#This Row],[Int]],tblSubjectToLoan[[#This Row],[Ins]],tblSubjectToLoan[[#This Row],[Taxes]])</f>
        <v>322.72000000000003</v>
      </c>
      <c r="I4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1" s="276">
        <f>IF(tblSubjectToLoan[[#This Row],[Date]]="",IF(ROW()=ROW(tblSubjectToLoan[#Headers])+1,0,INDEX(tblSubjectToLoan[Interest],ROW()-ROW(tblSubjectToLoan[#Headers])-1)),tblSubjectToLoan[[#This Row],[Int]]+IF(ROW()=ROW(tblSubjectToLoan[#Headers])+1,0,INDEX(tblSubjectToLoan[Interest],ROW()-ROW(tblSubjectToLoan[#Headers])-1)))</f>
        <v>36068.259999999973</v>
      </c>
      <c r="K431" s="969">
        <f>IF(tblSubjectToLoan[[#This Row],[Date]]="",0,MAX(0,tblSubjectToLoan[[#This Row],[Beginning Balance]]-tblSubjectToLoan[[#This Row],[Princ]]))</f>
        <v>0</v>
      </c>
      <c r="L431" s="394">
        <f t="shared" si="33"/>
        <v>0</v>
      </c>
      <c r="M431" s="394">
        <f t="shared" si="36"/>
        <v>0</v>
      </c>
      <c r="N431" s="613" t="str">
        <f>INDEX(tblSubjectToLoan[Date],ROW()-ROW(tblContractForDeed[#Headers]))</f>
        <v/>
      </c>
      <c r="O431" s="276">
        <f>IF(ROW()=ROW(tblContractForDeed[#Headers])+1,$O$6,IF(INDEX(tblContractForDeed[End Bal],ROW()-ROW(tblContractForDeed[#Headers])-1)&lt;0,0,INDEX(tblContractForDeed[End Bal],ROW()-ROW(tblContractForDeed[#Headers])-1)))</f>
        <v>0</v>
      </c>
      <c r="P431" s="454"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1" s="276">
        <f>IF(INDEX(tblContractForDeed[End Bal],ROW()-ROW(tblBuyerOutputs[#Headers]))&lt;=0,0,($O$6+IF(ROW()=ROW(tblBuyerOutputs[#Headers])+1,0,INDEX(tblBuyerOutputs[Cumul Appr],ROW()-ROW(tblBuyerOutputs[#Headers])-1)))*$O$2/12)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13" t="str">
        <f>IF(ROW()=ROW(tblSubjectToLoan[#Headers])+1,subjectKnownBalanceDate,IF(OR(INDEX(tblSubjectToLoan[Date],ROW()-ROW(tblSubjectToLoan[#Headers])-1)="",INDEX(tblSubjectToLoan[Date],ROW()-ROW(tblSubjectToLoan[#Headers])-1)&gt;=subjectMortgageEndDate),"",EDATE(INDEX(tblSubjectToLoan[Date],ROW()-ROW(tblSubjectToLoan[#Headers])-1),1)))</f>
        <v/>
      </c>
      <c r="B432" s="276">
        <f>IF(tblSubjectToLoan[[#This Row],[Date]]="",0,IF(ROW()=ROW(tblSubjectToLoan[#Headers])+1,subjectKnownBalance,MAX(0,INDEX(tblSubjectToLoan[Ending Balance],ROW()-ROW(tblSubjectToLoan[#Headers])-1))))</f>
        <v>0</v>
      </c>
      <c r="C4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2" s="14">
        <f>IF(tblSubjectToLoan[[#This Row],[Payment]]=0,0,MAX(0,MIN(tblSubjectToLoan[[#This Row],[Beginning Balance]],tblSubjectToLoan[[#This Row],[Payment]]-tblSubjectToLoan[[#This Row],[Int]])))</f>
        <v>0</v>
      </c>
      <c r="E432" s="14">
        <f>IF(tblSubjectToLoan[[#This Row],[Date]]="",0,ROUND(tblSubjectToLoan[[#This Row],[Beginning Balance]]*(subjectInterestRate/12),2))</f>
        <v>0</v>
      </c>
      <c r="F432" s="14">
        <f t="shared" si="38"/>
        <v>134.16999999999999</v>
      </c>
      <c r="G432" s="14">
        <f t="shared" si="38"/>
        <v>188.55</v>
      </c>
      <c r="H432" s="14">
        <f>SUM(tblSubjectToLoan[[#This Row],[Princ]],tblSubjectToLoan[[#This Row],[Int]],tblSubjectToLoan[[#This Row],[Ins]],tblSubjectToLoan[[#This Row],[Taxes]])</f>
        <v>322.72000000000003</v>
      </c>
      <c r="I4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2" s="276">
        <f>IF(tblSubjectToLoan[[#This Row],[Date]]="",IF(ROW()=ROW(tblSubjectToLoan[#Headers])+1,0,INDEX(tblSubjectToLoan[Interest],ROW()-ROW(tblSubjectToLoan[#Headers])-1)),tblSubjectToLoan[[#This Row],[Int]]+IF(ROW()=ROW(tblSubjectToLoan[#Headers])+1,0,INDEX(tblSubjectToLoan[Interest],ROW()-ROW(tblSubjectToLoan[#Headers])-1)))</f>
        <v>36068.259999999973</v>
      </c>
      <c r="K432" s="969">
        <f>IF(tblSubjectToLoan[[#This Row],[Date]]="",0,MAX(0,tblSubjectToLoan[[#This Row],[Beginning Balance]]-tblSubjectToLoan[[#This Row],[Princ]]))</f>
        <v>0</v>
      </c>
      <c r="L432" s="394">
        <f t="shared" si="33"/>
        <v>0</v>
      </c>
      <c r="M432" s="394">
        <f t="shared" si="36"/>
        <v>0</v>
      </c>
      <c r="N432" s="613" t="str">
        <f>INDEX(tblSubjectToLoan[Date],ROW()-ROW(tblContractForDeed[#Headers]))</f>
        <v/>
      </c>
      <c r="O432" s="276">
        <f>IF(ROW()=ROW(tblContractForDeed[#Headers])+1,$O$6,IF(INDEX(tblContractForDeed[End Bal],ROW()-ROW(tblContractForDeed[#Headers])-1)&lt;0,0,INDEX(tblContractForDeed[End Bal],ROW()-ROW(tblContractForDeed[#Headers])-1)))</f>
        <v>0</v>
      </c>
      <c r="P432" s="454"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2" s="276">
        <f>IF(INDEX(tblContractForDeed[End Bal],ROW()-ROW(tblBuyerOutputs[#Headers]))&lt;=0,0,($O$6+IF(ROW()=ROW(tblBuyerOutputs[#Headers])+1,0,INDEX(tblBuyerOutputs[Cumul Appr],ROW()-ROW(tblBuyerOutputs[#Headers])-1)))*$O$2/12)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13" t="str">
        <f>IF(ROW()=ROW(tblSubjectToLoan[#Headers])+1,subjectKnownBalanceDate,IF(OR(INDEX(tblSubjectToLoan[Date],ROW()-ROW(tblSubjectToLoan[#Headers])-1)="",INDEX(tblSubjectToLoan[Date],ROW()-ROW(tblSubjectToLoan[#Headers])-1)&gt;=subjectMortgageEndDate),"",EDATE(INDEX(tblSubjectToLoan[Date],ROW()-ROW(tblSubjectToLoan[#Headers])-1),1)))</f>
        <v/>
      </c>
      <c r="B433" s="276">
        <f>IF(tblSubjectToLoan[[#This Row],[Date]]="",0,IF(ROW()=ROW(tblSubjectToLoan[#Headers])+1,subjectKnownBalance,MAX(0,INDEX(tblSubjectToLoan[Ending Balance],ROW()-ROW(tblSubjectToLoan[#Headers])-1))))</f>
        <v>0</v>
      </c>
      <c r="C4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3" s="14">
        <f>IF(tblSubjectToLoan[[#This Row],[Payment]]=0,0,MAX(0,MIN(tblSubjectToLoan[[#This Row],[Beginning Balance]],tblSubjectToLoan[[#This Row],[Payment]]-tblSubjectToLoan[[#This Row],[Int]])))</f>
        <v>0</v>
      </c>
      <c r="E433" s="14">
        <f>IF(tblSubjectToLoan[[#This Row],[Date]]="",0,ROUND(tblSubjectToLoan[[#This Row],[Beginning Balance]]*(subjectInterestRate/12),2))</f>
        <v>0</v>
      </c>
      <c r="F433" s="14">
        <f t="shared" si="38"/>
        <v>134.16999999999999</v>
      </c>
      <c r="G433" s="14">
        <f t="shared" si="38"/>
        <v>188.55</v>
      </c>
      <c r="H433" s="14">
        <f>SUM(tblSubjectToLoan[[#This Row],[Princ]],tblSubjectToLoan[[#This Row],[Int]],tblSubjectToLoan[[#This Row],[Ins]],tblSubjectToLoan[[#This Row],[Taxes]])</f>
        <v>322.72000000000003</v>
      </c>
      <c r="I4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3" s="276">
        <f>IF(tblSubjectToLoan[[#This Row],[Date]]="",IF(ROW()=ROW(tblSubjectToLoan[#Headers])+1,0,INDEX(tblSubjectToLoan[Interest],ROW()-ROW(tblSubjectToLoan[#Headers])-1)),tblSubjectToLoan[[#This Row],[Int]]+IF(ROW()=ROW(tblSubjectToLoan[#Headers])+1,0,INDEX(tblSubjectToLoan[Interest],ROW()-ROW(tblSubjectToLoan[#Headers])-1)))</f>
        <v>36068.259999999973</v>
      </c>
      <c r="K433" s="969">
        <f>IF(tblSubjectToLoan[[#This Row],[Date]]="",0,MAX(0,tblSubjectToLoan[[#This Row],[Beginning Balance]]-tblSubjectToLoan[[#This Row],[Princ]]))</f>
        <v>0</v>
      </c>
      <c r="L433" s="394">
        <f t="shared" si="33"/>
        <v>0</v>
      </c>
      <c r="M433" s="394">
        <f t="shared" si="36"/>
        <v>0</v>
      </c>
      <c r="N433" s="613" t="str">
        <f>INDEX(tblSubjectToLoan[Date],ROW()-ROW(tblContractForDeed[#Headers]))</f>
        <v/>
      </c>
      <c r="O433" s="276">
        <f>IF(ROW()=ROW(tblContractForDeed[#Headers])+1,$O$6,IF(INDEX(tblContractForDeed[End Bal],ROW()-ROW(tblContractForDeed[#Headers])-1)&lt;0,0,INDEX(tblContractForDeed[End Bal],ROW()-ROW(tblContractForDeed[#Headers])-1)))</f>
        <v>0</v>
      </c>
      <c r="P433" s="454"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3" s="276">
        <f>IF(INDEX(tblContractForDeed[End Bal],ROW()-ROW(tblBuyerOutputs[#Headers]))&lt;=0,0,($O$6+IF(ROW()=ROW(tblBuyerOutputs[#Headers])+1,0,INDEX(tblBuyerOutputs[Cumul Appr],ROW()-ROW(tblBuyerOutputs[#Headers])-1)))*$O$2/12)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13" t="str">
        <f>IF(ROW()=ROW(tblSubjectToLoan[#Headers])+1,subjectKnownBalanceDate,IF(OR(INDEX(tblSubjectToLoan[Date],ROW()-ROW(tblSubjectToLoan[#Headers])-1)="",INDEX(tblSubjectToLoan[Date],ROW()-ROW(tblSubjectToLoan[#Headers])-1)&gt;=subjectMortgageEndDate),"",EDATE(INDEX(tblSubjectToLoan[Date],ROW()-ROW(tblSubjectToLoan[#Headers])-1),1)))</f>
        <v/>
      </c>
      <c r="B434" s="276">
        <f>IF(tblSubjectToLoan[[#This Row],[Date]]="",0,IF(ROW()=ROW(tblSubjectToLoan[#Headers])+1,subjectKnownBalance,MAX(0,INDEX(tblSubjectToLoan[Ending Balance],ROW()-ROW(tblSubjectToLoan[#Headers])-1))))</f>
        <v>0</v>
      </c>
      <c r="C4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4" s="14">
        <f>IF(tblSubjectToLoan[[#This Row],[Payment]]=0,0,MAX(0,MIN(tblSubjectToLoan[[#This Row],[Beginning Balance]],tblSubjectToLoan[[#This Row],[Payment]]-tblSubjectToLoan[[#This Row],[Int]])))</f>
        <v>0</v>
      </c>
      <c r="E434" s="14">
        <f>IF(tblSubjectToLoan[[#This Row],[Date]]="",0,ROUND(tblSubjectToLoan[[#This Row],[Beginning Balance]]*(subjectInterestRate/12),2))</f>
        <v>0</v>
      </c>
      <c r="F434" s="14">
        <f t="shared" si="38"/>
        <v>134.16999999999999</v>
      </c>
      <c r="G434" s="14">
        <f t="shared" si="38"/>
        <v>188.55</v>
      </c>
      <c r="H434" s="14">
        <f>SUM(tblSubjectToLoan[[#This Row],[Princ]],tblSubjectToLoan[[#This Row],[Int]],tblSubjectToLoan[[#This Row],[Ins]],tblSubjectToLoan[[#This Row],[Taxes]])</f>
        <v>322.72000000000003</v>
      </c>
      <c r="I4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4" s="276">
        <f>IF(tblSubjectToLoan[[#This Row],[Date]]="",IF(ROW()=ROW(tblSubjectToLoan[#Headers])+1,0,INDEX(tblSubjectToLoan[Interest],ROW()-ROW(tblSubjectToLoan[#Headers])-1)),tblSubjectToLoan[[#This Row],[Int]]+IF(ROW()=ROW(tblSubjectToLoan[#Headers])+1,0,INDEX(tblSubjectToLoan[Interest],ROW()-ROW(tblSubjectToLoan[#Headers])-1)))</f>
        <v>36068.259999999973</v>
      </c>
      <c r="K434" s="969">
        <f>IF(tblSubjectToLoan[[#This Row],[Date]]="",0,MAX(0,tblSubjectToLoan[[#This Row],[Beginning Balance]]-tblSubjectToLoan[[#This Row],[Princ]]))</f>
        <v>0</v>
      </c>
      <c r="L434" s="394">
        <f t="shared" si="33"/>
        <v>0</v>
      </c>
      <c r="M434" s="394">
        <f t="shared" si="36"/>
        <v>0</v>
      </c>
      <c r="N434" s="613" t="str">
        <f>INDEX(tblSubjectToLoan[Date],ROW()-ROW(tblContractForDeed[#Headers]))</f>
        <v/>
      </c>
      <c r="O434" s="276">
        <f>IF(ROW()=ROW(tblContractForDeed[#Headers])+1,$O$6,IF(INDEX(tblContractForDeed[End Bal],ROW()-ROW(tblContractForDeed[#Headers])-1)&lt;0,0,INDEX(tblContractForDeed[End Bal],ROW()-ROW(tblContractForDeed[#Headers])-1)))</f>
        <v>0</v>
      </c>
      <c r="P434" s="454"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4" s="276">
        <f>IF(INDEX(tblContractForDeed[End Bal],ROW()-ROW(tblBuyerOutputs[#Headers]))&lt;=0,0,($O$6+IF(ROW()=ROW(tblBuyerOutputs[#Headers])+1,0,INDEX(tblBuyerOutputs[Cumul Appr],ROW()-ROW(tblBuyerOutputs[#Headers])-1)))*$O$2/12)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13" t="str">
        <f>IF(ROW()=ROW(tblSubjectToLoan[#Headers])+1,subjectKnownBalanceDate,IF(OR(INDEX(tblSubjectToLoan[Date],ROW()-ROW(tblSubjectToLoan[#Headers])-1)="",INDEX(tblSubjectToLoan[Date],ROW()-ROW(tblSubjectToLoan[#Headers])-1)&gt;=subjectMortgageEndDate),"",EDATE(INDEX(tblSubjectToLoan[Date],ROW()-ROW(tblSubjectToLoan[#Headers])-1),1)))</f>
        <v/>
      </c>
      <c r="B435" s="276">
        <f>IF(tblSubjectToLoan[[#This Row],[Date]]="",0,IF(ROW()=ROW(tblSubjectToLoan[#Headers])+1,subjectKnownBalance,MAX(0,INDEX(tblSubjectToLoan[Ending Balance],ROW()-ROW(tblSubjectToLoan[#Headers])-1))))</f>
        <v>0</v>
      </c>
      <c r="C4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5" s="14">
        <f>IF(tblSubjectToLoan[[#This Row],[Payment]]=0,0,MAX(0,MIN(tblSubjectToLoan[[#This Row],[Beginning Balance]],tblSubjectToLoan[[#This Row],[Payment]]-tblSubjectToLoan[[#This Row],[Int]])))</f>
        <v>0</v>
      </c>
      <c r="E435" s="14">
        <f>IF(tblSubjectToLoan[[#This Row],[Date]]="",0,ROUND(tblSubjectToLoan[[#This Row],[Beginning Balance]]*(subjectInterestRate/12),2))</f>
        <v>0</v>
      </c>
      <c r="F435" s="14">
        <f t="shared" si="38"/>
        <v>134.16999999999999</v>
      </c>
      <c r="G435" s="14">
        <f t="shared" si="38"/>
        <v>188.55</v>
      </c>
      <c r="H435" s="14">
        <f>SUM(tblSubjectToLoan[[#This Row],[Princ]],tblSubjectToLoan[[#This Row],[Int]],tblSubjectToLoan[[#This Row],[Ins]],tblSubjectToLoan[[#This Row],[Taxes]])</f>
        <v>322.72000000000003</v>
      </c>
      <c r="I4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5" s="276">
        <f>IF(tblSubjectToLoan[[#This Row],[Date]]="",IF(ROW()=ROW(tblSubjectToLoan[#Headers])+1,0,INDEX(tblSubjectToLoan[Interest],ROW()-ROW(tblSubjectToLoan[#Headers])-1)),tblSubjectToLoan[[#This Row],[Int]]+IF(ROW()=ROW(tblSubjectToLoan[#Headers])+1,0,INDEX(tblSubjectToLoan[Interest],ROW()-ROW(tblSubjectToLoan[#Headers])-1)))</f>
        <v>36068.259999999973</v>
      </c>
      <c r="K435" s="969">
        <f>IF(tblSubjectToLoan[[#This Row],[Date]]="",0,MAX(0,tblSubjectToLoan[[#This Row],[Beginning Balance]]-tblSubjectToLoan[[#This Row],[Princ]]))</f>
        <v>0</v>
      </c>
      <c r="L435" s="394">
        <f t="shared" si="33"/>
        <v>0</v>
      </c>
      <c r="M435" s="394">
        <f t="shared" si="36"/>
        <v>0</v>
      </c>
      <c r="N435" s="613" t="str">
        <f>INDEX(tblSubjectToLoan[Date],ROW()-ROW(tblContractForDeed[#Headers]))</f>
        <v/>
      </c>
      <c r="O435" s="276">
        <f>IF(ROW()=ROW(tblContractForDeed[#Headers])+1,$O$6,IF(INDEX(tblContractForDeed[End Bal],ROW()-ROW(tblContractForDeed[#Headers])-1)&lt;0,0,INDEX(tblContractForDeed[End Bal],ROW()-ROW(tblContractForDeed[#Headers])-1)))</f>
        <v>0</v>
      </c>
      <c r="P435" s="454"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5" s="276">
        <f>IF(INDEX(tblContractForDeed[End Bal],ROW()-ROW(tblBuyerOutputs[#Headers]))&lt;=0,0,($O$6+IF(ROW()=ROW(tblBuyerOutputs[#Headers])+1,0,INDEX(tblBuyerOutputs[Cumul Appr],ROW()-ROW(tblBuyerOutputs[#Headers])-1)))*$O$2/12)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13" t="str">
        <f>IF(ROW()=ROW(tblSubjectToLoan[#Headers])+1,subjectKnownBalanceDate,IF(OR(INDEX(tblSubjectToLoan[Date],ROW()-ROW(tblSubjectToLoan[#Headers])-1)="",INDEX(tblSubjectToLoan[Date],ROW()-ROW(tblSubjectToLoan[#Headers])-1)&gt;=subjectMortgageEndDate),"",EDATE(INDEX(tblSubjectToLoan[Date],ROW()-ROW(tblSubjectToLoan[#Headers])-1),1)))</f>
        <v/>
      </c>
      <c r="B436" s="276">
        <f>IF(tblSubjectToLoan[[#This Row],[Date]]="",0,IF(ROW()=ROW(tblSubjectToLoan[#Headers])+1,subjectKnownBalance,MAX(0,INDEX(tblSubjectToLoan[Ending Balance],ROW()-ROW(tblSubjectToLoan[#Headers])-1))))</f>
        <v>0</v>
      </c>
      <c r="C4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6" s="14">
        <f>IF(tblSubjectToLoan[[#This Row],[Payment]]=0,0,MAX(0,MIN(tblSubjectToLoan[[#This Row],[Beginning Balance]],tblSubjectToLoan[[#This Row],[Payment]]-tblSubjectToLoan[[#This Row],[Int]])))</f>
        <v>0</v>
      </c>
      <c r="E436" s="14">
        <f>IF(tblSubjectToLoan[[#This Row],[Date]]="",0,ROUND(tblSubjectToLoan[[#This Row],[Beginning Balance]]*(subjectInterestRate/12),2))</f>
        <v>0</v>
      </c>
      <c r="F436" s="14">
        <f t="shared" si="38"/>
        <v>134.16999999999999</v>
      </c>
      <c r="G436" s="14">
        <f t="shared" si="38"/>
        <v>188.55</v>
      </c>
      <c r="H436" s="14">
        <f>SUM(tblSubjectToLoan[[#This Row],[Princ]],tblSubjectToLoan[[#This Row],[Int]],tblSubjectToLoan[[#This Row],[Ins]],tblSubjectToLoan[[#This Row],[Taxes]])</f>
        <v>322.72000000000003</v>
      </c>
      <c r="I4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6" s="276">
        <f>IF(tblSubjectToLoan[[#This Row],[Date]]="",IF(ROW()=ROW(tblSubjectToLoan[#Headers])+1,0,INDEX(tblSubjectToLoan[Interest],ROW()-ROW(tblSubjectToLoan[#Headers])-1)),tblSubjectToLoan[[#This Row],[Int]]+IF(ROW()=ROW(tblSubjectToLoan[#Headers])+1,0,INDEX(tblSubjectToLoan[Interest],ROW()-ROW(tblSubjectToLoan[#Headers])-1)))</f>
        <v>36068.259999999973</v>
      </c>
      <c r="K436" s="969">
        <f>IF(tblSubjectToLoan[[#This Row],[Date]]="",0,MAX(0,tblSubjectToLoan[[#This Row],[Beginning Balance]]-tblSubjectToLoan[[#This Row],[Princ]]))</f>
        <v>0</v>
      </c>
      <c r="L436" s="394">
        <f t="shared" ref="L436:L499" si="39">IF(MOD(M436,12)=0,M436/12,L435)</f>
        <v>0</v>
      </c>
      <c r="M436" s="394">
        <f t="shared" si="36"/>
        <v>0</v>
      </c>
      <c r="N436" s="613" t="str">
        <f>INDEX(tblSubjectToLoan[Date],ROW()-ROW(tblContractForDeed[#Headers]))</f>
        <v/>
      </c>
      <c r="O436" s="276">
        <f>IF(ROW()=ROW(tblContractForDeed[#Headers])+1,$O$6,IF(INDEX(tblContractForDeed[End Bal],ROW()-ROW(tblContractForDeed[#Headers])-1)&lt;0,0,INDEX(tblContractForDeed[End Bal],ROW()-ROW(tblContractForDeed[#Headers])-1)))</f>
        <v>0</v>
      </c>
      <c r="P436" s="454"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6" s="276">
        <f>IF(INDEX(tblContractForDeed[End Bal],ROW()-ROW(tblBuyerOutputs[#Headers]))&lt;=0,0,($O$6+IF(ROW()=ROW(tblBuyerOutputs[#Headers])+1,0,INDEX(tblBuyerOutputs[Cumul Appr],ROW()-ROW(tblBuyerOutputs[#Headers])-1)))*$O$2/12)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13" t="str">
        <f>IF(ROW()=ROW(tblSubjectToLoan[#Headers])+1,subjectKnownBalanceDate,IF(OR(INDEX(tblSubjectToLoan[Date],ROW()-ROW(tblSubjectToLoan[#Headers])-1)="",INDEX(tblSubjectToLoan[Date],ROW()-ROW(tblSubjectToLoan[#Headers])-1)&gt;=subjectMortgageEndDate),"",EDATE(INDEX(tblSubjectToLoan[Date],ROW()-ROW(tblSubjectToLoan[#Headers])-1),1)))</f>
        <v/>
      </c>
      <c r="B437" s="276">
        <f>IF(tblSubjectToLoan[[#This Row],[Date]]="",0,IF(ROW()=ROW(tblSubjectToLoan[#Headers])+1,subjectKnownBalance,MAX(0,INDEX(tblSubjectToLoan[Ending Balance],ROW()-ROW(tblSubjectToLoan[#Headers])-1))))</f>
        <v>0</v>
      </c>
      <c r="C4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7" s="14">
        <f>IF(tblSubjectToLoan[[#This Row],[Payment]]=0,0,MAX(0,MIN(tblSubjectToLoan[[#This Row],[Beginning Balance]],tblSubjectToLoan[[#This Row],[Payment]]-tblSubjectToLoan[[#This Row],[Int]])))</f>
        <v>0</v>
      </c>
      <c r="E437" s="14">
        <f>IF(tblSubjectToLoan[[#This Row],[Date]]="",0,ROUND(tblSubjectToLoan[[#This Row],[Beginning Balance]]*(subjectInterestRate/12),2))</f>
        <v>0</v>
      </c>
      <c r="F437" s="14">
        <f t="shared" si="38"/>
        <v>134.16999999999999</v>
      </c>
      <c r="G437" s="14">
        <f t="shared" si="38"/>
        <v>188.55</v>
      </c>
      <c r="H437" s="14">
        <f>SUM(tblSubjectToLoan[[#This Row],[Princ]],tblSubjectToLoan[[#This Row],[Int]],tblSubjectToLoan[[#This Row],[Ins]],tblSubjectToLoan[[#This Row],[Taxes]])</f>
        <v>322.72000000000003</v>
      </c>
      <c r="I4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7" s="276">
        <f>IF(tblSubjectToLoan[[#This Row],[Date]]="",IF(ROW()=ROW(tblSubjectToLoan[#Headers])+1,0,INDEX(tblSubjectToLoan[Interest],ROW()-ROW(tblSubjectToLoan[#Headers])-1)),tblSubjectToLoan[[#This Row],[Int]]+IF(ROW()=ROW(tblSubjectToLoan[#Headers])+1,0,INDEX(tblSubjectToLoan[Interest],ROW()-ROW(tblSubjectToLoan[#Headers])-1)))</f>
        <v>36068.259999999973</v>
      </c>
      <c r="K437" s="969">
        <f>IF(tblSubjectToLoan[[#This Row],[Date]]="",0,MAX(0,tblSubjectToLoan[[#This Row],[Beginning Balance]]-tblSubjectToLoan[[#This Row],[Princ]]))</f>
        <v>0</v>
      </c>
      <c r="L437" s="394">
        <f t="shared" si="39"/>
        <v>0</v>
      </c>
      <c r="M437" s="394">
        <f t="shared" si="36"/>
        <v>0</v>
      </c>
      <c r="N437" s="613" t="str">
        <f>INDEX(tblSubjectToLoan[Date],ROW()-ROW(tblContractForDeed[#Headers]))</f>
        <v/>
      </c>
      <c r="O437" s="276">
        <f>IF(ROW()=ROW(tblContractForDeed[#Headers])+1,$O$6,IF(INDEX(tblContractForDeed[End Bal],ROW()-ROW(tblContractForDeed[#Headers])-1)&lt;0,0,INDEX(tblContractForDeed[End Bal],ROW()-ROW(tblContractForDeed[#Headers])-1)))</f>
        <v>0</v>
      </c>
      <c r="P437" s="454"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7" s="276">
        <f>IF(INDEX(tblContractForDeed[End Bal],ROW()-ROW(tblBuyerOutputs[#Headers]))&lt;=0,0,($O$6+IF(ROW()=ROW(tblBuyerOutputs[#Headers])+1,0,INDEX(tblBuyerOutputs[Cumul Appr],ROW()-ROW(tblBuyerOutputs[#Headers])-1)))*$O$2/12)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13" t="str">
        <f>IF(ROW()=ROW(tblSubjectToLoan[#Headers])+1,subjectKnownBalanceDate,IF(OR(INDEX(tblSubjectToLoan[Date],ROW()-ROW(tblSubjectToLoan[#Headers])-1)="",INDEX(tblSubjectToLoan[Date],ROW()-ROW(tblSubjectToLoan[#Headers])-1)&gt;=subjectMortgageEndDate),"",EDATE(INDEX(tblSubjectToLoan[Date],ROW()-ROW(tblSubjectToLoan[#Headers])-1),1)))</f>
        <v/>
      </c>
      <c r="B438" s="276">
        <f>IF(tblSubjectToLoan[[#This Row],[Date]]="",0,IF(ROW()=ROW(tblSubjectToLoan[#Headers])+1,subjectKnownBalance,MAX(0,INDEX(tblSubjectToLoan[Ending Balance],ROW()-ROW(tblSubjectToLoan[#Headers])-1))))</f>
        <v>0</v>
      </c>
      <c r="C4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8" s="14">
        <f>IF(tblSubjectToLoan[[#This Row],[Payment]]=0,0,MAX(0,MIN(tblSubjectToLoan[[#This Row],[Beginning Balance]],tblSubjectToLoan[[#This Row],[Payment]]-tblSubjectToLoan[[#This Row],[Int]])))</f>
        <v>0</v>
      </c>
      <c r="E438" s="14">
        <f>IF(tblSubjectToLoan[[#This Row],[Date]]="",0,ROUND(tblSubjectToLoan[[#This Row],[Beginning Balance]]*(subjectInterestRate/12),2))</f>
        <v>0</v>
      </c>
      <c r="F438" s="14">
        <f t="shared" si="38"/>
        <v>134.16999999999999</v>
      </c>
      <c r="G438" s="14">
        <f t="shared" si="38"/>
        <v>188.55</v>
      </c>
      <c r="H438" s="14">
        <f>SUM(tblSubjectToLoan[[#This Row],[Princ]],tblSubjectToLoan[[#This Row],[Int]],tblSubjectToLoan[[#This Row],[Ins]],tblSubjectToLoan[[#This Row],[Taxes]])</f>
        <v>322.72000000000003</v>
      </c>
      <c r="I4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8" s="276">
        <f>IF(tblSubjectToLoan[[#This Row],[Date]]="",IF(ROW()=ROW(tblSubjectToLoan[#Headers])+1,0,INDEX(tblSubjectToLoan[Interest],ROW()-ROW(tblSubjectToLoan[#Headers])-1)),tblSubjectToLoan[[#This Row],[Int]]+IF(ROW()=ROW(tblSubjectToLoan[#Headers])+1,0,INDEX(tblSubjectToLoan[Interest],ROW()-ROW(tblSubjectToLoan[#Headers])-1)))</f>
        <v>36068.259999999973</v>
      </c>
      <c r="K438" s="969">
        <f>IF(tblSubjectToLoan[[#This Row],[Date]]="",0,MAX(0,tblSubjectToLoan[[#This Row],[Beginning Balance]]-tblSubjectToLoan[[#This Row],[Princ]]))</f>
        <v>0</v>
      </c>
      <c r="L438" s="394">
        <f t="shared" si="39"/>
        <v>0</v>
      </c>
      <c r="M438" s="394">
        <f t="shared" si="36"/>
        <v>0</v>
      </c>
      <c r="N438" s="613" t="str">
        <f>INDEX(tblSubjectToLoan[Date],ROW()-ROW(tblContractForDeed[#Headers]))</f>
        <v/>
      </c>
      <c r="O438" s="276">
        <f>IF(ROW()=ROW(tblContractForDeed[#Headers])+1,$O$6,IF(INDEX(tblContractForDeed[End Bal],ROW()-ROW(tblContractForDeed[#Headers])-1)&lt;0,0,INDEX(tblContractForDeed[End Bal],ROW()-ROW(tblContractForDeed[#Headers])-1)))</f>
        <v>0</v>
      </c>
      <c r="P438" s="454"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8" s="276">
        <f>IF(INDEX(tblContractForDeed[End Bal],ROW()-ROW(tblBuyerOutputs[#Headers]))&lt;=0,0,($O$6+IF(ROW()=ROW(tblBuyerOutputs[#Headers])+1,0,INDEX(tblBuyerOutputs[Cumul Appr],ROW()-ROW(tblBuyerOutputs[#Headers])-1)))*$O$2/12)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14" t="str">
        <f>IF(ROW()=ROW(tblSubjectToLoan[#Headers])+1,subjectKnownBalanceDate,IF(OR(INDEX(tblSubjectToLoan[Date],ROW()-ROW(tblSubjectToLoan[#Headers])-1)="",INDEX(tblSubjectToLoan[Date],ROW()-ROW(tblSubjectToLoan[#Headers])-1)&gt;=subjectMortgageEndDate),"",EDATE(INDEX(tblSubjectToLoan[Date],ROW()-ROW(tblSubjectToLoan[#Headers])-1),1)))</f>
        <v/>
      </c>
      <c r="B439" s="332">
        <f>IF(tblSubjectToLoan[[#This Row],[Date]]="",0,IF(ROW()=ROW(tblSubjectToLoan[#Headers])+1,subjectKnownBalance,MAX(0,INDEX(tblSubjectToLoan[Ending Balance],ROW()-ROW(tblSubjectToLoan[#Headers])-1))))</f>
        <v>0</v>
      </c>
      <c r="C43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9" s="21">
        <f>IF(tblSubjectToLoan[[#This Row],[Payment]]=0,0,MAX(0,MIN(tblSubjectToLoan[[#This Row],[Beginning Balance]],tblSubjectToLoan[[#This Row],[Payment]]-tblSubjectToLoan[[#This Row],[Int]])))</f>
        <v>0</v>
      </c>
      <c r="E439" s="21">
        <f>IF(tblSubjectToLoan[[#This Row],[Date]]="",0,ROUND(tblSubjectToLoan[[#This Row],[Beginning Balance]]*(subjectInterestRate/12),2))</f>
        <v>0</v>
      </c>
      <c r="F439" s="21">
        <f t="shared" si="38"/>
        <v>134.16999999999999</v>
      </c>
      <c r="G439" s="21">
        <f t="shared" si="38"/>
        <v>188.55</v>
      </c>
      <c r="H439" s="21">
        <f>SUM(tblSubjectToLoan[[#This Row],[Princ]],tblSubjectToLoan[[#This Row],[Int]],tblSubjectToLoan[[#This Row],[Ins]],tblSubjectToLoan[[#This Row],[Taxes]])</f>
        <v>322.72000000000003</v>
      </c>
      <c r="I43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39" s="332">
        <f>IF(tblSubjectToLoan[[#This Row],[Date]]="",IF(ROW()=ROW(tblSubjectToLoan[#Headers])+1,0,INDEX(tblSubjectToLoan[Interest],ROW()-ROW(tblSubjectToLoan[#Headers])-1)),tblSubjectToLoan[[#This Row],[Int]]+IF(ROW()=ROW(tblSubjectToLoan[#Headers])+1,0,INDEX(tblSubjectToLoan[Interest],ROW()-ROW(tblSubjectToLoan[#Headers])-1)))</f>
        <v>36068.259999999973</v>
      </c>
      <c r="K439" s="970">
        <f>IF(tblSubjectToLoan[[#This Row],[Date]]="",0,MAX(0,tblSubjectToLoan[[#This Row],[Beginning Balance]]-tblSubjectToLoan[[#This Row],[Princ]]))</f>
        <v>0</v>
      </c>
      <c r="L439" s="395">
        <f t="shared" si="39"/>
        <v>0</v>
      </c>
      <c r="M439" s="395">
        <f t="shared" si="36"/>
        <v>0</v>
      </c>
      <c r="N439" s="614" t="str">
        <f>INDEX(tblSubjectToLoan[Date],ROW()-ROW(tblContractForDeed[#Headers]))</f>
        <v/>
      </c>
      <c r="O439" s="332">
        <f>IF(ROW()=ROW(tblContractForDeed[#Headers])+1,$O$6,IF(INDEX(tblContractForDeed[End Bal],ROW()-ROW(tblContractForDeed[#Headers])-1)&lt;0,0,INDEX(tblContractForDeed[End Bal],ROW()-ROW(tblContractForDeed[#Headers])-1)))</f>
        <v>0</v>
      </c>
      <c r="P439" s="454"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9" s="332">
        <f>IF(INDEX(tblContractForDeed[End Bal],ROW()-ROW(tblBuyerOutputs[#Headers]))&lt;=0,0,($O$6+IF(ROW()=ROW(tblBuyerOutputs[#Headers])+1,0,INDEX(tblBuyerOutputs[Cumul Appr],ROW()-ROW(tblBuyerOutputs[#Headers])-1)))*$O$2/12)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13" t="str">
        <f>IF(ROW()=ROW(tblSubjectToLoan[#Headers])+1,subjectKnownBalanceDate,IF(OR(INDEX(tblSubjectToLoan[Date],ROW()-ROW(tblSubjectToLoan[#Headers])-1)="",INDEX(tblSubjectToLoan[Date],ROW()-ROW(tblSubjectToLoan[#Headers])-1)&gt;=subjectMortgageEndDate),"",EDATE(INDEX(tblSubjectToLoan[Date],ROW()-ROW(tblSubjectToLoan[#Headers])-1),1)))</f>
        <v/>
      </c>
      <c r="B440" s="276">
        <f>IF(tblSubjectToLoan[[#This Row],[Date]]="",0,IF(ROW()=ROW(tblSubjectToLoan[#Headers])+1,subjectKnownBalance,MAX(0,INDEX(tblSubjectToLoan[Ending Balance],ROW()-ROW(tblSubjectToLoan[#Headers])-1))))</f>
        <v>0</v>
      </c>
      <c r="C4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0" s="14">
        <f>IF(tblSubjectToLoan[[#This Row],[Payment]]=0,0,MAX(0,MIN(tblSubjectToLoan[[#This Row],[Beginning Balance]],tblSubjectToLoan[[#This Row],[Payment]]-tblSubjectToLoan[[#This Row],[Int]])))</f>
        <v>0</v>
      </c>
      <c r="E440" s="14">
        <f>IF(tblSubjectToLoan[[#This Row],[Date]]="",0,ROUND(tblSubjectToLoan[[#This Row],[Beginning Balance]]*(subjectInterestRate/12),2))</f>
        <v>0</v>
      </c>
      <c r="F440" s="14">
        <f t="shared" si="38"/>
        <v>134.16999999999999</v>
      </c>
      <c r="G440" s="14">
        <f t="shared" si="38"/>
        <v>188.55</v>
      </c>
      <c r="H440" s="14">
        <f>SUM(tblSubjectToLoan[[#This Row],[Princ]],tblSubjectToLoan[[#This Row],[Int]],tblSubjectToLoan[[#This Row],[Ins]],tblSubjectToLoan[[#This Row],[Taxes]])</f>
        <v>322.72000000000003</v>
      </c>
      <c r="I4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0" s="276">
        <f>IF(tblSubjectToLoan[[#This Row],[Date]]="",IF(ROW()=ROW(tblSubjectToLoan[#Headers])+1,0,INDEX(tblSubjectToLoan[Interest],ROW()-ROW(tblSubjectToLoan[#Headers])-1)),tblSubjectToLoan[[#This Row],[Int]]+IF(ROW()=ROW(tblSubjectToLoan[#Headers])+1,0,INDEX(tblSubjectToLoan[Interest],ROW()-ROW(tblSubjectToLoan[#Headers])-1)))</f>
        <v>36068.259999999973</v>
      </c>
      <c r="K440" s="969">
        <f>IF(tblSubjectToLoan[[#This Row],[Date]]="",0,MAX(0,tblSubjectToLoan[[#This Row],[Beginning Balance]]-tblSubjectToLoan[[#This Row],[Princ]]))</f>
        <v>0</v>
      </c>
      <c r="L440" s="394">
        <f t="shared" si="39"/>
        <v>0</v>
      </c>
      <c r="M440" s="394">
        <f t="shared" si="36"/>
        <v>0</v>
      </c>
      <c r="N440" s="613" t="str">
        <f>INDEX(tblSubjectToLoan[Date],ROW()-ROW(tblContractForDeed[#Headers]))</f>
        <v/>
      </c>
      <c r="O440" s="276">
        <f>IF(ROW()=ROW(tblContractForDeed[#Headers])+1,$O$6,IF(INDEX(tblContractForDeed[End Bal],ROW()-ROW(tblContractForDeed[#Headers])-1)&lt;0,0,INDEX(tblContractForDeed[End Bal],ROW()-ROW(tblContractForDeed[#Headers])-1)))</f>
        <v>0</v>
      </c>
      <c r="P440" s="454"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0" s="276">
        <f>IF(INDEX(tblContractForDeed[End Bal],ROW()-ROW(tblBuyerOutputs[#Headers]))&lt;=0,0,($O$6+IF(ROW()=ROW(tblBuyerOutputs[#Headers])+1,0,INDEX(tblBuyerOutputs[Cumul Appr],ROW()-ROW(tblBuyerOutputs[#Headers])-1)))*$O$2/12)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13" t="str">
        <f>IF(ROW()=ROW(tblSubjectToLoan[#Headers])+1,subjectKnownBalanceDate,IF(OR(INDEX(tblSubjectToLoan[Date],ROW()-ROW(tblSubjectToLoan[#Headers])-1)="",INDEX(tblSubjectToLoan[Date],ROW()-ROW(tblSubjectToLoan[#Headers])-1)&gt;=subjectMortgageEndDate),"",EDATE(INDEX(tblSubjectToLoan[Date],ROW()-ROW(tblSubjectToLoan[#Headers])-1),1)))</f>
        <v/>
      </c>
      <c r="B441" s="276">
        <f>IF(tblSubjectToLoan[[#This Row],[Date]]="",0,IF(ROW()=ROW(tblSubjectToLoan[#Headers])+1,subjectKnownBalance,MAX(0,INDEX(tblSubjectToLoan[Ending Balance],ROW()-ROW(tblSubjectToLoan[#Headers])-1))))</f>
        <v>0</v>
      </c>
      <c r="C4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1" s="14">
        <f>IF(tblSubjectToLoan[[#This Row],[Payment]]=0,0,MAX(0,MIN(tblSubjectToLoan[[#This Row],[Beginning Balance]],tblSubjectToLoan[[#This Row],[Payment]]-tblSubjectToLoan[[#This Row],[Int]])))</f>
        <v>0</v>
      </c>
      <c r="E441" s="14">
        <f>IF(tblSubjectToLoan[[#This Row],[Date]]="",0,ROUND(tblSubjectToLoan[[#This Row],[Beginning Balance]]*(subjectInterestRate/12),2))</f>
        <v>0</v>
      </c>
      <c r="F441" s="14">
        <f t="shared" si="38"/>
        <v>134.16999999999999</v>
      </c>
      <c r="G441" s="14">
        <f t="shared" si="38"/>
        <v>188.55</v>
      </c>
      <c r="H441" s="14">
        <f>SUM(tblSubjectToLoan[[#This Row],[Princ]],tblSubjectToLoan[[#This Row],[Int]],tblSubjectToLoan[[#This Row],[Ins]],tblSubjectToLoan[[#This Row],[Taxes]])</f>
        <v>322.72000000000003</v>
      </c>
      <c r="I4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1" s="276">
        <f>IF(tblSubjectToLoan[[#This Row],[Date]]="",IF(ROW()=ROW(tblSubjectToLoan[#Headers])+1,0,INDEX(tblSubjectToLoan[Interest],ROW()-ROW(tblSubjectToLoan[#Headers])-1)),tblSubjectToLoan[[#This Row],[Int]]+IF(ROW()=ROW(tblSubjectToLoan[#Headers])+1,0,INDEX(tblSubjectToLoan[Interest],ROW()-ROW(tblSubjectToLoan[#Headers])-1)))</f>
        <v>36068.259999999973</v>
      </c>
      <c r="K441" s="969">
        <f>IF(tblSubjectToLoan[[#This Row],[Date]]="",0,MAX(0,tblSubjectToLoan[[#This Row],[Beginning Balance]]-tblSubjectToLoan[[#This Row],[Princ]]))</f>
        <v>0</v>
      </c>
      <c r="L441" s="394">
        <f t="shared" si="39"/>
        <v>0</v>
      </c>
      <c r="M441" s="394">
        <f t="shared" si="36"/>
        <v>0</v>
      </c>
      <c r="N441" s="613" t="str">
        <f>INDEX(tblSubjectToLoan[Date],ROW()-ROW(tblContractForDeed[#Headers]))</f>
        <v/>
      </c>
      <c r="O441" s="276">
        <f>IF(ROW()=ROW(tblContractForDeed[#Headers])+1,$O$6,IF(INDEX(tblContractForDeed[End Bal],ROW()-ROW(tblContractForDeed[#Headers])-1)&lt;0,0,INDEX(tblContractForDeed[End Bal],ROW()-ROW(tblContractForDeed[#Headers])-1)))</f>
        <v>0</v>
      </c>
      <c r="P441" s="454"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1" s="276">
        <f>IF(INDEX(tblContractForDeed[End Bal],ROW()-ROW(tblBuyerOutputs[#Headers]))&lt;=0,0,($O$6+IF(ROW()=ROW(tblBuyerOutputs[#Headers])+1,0,INDEX(tblBuyerOutputs[Cumul Appr],ROW()-ROW(tblBuyerOutputs[#Headers])-1)))*$O$2/12)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13" t="str">
        <f>IF(ROW()=ROW(tblSubjectToLoan[#Headers])+1,subjectKnownBalanceDate,IF(OR(INDEX(tblSubjectToLoan[Date],ROW()-ROW(tblSubjectToLoan[#Headers])-1)="",INDEX(tblSubjectToLoan[Date],ROW()-ROW(tblSubjectToLoan[#Headers])-1)&gt;=subjectMortgageEndDate),"",EDATE(INDEX(tblSubjectToLoan[Date],ROW()-ROW(tblSubjectToLoan[#Headers])-1),1)))</f>
        <v/>
      </c>
      <c r="B442" s="276">
        <f>IF(tblSubjectToLoan[[#This Row],[Date]]="",0,IF(ROW()=ROW(tblSubjectToLoan[#Headers])+1,subjectKnownBalance,MAX(0,INDEX(tblSubjectToLoan[Ending Balance],ROW()-ROW(tblSubjectToLoan[#Headers])-1))))</f>
        <v>0</v>
      </c>
      <c r="C4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2" s="14">
        <f>IF(tblSubjectToLoan[[#This Row],[Payment]]=0,0,MAX(0,MIN(tblSubjectToLoan[[#This Row],[Beginning Balance]],tblSubjectToLoan[[#This Row],[Payment]]-tblSubjectToLoan[[#This Row],[Int]])))</f>
        <v>0</v>
      </c>
      <c r="E442" s="14">
        <f>IF(tblSubjectToLoan[[#This Row],[Date]]="",0,ROUND(tblSubjectToLoan[[#This Row],[Beginning Balance]]*(subjectInterestRate/12),2))</f>
        <v>0</v>
      </c>
      <c r="F442" s="14">
        <f t="shared" si="38"/>
        <v>134.16999999999999</v>
      </c>
      <c r="G442" s="14">
        <f t="shared" si="38"/>
        <v>188.55</v>
      </c>
      <c r="H442" s="14">
        <f>SUM(tblSubjectToLoan[[#This Row],[Princ]],tblSubjectToLoan[[#This Row],[Int]],tblSubjectToLoan[[#This Row],[Ins]],tblSubjectToLoan[[#This Row],[Taxes]])</f>
        <v>322.72000000000003</v>
      </c>
      <c r="I4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2" s="276">
        <f>IF(tblSubjectToLoan[[#This Row],[Date]]="",IF(ROW()=ROW(tblSubjectToLoan[#Headers])+1,0,INDEX(tblSubjectToLoan[Interest],ROW()-ROW(tblSubjectToLoan[#Headers])-1)),tblSubjectToLoan[[#This Row],[Int]]+IF(ROW()=ROW(tblSubjectToLoan[#Headers])+1,0,INDEX(tblSubjectToLoan[Interest],ROW()-ROW(tblSubjectToLoan[#Headers])-1)))</f>
        <v>36068.259999999973</v>
      </c>
      <c r="K442" s="969">
        <f>IF(tblSubjectToLoan[[#This Row],[Date]]="",0,MAX(0,tblSubjectToLoan[[#This Row],[Beginning Balance]]-tblSubjectToLoan[[#This Row],[Princ]]))</f>
        <v>0</v>
      </c>
      <c r="L442" s="394">
        <f t="shared" si="39"/>
        <v>0</v>
      </c>
      <c r="M442" s="394">
        <f t="shared" si="36"/>
        <v>0</v>
      </c>
      <c r="N442" s="613" t="str">
        <f>INDEX(tblSubjectToLoan[Date],ROW()-ROW(tblContractForDeed[#Headers]))</f>
        <v/>
      </c>
      <c r="O442" s="276">
        <f>IF(ROW()=ROW(tblContractForDeed[#Headers])+1,$O$6,IF(INDEX(tblContractForDeed[End Bal],ROW()-ROW(tblContractForDeed[#Headers])-1)&lt;0,0,INDEX(tblContractForDeed[End Bal],ROW()-ROW(tblContractForDeed[#Headers])-1)))</f>
        <v>0</v>
      </c>
      <c r="P442" s="454"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2" s="276">
        <f>IF(INDEX(tblContractForDeed[End Bal],ROW()-ROW(tblBuyerOutputs[#Headers]))&lt;=0,0,($O$6+IF(ROW()=ROW(tblBuyerOutputs[#Headers])+1,0,INDEX(tblBuyerOutputs[Cumul Appr],ROW()-ROW(tblBuyerOutputs[#Headers])-1)))*$O$2/12)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13" t="str">
        <f>IF(ROW()=ROW(tblSubjectToLoan[#Headers])+1,subjectKnownBalanceDate,IF(OR(INDEX(tblSubjectToLoan[Date],ROW()-ROW(tblSubjectToLoan[#Headers])-1)="",INDEX(tblSubjectToLoan[Date],ROW()-ROW(tblSubjectToLoan[#Headers])-1)&gt;=subjectMortgageEndDate),"",EDATE(INDEX(tblSubjectToLoan[Date],ROW()-ROW(tblSubjectToLoan[#Headers])-1),1)))</f>
        <v/>
      </c>
      <c r="B443" s="276">
        <f>IF(tblSubjectToLoan[[#This Row],[Date]]="",0,IF(ROW()=ROW(tblSubjectToLoan[#Headers])+1,subjectKnownBalance,MAX(0,INDEX(tblSubjectToLoan[Ending Balance],ROW()-ROW(tblSubjectToLoan[#Headers])-1))))</f>
        <v>0</v>
      </c>
      <c r="C4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3" s="14">
        <f>IF(tblSubjectToLoan[[#This Row],[Payment]]=0,0,MAX(0,MIN(tblSubjectToLoan[[#This Row],[Beginning Balance]],tblSubjectToLoan[[#This Row],[Payment]]-tblSubjectToLoan[[#This Row],[Int]])))</f>
        <v>0</v>
      </c>
      <c r="E443" s="14">
        <f>IF(tblSubjectToLoan[[#This Row],[Date]]="",0,ROUND(tblSubjectToLoan[[#This Row],[Beginning Balance]]*(subjectInterestRate/12),2))</f>
        <v>0</v>
      </c>
      <c r="F443" s="14">
        <f t="shared" si="38"/>
        <v>134.16999999999999</v>
      </c>
      <c r="G443" s="14">
        <f t="shared" si="38"/>
        <v>188.55</v>
      </c>
      <c r="H443" s="14">
        <f>SUM(tblSubjectToLoan[[#This Row],[Princ]],tblSubjectToLoan[[#This Row],[Int]],tblSubjectToLoan[[#This Row],[Ins]],tblSubjectToLoan[[#This Row],[Taxes]])</f>
        <v>322.72000000000003</v>
      </c>
      <c r="I4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3" s="276">
        <f>IF(tblSubjectToLoan[[#This Row],[Date]]="",IF(ROW()=ROW(tblSubjectToLoan[#Headers])+1,0,INDEX(tblSubjectToLoan[Interest],ROW()-ROW(tblSubjectToLoan[#Headers])-1)),tblSubjectToLoan[[#This Row],[Int]]+IF(ROW()=ROW(tblSubjectToLoan[#Headers])+1,0,INDEX(tblSubjectToLoan[Interest],ROW()-ROW(tblSubjectToLoan[#Headers])-1)))</f>
        <v>36068.259999999973</v>
      </c>
      <c r="K443" s="969">
        <f>IF(tblSubjectToLoan[[#This Row],[Date]]="",0,MAX(0,tblSubjectToLoan[[#This Row],[Beginning Balance]]-tblSubjectToLoan[[#This Row],[Princ]]))</f>
        <v>0</v>
      </c>
      <c r="L443" s="394">
        <f t="shared" si="39"/>
        <v>0</v>
      </c>
      <c r="M443" s="394">
        <f t="shared" si="36"/>
        <v>0</v>
      </c>
      <c r="N443" s="613" t="str">
        <f>INDEX(tblSubjectToLoan[Date],ROW()-ROW(tblContractForDeed[#Headers]))</f>
        <v/>
      </c>
      <c r="O443" s="276">
        <f>IF(ROW()=ROW(tblContractForDeed[#Headers])+1,$O$6,IF(INDEX(tblContractForDeed[End Bal],ROW()-ROW(tblContractForDeed[#Headers])-1)&lt;0,0,INDEX(tblContractForDeed[End Bal],ROW()-ROW(tblContractForDeed[#Headers])-1)))</f>
        <v>0</v>
      </c>
      <c r="P443" s="454"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3" s="276">
        <f>IF(INDEX(tblContractForDeed[End Bal],ROW()-ROW(tblBuyerOutputs[#Headers]))&lt;=0,0,($O$6+IF(ROW()=ROW(tblBuyerOutputs[#Headers])+1,0,INDEX(tblBuyerOutputs[Cumul Appr],ROW()-ROW(tblBuyerOutputs[#Headers])-1)))*$O$2/12)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13" t="str">
        <f>IF(ROW()=ROW(tblSubjectToLoan[#Headers])+1,subjectKnownBalanceDate,IF(OR(INDEX(tblSubjectToLoan[Date],ROW()-ROW(tblSubjectToLoan[#Headers])-1)="",INDEX(tblSubjectToLoan[Date],ROW()-ROW(tblSubjectToLoan[#Headers])-1)&gt;=subjectMortgageEndDate),"",EDATE(INDEX(tblSubjectToLoan[Date],ROW()-ROW(tblSubjectToLoan[#Headers])-1),1)))</f>
        <v/>
      </c>
      <c r="B444" s="276">
        <f>IF(tblSubjectToLoan[[#This Row],[Date]]="",0,IF(ROW()=ROW(tblSubjectToLoan[#Headers])+1,subjectKnownBalance,MAX(0,INDEX(tblSubjectToLoan[Ending Balance],ROW()-ROW(tblSubjectToLoan[#Headers])-1))))</f>
        <v>0</v>
      </c>
      <c r="C4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4" s="14">
        <f>IF(tblSubjectToLoan[[#This Row],[Payment]]=0,0,MAX(0,MIN(tblSubjectToLoan[[#This Row],[Beginning Balance]],tblSubjectToLoan[[#This Row],[Payment]]-tblSubjectToLoan[[#This Row],[Int]])))</f>
        <v>0</v>
      </c>
      <c r="E444" s="14">
        <f>IF(tblSubjectToLoan[[#This Row],[Date]]="",0,ROUND(tblSubjectToLoan[[#This Row],[Beginning Balance]]*(subjectInterestRate/12),2))</f>
        <v>0</v>
      </c>
      <c r="F444" s="14">
        <f t="shared" si="38"/>
        <v>134.16999999999999</v>
      </c>
      <c r="G444" s="14">
        <f t="shared" si="38"/>
        <v>188.55</v>
      </c>
      <c r="H444" s="14">
        <f>SUM(tblSubjectToLoan[[#This Row],[Princ]],tblSubjectToLoan[[#This Row],[Int]],tblSubjectToLoan[[#This Row],[Ins]],tblSubjectToLoan[[#This Row],[Taxes]])</f>
        <v>322.72000000000003</v>
      </c>
      <c r="I4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4" s="276">
        <f>IF(tblSubjectToLoan[[#This Row],[Date]]="",IF(ROW()=ROW(tblSubjectToLoan[#Headers])+1,0,INDEX(tblSubjectToLoan[Interest],ROW()-ROW(tblSubjectToLoan[#Headers])-1)),tblSubjectToLoan[[#This Row],[Int]]+IF(ROW()=ROW(tblSubjectToLoan[#Headers])+1,0,INDEX(tblSubjectToLoan[Interest],ROW()-ROW(tblSubjectToLoan[#Headers])-1)))</f>
        <v>36068.259999999973</v>
      </c>
      <c r="K444" s="969">
        <f>IF(tblSubjectToLoan[[#This Row],[Date]]="",0,MAX(0,tblSubjectToLoan[[#This Row],[Beginning Balance]]-tblSubjectToLoan[[#This Row],[Princ]]))</f>
        <v>0</v>
      </c>
      <c r="L444" s="394">
        <f t="shared" si="39"/>
        <v>0</v>
      </c>
      <c r="M444" s="394">
        <f t="shared" si="36"/>
        <v>0</v>
      </c>
      <c r="N444" s="613" t="str">
        <f>INDEX(tblSubjectToLoan[Date],ROW()-ROW(tblContractForDeed[#Headers]))</f>
        <v/>
      </c>
      <c r="O444" s="276">
        <f>IF(ROW()=ROW(tblContractForDeed[#Headers])+1,$O$6,IF(INDEX(tblContractForDeed[End Bal],ROW()-ROW(tblContractForDeed[#Headers])-1)&lt;0,0,INDEX(tblContractForDeed[End Bal],ROW()-ROW(tblContractForDeed[#Headers])-1)))</f>
        <v>0</v>
      </c>
      <c r="P444" s="454"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4" s="276">
        <f>IF(INDEX(tblContractForDeed[End Bal],ROW()-ROW(tblBuyerOutputs[#Headers]))&lt;=0,0,($O$6+IF(ROW()=ROW(tblBuyerOutputs[#Headers])+1,0,INDEX(tblBuyerOutputs[Cumul Appr],ROW()-ROW(tblBuyerOutputs[#Headers])-1)))*$O$2/12)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13" t="str">
        <f>IF(ROW()=ROW(tblSubjectToLoan[#Headers])+1,subjectKnownBalanceDate,IF(OR(INDEX(tblSubjectToLoan[Date],ROW()-ROW(tblSubjectToLoan[#Headers])-1)="",INDEX(tblSubjectToLoan[Date],ROW()-ROW(tblSubjectToLoan[#Headers])-1)&gt;=subjectMortgageEndDate),"",EDATE(INDEX(tblSubjectToLoan[Date],ROW()-ROW(tblSubjectToLoan[#Headers])-1),1)))</f>
        <v/>
      </c>
      <c r="B445" s="276">
        <f>IF(tblSubjectToLoan[[#This Row],[Date]]="",0,IF(ROW()=ROW(tblSubjectToLoan[#Headers])+1,subjectKnownBalance,MAX(0,INDEX(tblSubjectToLoan[Ending Balance],ROW()-ROW(tblSubjectToLoan[#Headers])-1))))</f>
        <v>0</v>
      </c>
      <c r="C4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5" s="14">
        <f>IF(tblSubjectToLoan[[#This Row],[Payment]]=0,0,MAX(0,MIN(tblSubjectToLoan[[#This Row],[Beginning Balance]],tblSubjectToLoan[[#This Row],[Payment]]-tblSubjectToLoan[[#This Row],[Int]])))</f>
        <v>0</v>
      </c>
      <c r="E445" s="14">
        <f>IF(tblSubjectToLoan[[#This Row],[Date]]="",0,ROUND(tblSubjectToLoan[[#This Row],[Beginning Balance]]*(subjectInterestRate/12),2))</f>
        <v>0</v>
      </c>
      <c r="F445" s="14">
        <f t="shared" si="38"/>
        <v>134.16999999999999</v>
      </c>
      <c r="G445" s="14">
        <f t="shared" si="38"/>
        <v>188.55</v>
      </c>
      <c r="H445" s="14">
        <f>SUM(tblSubjectToLoan[[#This Row],[Princ]],tblSubjectToLoan[[#This Row],[Int]],tblSubjectToLoan[[#This Row],[Ins]],tblSubjectToLoan[[#This Row],[Taxes]])</f>
        <v>322.72000000000003</v>
      </c>
      <c r="I4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5" s="276">
        <f>IF(tblSubjectToLoan[[#This Row],[Date]]="",IF(ROW()=ROW(tblSubjectToLoan[#Headers])+1,0,INDEX(tblSubjectToLoan[Interest],ROW()-ROW(tblSubjectToLoan[#Headers])-1)),tblSubjectToLoan[[#This Row],[Int]]+IF(ROW()=ROW(tblSubjectToLoan[#Headers])+1,0,INDEX(tblSubjectToLoan[Interest],ROW()-ROW(tblSubjectToLoan[#Headers])-1)))</f>
        <v>36068.259999999973</v>
      </c>
      <c r="K445" s="969">
        <f>IF(tblSubjectToLoan[[#This Row],[Date]]="",0,MAX(0,tblSubjectToLoan[[#This Row],[Beginning Balance]]-tblSubjectToLoan[[#This Row],[Princ]]))</f>
        <v>0</v>
      </c>
      <c r="L445" s="394">
        <f t="shared" si="39"/>
        <v>0</v>
      </c>
      <c r="M445" s="394">
        <f t="shared" si="36"/>
        <v>0</v>
      </c>
      <c r="N445" s="613" t="str">
        <f>INDEX(tblSubjectToLoan[Date],ROW()-ROW(tblContractForDeed[#Headers]))</f>
        <v/>
      </c>
      <c r="O445" s="276">
        <f>IF(ROW()=ROW(tblContractForDeed[#Headers])+1,$O$6,IF(INDEX(tblContractForDeed[End Bal],ROW()-ROW(tblContractForDeed[#Headers])-1)&lt;0,0,INDEX(tblContractForDeed[End Bal],ROW()-ROW(tblContractForDeed[#Headers])-1)))</f>
        <v>0</v>
      </c>
      <c r="P445" s="454"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5" s="276">
        <f>IF(INDEX(tblContractForDeed[End Bal],ROW()-ROW(tblBuyerOutputs[#Headers]))&lt;=0,0,($O$6+IF(ROW()=ROW(tblBuyerOutputs[#Headers])+1,0,INDEX(tblBuyerOutputs[Cumul Appr],ROW()-ROW(tblBuyerOutputs[#Headers])-1)))*$O$2/12)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13" t="str">
        <f>IF(ROW()=ROW(tblSubjectToLoan[#Headers])+1,subjectKnownBalanceDate,IF(OR(INDEX(tblSubjectToLoan[Date],ROW()-ROW(tblSubjectToLoan[#Headers])-1)="",INDEX(tblSubjectToLoan[Date],ROW()-ROW(tblSubjectToLoan[#Headers])-1)&gt;=subjectMortgageEndDate),"",EDATE(INDEX(tblSubjectToLoan[Date],ROW()-ROW(tblSubjectToLoan[#Headers])-1),1)))</f>
        <v/>
      </c>
      <c r="B446" s="276">
        <f>IF(tblSubjectToLoan[[#This Row],[Date]]="",0,IF(ROW()=ROW(tblSubjectToLoan[#Headers])+1,subjectKnownBalance,MAX(0,INDEX(tblSubjectToLoan[Ending Balance],ROW()-ROW(tblSubjectToLoan[#Headers])-1))))</f>
        <v>0</v>
      </c>
      <c r="C4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6" s="14">
        <f>IF(tblSubjectToLoan[[#This Row],[Payment]]=0,0,MAX(0,MIN(tblSubjectToLoan[[#This Row],[Beginning Balance]],tblSubjectToLoan[[#This Row],[Payment]]-tblSubjectToLoan[[#This Row],[Int]])))</f>
        <v>0</v>
      </c>
      <c r="E446" s="14">
        <f>IF(tblSubjectToLoan[[#This Row],[Date]]="",0,ROUND(tblSubjectToLoan[[#This Row],[Beginning Balance]]*(subjectInterestRate/12),2))</f>
        <v>0</v>
      </c>
      <c r="F446" s="14">
        <f t="shared" si="38"/>
        <v>134.16999999999999</v>
      </c>
      <c r="G446" s="14">
        <f t="shared" si="38"/>
        <v>188.55</v>
      </c>
      <c r="H446" s="14">
        <f>SUM(tblSubjectToLoan[[#This Row],[Princ]],tblSubjectToLoan[[#This Row],[Int]],tblSubjectToLoan[[#This Row],[Ins]],tblSubjectToLoan[[#This Row],[Taxes]])</f>
        <v>322.72000000000003</v>
      </c>
      <c r="I4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6" s="276">
        <f>IF(tblSubjectToLoan[[#This Row],[Date]]="",IF(ROW()=ROW(tblSubjectToLoan[#Headers])+1,0,INDEX(tblSubjectToLoan[Interest],ROW()-ROW(tblSubjectToLoan[#Headers])-1)),tblSubjectToLoan[[#This Row],[Int]]+IF(ROW()=ROW(tblSubjectToLoan[#Headers])+1,0,INDEX(tblSubjectToLoan[Interest],ROW()-ROW(tblSubjectToLoan[#Headers])-1)))</f>
        <v>36068.259999999973</v>
      </c>
      <c r="K446" s="969">
        <f>IF(tblSubjectToLoan[[#This Row],[Date]]="",0,MAX(0,tblSubjectToLoan[[#This Row],[Beginning Balance]]-tblSubjectToLoan[[#This Row],[Princ]]))</f>
        <v>0</v>
      </c>
      <c r="L446" s="394">
        <f t="shared" si="39"/>
        <v>0</v>
      </c>
      <c r="M446" s="394">
        <f t="shared" si="36"/>
        <v>0</v>
      </c>
      <c r="N446" s="613" t="str">
        <f>INDEX(tblSubjectToLoan[Date],ROW()-ROW(tblContractForDeed[#Headers]))</f>
        <v/>
      </c>
      <c r="O446" s="276">
        <f>IF(ROW()=ROW(tblContractForDeed[#Headers])+1,$O$6,IF(INDEX(tblContractForDeed[End Bal],ROW()-ROW(tblContractForDeed[#Headers])-1)&lt;0,0,INDEX(tblContractForDeed[End Bal],ROW()-ROW(tblContractForDeed[#Headers])-1)))</f>
        <v>0</v>
      </c>
      <c r="P446" s="454"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6" s="276">
        <f>IF(INDEX(tblContractForDeed[End Bal],ROW()-ROW(tblBuyerOutputs[#Headers]))&lt;=0,0,($O$6+IF(ROW()=ROW(tblBuyerOutputs[#Headers])+1,0,INDEX(tblBuyerOutputs[Cumul Appr],ROW()-ROW(tblBuyerOutputs[#Headers])-1)))*$O$2/12)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13" t="str">
        <f>IF(ROW()=ROW(tblSubjectToLoan[#Headers])+1,subjectKnownBalanceDate,IF(OR(INDEX(tblSubjectToLoan[Date],ROW()-ROW(tblSubjectToLoan[#Headers])-1)="",INDEX(tblSubjectToLoan[Date],ROW()-ROW(tblSubjectToLoan[#Headers])-1)&gt;=subjectMortgageEndDate),"",EDATE(INDEX(tblSubjectToLoan[Date],ROW()-ROW(tblSubjectToLoan[#Headers])-1),1)))</f>
        <v/>
      </c>
      <c r="B447" s="276">
        <f>IF(tblSubjectToLoan[[#This Row],[Date]]="",0,IF(ROW()=ROW(tblSubjectToLoan[#Headers])+1,subjectKnownBalance,MAX(0,INDEX(tblSubjectToLoan[Ending Balance],ROW()-ROW(tblSubjectToLoan[#Headers])-1))))</f>
        <v>0</v>
      </c>
      <c r="C4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7" s="14">
        <f>IF(tblSubjectToLoan[[#This Row],[Payment]]=0,0,MAX(0,MIN(tblSubjectToLoan[[#This Row],[Beginning Balance]],tblSubjectToLoan[[#This Row],[Payment]]-tblSubjectToLoan[[#This Row],[Int]])))</f>
        <v>0</v>
      </c>
      <c r="E447" s="14">
        <f>IF(tblSubjectToLoan[[#This Row],[Date]]="",0,ROUND(tblSubjectToLoan[[#This Row],[Beginning Balance]]*(subjectInterestRate/12),2))</f>
        <v>0</v>
      </c>
      <c r="F447" s="14">
        <f t="shared" ref="F447:G462" si="40">+F446</f>
        <v>134.16999999999999</v>
      </c>
      <c r="G447" s="14">
        <f t="shared" si="40"/>
        <v>188.55</v>
      </c>
      <c r="H447" s="14">
        <f>SUM(tblSubjectToLoan[[#This Row],[Princ]],tblSubjectToLoan[[#This Row],[Int]],tblSubjectToLoan[[#This Row],[Ins]],tblSubjectToLoan[[#This Row],[Taxes]])</f>
        <v>322.72000000000003</v>
      </c>
      <c r="I4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7" s="276">
        <f>IF(tblSubjectToLoan[[#This Row],[Date]]="",IF(ROW()=ROW(tblSubjectToLoan[#Headers])+1,0,INDEX(tblSubjectToLoan[Interest],ROW()-ROW(tblSubjectToLoan[#Headers])-1)),tblSubjectToLoan[[#This Row],[Int]]+IF(ROW()=ROW(tblSubjectToLoan[#Headers])+1,0,INDEX(tblSubjectToLoan[Interest],ROW()-ROW(tblSubjectToLoan[#Headers])-1)))</f>
        <v>36068.259999999973</v>
      </c>
      <c r="K447" s="969">
        <f>IF(tblSubjectToLoan[[#This Row],[Date]]="",0,MAX(0,tblSubjectToLoan[[#This Row],[Beginning Balance]]-tblSubjectToLoan[[#This Row],[Princ]]))</f>
        <v>0</v>
      </c>
      <c r="L447" s="394">
        <f t="shared" si="39"/>
        <v>0</v>
      </c>
      <c r="M447" s="394">
        <f t="shared" si="36"/>
        <v>0</v>
      </c>
      <c r="N447" s="613" t="str">
        <f>INDEX(tblSubjectToLoan[Date],ROW()-ROW(tblContractForDeed[#Headers]))</f>
        <v/>
      </c>
      <c r="O447" s="276">
        <f>IF(ROW()=ROW(tblContractForDeed[#Headers])+1,$O$6,IF(INDEX(tblContractForDeed[End Bal],ROW()-ROW(tblContractForDeed[#Headers])-1)&lt;0,0,INDEX(tblContractForDeed[End Bal],ROW()-ROW(tblContractForDeed[#Headers])-1)))</f>
        <v>0</v>
      </c>
      <c r="P447" s="454"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7" s="276">
        <f>IF(INDEX(tblContractForDeed[End Bal],ROW()-ROW(tblBuyerOutputs[#Headers]))&lt;=0,0,($O$6+IF(ROW()=ROW(tblBuyerOutputs[#Headers])+1,0,INDEX(tblBuyerOutputs[Cumul Appr],ROW()-ROW(tblBuyerOutputs[#Headers])-1)))*$O$2/12)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13" t="str">
        <f>IF(ROW()=ROW(tblSubjectToLoan[#Headers])+1,subjectKnownBalanceDate,IF(OR(INDEX(tblSubjectToLoan[Date],ROW()-ROW(tblSubjectToLoan[#Headers])-1)="",INDEX(tblSubjectToLoan[Date],ROW()-ROW(tblSubjectToLoan[#Headers])-1)&gt;=subjectMortgageEndDate),"",EDATE(INDEX(tblSubjectToLoan[Date],ROW()-ROW(tblSubjectToLoan[#Headers])-1),1)))</f>
        <v/>
      </c>
      <c r="B448" s="276">
        <f>IF(tblSubjectToLoan[[#This Row],[Date]]="",0,IF(ROW()=ROW(tblSubjectToLoan[#Headers])+1,subjectKnownBalance,MAX(0,INDEX(tblSubjectToLoan[Ending Balance],ROW()-ROW(tblSubjectToLoan[#Headers])-1))))</f>
        <v>0</v>
      </c>
      <c r="C4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8" s="14">
        <f>IF(tblSubjectToLoan[[#This Row],[Payment]]=0,0,MAX(0,MIN(tblSubjectToLoan[[#This Row],[Beginning Balance]],tblSubjectToLoan[[#This Row],[Payment]]-tblSubjectToLoan[[#This Row],[Int]])))</f>
        <v>0</v>
      </c>
      <c r="E448" s="14">
        <f>IF(tblSubjectToLoan[[#This Row],[Date]]="",0,ROUND(tblSubjectToLoan[[#This Row],[Beginning Balance]]*(subjectInterestRate/12),2))</f>
        <v>0</v>
      </c>
      <c r="F448" s="14">
        <f t="shared" si="40"/>
        <v>134.16999999999999</v>
      </c>
      <c r="G448" s="14">
        <f t="shared" si="40"/>
        <v>188.55</v>
      </c>
      <c r="H448" s="14">
        <f>SUM(tblSubjectToLoan[[#This Row],[Princ]],tblSubjectToLoan[[#This Row],[Int]],tblSubjectToLoan[[#This Row],[Ins]],tblSubjectToLoan[[#This Row],[Taxes]])</f>
        <v>322.72000000000003</v>
      </c>
      <c r="I4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8" s="276">
        <f>IF(tblSubjectToLoan[[#This Row],[Date]]="",IF(ROW()=ROW(tblSubjectToLoan[#Headers])+1,0,INDEX(tblSubjectToLoan[Interest],ROW()-ROW(tblSubjectToLoan[#Headers])-1)),tblSubjectToLoan[[#This Row],[Int]]+IF(ROW()=ROW(tblSubjectToLoan[#Headers])+1,0,INDEX(tblSubjectToLoan[Interest],ROW()-ROW(tblSubjectToLoan[#Headers])-1)))</f>
        <v>36068.259999999973</v>
      </c>
      <c r="K448" s="969">
        <f>IF(tblSubjectToLoan[[#This Row],[Date]]="",0,MAX(0,tblSubjectToLoan[[#This Row],[Beginning Balance]]-tblSubjectToLoan[[#This Row],[Princ]]))</f>
        <v>0</v>
      </c>
      <c r="L448" s="394">
        <f t="shared" si="39"/>
        <v>0</v>
      </c>
      <c r="M448" s="394">
        <f t="shared" si="36"/>
        <v>0</v>
      </c>
      <c r="N448" s="613" t="str">
        <f>INDEX(tblSubjectToLoan[Date],ROW()-ROW(tblContractForDeed[#Headers]))</f>
        <v/>
      </c>
      <c r="O448" s="276">
        <f>IF(ROW()=ROW(tblContractForDeed[#Headers])+1,$O$6,IF(INDEX(tblContractForDeed[End Bal],ROW()-ROW(tblContractForDeed[#Headers])-1)&lt;0,0,INDEX(tblContractForDeed[End Bal],ROW()-ROW(tblContractForDeed[#Headers])-1)))</f>
        <v>0</v>
      </c>
      <c r="P448" s="454"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8" s="276">
        <f>IF(INDEX(tblContractForDeed[End Bal],ROW()-ROW(tblBuyerOutputs[#Headers]))&lt;=0,0,($O$6+IF(ROW()=ROW(tblBuyerOutputs[#Headers])+1,0,INDEX(tblBuyerOutputs[Cumul Appr],ROW()-ROW(tblBuyerOutputs[#Headers])-1)))*$O$2/12)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13" t="str">
        <f>IF(ROW()=ROW(tblSubjectToLoan[#Headers])+1,subjectKnownBalanceDate,IF(OR(INDEX(tblSubjectToLoan[Date],ROW()-ROW(tblSubjectToLoan[#Headers])-1)="",INDEX(tblSubjectToLoan[Date],ROW()-ROW(tblSubjectToLoan[#Headers])-1)&gt;=subjectMortgageEndDate),"",EDATE(INDEX(tblSubjectToLoan[Date],ROW()-ROW(tblSubjectToLoan[#Headers])-1),1)))</f>
        <v/>
      </c>
      <c r="B449" s="276">
        <f>IF(tblSubjectToLoan[[#This Row],[Date]]="",0,IF(ROW()=ROW(tblSubjectToLoan[#Headers])+1,subjectKnownBalance,MAX(0,INDEX(tblSubjectToLoan[Ending Balance],ROW()-ROW(tblSubjectToLoan[#Headers])-1))))</f>
        <v>0</v>
      </c>
      <c r="C4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9" s="14">
        <f>IF(tblSubjectToLoan[[#This Row],[Payment]]=0,0,MAX(0,MIN(tblSubjectToLoan[[#This Row],[Beginning Balance]],tblSubjectToLoan[[#This Row],[Payment]]-tblSubjectToLoan[[#This Row],[Int]])))</f>
        <v>0</v>
      </c>
      <c r="E449" s="14">
        <f>IF(tblSubjectToLoan[[#This Row],[Date]]="",0,ROUND(tblSubjectToLoan[[#This Row],[Beginning Balance]]*(subjectInterestRate/12),2))</f>
        <v>0</v>
      </c>
      <c r="F449" s="14">
        <f t="shared" si="40"/>
        <v>134.16999999999999</v>
      </c>
      <c r="G449" s="14">
        <f t="shared" si="40"/>
        <v>188.55</v>
      </c>
      <c r="H449" s="14">
        <f>SUM(tblSubjectToLoan[[#This Row],[Princ]],tblSubjectToLoan[[#This Row],[Int]],tblSubjectToLoan[[#This Row],[Ins]],tblSubjectToLoan[[#This Row],[Taxes]])</f>
        <v>322.72000000000003</v>
      </c>
      <c r="I4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9" s="276">
        <f>IF(tblSubjectToLoan[[#This Row],[Date]]="",IF(ROW()=ROW(tblSubjectToLoan[#Headers])+1,0,INDEX(tblSubjectToLoan[Interest],ROW()-ROW(tblSubjectToLoan[#Headers])-1)),tblSubjectToLoan[[#This Row],[Int]]+IF(ROW()=ROW(tblSubjectToLoan[#Headers])+1,0,INDEX(tblSubjectToLoan[Interest],ROW()-ROW(tblSubjectToLoan[#Headers])-1)))</f>
        <v>36068.259999999973</v>
      </c>
      <c r="K449" s="969">
        <f>IF(tblSubjectToLoan[[#This Row],[Date]]="",0,MAX(0,tblSubjectToLoan[[#This Row],[Beginning Balance]]-tblSubjectToLoan[[#This Row],[Princ]]))</f>
        <v>0</v>
      </c>
      <c r="L449" s="394">
        <f t="shared" si="39"/>
        <v>0</v>
      </c>
      <c r="M449" s="394">
        <f t="shared" si="36"/>
        <v>0</v>
      </c>
      <c r="N449" s="613" t="str">
        <f>INDEX(tblSubjectToLoan[Date],ROW()-ROW(tblContractForDeed[#Headers]))</f>
        <v/>
      </c>
      <c r="O449" s="276">
        <f>IF(ROW()=ROW(tblContractForDeed[#Headers])+1,$O$6,IF(INDEX(tblContractForDeed[End Bal],ROW()-ROW(tblContractForDeed[#Headers])-1)&lt;0,0,INDEX(tblContractForDeed[End Bal],ROW()-ROW(tblContractForDeed[#Headers])-1)))</f>
        <v>0</v>
      </c>
      <c r="P449" s="454"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9" s="276">
        <f>IF(INDEX(tblContractForDeed[End Bal],ROW()-ROW(tblBuyerOutputs[#Headers]))&lt;=0,0,($O$6+IF(ROW()=ROW(tblBuyerOutputs[#Headers])+1,0,INDEX(tblBuyerOutputs[Cumul Appr],ROW()-ROW(tblBuyerOutputs[#Headers])-1)))*$O$2/12)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13" t="str">
        <f>IF(ROW()=ROW(tblSubjectToLoan[#Headers])+1,subjectKnownBalanceDate,IF(OR(INDEX(tblSubjectToLoan[Date],ROW()-ROW(tblSubjectToLoan[#Headers])-1)="",INDEX(tblSubjectToLoan[Date],ROW()-ROW(tblSubjectToLoan[#Headers])-1)&gt;=subjectMortgageEndDate),"",EDATE(INDEX(tblSubjectToLoan[Date],ROW()-ROW(tblSubjectToLoan[#Headers])-1),1)))</f>
        <v/>
      </c>
      <c r="B450" s="276">
        <f>IF(tblSubjectToLoan[[#This Row],[Date]]="",0,IF(ROW()=ROW(tblSubjectToLoan[#Headers])+1,subjectKnownBalance,MAX(0,INDEX(tblSubjectToLoan[Ending Balance],ROW()-ROW(tblSubjectToLoan[#Headers])-1))))</f>
        <v>0</v>
      </c>
      <c r="C4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0" s="14">
        <f>IF(tblSubjectToLoan[[#This Row],[Payment]]=0,0,MAX(0,MIN(tblSubjectToLoan[[#This Row],[Beginning Balance]],tblSubjectToLoan[[#This Row],[Payment]]-tblSubjectToLoan[[#This Row],[Int]])))</f>
        <v>0</v>
      </c>
      <c r="E450" s="14">
        <f>IF(tblSubjectToLoan[[#This Row],[Date]]="",0,ROUND(tblSubjectToLoan[[#This Row],[Beginning Balance]]*(subjectInterestRate/12),2))</f>
        <v>0</v>
      </c>
      <c r="F450" s="14">
        <f t="shared" si="40"/>
        <v>134.16999999999999</v>
      </c>
      <c r="G450" s="14">
        <f t="shared" si="40"/>
        <v>188.55</v>
      </c>
      <c r="H450" s="14">
        <f>SUM(tblSubjectToLoan[[#This Row],[Princ]],tblSubjectToLoan[[#This Row],[Int]],tblSubjectToLoan[[#This Row],[Ins]],tblSubjectToLoan[[#This Row],[Taxes]])</f>
        <v>322.72000000000003</v>
      </c>
      <c r="I4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0" s="276">
        <f>IF(tblSubjectToLoan[[#This Row],[Date]]="",IF(ROW()=ROW(tblSubjectToLoan[#Headers])+1,0,INDEX(tblSubjectToLoan[Interest],ROW()-ROW(tblSubjectToLoan[#Headers])-1)),tblSubjectToLoan[[#This Row],[Int]]+IF(ROW()=ROW(tblSubjectToLoan[#Headers])+1,0,INDEX(tblSubjectToLoan[Interest],ROW()-ROW(tblSubjectToLoan[#Headers])-1)))</f>
        <v>36068.259999999973</v>
      </c>
      <c r="K450" s="969">
        <f>IF(tblSubjectToLoan[[#This Row],[Date]]="",0,MAX(0,tblSubjectToLoan[[#This Row],[Beginning Balance]]-tblSubjectToLoan[[#This Row],[Princ]]))</f>
        <v>0</v>
      </c>
      <c r="L450" s="394">
        <f t="shared" si="39"/>
        <v>0</v>
      </c>
      <c r="M450" s="394">
        <f t="shared" si="36"/>
        <v>0</v>
      </c>
      <c r="N450" s="613" t="str">
        <f>INDEX(tblSubjectToLoan[Date],ROW()-ROW(tblContractForDeed[#Headers]))</f>
        <v/>
      </c>
      <c r="O450" s="276">
        <f>IF(ROW()=ROW(tblContractForDeed[#Headers])+1,$O$6,IF(INDEX(tblContractForDeed[End Bal],ROW()-ROW(tblContractForDeed[#Headers])-1)&lt;0,0,INDEX(tblContractForDeed[End Bal],ROW()-ROW(tblContractForDeed[#Headers])-1)))</f>
        <v>0</v>
      </c>
      <c r="P450" s="454"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0" s="276">
        <f>IF(INDEX(tblContractForDeed[End Bal],ROW()-ROW(tblBuyerOutputs[#Headers]))&lt;=0,0,($O$6+IF(ROW()=ROW(tblBuyerOutputs[#Headers])+1,0,INDEX(tblBuyerOutputs[Cumul Appr],ROW()-ROW(tblBuyerOutputs[#Headers])-1)))*$O$2/12)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14" t="str">
        <f>IF(ROW()=ROW(tblSubjectToLoan[#Headers])+1,subjectKnownBalanceDate,IF(OR(INDEX(tblSubjectToLoan[Date],ROW()-ROW(tblSubjectToLoan[#Headers])-1)="",INDEX(tblSubjectToLoan[Date],ROW()-ROW(tblSubjectToLoan[#Headers])-1)&gt;=subjectMortgageEndDate),"",EDATE(INDEX(tblSubjectToLoan[Date],ROW()-ROW(tblSubjectToLoan[#Headers])-1),1)))</f>
        <v/>
      </c>
      <c r="B451" s="332">
        <f>IF(tblSubjectToLoan[[#This Row],[Date]]="",0,IF(ROW()=ROW(tblSubjectToLoan[#Headers])+1,subjectKnownBalance,MAX(0,INDEX(tblSubjectToLoan[Ending Balance],ROW()-ROW(tblSubjectToLoan[#Headers])-1))))</f>
        <v>0</v>
      </c>
      <c r="C45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1" s="21">
        <f>IF(tblSubjectToLoan[[#This Row],[Payment]]=0,0,MAX(0,MIN(tblSubjectToLoan[[#This Row],[Beginning Balance]],tblSubjectToLoan[[#This Row],[Payment]]-tblSubjectToLoan[[#This Row],[Int]])))</f>
        <v>0</v>
      </c>
      <c r="E451" s="21">
        <f>IF(tblSubjectToLoan[[#This Row],[Date]]="",0,ROUND(tblSubjectToLoan[[#This Row],[Beginning Balance]]*(subjectInterestRate/12),2))</f>
        <v>0</v>
      </c>
      <c r="F451" s="21">
        <f t="shared" si="40"/>
        <v>134.16999999999999</v>
      </c>
      <c r="G451" s="21">
        <f t="shared" si="40"/>
        <v>188.55</v>
      </c>
      <c r="H451" s="21">
        <f>SUM(tblSubjectToLoan[[#This Row],[Princ]],tblSubjectToLoan[[#This Row],[Int]],tblSubjectToLoan[[#This Row],[Ins]],tblSubjectToLoan[[#This Row],[Taxes]])</f>
        <v>322.72000000000003</v>
      </c>
      <c r="I45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51" s="332">
        <f>IF(tblSubjectToLoan[[#This Row],[Date]]="",IF(ROW()=ROW(tblSubjectToLoan[#Headers])+1,0,INDEX(tblSubjectToLoan[Interest],ROW()-ROW(tblSubjectToLoan[#Headers])-1)),tblSubjectToLoan[[#This Row],[Int]]+IF(ROW()=ROW(tblSubjectToLoan[#Headers])+1,0,INDEX(tblSubjectToLoan[Interest],ROW()-ROW(tblSubjectToLoan[#Headers])-1)))</f>
        <v>36068.259999999973</v>
      </c>
      <c r="K451" s="970">
        <f>IF(tblSubjectToLoan[[#This Row],[Date]]="",0,MAX(0,tblSubjectToLoan[[#This Row],[Beginning Balance]]-tblSubjectToLoan[[#This Row],[Princ]]))</f>
        <v>0</v>
      </c>
      <c r="L451" s="395">
        <f t="shared" si="39"/>
        <v>0</v>
      </c>
      <c r="M451" s="395">
        <f t="shared" si="36"/>
        <v>0</v>
      </c>
      <c r="N451" s="614" t="str">
        <f>INDEX(tblSubjectToLoan[Date],ROW()-ROW(tblContractForDeed[#Headers]))</f>
        <v/>
      </c>
      <c r="O451" s="332">
        <f>IF(ROW()=ROW(tblContractForDeed[#Headers])+1,$O$6,IF(INDEX(tblContractForDeed[End Bal],ROW()-ROW(tblContractForDeed[#Headers])-1)&lt;0,0,INDEX(tblContractForDeed[End Bal],ROW()-ROW(tblContractForDeed[#Headers])-1)))</f>
        <v>0</v>
      </c>
      <c r="P451" s="454"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1" s="332">
        <f>IF(INDEX(tblContractForDeed[End Bal],ROW()-ROW(tblBuyerOutputs[#Headers]))&lt;=0,0,($O$6+IF(ROW()=ROW(tblBuyerOutputs[#Headers])+1,0,INDEX(tblBuyerOutputs[Cumul Appr],ROW()-ROW(tblBuyerOutputs[#Headers])-1)))*$O$2/12)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13" t="str">
        <f>IF(ROW()=ROW(tblSubjectToLoan[#Headers])+1,subjectKnownBalanceDate,IF(OR(INDEX(tblSubjectToLoan[Date],ROW()-ROW(tblSubjectToLoan[#Headers])-1)="",INDEX(tblSubjectToLoan[Date],ROW()-ROW(tblSubjectToLoan[#Headers])-1)&gt;=subjectMortgageEndDate),"",EDATE(INDEX(tblSubjectToLoan[Date],ROW()-ROW(tblSubjectToLoan[#Headers])-1),1)))</f>
        <v/>
      </c>
      <c r="B452" s="276">
        <f>IF(tblSubjectToLoan[[#This Row],[Date]]="",0,IF(ROW()=ROW(tblSubjectToLoan[#Headers])+1,subjectKnownBalance,MAX(0,INDEX(tblSubjectToLoan[Ending Balance],ROW()-ROW(tblSubjectToLoan[#Headers])-1))))</f>
        <v>0</v>
      </c>
      <c r="C4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2" s="14">
        <f>IF(tblSubjectToLoan[[#This Row],[Payment]]=0,0,MAX(0,MIN(tblSubjectToLoan[[#This Row],[Beginning Balance]],tblSubjectToLoan[[#This Row],[Payment]]-tblSubjectToLoan[[#This Row],[Int]])))</f>
        <v>0</v>
      </c>
      <c r="E452" s="14">
        <f>IF(tblSubjectToLoan[[#This Row],[Date]]="",0,ROUND(tblSubjectToLoan[[#This Row],[Beginning Balance]]*(subjectInterestRate/12),2))</f>
        <v>0</v>
      </c>
      <c r="F452" s="14">
        <f t="shared" si="40"/>
        <v>134.16999999999999</v>
      </c>
      <c r="G452" s="14">
        <f t="shared" si="40"/>
        <v>188.55</v>
      </c>
      <c r="H452" s="14">
        <f>SUM(tblSubjectToLoan[[#This Row],[Princ]],tblSubjectToLoan[[#This Row],[Int]],tblSubjectToLoan[[#This Row],[Ins]],tblSubjectToLoan[[#This Row],[Taxes]])</f>
        <v>322.72000000000003</v>
      </c>
      <c r="I4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2" s="276">
        <f>IF(tblSubjectToLoan[[#This Row],[Date]]="",IF(ROW()=ROW(tblSubjectToLoan[#Headers])+1,0,INDEX(tblSubjectToLoan[Interest],ROW()-ROW(tblSubjectToLoan[#Headers])-1)),tblSubjectToLoan[[#This Row],[Int]]+IF(ROW()=ROW(tblSubjectToLoan[#Headers])+1,0,INDEX(tblSubjectToLoan[Interest],ROW()-ROW(tblSubjectToLoan[#Headers])-1)))</f>
        <v>36068.259999999973</v>
      </c>
      <c r="K452" s="969">
        <f>IF(tblSubjectToLoan[[#This Row],[Date]]="",0,MAX(0,tblSubjectToLoan[[#This Row],[Beginning Balance]]-tblSubjectToLoan[[#This Row],[Princ]]))</f>
        <v>0</v>
      </c>
      <c r="L452" s="394">
        <f t="shared" si="39"/>
        <v>0</v>
      </c>
      <c r="M452" s="394">
        <f t="shared" si="36"/>
        <v>0</v>
      </c>
      <c r="N452" s="613" t="str">
        <f>INDEX(tblSubjectToLoan[Date],ROW()-ROW(tblContractForDeed[#Headers]))</f>
        <v/>
      </c>
      <c r="O452" s="276">
        <f>IF(ROW()=ROW(tblContractForDeed[#Headers])+1,$O$6,IF(INDEX(tblContractForDeed[End Bal],ROW()-ROW(tblContractForDeed[#Headers])-1)&lt;0,0,INDEX(tblContractForDeed[End Bal],ROW()-ROW(tblContractForDeed[#Headers])-1)))</f>
        <v>0</v>
      </c>
      <c r="P452" s="454"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2" s="276">
        <f>IF(INDEX(tblContractForDeed[End Bal],ROW()-ROW(tblBuyerOutputs[#Headers]))&lt;=0,0,($O$6+IF(ROW()=ROW(tblBuyerOutputs[#Headers])+1,0,INDEX(tblBuyerOutputs[Cumul Appr],ROW()-ROW(tblBuyerOutputs[#Headers])-1)))*$O$2/12)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13" t="str">
        <f>IF(ROW()=ROW(tblSubjectToLoan[#Headers])+1,subjectKnownBalanceDate,IF(OR(INDEX(tblSubjectToLoan[Date],ROW()-ROW(tblSubjectToLoan[#Headers])-1)="",INDEX(tblSubjectToLoan[Date],ROW()-ROW(tblSubjectToLoan[#Headers])-1)&gt;=subjectMortgageEndDate),"",EDATE(INDEX(tblSubjectToLoan[Date],ROW()-ROW(tblSubjectToLoan[#Headers])-1),1)))</f>
        <v/>
      </c>
      <c r="B453" s="276">
        <f>IF(tblSubjectToLoan[[#This Row],[Date]]="",0,IF(ROW()=ROW(tblSubjectToLoan[#Headers])+1,subjectKnownBalance,MAX(0,INDEX(tblSubjectToLoan[Ending Balance],ROW()-ROW(tblSubjectToLoan[#Headers])-1))))</f>
        <v>0</v>
      </c>
      <c r="C4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3" s="14">
        <f>IF(tblSubjectToLoan[[#This Row],[Payment]]=0,0,MAX(0,MIN(tblSubjectToLoan[[#This Row],[Beginning Balance]],tblSubjectToLoan[[#This Row],[Payment]]-tblSubjectToLoan[[#This Row],[Int]])))</f>
        <v>0</v>
      </c>
      <c r="E453" s="14">
        <f>IF(tblSubjectToLoan[[#This Row],[Date]]="",0,ROUND(tblSubjectToLoan[[#This Row],[Beginning Balance]]*(subjectInterestRate/12),2))</f>
        <v>0</v>
      </c>
      <c r="F453" s="14">
        <f t="shared" si="40"/>
        <v>134.16999999999999</v>
      </c>
      <c r="G453" s="14">
        <f t="shared" si="40"/>
        <v>188.55</v>
      </c>
      <c r="H453" s="14">
        <f>SUM(tblSubjectToLoan[[#This Row],[Princ]],tblSubjectToLoan[[#This Row],[Int]],tblSubjectToLoan[[#This Row],[Ins]],tblSubjectToLoan[[#This Row],[Taxes]])</f>
        <v>322.72000000000003</v>
      </c>
      <c r="I4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3" s="276">
        <f>IF(tblSubjectToLoan[[#This Row],[Date]]="",IF(ROW()=ROW(tblSubjectToLoan[#Headers])+1,0,INDEX(tblSubjectToLoan[Interest],ROW()-ROW(tblSubjectToLoan[#Headers])-1)),tblSubjectToLoan[[#This Row],[Int]]+IF(ROW()=ROW(tblSubjectToLoan[#Headers])+1,0,INDEX(tblSubjectToLoan[Interest],ROW()-ROW(tblSubjectToLoan[#Headers])-1)))</f>
        <v>36068.259999999973</v>
      </c>
      <c r="K453" s="969">
        <f>IF(tblSubjectToLoan[[#This Row],[Date]]="",0,MAX(0,tblSubjectToLoan[[#This Row],[Beginning Balance]]-tblSubjectToLoan[[#This Row],[Princ]]))</f>
        <v>0</v>
      </c>
      <c r="L453" s="394">
        <f t="shared" si="39"/>
        <v>0</v>
      </c>
      <c r="M453" s="394">
        <f t="shared" si="36"/>
        <v>0</v>
      </c>
      <c r="N453" s="613" t="str">
        <f>INDEX(tblSubjectToLoan[Date],ROW()-ROW(tblContractForDeed[#Headers]))</f>
        <v/>
      </c>
      <c r="O453" s="276">
        <f>IF(ROW()=ROW(tblContractForDeed[#Headers])+1,$O$6,IF(INDEX(tblContractForDeed[End Bal],ROW()-ROW(tblContractForDeed[#Headers])-1)&lt;0,0,INDEX(tblContractForDeed[End Bal],ROW()-ROW(tblContractForDeed[#Headers])-1)))</f>
        <v>0</v>
      </c>
      <c r="P453" s="454"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3" s="276">
        <f>IF(INDEX(tblContractForDeed[End Bal],ROW()-ROW(tblBuyerOutputs[#Headers]))&lt;=0,0,($O$6+IF(ROW()=ROW(tblBuyerOutputs[#Headers])+1,0,INDEX(tblBuyerOutputs[Cumul Appr],ROW()-ROW(tblBuyerOutputs[#Headers])-1)))*$O$2/12)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13" t="str">
        <f>IF(ROW()=ROW(tblSubjectToLoan[#Headers])+1,subjectKnownBalanceDate,IF(OR(INDEX(tblSubjectToLoan[Date],ROW()-ROW(tblSubjectToLoan[#Headers])-1)="",INDEX(tblSubjectToLoan[Date],ROW()-ROW(tblSubjectToLoan[#Headers])-1)&gt;=subjectMortgageEndDate),"",EDATE(INDEX(tblSubjectToLoan[Date],ROW()-ROW(tblSubjectToLoan[#Headers])-1),1)))</f>
        <v/>
      </c>
      <c r="B454" s="276">
        <f>IF(tblSubjectToLoan[[#This Row],[Date]]="",0,IF(ROW()=ROW(tblSubjectToLoan[#Headers])+1,subjectKnownBalance,MAX(0,INDEX(tblSubjectToLoan[Ending Balance],ROW()-ROW(tblSubjectToLoan[#Headers])-1))))</f>
        <v>0</v>
      </c>
      <c r="C4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4" s="14">
        <f>IF(tblSubjectToLoan[[#This Row],[Payment]]=0,0,MAX(0,MIN(tblSubjectToLoan[[#This Row],[Beginning Balance]],tblSubjectToLoan[[#This Row],[Payment]]-tblSubjectToLoan[[#This Row],[Int]])))</f>
        <v>0</v>
      </c>
      <c r="E454" s="14">
        <f>IF(tblSubjectToLoan[[#This Row],[Date]]="",0,ROUND(tblSubjectToLoan[[#This Row],[Beginning Balance]]*(subjectInterestRate/12),2))</f>
        <v>0</v>
      </c>
      <c r="F454" s="14">
        <f t="shared" si="40"/>
        <v>134.16999999999999</v>
      </c>
      <c r="G454" s="14">
        <f t="shared" si="40"/>
        <v>188.55</v>
      </c>
      <c r="H454" s="14">
        <f>SUM(tblSubjectToLoan[[#This Row],[Princ]],tblSubjectToLoan[[#This Row],[Int]],tblSubjectToLoan[[#This Row],[Ins]],tblSubjectToLoan[[#This Row],[Taxes]])</f>
        <v>322.72000000000003</v>
      </c>
      <c r="I4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4" s="276">
        <f>IF(tblSubjectToLoan[[#This Row],[Date]]="",IF(ROW()=ROW(tblSubjectToLoan[#Headers])+1,0,INDEX(tblSubjectToLoan[Interest],ROW()-ROW(tblSubjectToLoan[#Headers])-1)),tblSubjectToLoan[[#This Row],[Int]]+IF(ROW()=ROW(tblSubjectToLoan[#Headers])+1,0,INDEX(tblSubjectToLoan[Interest],ROW()-ROW(tblSubjectToLoan[#Headers])-1)))</f>
        <v>36068.259999999973</v>
      </c>
      <c r="K454" s="969">
        <f>IF(tblSubjectToLoan[[#This Row],[Date]]="",0,MAX(0,tblSubjectToLoan[[#This Row],[Beginning Balance]]-tblSubjectToLoan[[#This Row],[Princ]]))</f>
        <v>0</v>
      </c>
      <c r="L454" s="394">
        <f t="shared" si="39"/>
        <v>0</v>
      </c>
      <c r="M454" s="394">
        <f t="shared" si="36"/>
        <v>0</v>
      </c>
      <c r="N454" s="613" t="str">
        <f>INDEX(tblSubjectToLoan[Date],ROW()-ROW(tblContractForDeed[#Headers]))</f>
        <v/>
      </c>
      <c r="O454" s="276">
        <f>IF(ROW()=ROW(tblContractForDeed[#Headers])+1,$O$6,IF(INDEX(tblContractForDeed[End Bal],ROW()-ROW(tblContractForDeed[#Headers])-1)&lt;0,0,INDEX(tblContractForDeed[End Bal],ROW()-ROW(tblContractForDeed[#Headers])-1)))</f>
        <v>0</v>
      </c>
      <c r="P454" s="454"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4" s="276">
        <f>IF(INDEX(tblContractForDeed[End Bal],ROW()-ROW(tblBuyerOutputs[#Headers]))&lt;=0,0,($O$6+IF(ROW()=ROW(tblBuyerOutputs[#Headers])+1,0,INDEX(tblBuyerOutputs[Cumul Appr],ROW()-ROW(tblBuyerOutputs[#Headers])-1)))*$O$2/12)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13" t="str">
        <f>IF(ROW()=ROW(tblSubjectToLoan[#Headers])+1,subjectKnownBalanceDate,IF(OR(INDEX(tblSubjectToLoan[Date],ROW()-ROW(tblSubjectToLoan[#Headers])-1)="",INDEX(tblSubjectToLoan[Date],ROW()-ROW(tblSubjectToLoan[#Headers])-1)&gt;=subjectMortgageEndDate),"",EDATE(INDEX(tblSubjectToLoan[Date],ROW()-ROW(tblSubjectToLoan[#Headers])-1),1)))</f>
        <v/>
      </c>
      <c r="B455" s="276">
        <f>IF(tblSubjectToLoan[[#This Row],[Date]]="",0,IF(ROW()=ROW(tblSubjectToLoan[#Headers])+1,subjectKnownBalance,MAX(0,INDEX(tblSubjectToLoan[Ending Balance],ROW()-ROW(tblSubjectToLoan[#Headers])-1))))</f>
        <v>0</v>
      </c>
      <c r="C4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5" s="14">
        <f>IF(tblSubjectToLoan[[#This Row],[Payment]]=0,0,MAX(0,MIN(tblSubjectToLoan[[#This Row],[Beginning Balance]],tblSubjectToLoan[[#This Row],[Payment]]-tblSubjectToLoan[[#This Row],[Int]])))</f>
        <v>0</v>
      </c>
      <c r="E455" s="14">
        <f>IF(tblSubjectToLoan[[#This Row],[Date]]="",0,ROUND(tblSubjectToLoan[[#This Row],[Beginning Balance]]*(subjectInterestRate/12),2))</f>
        <v>0</v>
      </c>
      <c r="F455" s="14">
        <f t="shared" si="40"/>
        <v>134.16999999999999</v>
      </c>
      <c r="G455" s="14">
        <f t="shared" si="40"/>
        <v>188.55</v>
      </c>
      <c r="H455" s="14">
        <f>SUM(tblSubjectToLoan[[#This Row],[Princ]],tblSubjectToLoan[[#This Row],[Int]],tblSubjectToLoan[[#This Row],[Ins]],tblSubjectToLoan[[#This Row],[Taxes]])</f>
        <v>322.72000000000003</v>
      </c>
      <c r="I4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5" s="276">
        <f>IF(tblSubjectToLoan[[#This Row],[Date]]="",IF(ROW()=ROW(tblSubjectToLoan[#Headers])+1,0,INDEX(tblSubjectToLoan[Interest],ROW()-ROW(tblSubjectToLoan[#Headers])-1)),tblSubjectToLoan[[#This Row],[Int]]+IF(ROW()=ROW(tblSubjectToLoan[#Headers])+1,0,INDEX(tblSubjectToLoan[Interest],ROW()-ROW(tblSubjectToLoan[#Headers])-1)))</f>
        <v>36068.259999999973</v>
      </c>
      <c r="K455" s="969">
        <f>IF(tblSubjectToLoan[[#This Row],[Date]]="",0,MAX(0,tblSubjectToLoan[[#This Row],[Beginning Balance]]-tblSubjectToLoan[[#This Row],[Princ]]))</f>
        <v>0</v>
      </c>
      <c r="L455" s="394">
        <f t="shared" si="39"/>
        <v>0</v>
      </c>
      <c r="M455" s="394">
        <f t="shared" si="36"/>
        <v>0</v>
      </c>
      <c r="N455" s="613" t="str">
        <f>INDEX(tblSubjectToLoan[Date],ROW()-ROW(tblContractForDeed[#Headers]))</f>
        <v/>
      </c>
      <c r="O455" s="276">
        <f>IF(ROW()=ROW(tblContractForDeed[#Headers])+1,$O$6,IF(INDEX(tblContractForDeed[End Bal],ROW()-ROW(tblContractForDeed[#Headers])-1)&lt;0,0,INDEX(tblContractForDeed[End Bal],ROW()-ROW(tblContractForDeed[#Headers])-1)))</f>
        <v>0</v>
      </c>
      <c r="P455" s="454"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5" s="276">
        <f>IF(INDEX(tblContractForDeed[End Bal],ROW()-ROW(tblBuyerOutputs[#Headers]))&lt;=0,0,($O$6+IF(ROW()=ROW(tblBuyerOutputs[#Headers])+1,0,INDEX(tblBuyerOutputs[Cumul Appr],ROW()-ROW(tblBuyerOutputs[#Headers])-1)))*$O$2/12)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13" t="str">
        <f>IF(ROW()=ROW(tblSubjectToLoan[#Headers])+1,subjectKnownBalanceDate,IF(OR(INDEX(tblSubjectToLoan[Date],ROW()-ROW(tblSubjectToLoan[#Headers])-1)="",INDEX(tblSubjectToLoan[Date],ROW()-ROW(tblSubjectToLoan[#Headers])-1)&gt;=subjectMortgageEndDate),"",EDATE(INDEX(tblSubjectToLoan[Date],ROW()-ROW(tblSubjectToLoan[#Headers])-1),1)))</f>
        <v/>
      </c>
      <c r="B456" s="276">
        <f>IF(tblSubjectToLoan[[#This Row],[Date]]="",0,IF(ROW()=ROW(tblSubjectToLoan[#Headers])+1,subjectKnownBalance,MAX(0,INDEX(tblSubjectToLoan[Ending Balance],ROW()-ROW(tblSubjectToLoan[#Headers])-1))))</f>
        <v>0</v>
      </c>
      <c r="C4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6" s="14">
        <f>IF(tblSubjectToLoan[[#This Row],[Payment]]=0,0,MAX(0,MIN(tblSubjectToLoan[[#This Row],[Beginning Balance]],tblSubjectToLoan[[#This Row],[Payment]]-tblSubjectToLoan[[#This Row],[Int]])))</f>
        <v>0</v>
      </c>
      <c r="E456" s="14">
        <f>IF(tblSubjectToLoan[[#This Row],[Date]]="",0,ROUND(tblSubjectToLoan[[#This Row],[Beginning Balance]]*(subjectInterestRate/12),2))</f>
        <v>0</v>
      </c>
      <c r="F456" s="14">
        <f t="shared" si="40"/>
        <v>134.16999999999999</v>
      </c>
      <c r="G456" s="14">
        <f t="shared" si="40"/>
        <v>188.55</v>
      </c>
      <c r="H456" s="14">
        <f>SUM(tblSubjectToLoan[[#This Row],[Princ]],tblSubjectToLoan[[#This Row],[Int]],tblSubjectToLoan[[#This Row],[Ins]],tblSubjectToLoan[[#This Row],[Taxes]])</f>
        <v>322.72000000000003</v>
      </c>
      <c r="I4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6" s="276">
        <f>IF(tblSubjectToLoan[[#This Row],[Date]]="",IF(ROW()=ROW(tblSubjectToLoan[#Headers])+1,0,INDEX(tblSubjectToLoan[Interest],ROW()-ROW(tblSubjectToLoan[#Headers])-1)),tblSubjectToLoan[[#This Row],[Int]]+IF(ROW()=ROW(tblSubjectToLoan[#Headers])+1,0,INDEX(tblSubjectToLoan[Interest],ROW()-ROW(tblSubjectToLoan[#Headers])-1)))</f>
        <v>36068.259999999973</v>
      </c>
      <c r="K456" s="969">
        <f>IF(tblSubjectToLoan[[#This Row],[Date]]="",0,MAX(0,tblSubjectToLoan[[#This Row],[Beginning Balance]]-tblSubjectToLoan[[#This Row],[Princ]]))</f>
        <v>0</v>
      </c>
      <c r="L456" s="394">
        <f t="shared" si="39"/>
        <v>0</v>
      </c>
      <c r="M456" s="394">
        <f t="shared" si="36"/>
        <v>0</v>
      </c>
      <c r="N456" s="613" t="str">
        <f>INDEX(tblSubjectToLoan[Date],ROW()-ROW(tblContractForDeed[#Headers]))</f>
        <v/>
      </c>
      <c r="O456" s="276">
        <f>IF(ROW()=ROW(tblContractForDeed[#Headers])+1,$O$6,IF(INDEX(tblContractForDeed[End Bal],ROW()-ROW(tblContractForDeed[#Headers])-1)&lt;0,0,INDEX(tblContractForDeed[End Bal],ROW()-ROW(tblContractForDeed[#Headers])-1)))</f>
        <v>0</v>
      </c>
      <c r="P456" s="454"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6" s="276">
        <f>IF(INDEX(tblContractForDeed[End Bal],ROW()-ROW(tblBuyerOutputs[#Headers]))&lt;=0,0,($O$6+IF(ROW()=ROW(tblBuyerOutputs[#Headers])+1,0,INDEX(tblBuyerOutputs[Cumul Appr],ROW()-ROW(tblBuyerOutputs[#Headers])-1)))*$O$2/12)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13" t="str">
        <f>IF(ROW()=ROW(tblSubjectToLoan[#Headers])+1,subjectKnownBalanceDate,IF(OR(INDEX(tblSubjectToLoan[Date],ROW()-ROW(tblSubjectToLoan[#Headers])-1)="",INDEX(tblSubjectToLoan[Date],ROW()-ROW(tblSubjectToLoan[#Headers])-1)&gt;=subjectMortgageEndDate),"",EDATE(INDEX(tblSubjectToLoan[Date],ROW()-ROW(tblSubjectToLoan[#Headers])-1),1)))</f>
        <v/>
      </c>
      <c r="B457" s="276">
        <f>IF(tblSubjectToLoan[[#This Row],[Date]]="",0,IF(ROW()=ROW(tblSubjectToLoan[#Headers])+1,subjectKnownBalance,MAX(0,INDEX(tblSubjectToLoan[Ending Balance],ROW()-ROW(tblSubjectToLoan[#Headers])-1))))</f>
        <v>0</v>
      </c>
      <c r="C4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7" s="14">
        <f>IF(tblSubjectToLoan[[#This Row],[Payment]]=0,0,MAX(0,MIN(tblSubjectToLoan[[#This Row],[Beginning Balance]],tblSubjectToLoan[[#This Row],[Payment]]-tblSubjectToLoan[[#This Row],[Int]])))</f>
        <v>0</v>
      </c>
      <c r="E457" s="14">
        <f>IF(tblSubjectToLoan[[#This Row],[Date]]="",0,ROUND(tblSubjectToLoan[[#This Row],[Beginning Balance]]*(subjectInterestRate/12),2))</f>
        <v>0</v>
      </c>
      <c r="F457" s="14">
        <f t="shared" si="40"/>
        <v>134.16999999999999</v>
      </c>
      <c r="G457" s="14">
        <f t="shared" si="40"/>
        <v>188.55</v>
      </c>
      <c r="H457" s="14">
        <f>SUM(tblSubjectToLoan[[#This Row],[Princ]],tblSubjectToLoan[[#This Row],[Int]],tblSubjectToLoan[[#This Row],[Ins]],tblSubjectToLoan[[#This Row],[Taxes]])</f>
        <v>322.72000000000003</v>
      </c>
      <c r="I4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7" s="276">
        <f>IF(tblSubjectToLoan[[#This Row],[Date]]="",IF(ROW()=ROW(tblSubjectToLoan[#Headers])+1,0,INDEX(tblSubjectToLoan[Interest],ROW()-ROW(tblSubjectToLoan[#Headers])-1)),tblSubjectToLoan[[#This Row],[Int]]+IF(ROW()=ROW(tblSubjectToLoan[#Headers])+1,0,INDEX(tblSubjectToLoan[Interest],ROW()-ROW(tblSubjectToLoan[#Headers])-1)))</f>
        <v>36068.259999999973</v>
      </c>
      <c r="K457" s="969">
        <f>IF(tblSubjectToLoan[[#This Row],[Date]]="",0,MAX(0,tblSubjectToLoan[[#This Row],[Beginning Balance]]-tblSubjectToLoan[[#This Row],[Princ]]))</f>
        <v>0</v>
      </c>
      <c r="L457" s="394">
        <f t="shared" si="39"/>
        <v>0</v>
      </c>
      <c r="M457" s="394">
        <f t="shared" si="36"/>
        <v>0</v>
      </c>
      <c r="N457" s="613" t="str">
        <f>INDEX(tblSubjectToLoan[Date],ROW()-ROW(tblContractForDeed[#Headers]))</f>
        <v/>
      </c>
      <c r="O457" s="276">
        <f>IF(ROW()=ROW(tblContractForDeed[#Headers])+1,$O$6,IF(INDEX(tblContractForDeed[End Bal],ROW()-ROW(tblContractForDeed[#Headers])-1)&lt;0,0,INDEX(tblContractForDeed[End Bal],ROW()-ROW(tblContractForDeed[#Headers])-1)))</f>
        <v>0</v>
      </c>
      <c r="P457" s="454"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7" s="276">
        <f>IF(INDEX(tblContractForDeed[End Bal],ROW()-ROW(tblBuyerOutputs[#Headers]))&lt;=0,0,($O$6+IF(ROW()=ROW(tblBuyerOutputs[#Headers])+1,0,INDEX(tblBuyerOutputs[Cumul Appr],ROW()-ROW(tblBuyerOutputs[#Headers])-1)))*$O$2/12)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13" t="str">
        <f>IF(ROW()=ROW(tblSubjectToLoan[#Headers])+1,subjectKnownBalanceDate,IF(OR(INDEX(tblSubjectToLoan[Date],ROW()-ROW(tblSubjectToLoan[#Headers])-1)="",INDEX(tblSubjectToLoan[Date],ROW()-ROW(tblSubjectToLoan[#Headers])-1)&gt;=subjectMortgageEndDate),"",EDATE(INDEX(tblSubjectToLoan[Date],ROW()-ROW(tblSubjectToLoan[#Headers])-1),1)))</f>
        <v/>
      </c>
      <c r="B458" s="276">
        <f>IF(tblSubjectToLoan[[#This Row],[Date]]="",0,IF(ROW()=ROW(tblSubjectToLoan[#Headers])+1,subjectKnownBalance,MAX(0,INDEX(tblSubjectToLoan[Ending Balance],ROW()-ROW(tblSubjectToLoan[#Headers])-1))))</f>
        <v>0</v>
      </c>
      <c r="C4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8" s="14">
        <f>IF(tblSubjectToLoan[[#This Row],[Payment]]=0,0,MAX(0,MIN(tblSubjectToLoan[[#This Row],[Beginning Balance]],tblSubjectToLoan[[#This Row],[Payment]]-tblSubjectToLoan[[#This Row],[Int]])))</f>
        <v>0</v>
      </c>
      <c r="E458" s="14">
        <f>IF(tblSubjectToLoan[[#This Row],[Date]]="",0,ROUND(tblSubjectToLoan[[#This Row],[Beginning Balance]]*(subjectInterestRate/12),2))</f>
        <v>0</v>
      </c>
      <c r="F458" s="14">
        <f t="shared" si="40"/>
        <v>134.16999999999999</v>
      </c>
      <c r="G458" s="14">
        <f t="shared" si="40"/>
        <v>188.55</v>
      </c>
      <c r="H458" s="14">
        <f>SUM(tblSubjectToLoan[[#This Row],[Princ]],tblSubjectToLoan[[#This Row],[Int]],tblSubjectToLoan[[#This Row],[Ins]],tblSubjectToLoan[[#This Row],[Taxes]])</f>
        <v>322.72000000000003</v>
      </c>
      <c r="I4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8" s="276">
        <f>IF(tblSubjectToLoan[[#This Row],[Date]]="",IF(ROW()=ROW(tblSubjectToLoan[#Headers])+1,0,INDEX(tblSubjectToLoan[Interest],ROW()-ROW(tblSubjectToLoan[#Headers])-1)),tblSubjectToLoan[[#This Row],[Int]]+IF(ROW()=ROW(tblSubjectToLoan[#Headers])+1,0,INDEX(tblSubjectToLoan[Interest],ROW()-ROW(tblSubjectToLoan[#Headers])-1)))</f>
        <v>36068.259999999973</v>
      </c>
      <c r="K458" s="969">
        <f>IF(tblSubjectToLoan[[#This Row],[Date]]="",0,MAX(0,tblSubjectToLoan[[#This Row],[Beginning Balance]]-tblSubjectToLoan[[#This Row],[Princ]]))</f>
        <v>0</v>
      </c>
      <c r="L458" s="394">
        <f t="shared" si="39"/>
        <v>0</v>
      </c>
      <c r="M458" s="394">
        <f t="shared" si="36"/>
        <v>0</v>
      </c>
      <c r="N458" s="613" t="str">
        <f>INDEX(tblSubjectToLoan[Date],ROW()-ROW(tblContractForDeed[#Headers]))</f>
        <v/>
      </c>
      <c r="O458" s="276">
        <f>IF(ROW()=ROW(tblContractForDeed[#Headers])+1,$O$6,IF(INDEX(tblContractForDeed[End Bal],ROW()-ROW(tblContractForDeed[#Headers])-1)&lt;0,0,INDEX(tblContractForDeed[End Bal],ROW()-ROW(tblContractForDeed[#Headers])-1)))</f>
        <v>0</v>
      </c>
      <c r="P458" s="454"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8" s="276">
        <f>IF(INDEX(tblContractForDeed[End Bal],ROW()-ROW(tblBuyerOutputs[#Headers]))&lt;=0,0,($O$6+IF(ROW()=ROW(tblBuyerOutputs[#Headers])+1,0,INDEX(tblBuyerOutputs[Cumul Appr],ROW()-ROW(tblBuyerOutputs[#Headers])-1)))*$O$2/12)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13" t="str">
        <f>IF(ROW()=ROW(tblSubjectToLoan[#Headers])+1,subjectKnownBalanceDate,IF(OR(INDEX(tblSubjectToLoan[Date],ROW()-ROW(tblSubjectToLoan[#Headers])-1)="",INDEX(tblSubjectToLoan[Date],ROW()-ROW(tblSubjectToLoan[#Headers])-1)&gt;=subjectMortgageEndDate),"",EDATE(INDEX(tblSubjectToLoan[Date],ROW()-ROW(tblSubjectToLoan[#Headers])-1),1)))</f>
        <v/>
      </c>
      <c r="B459" s="276">
        <f>IF(tblSubjectToLoan[[#This Row],[Date]]="",0,IF(ROW()=ROW(tblSubjectToLoan[#Headers])+1,subjectKnownBalance,MAX(0,INDEX(tblSubjectToLoan[Ending Balance],ROW()-ROW(tblSubjectToLoan[#Headers])-1))))</f>
        <v>0</v>
      </c>
      <c r="C4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9" s="14">
        <f>IF(tblSubjectToLoan[[#This Row],[Payment]]=0,0,MAX(0,MIN(tblSubjectToLoan[[#This Row],[Beginning Balance]],tblSubjectToLoan[[#This Row],[Payment]]-tblSubjectToLoan[[#This Row],[Int]])))</f>
        <v>0</v>
      </c>
      <c r="E459" s="14">
        <f>IF(tblSubjectToLoan[[#This Row],[Date]]="",0,ROUND(tblSubjectToLoan[[#This Row],[Beginning Balance]]*(subjectInterestRate/12),2))</f>
        <v>0</v>
      </c>
      <c r="F459" s="14">
        <f t="shared" si="40"/>
        <v>134.16999999999999</v>
      </c>
      <c r="G459" s="14">
        <f t="shared" si="40"/>
        <v>188.55</v>
      </c>
      <c r="H459" s="14">
        <f>SUM(tblSubjectToLoan[[#This Row],[Princ]],tblSubjectToLoan[[#This Row],[Int]],tblSubjectToLoan[[#This Row],[Ins]],tblSubjectToLoan[[#This Row],[Taxes]])</f>
        <v>322.72000000000003</v>
      </c>
      <c r="I4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9" s="276">
        <f>IF(tblSubjectToLoan[[#This Row],[Date]]="",IF(ROW()=ROW(tblSubjectToLoan[#Headers])+1,0,INDEX(tblSubjectToLoan[Interest],ROW()-ROW(tblSubjectToLoan[#Headers])-1)),tblSubjectToLoan[[#This Row],[Int]]+IF(ROW()=ROW(tblSubjectToLoan[#Headers])+1,0,INDEX(tblSubjectToLoan[Interest],ROW()-ROW(tblSubjectToLoan[#Headers])-1)))</f>
        <v>36068.259999999973</v>
      </c>
      <c r="K459" s="969">
        <f>IF(tblSubjectToLoan[[#This Row],[Date]]="",0,MAX(0,tblSubjectToLoan[[#This Row],[Beginning Balance]]-tblSubjectToLoan[[#This Row],[Princ]]))</f>
        <v>0</v>
      </c>
      <c r="L459" s="394">
        <f t="shared" si="39"/>
        <v>0</v>
      </c>
      <c r="M459" s="394">
        <f t="shared" si="36"/>
        <v>0</v>
      </c>
      <c r="N459" s="613" t="str">
        <f>INDEX(tblSubjectToLoan[Date],ROW()-ROW(tblContractForDeed[#Headers]))</f>
        <v/>
      </c>
      <c r="O459" s="276">
        <f>IF(ROW()=ROW(tblContractForDeed[#Headers])+1,$O$6,IF(INDEX(tblContractForDeed[End Bal],ROW()-ROW(tblContractForDeed[#Headers])-1)&lt;0,0,INDEX(tblContractForDeed[End Bal],ROW()-ROW(tblContractForDeed[#Headers])-1)))</f>
        <v>0</v>
      </c>
      <c r="P459" s="454"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9" s="276">
        <f>IF(INDEX(tblContractForDeed[End Bal],ROW()-ROW(tblBuyerOutputs[#Headers]))&lt;=0,0,($O$6+IF(ROW()=ROW(tblBuyerOutputs[#Headers])+1,0,INDEX(tblBuyerOutputs[Cumul Appr],ROW()-ROW(tblBuyerOutputs[#Headers])-1)))*$O$2/12)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13" t="str">
        <f>IF(ROW()=ROW(tblSubjectToLoan[#Headers])+1,subjectKnownBalanceDate,IF(OR(INDEX(tblSubjectToLoan[Date],ROW()-ROW(tblSubjectToLoan[#Headers])-1)="",INDEX(tblSubjectToLoan[Date],ROW()-ROW(tblSubjectToLoan[#Headers])-1)&gt;=subjectMortgageEndDate),"",EDATE(INDEX(tblSubjectToLoan[Date],ROW()-ROW(tblSubjectToLoan[#Headers])-1),1)))</f>
        <v/>
      </c>
      <c r="B460" s="276">
        <f>IF(tblSubjectToLoan[[#This Row],[Date]]="",0,IF(ROW()=ROW(tblSubjectToLoan[#Headers])+1,subjectKnownBalance,MAX(0,INDEX(tblSubjectToLoan[Ending Balance],ROW()-ROW(tblSubjectToLoan[#Headers])-1))))</f>
        <v>0</v>
      </c>
      <c r="C4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0" s="14">
        <f>IF(tblSubjectToLoan[[#This Row],[Payment]]=0,0,MAX(0,MIN(tblSubjectToLoan[[#This Row],[Beginning Balance]],tblSubjectToLoan[[#This Row],[Payment]]-tblSubjectToLoan[[#This Row],[Int]])))</f>
        <v>0</v>
      </c>
      <c r="E460" s="14">
        <f>IF(tblSubjectToLoan[[#This Row],[Date]]="",0,ROUND(tblSubjectToLoan[[#This Row],[Beginning Balance]]*(subjectInterestRate/12),2))</f>
        <v>0</v>
      </c>
      <c r="F460" s="14">
        <f t="shared" si="40"/>
        <v>134.16999999999999</v>
      </c>
      <c r="G460" s="14">
        <f t="shared" si="40"/>
        <v>188.55</v>
      </c>
      <c r="H460" s="14">
        <f>SUM(tblSubjectToLoan[[#This Row],[Princ]],tblSubjectToLoan[[#This Row],[Int]],tblSubjectToLoan[[#This Row],[Ins]],tblSubjectToLoan[[#This Row],[Taxes]])</f>
        <v>322.72000000000003</v>
      </c>
      <c r="I4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0" s="276">
        <f>IF(tblSubjectToLoan[[#This Row],[Date]]="",IF(ROW()=ROW(tblSubjectToLoan[#Headers])+1,0,INDEX(tblSubjectToLoan[Interest],ROW()-ROW(tblSubjectToLoan[#Headers])-1)),tblSubjectToLoan[[#This Row],[Int]]+IF(ROW()=ROW(tblSubjectToLoan[#Headers])+1,0,INDEX(tblSubjectToLoan[Interest],ROW()-ROW(tblSubjectToLoan[#Headers])-1)))</f>
        <v>36068.259999999973</v>
      </c>
      <c r="K460" s="969">
        <f>IF(tblSubjectToLoan[[#This Row],[Date]]="",0,MAX(0,tblSubjectToLoan[[#This Row],[Beginning Balance]]-tblSubjectToLoan[[#This Row],[Princ]]))</f>
        <v>0</v>
      </c>
      <c r="L460" s="394">
        <f t="shared" si="39"/>
        <v>0</v>
      </c>
      <c r="M460" s="394">
        <f t="shared" si="36"/>
        <v>0</v>
      </c>
      <c r="N460" s="613" t="str">
        <f>INDEX(tblSubjectToLoan[Date],ROW()-ROW(tblContractForDeed[#Headers]))</f>
        <v/>
      </c>
      <c r="O460" s="276">
        <f>IF(ROW()=ROW(tblContractForDeed[#Headers])+1,$O$6,IF(INDEX(tblContractForDeed[End Bal],ROW()-ROW(tblContractForDeed[#Headers])-1)&lt;0,0,INDEX(tblContractForDeed[End Bal],ROW()-ROW(tblContractForDeed[#Headers])-1)))</f>
        <v>0</v>
      </c>
      <c r="P460" s="454"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0" s="276">
        <f>IF(INDEX(tblContractForDeed[End Bal],ROW()-ROW(tblBuyerOutputs[#Headers]))&lt;=0,0,($O$6+IF(ROW()=ROW(tblBuyerOutputs[#Headers])+1,0,INDEX(tblBuyerOutputs[Cumul Appr],ROW()-ROW(tblBuyerOutputs[#Headers])-1)))*$O$2/12)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13" t="str">
        <f>IF(ROW()=ROW(tblSubjectToLoan[#Headers])+1,subjectKnownBalanceDate,IF(OR(INDEX(tblSubjectToLoan[Date],ROW()-ROW(tblSubjectToLoan[#Headers])-1)="",INDEX(tblSubjectToLoan[Date],ROW()-ROW(tblSubjectToLoan[#Headers])-1)&gt;=subjectMortgageEndDate),"",EDATE(INDEX(tblSubjectToLoan[Date],ROW()-ROW(tblSubjectToLoan[#Headers])-1),1)))</f>
        <v/>
      </c>
      <c r="B461" s="276">
        <f>IF(tblSubjectToLoan[[#This Row],[Date]]="",0,IF(ROW()=ROW(tblSubjectToLoan[#Headers])+1,subjectKnownBalance,MAX(0,INDEX(tblSubjectToLoan[Ending Balance],ROW()-ROW(tblSubjectToLoan[#Headers])-1))))</f>
        <v>0</v>
      </c>
      <c r="C4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1" s="14">
        <f>IF(tblSubjectToLoan[[#This Row],[Payment]]=0,0,MAX(0,MIN(tblSubjectToLoan[[#This Row],[Beginning Balance]],tblSubjectToLoan[[#This Row],[Payment]]-tblSubjectToLoan[[#This Row],[Int]])))</f>
        <v>0</v>
      </c>
      <c r="E461" s="14">
        <f>IF(tblSubjectToLoan[[#This Row],[Date]]="",0,ROUND(tblSubjectToLoan[[#This Row],[Beginning Balance]]*(subjectInterestRate/12),2))</f>
        <v>0</v>
      </c>
      <c r="F461" s="14">
        <f t="shared" si="40"/>
        <v>134.16999999999999</v>
      </c>
      <c r="G461" s="14">
        <f t="shared" si="40"/>
        <v>188.55</v>
      </c>
      <c r="H461" s="14">
        <f>SUM(tblSubjectToLoan[[#This Row],[Princ]],tblSubjectToLoan[[#This Row],[Int]],tblSubjectToLoan[[#This Row],[Ins]],tblSubjectToLoan[[#This Row],[Taxes]])</f>
        <v>322.72000000000003</v>
      </c>
      <c r="I4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1" s="276">
        <f>IF(tblSubjectToLoan[[#This Row],[Date]]="",IF(ROW()=ROW(tblSubjectToLoan[#Headers])+1,0,INDEX(tblSubjectToLoan[Interest],ROW()-ROW(tblSubjectToLoan[#Headers])-1)),tblSubjectToLoan[[#This Row],[Int]]+IF(ROW()=ROW(tblSubjectToLoan[#Headers])+1,0,INDEX(tblSubjectToLoan[Interest],ROW()-ROW(tblSubjectToLoan[#Headers])-1)))</f>
        <v>36068.259999999973</v>
      </c>
      <c r="K461" s="969">
        <f>IF(tblSubjectToLoan[[#This Row],[Date]]="",0,MAX(0,tblSubjectToLoan[[#This Row],[Beginning Balance]]-tblSubjectToLoan[[#This Row],[Princ]]))</f>
        <v>0</v>
      </c>
      <c r="L461" s="394">
        <f t="shared" si="39"/>
        <v>0</v>
      </c>
      <c r="M461" s="394">
        <f t="shared" si="36"/>
        <v>0</v>
      </c>
      <c r="N461" s="613" t="str">
        <f>INDEX(tblSubjectToLoan[Date],ROW()-ROW(tblContractForDeed[#Headers]))</f>
        <v/>
      </c>
      <c r="O461" s="276">
        <f>IF(ROW()=ROW(tblContractForDeed[#Headers])+1,$O$6,IF(INDEX(tblContractForDeed[End Bal],ROW()-ROW(tblContractForDeed[#Headers])-1)&lt;0,0,INDEX(tblContractForDeed[End Bal],ROW()-ROW(tblContractForDeed[#Headers])-1)))</f>
        <v>0</v>
      </c>
      <c r="P461" s="454"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1" s="276">
        <f>IF(INDEX(tblContractForDeed[End Bal],ROW()-ROW(tblBuyerOutputs[#Headers]))&lt;=0,0,($O$6+IF(ROW()=ROW(tblBuyerOutputs[#Headers])+1,0,INDEX(tblBuyerOutputs[Cumul Appr],ROW()-ROW(tblBuyerOutputs[#Headers])-1)))*$O$2/12)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13" t="str">
        <f>IF(ROW()=ROW(tblSubjectToLoan[#Headers])+1,subjectKnownBalanceDate,IF(OR(INDEX(tblSubjectToLoan[Date],ROW()-ROW(tblSubjectToLoan[#Headers])-1)="",INDEX(tblSubjectToLoan[Date],ROW()-ROW(tblSubjectToLoan[#Headers])-1)&gt;=subjectMortgageEndDate),"",EDATE(INDEX(tblSubjectToLoan[Date],ROW()-ROW(tblSubjectToLoan[#Headers])-1),1)))</f>
        <v/>
      </c>
      <c r="B462" s="276">
        <f>IF(tblSubjectToLoan[[#This Row],[Date]]="",0,IF(ROW()=ROW(tblSubjectToLoan[#Headers])+1,subjectKnownBalance,MAX(0,INDEX(tblSubjectToLoan[Ending Balance],ROW()-ROW(tblSubjectToLoan[#Headers])-1))))</f>
        <v>0</v>
      </c>
      <c r="C4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2" s="14">
        <f>IF(tblSubjectToLoan[[#This Row],[Payment]]=0,0,MAX(0,MIN(tblSubjectToLoan[[#This Row],[Beginning Balance]],tblSubjectToLoan[[#This Row],[Payment]]-tblSubjectToLoan[[#This Row],[Int]])))</f>
        <v>0</v>
      </c>
      <c r="E462" s="14">
        <f>IF(tblSubjectToLoan[[#This Row],[Date]]="",0,ROUND(tblSubjectToLoan[[#This Row],[Beginning Balance]]*(subjectInterestRate/12),2))</f>
        <v>0</v>
      </c>
      <c r="F462" s="14">
        <f t="shared" si="40"/>
        <v>134.16999999999999</v>
      </c>
      <c r="G462" s="14">
        <f t="shared" si="40"/>
        <v>188.55</v>
      </c>
      <c r="H462" s="14">
        <f>SUM(tblSubjectToLoan[[#This Row],[Princ]],tblSubjectToLoan[[#This Row],[Int]],tblSubjectToLoan[[#This Row],[Ins]],tblSubjectToLoan[[#This Row],[Taxes]])</f>
        <v>322.72000000000003</v>
      </c>
      <c r="I4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2" s="276">
        <f>IF(tblSubjectToLoan[[#This Row],[Date]]="",IF(ROW()=ROW(tblSubjectToLoan[#Headers])+1,0,INDEX(tblSubjectToLoan[Interest],ROW()-ROW(tblSubjectToLoan[#Headers])-1)),tblSubjectToLoan[[#This Row],[Int]]+IF(ROW()=ROW(tblSubjectToLoan[#Headers])+1,0,INDEX(tblSubjectToLoan[Interest],ROW()-ROW(tblSubjectToLoan[#Headers])-1)))</f>
        <v>36068.259999999973</v>
      </c>
      <c r="K462" s="969">
        <f>IF(tblSubjectToLoan[[#This Row],[Date]]="",0,MAX(0,tblSubjectToLoan[[#This Row],[Beginning Balance]]-tblSubjectToLoan[[#This Row],[Princ]]))</f>
        <v>0</v>
      </c>
      <c r="L462" s="394">
        <f t="shared" si="39"/>
        <v>0</v>
      </c>
      <c r="M462" s="394">
        <f t="shared" si="36"/>
        <v>0</v>
      </c>
      <c r="N462" s="613" t="str">
        <f>INDEX(tblSubjectToLoan[Date],ROW()-ROW(tblContractForDeed[#Headers]))</f>
        <v/>
      </c>
      <c r="O462" s="276">
        <f>IF(ROW()=ROW(tblContractForDeed[#Headers])+1,$O$6,IF(INDEX(tblContractForDeed[End Bal],ROW()-ROW(tblContractForDeed[#Headers])-1)&lt;0,0,INDEX(tblContractForDeed[End Bal],ROW()-ROW(tblContractForDeed[#Headers])-1)))</f>
        <v>0</v>
      </c>
      <c r="P462" s="454"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2" s="276">
        <f>IF(INDEX(tblContractForDeed[End Bal],ROW()-ROW(tblBuyerOutputs[#Headers]))&lt;=0,0,($O$6+IF(ROW()=ROW(tblBuyerOutputs[#Headers])+1,0,INDEX(tblBuyerOutputs[Cumul Appr],ROW()-ROW(tblBuyerOutputs[#Headers])-1)))*$O$2/12)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14" t="str">
        <f>IF(ROW()=ROW(tblSubjectToLoan[#Headers])+1,subjectKnownBalanceDate,IF(OR(INDEX(tblSubjectToLoan[Date],ROW()-ROW(tblSubjectToLoan[#Headers])-1)="",INDEX(tblSubjectToLoan[Date],ROW()-ROW(tblSubjectToLoan[#Headers])-1)&gt;=subjectMortgageEndDate),"",EDATE(INDEX(tblSubjectToLoan[Date],ROW()-ROW(tblSubjectToLoan[#Headers])-1),1)))</f>
        <v/>
      </c>
      <c r="B463" s="332">
        <f>IF(tblSubjectToLoan[[#This Row],[Date]]="",0,IF(ROW()=ROW(tblSubjectToLoan[#Headers])+1,subjectKnownBalance,MAX(0,INDEX(tblSubjectToLoan[Ending Balance],ROW()-ROW(tblSubjectToLoan[#Headers])-1))))</f>
        <v>0</v>
      </c>
      <c r="C46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3" s="21">
        <f>IF(tblSubjectToLoan[[#This Row],[Payment]]=0,0,MAX(0,MIN(tblSubjectToLoan[[#This Row],[Beginning Balance]],tblSubjectToLoan[[#This Row],[Payment]]-tblSubjectToLoan[[#This Row],[Int]])))</f>
        <v>0</v>
      </c>
      <c r="E463" s="21">
        <f>IF(tblSubjectToLoan[[#This Row],[Date]]="",0,ROUND(tblSubjectToLoan[[#This Row],[Beginning Balance]]*(subjectInterestRate/12),2))</f>
        <v>0</v>
      </c>
      <c r="F463" s="21">
        <f t="shared" ref="F463:G478" si="41">+F462</f>
        <v>134.16999999999999</v>
      </c>
      <c r="G463" s="21">
        <f t="shared" si="41"/>
        <v>188.55</v>
      </c>
      <c r="H463" s="21">
        <f>SUM(tblSubjectToLoan[[#This Row],[Princ]],tblSubjectToLoan[[#This Row],[Int]],tblSubjectToLoan[[#This Row],[Ins]],tblSubjectToLoan[[#This Row],[Taxes]])</f>
        <v>322.72000000000003</v>
      </c>
      <c r="I46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63" s="332">
        <f>IF(tblSubjectToLoan[[#This Row],[Date]]="",IF(ROW()=ROW(tblSubjectToLoan[#Headers])+1,0,INDEX(tblSubjectToLoan[Interest],ROW()-ROW(tblSubjectToLoan[#Headers])-1)),tblSubjectToLoan[[#This Row],[Int]]+IF(ROW()=ROW(tblSubjectToLoan[#Headers])+1,0,INDEX(tblSubjectToLoan[Interest],ROW()-ROW(tblSubjectToLoan[#Headers])-1)))</f>
        <v>36068.259999999973</v>
      </c>
      <c r="K463" s="970">
        <f>IF(tblSubjectToLoan[[#This Row],[Date]]="",0,MAX(0,tblSubjectToLoan[[#This Row],[Beginning Balance]]-tblSubjectToLoan[[#This Row],[Princ]]))</f>
        <v>0</v>
      </c>
      <c r="L463" s="395">
        <f t="shared" si="39"/>
        <v>0</v>
      </c>
      <c r="M463" s="395">
        <f t="shared" si="36"/>
        <v>0</v>
      </c>
      <c r="N463" s="614" t="str">
        <f>INDEX(tblSubjectToLoan[Date],ROW()-ROW(tblContractForDeed[#Headers]))</f>
        <v/>
      </c>
      <c r="O463" s="332">
        <f>IF(ROW()=ROW(tblContractForDeed[#Headers])+1,$O$6,IF(INDEX(tblContractForDeed[End Bal],ROW()-ROW(tblContractForDeed[#Headers])-1)&lt;0,0,INDEX(tblContractForDeed[End Bal],ROW()-ROW(tblContractForDeed[#Headers])-1)))</f>
        <v>0</v>
      </c>
      <c r="P463" s="454"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3" s="332">
        <f>IF(INDEX(tblContractForDeed[End Bal],ROW()-ROW(tblBuyerOutputs[#Headers]))&lt;=0,0,($O$6+IF(ROW()=ROW(tblBuyerOutputs[#Headers])+1,0,INDEX(tblBuyerOutputs[Cumul Appr],ROW()-ROW(tblBuyerOutputs[#Headers])-1)))*$O$2/12)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13" t="str">
        <f>IF(ROW()=ROW(tblSubjectToLoan[#Headers])+1,subjectKnownBalanceDate,IF(OR(INDEX(tblSubjectToLoan[Date],ROW()-ROW(tblSubjectToLoan[#Headers])-1)="",INDEX(tblSubjectToLoan[Date],ROW()-ROW(tblSubjectToLoan[#Headers])-1)&gt;=subjectMortgageEndDate),"",EDATE(INDEX(tblSubjectToLoan[Date],ROW()-ROW(tblSubjectToLoan[#Headers])-1),1)))</f>
        <v/>
      </c>
      <c r="B464" s="276">
        <f>IF(tblSubjectToLoan[[#This Row],[Date]]="",0,IF(ROW()=ROW(tblSubjectToLoan[#Headers])+1,subjectKnownBalance,MAX(0,INDEX(tblSubjectToLoan[Ending Balance],ROW()-ROW(tblSubjectToLoan[#Headers])-1))))</f>
        <v>0</v>
      </c>
      <c r="C4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4" s="14">
        <f>IF(tblSubjectToLoan[[#This Row],[Payment]]=0,0,MAX(0,MIN(tblSubjectToLoan[[#This Row],[Beginning Balance]],tblSubjectToLoan[[#This Row],[Payment]]-tblSubjectToLoan[[#This Row],[Int]])))</f>
        <v>0</v>
      </c>
      <c r="E464" s="14">
        <f>IF(tblSubjectToLoan[[#This Row],[Date]]="",0,ROUND(tblSubjectToLoan[[#This Row],[Beginning Balance]]*(subjectInterestRate/12),2))</f>
        <v>0</v>
      </c>
      <c r="F464" s="14">
        <f t="shared" si="41"/>
        <v>134.16999999999999</v>
      </c>
      <c r="G464" s="14">
        <f t="shared" si="41"/>
        <v>188.55</v>
      </c>
      <c r="H464" s="14">
        <f>SUM(tblSubjectToLoan[[#This Row],[Princ]],tblSubjectToLoan[[#This Row],[Int]],tblSubjectToLoan[[#This Row],[Ins]],tblSubjectToLoan[[#This Row],[Taxes]])</f>
        <v>322.72000000000003</v>
      </c>
      <c r="I4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4" s="276">
        <f>IF(tblSubjectToLoan[[#This Row],[Date]]="",IF(ROW()=ROW(tblSubjectToLoan[#Headers])+1,0,INDEX(tblSubjectToLoan[Interest],ROW()-ROW(tblSubjectToLoan[#Headers])-1)),tblSubjectToLoan[[#This Row],[Int]]+IF(ROW()=ROW(tblSubjectToLoan[#Headers])+1,0,INDEX(tblSubjectToLoan[Interest],ROW()-ROW(tblSubjectToLoan[#Headers])-1)))</f>
        <v>36068.259999999973</v>
      </c>
      <c r="K464" s="969">
        <f>IF(tblSubjectToLoan[[#This Row],[Date]]="",0,MAX(0,tblSubjectToLoan[[#This Row],[Beginning Balance]]-tblSubjectToLoan[[#This Row],[Princ]]))</f>
        <v>0</v>
      </c>
      <c r="L464" s="394">
        <f t="shared" si="39"/>
        <v>0</v>
      </c>
      <c r="M464" s="394">
        <f t="shared" si="36"/>
        <v>0</v>
      </c>
      <c r="N464" s="613" t="str">
        <f>INDEX(tblSubjectToLoan[Date],ROW()-ROW(tblContractForDeed[#Headers]))</f>
        <v/>
      </c>
      <c r="O464" s="276">
        <f>IF(ROW()=ROW(tblContractForDeed[#Headers])+1,$O$6,IF(INDEX(tblContractForDeed[End Bal],ROW()-ROW(tblContractForDeed[#Headers])-1)&lt;0,0,INDEX(tblContractForDeed[End Bal],ROW()-ROW(tblContractForDeed[#Headers])-1)))</f>
        <v>0</v>
      </c>
      <c r="P464" s="454"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4" s="276">
        <f>IF(INDEX(tblContractForDeed[End Bal],ROW()-ROW(tblBuyerOutputs[#Headers]))&lt;=0,0,($O$6+IF(ROW()=ROW(tblBuyerOutputs[#Headers])+1,0,INDEX(tblBuyerOutputs[Cumul Appr],ROW()-ROW(tblBuyerOutputs[#Headers])-1)))*$O$2/12)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13" t="str">
        <f>IF(ROW()=ROW(tblSubjectToLoan[#Headers])+1,subjectKnownBalanceDate,IF(OR(INDEX(tblSubjectToLoan[Date],ROW()-ROW(tblSubjectToLoan[#Headers])-1)="",INDEX(tblSubjectToLoan[Date],ROW()-ROW(tblSubjectToLoan[#Headers])-1)&gt;=subjectMortgageEndDate),"",EDATE(INDEX(tblSubjectToLoan[Date],ROW()-ROW(tblSubjectToLoan[#Headers])-1),1)))</f>
        <v/>
      </c>
      <c r="B465" s="276">
        <f>IF(tblSubjectToLoan[[#This Row],[Date]]="",0,IF(ROW()=ROW(tblSubjectToLoan[#Headers])+1,subjectKnownBalance,MAX(0,INDEX(tblSubjectToLoan[Ending Balance],ROW()-ROW(tblSubjectToLoan[#Headers])-1))))</f>
        <v>0</v>
      </c>
      <c r="C4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5" s="14">
        <f>IF(tblSubjectToLoan[[#This Row],[Payment]]=0,0,MAX(0,MIN(tblSubjectToLoan[[#This Row],[Beginning Balance]],tblSubjectToLoan[[#This Row],[Payment]]-tblSubjectToLoan[[#This Row],[Int]])))</f>
        <v>0</v>
      </c>
      <c r="E465" s="14">
        <f>IF(tblSubjectToLoan[[#This Row],[Date]]="",0,ROUND(tblSubjectToLoan[[#This Row],[Beginning Balance]]*(subjectInterestRate/12),2))</f>
        <v>0</v>
      </c>
      <c r="F465" s="14">
        <f t="shared" si="41"/>
        <v>134.16999999999999</v>
      </c>
      <c r="G465" s="14">
        <f t="shared" si="41"/>
        <v>188.55</v>
      </c>
      <c r="H465" s="14">
        <f>SUM(tblSubjectToLoan[[#This Row],[Princ]],tblSubjectToLoan[[#This Row],[Int]],tblSubjectToLoan[[#This Row],[Ins]],tblSubjectToLoan[[#This Row],[Taxes]])</f>
        <v>322.72000000000003</v>
      </c>
      <c r="I4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5" s="276">
        <f>IF(tblSubjectToLoan[[#This Row],[Date]]="",IF(ROW()=ROW(tblSubjectToLoan[#Headers])+1,0,INDEX(tblSubjectToLoan[Interest],ROW()-ROW(tblSubjectToLoan[#Headers])-1)),tblSubjectToLoan[[#This Row],[Int]]+IF(ROW()=ROW(tblSubjectToLoan[#Headers])+1,0,INDEX(tblSubjectToLoan[Interest],ROW()-ROW(tblSubjectToLoan[#Headers])-1)))</f>
        <v>36068.259999999973</v>
      </c>
      <c r="K465" s="969">
        <f>IF(tblSubjectToLoan[[#This Row],[Date]]="",0,MAX(0,tblSubjectToLoan[[#This Row],[Beginning Balance]]-tblSubjectToLoan[[#This Row],[Princ]]))</f>
        <v>0</v>
      </c>
      <c r="L465" s="394">
        <f t="shared" si="39"/>
        <v>0</v>
      </c>
      <c r="M465" s="394">
        <f t="shared" si="36"/>
        <v>0</v>
      </c>
      <c r="N465" s="613" t="str">
        <f>INDEX(tblSubjectToLoan[Date],ROW()-ROW(tblContractForDeed[#Headers]))</f>
        <v/>
      </c>
      <c r="O465" s="276">
        <f>IF(ROW()=ROW(tblContractForDeed[#Headers])+1,$O$6,IF(INDEX(tblContractForDeed[End Bal],ROW()-ROW(tblContractForDeed[#Headers])-1)&lt;0,0,INDEX(tblContractForDeed[End Bal],ROW()-ROW(tblContractForDeed[#Headers])-1)))</f>
        <v>0</v>
      </c>
      <c r="P465" s="454"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5" s="276">
        <f>IF(INDEX(tblContractForDeed[End Bal],ROW()-ROW(tblBuyerOutputs[#Headers]))&lt;=0,0,($O$6+IF(ROW()=ROW(tblBuyerOutputs[#Headers])+1,0,INDEX(tblBuyerOutputs[Cumul Appr],ROW()-ROW(tblBuyerOutputs[#Headers])-1)))*$O$2/12)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13" t="str">
        <f>IF(ROW()=ROW(tblSubjectToLoan[#Headers])+1,subjectKnownBalanceDate,IF(OR(INDEX(tblSubjectToLoan[Date],ROW()-ROW(tblSubjectToLoan[#Headers])-1)="",INDEX(tblSubjectToLoan[Date],ROW()-ROW(tblSubjectToLoan[#Headers])-1)&gt;=subjectMortgageEndDate),"",EDATE(INDEX(tblSubjectToLoan[Date],ROW()-ROW(tblSubjectToLoan[#Headers])-1),1)))</f>
        <v/>
      </c>
      <c r="B466" s="276">
        <f>IF(tblSubjectToLoan[[#This Row],[Date]]="",0,IF(ROW()=ROW(tblSubjectToLoan[#Headers])+1,subjectKnownBalance,MAX(0,INDEX(tblSubjectToLoan[Ending Balance],ROW()-ROW(tblSubjectToLoan[#Headers])-1))))</f>
        <v>0</v>
      </c>
      <c r="C4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6" s="14">
        <f>IF(tblSubjectToLoan[[#This Row],[Payment]]=0,0,MAX(0,MIN(tblSubjectToLoan[[#This Row],[Beginning Balance]],tblSubjectToLoan[[#This Row],[Payment]]-tblSubjectToLoan[[#This Row],[Int]])))</f>
        <v>0</v>
      </c>
      <c r="E466" s="14">
        <f>IF(tblSubjectToLoan[[#This Row],[Date]]="",0,ROUND(tblSubjectToLoan[[#This Row],[Beginning Balance]]*(subjectInterestRate/12),2))</f>
        <v>0</v>
      </c>
      <c r="F466" s="14">
        <f t="shared" si="41"/>
        <v>134.16999999999999</v>
      </c>
      <c r="G466" s="14">
        <f t="shared" si="41"/>
        <v>188.55</v>
      </c>
      <c r="H466" s="14">
        <f>SUM(tblSubjectToLoan[[#This Row],[Princ]],tblSubjectToLoan[[#This Row],[Int]],tblSubjectToLoan[[#This Row],[Ins]],tblSubjectToLoan[[#This Row],[Taxes]])</f>
        <v>322.72000000000003</v>
      </c>
      <c r="I4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6" s="276">
        <f>IF(tblSubjectToLoan[[#This Row],[Date]]="",IF(ROW()=ROW(tblSubjectToLoan[#Headers])+1,0,INDEX(tblSubjectToLoan[Interest],ROW()-ROW(tblSubjectToLoan[#Headers])-1)),tblSubjectToLoan[[#This Row],[Int]]+IF(ROW()=ROW(tblSubjectToLoan[#Headers])+1,0,INDEX(tblSubjectToLoan[Interest],ROW()-ROW(tblSubjectToLoan[#Headers])-1)))</f>
        <v>36068.259999999973</v>
      </c>
      <c r="K466" s="969">
        <f>IF(tblSubjectToLoan[[#This Row],[Date]]="",0,MAX(0,tblSubjectToLoan[[#This Row],[Beginning Balance]]-tblSubjectToLoan[[#This Row],[Princ]]))</f>
        <v>0</v>
      </c>
      <c r="L466" s="394">
        <f t="shared" si="39"/>
        <v>0</v>
      </c>
      <c r="M466" s="394">
        <f t="shared" si="36"/>
        <v>0</v>
      </c>
      <c r="N466" s="613" t="str">
        <f>INDEX(tblSubjectToLoan[Date],ROW()-ROW(tblContractForDeed[#Headers]))</f>
        <v/>
      </c>
      <c r="O466" s="276">
        <f>IF(ROW()=ROW(tblContractForDeed[#Headers])+1,$O$6,IF(INDEX(tblContractForDeed[End Bal],ROW()-ROW(tblContractForDeed[#Headers])-1)&lt;0,0,INDEX(tblContractForDeed[End Bal],ROW()-ROW(tblContractForDeed[#Headers])-1)))</f>
        <v>0</v>
      </c>
      <c r="P466" s="454"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6" s="276">
        <f>IF(INDEX(tblContractForDeed[End Bal],ROW()-ROW(tblBuyerOutputs[#Headers]))&lt;=0,0,($O$6+IF(ROW()=ROW(tblBuyerOutputs[#Headers])+1,0,INDEX(tblBuyerOutputs[Cumul Appr],ROW()-ROW(tblBuyerOutputs[#Headers])-1)))*$O$2/12)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13" t="str">
        <f>IF(ROW()=ROW(tblSubjectToLoan[#Headers])+1,subjectKnownBalanceDate,IF(OR(INDEX(tblSubjectToLoan[Date],ROW()-ROW(tblSubjectToLoan[#Headers])-1)="",INDEX(tblSubjectToLoan[Date],ROW()-ROW(tblSubjectToLoan[#Headers])-1)&gt;=subjectMortgageEndDate),"",EDATE(INDEX(tblSubjectToLoan[Date],ROW()-ROW(tblSubjectToLoan[#Headers])-1),1)))</f>
        <v/>
      </c>
      <c r="B467" s="276">
        <f>IF(tblSubjectToLoan[[#This Row],[Date]]="",0,IF(ROW()=ROW(tblSubjectToLoan[#Headers])+1,subjectKnownBalance,MAX(0,INDEX(tblSubjectToLoan[Ending Balance],ROW()-ROW(tblSubjectToLoan[#Headers])-1))))</f>
        <v>0</v>
      </c>
      <c r="C4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7" s="14">
        <f>IF(tblSubjectToLoan[[#This Row],[Payment]]=0,0,MAX(0,MIN(tblSubjectToLoan[[#This Row],[Beginning Balance]],tblSubjectToLoan[[#This Row],[Payment]]-tblSubjectToLoan[[#This Row],[Int]])))</f>
        <v>0</v>
      </c>
      <c r="E467" s="14">
        <f>IF(tblSubjectToLoan[[#This Row],[Date]]="",0,ROUND(tblSubjectToLoan[[#This Row],[Beginning Balance]]*(subjectInterestRate/12),2))</f>
        <v>0</v>
      </c>
      <c r="F467" s="14">
        <f t="shared" si="41"/>
        <v>134.16999999999999</v>
      </c>
      <c r="G467" s="14">
        <f t="shared" si="41"/>
        <v>188.55</v>
      </c>
      <c r="H467" s="14">
        <f>SUM(tblSubjectToLoan[[#This Row],[Princ]],tblSubjectToLoan[[#This Row],[Int]],tblSubjectToLoan[[#This Row],[Ins]],tblSubjectToLoan[[#This Row],[Taxes]])</f>
        <v>322.72000000000003</v>
      </c>
      <c r="I4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7" s="276">
        <f>IF(tblSubjectToLoan[[#This Row],[Date]]="",IF(ROW()=ROW(tblSubjectToLoan[#Headers])+1,0,INDEX(tblSubjectToLoan[Interest],ROW()-ROW(tblSubjectToLoan[#Headers])-1)),tblSubjectToLoan[[#This Row],[Int]]+IF(ROW()=ROW(tblSubjectToLoan[#Headers])+1,0,INDEX(tblSubjectToLoan[Interest],ROW()-ROW(tblSubjectToLoan[#Headers])-1)))</f>
        <v>36068.259999999973</v>
      </c>
      <c r="K467" s="969">
        <f>IF(tblSubjectToLoan[[#This Row],[Date]]="",0,MAX(0,tblSubjectToLoan[[#This Row],[Beginning Balance]]-tblSubjectToLoan[[#This Row],[Princ]]))</f>
        <v>0</v>
      </c>
      <c r="L467" s="394">
        <f t="shared" si="39"/>
        <v>0</v>
      </c>
      <c r="M467" s="394">
        <f t="shared" si="36"/>
        <v>0</v>
      </c>
      <c r="N467" s="613" t="str">
        <f>INDEX(tblSubjectToLoan[Date],ROW()-ROW(tblContractForDeed[#Headers]))</f>
        <v/>
      </c>
      <c r="O467" s="276">
        <f>IF(ROW()=ROW(tblContractForDeed[#Headers])+1,$O$6,IF(INDEX(tblContractForDeed[End Bal],ROW()-ROW(tblContractForDeed[#Headers])-1)&lt;0,0,INDEX(tblContractForDeed[End Bal],ROW()-ROW(tblContractForDeed[#Headers])-1)))</f>
        <v>0</v>
      </c>
      <c r="P467" s="454"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7" s="276">
        <f>IF(INDEX(tblContractForDeed[End Bal],ROW()-ROW(tblBuyerOutputs[#Headers]))&lt;=0,0,($O$6+IF(ROW()=ROW(tblBuyerOutputs[#Headers])+1,0,INDEX(tblBuyerOutputs[Cumul Appr],ROW()-ROW(tblBuyerOutputs[#Headers])-1)))*$O$2/12)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13" t="str">
        <f>IF(ROW()=ROW(tblSubjectToLoan[#Headers])+1,subjectKnownBalanceDate,IF(OR(INDEX(tblSubjectToLoan[Date],ROW()-ROW(tblSubjectToLoan[#Headers])-1)="",INDEX(tblSubjectToLoan[Date],ROW()-ROW(tblSubjectToLoan[#Headers])-1)&gt;=subjectMortgageEndDate),"",EDATE(INDEX(tblSubjectToLoan[Date],ROW()-ROW(tblSubjectToLoan[#Headers])-1),1)))</f>
        <v/>
      </c>
      <c r="B468" s="276">
        <f>IF(tblSubjectToLoan[[#This Row],[Date]]="",0,IF(ROW()=ROW(tblSubjectToLoan[#Headers])+1,subjectKnownBalance,MAX(0,INDEX(tblSubjectToLoan[Ending Balance],ROW()-ROW(tblSubjectToLoan[#Headers])-1))))</f>
        <v>0</v>
      </c>
      <c r="C4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8" s="14">
        <f>IF(tblSubjectToLoan[[#This Row],[Payment]]=0,0,MAX(0,MIN(tblSubjectToLoan[[#This Row],[Beginning Balance]],tblSubjectToLoan[[#This Row],[Payment]]-tblSubjectToLoan[[#This Row],[Int]])))</f>
        <v>0</v>
      </c>
      <c r="E468" s="14">
        <f>IF(tblSubjectToLoan[[#This Row],[Date]]="",0,ROUND(tblSubjectToLoan[[#This Row],[Beginning Balance]]*(subjectInterestRate/12),2))</f>
        <v>0</v>
      </c>
      <c r="F468" s="14">
        <f t="shared" si="41"/>
        <v>134.16999999999999</v>
      </c>
      <c r="G468" s="14">
        <f t="shared" si="41"/>
        <v>188.55</v>
      </c>
      <c r="H468" s="14">
        <f>SUM(tblSubjectToLoan[[#This Row],[Princ]],tblSubjectToLoan[[#This Row],[Int]],tblSubjectToLoan[[#This Row],[Ins]],tblSubjectToLoan[[#This Row],[Taxes]])</f>
        <v>322.72000000000003</v>
      </c>
      <c r="I4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8" s="276">
        <f>IF(tblSubjectToLoan[[#This Row],[Date]]="",IF(ROW()=ROW(tblSubjectToLoan[#Headers])+1,0,INDEX(tblSubjectToLoan[Interest],ROW()-ROW(tblSubjectToLoan[#Headers])-1)),tblSubjectToLoan[[#This Row],[Int]]+IF(ROW()=ROW(tblSubjectToLoan[#Headers])+1,0,INDEX(tblSubjectToLoan[Interest],ROW()-ROW(tblSubjectToLoan[#Headers])-1)))</f>
        <v>36068.259999999973</v>
      </c>
      <c r="K468" s="969">
        <f>IF(tblSubjectToLoan[[#This Row],[Date]]="",0,MAX(0,tblSubjectToLoan[[#This Row],[Beginning Balance]]-tblSubjectToLoan[[#This Row],[Princ]]))</f>
        <v>0</v>
      </c>
      <c r="L468" s="394">
        <f t="shared" si="39"/>
        <v>0</v>
      </c>
      <c r="M468" s="394">
        <f t="shared" si="36"/>
        <v>0</v>
      </c>
      <c r="N468" s="613" t="str">
        <f>INDEX(tblSubjectToLoan[Date],ROW()-ROW(tblContractForDeed[#Headers]))</f>
        <v/>
      </c>
      <c r="O468" s="276">
        <f>IF(ROW()=ROW(tblContractForDeed[#Headers])+1,$O$6,IF(INDEX(tblContractForDeed[End Bal],ROW()-ROW(tblContractForDeed[#Headers])-1)&lt;0,0,INDEX(tblContractForDeed[End Bal],ROW()-ROW(tblContractForDeed[#Headers])-1)))</f>
        <v>0</v>
      </c>
      <c r="P468" s="454"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8" s="276">
        <f>IF(INDEX(tblContractForDeed[End Bal],ROW()-ROW(tblBuyerOutputs[#Headers]))&lt;=0,0,($O$6+IF(ROW()=ROW(tblBuyerOutputs[#Headers])+1,0,INDEX(tblBuyerOutputs[Cumul Appr],ROW()-ROW(tblBuyerOutputs[#Headers])-1)))*$O$2/12)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13" t="str">
        <f>IF(ROW()=ROW(tblSubjectToLoan[#Headers])+1,subjectKnownBalanceDate,IF(OR(INDEX(tblSubjectToLoan[Date],ROW()-ROW(tblSubjectToLoan[#Headers])-1)="",INDEX(tblSubjectToLoan[Date],ROW()-ROW(tblSubjectToLoan[#Headers])-1)&gt;=subjectMortgageEndDate),"",EDATE(INDEX(tblSubjectToLoan[Date],ROW()-ROW(tblSubjectToLoan[#Headers])-1),1)))</f>
        <v/>
      </c>
      <c r="B469" s="276">
        <f>IF(tblSubjectToLoan[[#This Row],[Date]]="",0,IF(ROW()=ROW(tblSubjectToLoan[#Headers])+1,subjectKnownBalance,MAX(0,INDEX(tblSubjectToLoan[Ending Balance],ROW()-ROW(tblSubjectToLoan[#Headers])-1))))</f>
        <v>0</v>
      </c>
      <c r="C4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9" s="14">
        <f>IF(tblSubjectToLoan[[#This Row],[Payment]]=0,0,MAX(0,MIN(tblSubjectToLoan[[#This Row],[Beginning Balance]],tblSubjectToLoan[[#This Row],[Payment]]-tblSubjectToLoan[[#This Row],[Int]])))</f>
        <v>0</v>
      </c>
      <c r="E469" s="14">
        <f>IF(tblSubjectToLoan[[#This Row],[Date]]="",0,ROUND(tblSubjectToLoan[[#This Row],[Beginning Balance]]*(subjectInterestRate/12),2))</f>
        <v>0</v>
      </c>
      <c r="F469" s="14">
        <f t="shared" si="41"/>
        <v>134.16999999999999</v>
      </c>
      <c r="G469" s="14">
        <f t="shared" si="41"/>
        <v>188.55</v>
      </c>
      <c r="H469" s="14">
        <f>SUM(tblSubjectToLoan[[#This Row],[Princ]],tblSubjectToLoan[[#This Row],[Int]],tblSubjectToLoan[[#This Row],[Ins]],tblSubjectToLoan[[#This Row],[Taxes]])</f>
        <v>322.72000000000003</v>
      </c>
      <c r="I4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9" s="276">
        <f>IF(tblSubjectToLoan[[#This Row],[Date]]="",IF(ROW()=ROW(tblSubjectToLoan[#Headers])+1,0,INDEX(tblSubjectToLoan[Interest],ROW()-ROW(tblSubjectToLoan[#Headers])-1)),tblSubjectToLoan[[#This Row],[Int]]+IF(ROW()=ROW(tblSubjectToLoan[#Headers])+1,0,INDEX(tblSubjectToLoan[Interest],ROW()-ROW(tblSubjectToLoan[#Headers])-1)))</f>
        <v>36068.259999999973</v>
      </c>
      <c r="K469" s="969">
        <f>IF(tblSubjectToLoan[[#This Row],[Date]]="",0,MAX(0,tblSubjectToLoan[[#This Row],[Beginning Balance]]-tblSubjectToLoan[[#This Row],[Princ]]))</f>
        <v>0</v>
      </c>
      <c r="L469" s="394">
        <f t="shared" si="39"/>
        <v>0</v>
      </c>
      <c r="M469" s="394">
        <f t="shared" ref="M469:M532" si="42">IF($A469&lt;&gt;"",M468+1,0)</f>
        <v>0</v>
      </c>
      <c r="N469" s="613" t="str">
        <f>INDEX(tblSubjectToLoan[Date],ROW()-ROW(tblContractForDeed[#Headers]))</f>
        <v/>
      </c>
      <c r="O469" s="276">
        <f>IF(ROW()=ROW(tblContractForDeed[#Headers])+1,$O$6,IF(INDEX(tblContractForDeed[End Bal],ROW()-ROW(tblContractForDeed[#Headers])-1)&lt;0,0,INDEX(tblContractForDeed[End Bal],ROW()-ROW(tblContractForDeed[#Headers])-1)))</f>
        <v>0</v>
      </c>
      <c r="P469" s="454"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9" s="276">
        <f>IF(INDEX(tblContractForDeed[End Bal],ROW()-ROW(tblBuyerOutputs[#Headers]))&lt;=0,0,($O$6+IF(ROW()=ROW(tblBuyerOutputs[#Headers])+1,0,INDEX(tblBuyerOutputs[Cumul Appr],ROW()-ROW(tblBuyerOutputs[#Headers])-1)))*$O$2/12)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13" t="str">
        <f>IF(ROW()=ROW(tblSubjectToLoan[#Headers])+1,subjectKnownBalanceDate,IF(OR(INDEX(tblSubjectToLoan[Date],ROW()-ROW(tblSubjectToLoan[#Headers])-1)="",INDEX(tblSubjectToLoan[Date],ROW()-ROW(tblSubjectToLoan[#Headers])-1)&gt;=subjectMortgageEndDate),"",EDATE(INDEX(tblSubjectToLoan[Date],ROW()-ROW(tblSubjectToLoan[#Headers])-1),1)))</f>
        <v/>
      </c>
      <c r="B470" s="276">
        <f>IF(tblSubjectToLoan[[#This Row],[Date]]="",0,IF(ROW()=ROW(tblSubjectToLoan[#Headers])+1,subjectKnownBalance,MAX(0,INDEX(tblSubjectToLoan[Ending Balance],ROW()-ROW(tblSubjectToLoan[#Headers])-1))))</f>
        <v>0</v>
      </c>
      <c r="C4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0" s="14">
        <f>IF(tblSubjectToLoan[[#This Row],[Payment]]=0,0,MAX(0,MIN(tblSubjectToLoan[[#This Row],[Beginning Balance]],tblSubjectToLoan[[#This Row],[Payment]]-tblSubjectToLoan[[#This Row],[Int]])))</f>
        <v>0</v>
      </c>
      <c r="E470" s="14">
        <f>IF(tblSubjectToLoan[[#This Row],[Date]]="",0,ROUND(tblSubjectToLoan[[#This Row],[Beginning Balance]]*(subjectInterestRate/12),2))</f>
        <v>0</v>
      </c>
      <c r="F470" s="14">
        <f t="shared" si="41"/>
        <v>134.16999999999999</v>
      </c>
      <c r="G470" s="14">
        <f t="shared" si="41"/>
        <v>188.55</v>
      </c>
      <c r="H470" s="14">
        <f>SUM(tblSubjectToLoan[[#This Row],[Princ]],tblSubjectToLoan[[#This Row],[Int]],tblSubjectToLoan[[#This Row],[Ins]],tblSubjectToLoan[[#This Row],[Taxes]])</f>
        <v>322.72000000000003</v>
      </c>
      <c r="I4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0" s="276">
        <f>IF(tblSubjectToLoan[[#This Row],[Date]]="",IF(ROW()=ROW(tblSubjectToLoan[#Headers])+1,0,INDEX(tblSubjectToLoan[Interest],ROW()-ROW(tblSubjectToLoan[#Headers])-1)),tblSubjectToLoan[[#This Row],[Int]]+IF(ROW()=ROW(tblSubjectToLoan[#Headers])+1,0,INDEX(tblSubjectToLoan[Interest],ROW()-ROW(tblSubjectToLoan[#Headers])-1)))</f>
        <v>36068.259999999973</v>
      </c>
      <c r="K470" s="969">
        <f>IF(tblSubjectToLoan[[#This Row],[Date]]="",0,MAX(0,tblSubjectToLoan[[#This Row],[Beginning Balance]]-tblSubjectToLoan[[#This Row],[Princ]]))</f>
        <v>0</v>
      </c>
      <c r="L470" s="394">
        <f t="shared" si="39"/>
        <v>0</v>
      </c>
      <c r="M470" s="394">
        <f t="shared" si="42"/>
        <v>0</v>
      </c>
      <c r="N470" s="613" t="str">
        <f>INDEX(tblSubjectToLoan[Date],ROW()-ROW(tblContractForDeed[#Headers]))</f>
        <v/>
      </c>
      <c r="O470" s="276">
        <f>IF(ROW()=ROW(tblContractForDeed[#Headers])+1,$O$6,IF(INDEX(tblContractForDeed[End Bal],ROW()-ROW(tblContractForDeed[#Headers])-1)&lt;0,0,INDEX(tblContractForDeed[End Bal],ROW()-ROW(tblContractForDeed[#Headers])-1)))</f>
        <v>0</v>
      </c>
      <c r="P470" s="454"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0" s="276">
        <f>IF(INDEX(tblContractForDeed[End Bal],ROW()-ROW(tblBuyerOutputs[#Headers]))&lt;=0,0,($O$6+IF(ROW()=ROW(tblBuyerOutputs[#Headers])+1,0,INDEX(tblBuyerOutputs[Cumul Appr],ROW()-ROW(tblBuyerOutputs[#Headers])-1)))*$O$2/12)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13" t="str">
        <f>IF(ROW()=ROW(tblSubjectToLoan[#Headers])+1,subjectKnownBalanceDate,IF(OR(INDEX(tblSubjectToLoan[Date],ROW()-ROW(tblSubjectToLoan[#Headers])-1)="",INDEX(tblSubjectToLoan[Date],ROW()-ROW(tblSubjectToLoan[#Headers])-1)&gt;=subjectMortgageEndDate),"",EDATE(INDEX(tblSubjectToLoan[Date],ROW()-ROW(tblSubjectToLoan[#Headers])-1),1)))</f>
        <v/>
      </c>
      <c r="B471" s="276">
        <f>IF(tblSubjectToLoan[[#This Row],[Date]]="",0,IF(ROW()=ROW(tblSubjectToLoan[#Headers])+1,subjectKnownBalance,MAX(0,INDEX(tblSubjectToLoan[Ending Balance],ROW()-ROW(tblSubjectToLoan[#Headers])-1))))</f>
        <v>0</v>
      </c>
      <c r="C4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1" s="14">
        <f>IF(tblSubjectToLoan[[#This Row],[Payment]]=0,0,MAX(0,MIN(tblSubjectToLoan[[#This Row],[Beginning Balance]],tblSubjectToLoan[[#This Row],[Payment]]-tblSubjectToLoan[[#This Row],[Int]])))</f>
        <v>0</v>
      </c>
      <c r="E471" s="14">
        <f>IF(tblSubjectToLoan[[#This Row],[Date]]="",0,ROUND(tblSubjectToLoan[[#This Row],[Beginning Balance]]*(subjectInterestRate/12),2))</f>
        <v>0</v>
      </c>
      <c r="F471" s="14">
        <f t="shared" si="41"/>
        <v>134.16999999999999</v>
      </c>
      <c r="G471" s="14">
        <f t="shared" si="41"/>
        <v>188.55</v>
      </c>
      <c r="H471" s="14">
        <f>SUM(tblSubjectToLoan[[#This Row],[Princ]],tblSubjectToLoan[[#This Row],[Int]],tblSubjectToLoan[[#This Row],[Ins]],tblSubjectToLoan[[#This Row],[Taxes]])</f>
        <v>322.72000000000003</v>
      </c>
      <c r="I4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1" s="276">
        <f>IF(tblSubjectToLoan[[#This Row],[Date]]="",IF(ROW()=ROW(tblSubjectToLoan[#Headers])+1,0,INDEX(tblSubjectToLoan[Interest],ROW()-ROW(tblSubjectToLoan[#Headers])-1)),tblSubjectToLoan[[#This Row],[Int]]+IF(ROW()=ROW(tblSubjectToLoan[#Headers])+1,0,INDEX(tblSubjectToLoan[Interest],ROW()-ROW(tblSubjectToLoan[#Headers])-1)))</f>
        <v>36068.259999999973</v>
      </c>
      <c r="K471" s="969">
        <f>IF(tblSubjectToLoan[[#This Row],[Date]]="",0,MAX(0,tblSubjectToLoan[[#This Row],[Beginning Balance]]-tblSubjectToLoan[[#This Row],[Princ]]))</f>
        <v>0</v>
      </c>
      <c r="L471" s="394">
        <f t="shared" si="39"/>
        <v>0</v>
      </c>
      <c r="M471" s="394">
        <f t="shared" si="42"/>
        <v>0</v>
      </c>
      <c r="N471" s="613" t="str">
        <f>INDEX(tblSubjectToLoan[Date],ROW()-ROW(tblContractForDeed[#Headers]))</f>
        <v/>
      </c>
      <c r="O471" s="276">
        <f>IF(ROW()=ROW(tblContractForDeed[#Headers])+1,$O$6,IF(INDEX(tblContractForDeed[End Bal],ROW()-ROW(tblContractForDeed[#Headers])-1)&lt;0,0,INDEX(tblContractForDeed[End Bal],ROW()-ROW(tblContractForDeed[#Headers])-1)))</f>
        <v>0</v>
      </c>
      <c r="P471" s="454"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1" s="276">
        <f>IF(INDEX(tblContractForDeed[End Bal],ROW()-ROW(tblBuyerOutputs[#Headers]))&lt;=0,0,($O$6+IF(ROW()=ROW(tblBuyerOutputs[#Headers])+1,0,INDEX(tblBuyerOutputs[Cumul Appr],ROW()-ROW(tblBuyerOutputs[#Headers])-1)))*$O$2/12)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13" t="str">
        <f>IF(ROW()=ROW(tblSubjectToLoan[#Headers])+1,subjectKnownBalanceDate,IF(OR(INDEX(tblSubjectToLoan[Date],ROW()-ROW(tblSubjectToLoan[#Headers])-1)="",INDEX(tblSubjectToLoan[Date],ROW()-ROW(tblSubjectToLoan[#Headers])-1)&gt;=subjectMortgageEndDate),"",EDATE(INDEX(tblSubjectToLoan[Date],ROW()-ROW(tblSubjectToLoan[#Headers])-1),1)))</f>
        <v/>
      </c>
      <c r="B472" s="276">
        <f>IF(tblSubjectToLoan[[#This Row],[Date]]="",0,IF(ROW()=ROW(tblSubjectToLoan[#Headers])+1,subjectKnownBalance,MAX(0,INDEX(tblSubjectToLoan[Ending Balance],ROW()-ROW(tblSubjectToLoan[#Headers])-1))))</f>
        <v>0</v>
      </c>
      <c r="C4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2" s="14">
        <f>IF(tblSubjectToLoan[[#This Row],[Payment]]=0,0,MAX(0,MIN(tblSubjectToLoan[[#This Row],[Beginning Balance]],tblSubjectToLoan[[#This Row],[Payment]]-tblSubjectToLoan[[#This Row],[Int]])))</f>
        <v>0</v>
      </c>
      <c r="E472" s="14">
        <f>IF(tblSubjectToLoan[[#This Row],[Date]]="",0,ROUND(tblSubjectToLoan[[#This Row],[Beginning Balance]]*(subjectInterestRate/12),2))</f>
        <v>0</v>
      </c>
      <c r="F472" s="14">
        <f t="shared" si="41"/>
        <v>134.16999999999999</v>
      </c>
      <c r="G472" s="14">
        <f t="shared" si="41"/>
        <v>188.55</v>
      </c>
      <c r="H472" s="14">
        <f>SUM(tblSubjectToLoan[[#This Row],[Princ]],tblSubjectToLoan[[#This Row],[Int]],tblSubjectToLoan[[#This Row],[Ins]],tblSubjectToLoan[[#This Row],[Taxes]])</f>
        <v>322.72000000000003</v>
      </c>
      <c r="I4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2" s="276">
        <f>IF(tblSubjectToLoan[[#This Row],[Date]]="",IF(ROW()=ROW(tblSubjectToLoan[#Headers])+1,0,INDEX(tblSubjectToLoan[Interest],ROW()-ROW(tblSubjectToLoan[#Headers])-1)),tblSubjectToLoan[[#This Row],[Int]]+IF(ROW()=ROW(tblSubjectToLoan[#Headers])+1,0,INDEX(tblSubjectToLoan[Interest],ROW()-ROW(tblSubjectToLoan[#Headers])-1)))</f>
        <v>36068.259999999973</v>
      </c>
      <c r="K472" s="969">
        <f>IF(tblSubjectToLoan[[#This Row],[Date]]="",0,MAX(0,tblSubjectToLoan[[#This Row],[Beginning Balance]]-tblSubjectToLoan[[#This Row],[Princ]]))</f>
        <v>0</v>
      </c>
      <c r="L472" s="394">
        <f t="shared" si="39"/>
        <v>0</v>
      </c>
      <c r="M472" s="394">
        <f t="shared" si="42"/>
        <v>0</v>
      </c>
      <c r="N472" s="613" t="str">
        <f>INDEX(tblSubjectToLoan[Date],ROW()-ROW(tblContractForDeed[#Headers]))</f>
        <v/>
      </c>
      <c r="O472" s="276">
        <f>IF(ROW()=ROW(tblContractForDeed[#Headers])+1,$O$6,IF(INDEX(tblContractForDeed[End Bal],ROW()-ROW(tblContractForDeed[#Headers])-1)&lt;0,0,INDEX(tblContractForDeed[End Bal],ROW()-ROW(tblContractForDeed[#Headers])-1)))</f>
        <v>0</v>
      </c>
      <c r="P472" s="454"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2" s="276">
        <f>IF(INDEX(tblContractForDeed[End Bal],ROW()-ROW(tblBuyerOutputs[#Headers]))&lt;=0,0,($O$6+IF(ROW()=ROW(tblBuyerOutputs[#Headers])+1,0,INDEX(tblBuyerOutputs[Cumul Appr],ROW()-ROW(tblBuyerOutputs[#Headers])-1)))*$O$2/12)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13" t="str">
        <f>IF(ROW()=ROW(tblSubjectToLoan[#Headers])+1,subjectKnownBalanceDate,IF(OR(INDEX(tblSubjectToLoan[Date],ROW()-ROW(tblSubjectToLoan[#Headers])-1)="",INDEX(tblSubjectToLoan[Date],ROW()-ROW(tblSubjectToLoan[#Headers])-1)&gt;=subjectMortgageEndDate),"",EDATE(INDEX(tblSubjectToLoan[Date],ROW()-ROW(tblSubjectToLoan[#Headers])-1),1)))</f>
        <v/>
      </c>
      <c r="B473" s="276">
        <f>IF(tblSubjectToLoan[[#This Row],[Date]]="",0,IF(ROW()=ROW(tblSubjectToLoan[#Headers])+1,subjectKnownBalance,MAX(0,INDEX(tblSubjectToLoan[Ending Balance],ROW()-ROW(tblSubjectToLoan[#Headers])-1))))</f>
        <v>0</v>
      </c>
      <c r="C4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3" s="14">
        <f>IF(tblSubjectToLoan[[#This Row],[Payment]]=0,0,MAX(0,MIN(tblSubjectToLoan[[#This Row],[Beginning Balance]],tblSubjectToLoan[[#This Row],[Payment]]-tblSubjectToLoan[[#This Row],[Int]])))</f>
        <v>0</v>
      </c>
      <c r="E473" s="14">
        <f>IF(tblSubjectToLoan[[#This Row],[Date]]="",0,ROUND(tblSubjectToLoan[[#This Row],[Beginning Balance]]*(subjectInterestRate/12),2))</f>
        <v>0</v>
      </c>
      <c r="F473" s="14">
        <f t="shared" si="41"/>
        <v>134.16999999999999</v>
      </c>
      <c r="G473" s="14">
        <f t="shared" si="41"/>
        <v>188.55</v>
      </c>
      <c r="H473" s="14">
        <f>SUM(tblSubjectToLoan[[#This Row],[Princ]],tblSubjectToLoan[[#This Row],[Int]],tblSubjectToLoan[[#This Row],[Ins]],tblSubjectToLoan[[#This Row],[Taxes]])</f>
        <v>322.72000000000003</v>
      </c>
      <c r="I4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3" s="276">
        <f>IF(tblSubjectToLoan[[#This Row],[Date]]="",IF(ROW()=ROW(tblSubjectToLoan[#Headers])+1,0,INDEX(tblSubjectToLoan[Interest],ROW()-ROW(tblSubjectToLoan[#Headers])-1)),tblSubjectToLoan[[#This Row],[Int]]+IF(ROW()=ROW(tblSubjectToLoan[#Headers])+1,0,INDEX(tblSubjectToLoan[Interest],ROW()-ROW(tblSubjectToLoan[#Headers])-1)))</f>
        <v>36068.259999999973</v>
      </c>
      <c r="K473" s="969">
        <f>IF(tblSubjectToLoan[[#This Row],[Date]]="",0,MAX(0,tblSubjectToLoan[[#This Row],[Beginning Balance]]-tblSubjectToLoan[[#This Row],[Princ]]))</f>
        <v>0</v>
      </c>
      <c r="L473" s="394">
        <f t="shared" si="39"/>
        <v>0</v>
      </c>
      <c r="M473" s="394">
        <f t="shared" si="42"/>
        <v>0</v>
      </c>
      <c r="N473" s="613" t="str">
        <f>INDEX(tblSubjectToLoan[Date],ROW()-ROW(tblContractForDeed[#Headers]))</f>
        <v/>
      </c>
      <c r="O473" s="276">
        <f>IF(ROW()=ROW(tblContractForDeed[#Headers])+1,$O$6,IF(INDEX(tblContractForDeed[End Bal],ROW()-ROW(tblContractForDeed[#Headers])-1)&lt;0,0,INDEX(tblContractForDeed[End Bal],ROW()-ROW(tblContractForDeed[#Headers])-1)))</f>
        <v>0</v>
      </c>
      <c r="P473" s="454"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3" s="276">
        <f>IF(INDEX(tblContractForDeed[End Bal],ROW()-ROW(tblBuyerOutputs[#Headers]))&lt;=0,0,($O$6+IF(ROW()=ROW(tblBuyerOutputs[#Headers])+1,0,INDEX(tblBuyerOutputs[Cumul Appr],ROW()-ROW(tblBuyerOutputs[#Headers])-1)))*$O$2/12)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13" t="str">
        <f>IF(ROW()=ROW(tblSubjectToLoan[#Headers])+1,subjectKnownBalanceDate,IF(OR(INDEX(tblSubjectToLoan[Date],ROW()-ROW(tblSubjectToLoan[#Headers])-1)="",INDEX(tblSubjectToLoan[Date],ROW()-ROW(tblSubjectToLoan[#Headers])-1)&gt;=subjectMortgageEndDate),"",EDATE(INDEX(tblSubjectToLoan[Date],ROW()-ROW(tblSubjectToLoan[#Headers])-1),1)))</f>
        <v/>
      </c>
      <c r="B474" s="276">
        <f>IF(tblSubjectToLoan[[#This Row],[Date]]="",0,IF(ROW()=ROW(tblSubjectToLoan[#Headers])+1,subjectKnownBalance,MAX(0,INDEX(tblSubjectToLoan[Ending Balance],ROW()-ROW(tblSubjectToLoan[#Headers])-1))))</f>
        <v>0</v>
      </c>
      <c r="C4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4" s="14">
        <f>IF(tblSubjectToLoan[[#This Row],[Payment]]=0,0,MAX(0,MIN(tblSubjectToLoan[[#This Row],[Beginning Balance]],tblSubjectToLoan[[#This Row],[Payment]]-tblSubjectToLoan[[#This Row],[Int]])))</f>
        <v>0</v>
      </c>
      <c r="E474" s="14">
        <f>IF(tblSubjectToLoan[[#This Row],[Date]]="",0,ROUND(tblSubjectToLoan[[#This Row],[Beginning Balance]]*(subjectInterestRate/12),2))</f>
        <v>0</v>
      </c>
      <c r="F474" s="14">
        <f t="shared" si="41"/>
        <v>134.16999999999999</v>
      </c>
      <c r="G474" s="14">
        <f t="shared" si="41"/>
        <v>188.55</v>
      </c>
      <c r="H474" s="14">
        <f>SUM(tblSubjectToLoan[[#This Row],[Princ]],tblSubjectToLoan[[#This Row],[Int]],tblSubjectToLoan[[#This Row],[Ins]],tblSubjectToLoan[[#This Row],[Taxes]])</f>
        <v>322.72000000000003</v>
      </c>
      <c r="I4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4" s="276">
        <f>IF(tblSubjectToLoan[[#This Row],[Date]]="",IF(ROW()=ROW(tblSubjectToLoan[#Headers])+1,0,INDEX(tblSubjectToLoan[Interest],ROW()-ROW(tblSubjectToLoan[#Headers])-1)),tblSubjectToLoan[[#This Row],[Int]]+IF(ROW()=ROW(tblSubjectToLoan[#Headers])+1,0,INDEX(tblSubjectToLoan[Interest],ROW()-ROW(tblSubjectToLoan[#Headers])-1)))</f>
        <v>36068.259999999973</v>
      </c>
      <c r="K474" s="969">
        <f>IF(tblSubjectToLoan[[#This Row],[Date]]="",0,MAX(0,tblSubjectToLoan[[#This Row],[Beginning Balance]]-tblSubjectToLoan[[#This Row],[Princ]]))</f>
        <v>0</v>
      </c>
      <c r="L474" s="394">
        <f t="shared" si="39"/>
        <v>0</v>
      </c>
      <c r="M474" s="394">
        <f t="shared" si="42"/>
        <v>0</v>
      </c>
      <c r="N474" s="613" t="str">
        <f>INDEX(tblSubjectToLoan[Date],ROW()-ROW(tblContractForDeed[#Headers]))</f>
        <v/>
      </c>
      <c r="O474" s="276">
        <f>IF(ROW()=ROW(tblContractForDeed[#Headers])+1,$O$6,IF(INDEX(tblContractForDeed[End Bal],ROW()-ROW(tblContractForDeed[#Headers])-1)&lt;0,0,INDEX(tblContractForDeed[End Bal],ROW()-ROW(tblContractForDeed[#Headers])-1)))</f>
        <v>0</v>
      </c>
      <c r="P474" s="454"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4" s="276">
        <f>IF(INDEX(tblContractForDeed[End Bal],ROW()-ROW(tblBuyerOutputs[#Headers]))&lt;=0,0,($O$6+IF(ROW()=ROW(tblBuyerOutputs[#Headers])+1,0,INDEX(tblBuyerOutputs[Cumul Appr],ROW()-ROW(tblBuyerOutputs[#Headers])-1)))*$O$2/12)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14" t="str">
        <f>IF(ROW()=ROW(tblSubjectToLoan[#Headers])+1,subjectKnownBalanceDate,IF(OR(INDEX(tblSubjectToLoan[Date],ROW()-ROW(tblSubjectToLoan[#Headers])-1)="",INDEX(tblSubjectToLoan[Date],ROW()-ROW(tblSubjectToLoan[#Headers])-1)&gt;=subjectMortgageEndDate),"",EDATE(INDEX(tblSubjectToLoan[Date],ROW()-ROW(tblSubjectToLoan[#Headers])-1),1)))</f>
        <v/>
      </c>
      <c r="B475" s="332">
        <f>IF(tblSubjectToLoan[[#This Row],[Date]]="",0,IF(ROW()=ROW(tblSubjectToLoan[#Headers])+1,subjectKnownBalance,MAX(0,INDEX(tblSubjectToLoan[Ending Balance],ROW()-ROW(tblSubjectToLoan[#Headers])-1))))</f>
        <v>0</v>
      </c>
      <c r="C47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5" s="21">
        <f>IF(tblSubjectToLoan[[#This Row],[Payment]]=0,0,MAX(0,MIN(tblSubjectToLoan[[#This Row],[Beginning Balance]],tblSubjectToLoan[[#This Row],[Payment]]-tblSubjectToLoan[[#This Row],[Int]])))</f>
        <v>0</v>
      </c>
      <c r="E475" s="21">
        <f>IF(tblSubjectToLoan[[#This Row],[Date]]="",0,ROUND(tblSubjectToLoan[[#This Row],[Beginning Balance]]*(subjectInterestRate/12),2))</f>
        <v>0</v>
      </c>
      <c r="F475" s="21">
        <f t="shared" si="41"/>
        <v>134.16999999999999</v>
      </c>
      <c r="G475" s="21">
        <f t="shared" si="41"/>
        <v>188.55</v>
      </c>
      <c r="H475" s="21">
        <f>SUM(tblSubjectToLoan[[#This Row],[Princ]],tblSubjectToLoan[[#This Row],[Int]],tblSubjectToLoan[[#This Row],[Ins]],tblSubjectToLoan[[#This Row],[Taxes]])</f>
        <v>322.72000000000003</v>
      </c>
      <c r="I47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75" s="332">
        <f>IF(tblSubjectToLoan[[#This Row],[Date]]="",IF(ROW()=ROW(tblSubjectToLoan[#Headers])+1,0,INDEX(tblSubjectToLoan[Interest],ROW()-ROW(tblSubjectToLoan[#Headers])-1)),tblSubjectToLoan[[#This Row],[Int]]+IF(ROW()=ROW(tblSubjectToLoan[#Headers])+1,0,INDEX(tblSubjectToLoan[Interest],ROW()-ROW(tblSubjectToLoan[#Headers])-1)))</f>
        <v>36068.259999999973</v>
      </c>
      <c r="K475" s="970">
        <f>IF(tblSubjectToLoan[[#This Row],[Date]]="",0,MAX(0,tblSubjectToLoan[[#This Row],[Beginning Balance]]-tblSubjectToLoan[[#This Row],[Princ]]))</f>
        <v>0</v>
      </c>
      <c r="L475" s="395">
        <f t="shared" si="39"/>
        <v>0</v>
      </c>
      <c r="M475" s="395">
        <f t="shared" si="42"/>
        <v>0</v>
      </c>
      <c r="N475" s="614" t="str">
        <f>INDEX(tblSubjectToLoan[Date],ROW()-ROW(tblContractForDeed[#Headers]))</f>
        <v/>
      </c>
      <c r="O475" s="332">
        <f>IF(ROW()=ROW(tblContractForDeed[#Headers])+1,$O$6,IF(INDEX(tblContractForDeed[End Bal],ROW()-ROW(tblContractForDeed[#Headers])-1)&lt;0,0,INDEX(tblContractForDeed[End Bal],ROW()-ROW(tblContractForDeed[#Headers])-1)))</f>
        <v>0</v>
      </c>
      <c r="P475" s="454"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5" s="332">
        <f>IF(INDEX(tblContractForDeed[End Bal],ROW()-ROW(tblBuyerOutputs[#Headers]))&lt;=0,0,($O$6+IF(ROW()=ROW(tblBuyerOutputs[#Headers])+1,0,INDEX(tblBuyerOutputs[Cumul Appr],ROW()-ROW(tblBuyerOutputs[#Headers])-1)))*$O$2/12)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13" t="str">
        <f>IF(ROW()=ROW(tblSubjectToLoan[#Headers])+1,subjectKnownBalanceDate,IF(OR(INDEX(tblSubjectToLoan[Date],ROW()-ROW(tblSubjectToLoan[#Headers])-1)="",INDEX(tblSubjectToLoan[Date],ROW()-ROW(tblSubjectToLoan[#Headers])-1)&gt;=subjectMortgageEndDate),"",EDATE(INDEX(tblSubjectToLoan[Date],ROW()-ROW(tblSubjectToLoan[#Headers])-1),1)))</f>
        <v/>
      </c>
      <c r="B476" s="276">
        <f>IF(tblSubjectToLoan[[#This Row],[Date]]="",0,IF(ROW()=ROW(tblSubjectToLoan[#Headers])+1,subjectKnownBalance,MAX(0,INDEX(tblSubjectToLoan[Ending Balance],ROW()-ROW(tblSubjectToLoan[#Headers])-1))))</f>
        <v>0</v>
      </c>
      <c r="C4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6" s="14">
        <f>IF(tblSubjectToLoan[[#This Row],[Payment]]=0,0,MAX(0,MIN(tblSubjectToLoan[[#This Row],[Beginning Balance]],tblSubjectToLoan[[#This Row],[Payment]]-tblSubjectToLoan[[#This Row],[Int]])))</f>
        <v>0</v>
      </c>
      <c r="E476" s="14">
        <f>IF(tblSubjectToLoan[[#This Row],[Date]]="",0,ROUND(tblSubjectToLoan[[#This Row],[Beginning Balance]]*(subjectInterestRate/12),2))</f>
        <v>0</v>
      </c>
      <c r="F476" s="14">
        <f t="shared" si="41"/>
        <v>134.16999999999999</v>
      </c>
      <c r="G476" s="14">
        <f t="shared" si="41"/>
        <v>188.55</v>
      </c>
      <c r="H476" s="14">
        <f>SUM(tblSubjectToLoan[[#This Row],[Princ]],tblSubjectToLoan[[#This Row],[Int]],tblSubjectToLoan[[#This Row],[Ins]],tblSubjectToLoan[[#This Row],[Taxes]])</f>
        <v>322.72000000000003</v>
      </c>
      <c r="I4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6" s="276">
        <f>IF(tblSubjectToLoan[[#This Row],[Date]]="",IF(ROW()=ROW(tblSubjectToLoan[#Headers])+1,0,INDEX(tblSubjectToLoan[Interest],ROW()-ROW(tblSubjectToLoan[#Headers])-1)),tblSubjectToLoan[[#This Row],[Int]]+IF(ROW()=ROW(tblSubjectToLoan[#Headers])+1,0,INDEX(tblSubjectToLoan[Interest],ROW()-ROW(tblSubjectToLoan[#Headers])-1)))</f>
        <v>36068.259999999973</v>
      </c>
      <c r="K476" s="969">
        <f>IF(tblSubjectToLoan[[#This Row],[Date]]="",0,MAX(0,tblSubjectToLoan[[#This Row],[Beginning Balance]]-tblSubjectToLoan[[#This Row],[Princ]]))</f>
        <v>0</v>
      </c>
      <c r="L476" s="394">
        <f t="shared" si="39"/>
        <v>0</v>
      </c>
      <c r="M476" s="394">
        <f t="shared" si="42"/>
        <v>0</v>
      </c>
      <c r="N476" s="613" t="str">
        <f>INDEX(tblSubjectToLoan[Date],ROW()-ROW(tblContractForDeed[#Headers]))</f>
        <v/>
      </c>
      <c r="O476" s="276">
        <f>IF(ROW()=ROW(tblContractForDeed[#Headers])+1,$O$6,IF(INDEX(tblContractForDeed[End Bal],ROW()-ROW(tblContractForDeed[#Headers])-1)&lt;0,0,INDEX(tblContractForDeed[End Bal],ROW()-ROW(tblContractForDeed[#Headers])-1)))</f>
        <v>0</v>
      </c>
      <c r="P476" s="454"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6" s="276">
        <f>IF(INDEX(tblContractForDeed[End Bal],ROW()-ROW(tblBuyerOutputs[#Headers]))&lt;=0,0,($O$6+IF(ROW()=ROW(tblBuyerOutputs[#Headers])+1,0,INDEX(tblBuyerOutputs[Cumul Appr],ROW()-ROW(tblBuyerOutputs[#Headers])-1)))*$O$2/12)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13" t="str">
        <f>IF(ROW()=ROW(tblSubjectToLoan[#Headers])+1,subjectKnownBalanceDate,IF(OR(INDEX(tblSubjectToLoan[Date],ROW()-ROW(tblSubjectToLoan[#Headers])-1)="",INDEX(tblSubjectToLoan[Date],ROW()-ROW(tblSubjectToLoan[#Headers])-1)&gt;=subjectMortgageEndDate),"",EDATE(INDEX(tblSubjectToLoan[Date],ROW()-ROW(tblSubjectToLoan[#Headers])-1),1)))</f>
        <v/>
      </c>
      <c r="B477" s="276">
        <f>IF(tblSubjectToLoan[[#This Row],[Date]]="",0,IF(ROW()=ROW(tblSubjectToLoan[#Headers])+1,subjectKnownBalance,MAX(0,INDEX(tblSubjectToLoan[Ending Balance],ROW()-ROW(tblSubjectToLoan[#Headers])-1))))</f>
        <v>0</v>
      </c>
      <c r="C4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7" s="14">
        <f>IF(tblSubjectToLoan[[#This Row],[Payment]]=0,0,MAX(0,MIN(tblSubjectToLoan[[#This Row],[Beginning Balance]],tblSubjectToLoan[[#This Row],[Payment]]-tblSubjectToLoan[[#This Row],[Int]])))</f>
        <v>0</v>
      </c>
      <c r="E477" s="14">
        <f>IF(tblSubjectToLoan[[#This Row],[Date]]="",0,ROUND(tblSubjectToLoan[[#This Row],[Beginning Balance]]*(subjectInterestRate/12),2))</f>
        <v>0</v>
      </c>
      <c r="F477" s="14">
        <f t="shared" si="41"/>
        <v>134.16999999999999</v>
      </c>
      <c r="G477" s="14">
        <f t="shared" si="41"/>
        <v>188.55</v>
      </c>
      <c r="H477" s="14">
        <f>SUM(tblSubjectToLoan[[#This Row],[Princ]],tblSubjectToLoan[[#This Row],[Int]],tblSubjectToLoan[[#This Row],[Ins]],tblSubjectToLoan[[#This Row],[Taxes]])</f>
        <v>322.72000000000003</v>
      </c>
      <c r="I4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7" s="276">
        <f>IF(tblSubjectToLoan[[#This Row],[Date]]="",IF(ROW()=ROW(tblSubjectToLoan[#Headers])+1,0,INDEX(tblSubjectToLoan[Interest],ROW()-ROW(tblSubjectToLoan[#Headers])-1)),tblSubjectToLoan[[#This Row],[Int]]+IF(ROW()=ROW(tblSubjectToLoan[#Headers])+1,0,INDEX(tblSubjectToLoan[Interest],ROW()-ROW(tblSubjectToLoan[#Headers])-1)))</f>
        <v>36068.259999999973</v>
      </c>
      <c r="K477" s="969">
        <f>IF(tblSubjectToLoan[[#This Row],[Date]]="",0,MAX(0,tblSubjectToLoan[[#This Row],[Beginning Balance]]-tblSubjectToLoan[[#This Row],[Princ]]))</f>
        <v>0</v>
      </c>
      <c r="L477" s="394">
        <f t="shared" si="39"/>
        <v>0</v>
      </c>
      <c r="M477" s="394">
        <f t="shared" si="42"/>
        <v>0</v>
      </c>
      <c r="N477" s="613" t="str">
        <f>INDEX(tblSubjectToLoan[Date],ROW()-ROW(tblContractForDeed[#Headers]))</f>
        <v/>
      </c>
      <c r="O477" s="276">
        <f>IF(ROW()=ROW(tblContractForDeed[#Headers])+1,$O$6,IF(INDEX(tblContractForDeed[End Bal],ROW()-ROW(tblContractForDeed[#Headers])-1)&lt;0,0,INDEX(tblContractForDeed[End Bal],ROW()-ROW(tblContractForDeed[#Headers])-1)))</f>
        <v>0</v>
      </c>
      <c r="P477" s="454"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7" s="276">
        <f>IF(INDEX(tblContractForDeed[End Bal],ROW()-ROW(tblBuyerOutputs[#Headers]))&lt;=0,0,($O$6+IF(ROW()=ROW(tblBuyerOutputs[#Headers])+1,0,INDEX(tblBuyerOutputs[Cumul Appr],ROW()-ROW(tblBuyerOutputs[#Headers])-1)))*$O$2/12)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13" t="str">
        <f>IF(ROW()=ROW(tblSubjectToLoan[#Headers])+1,subjectKnownBalanceDate,IF(OR(INDEX(tblSubjectToLoan[Date],ROW()-ROW(tblSubjectToLoan[#Headers])-1)="",INDEX(tblSubjectToLoan[Date],ROW()-ROW(tblSubjectToLoan[#Headers])-1)&gt;=subjectMortgageEndDate),"",EDATE(INDEX(tblSubjectToLoan[Date],ROW()-ROW(tblSubjectToLoan[#Headers])-1),1)))</f>
        <v/>
      </c>
      <c r="B478" s="276">
        <f>IF(tblSubjectToLoan[[#This Row],[Date]]="",0,IF(ROW()=ROW(tblSubjectToLoan[#Headers])+1,subjectKnownBalance,MAX(0,INDEX(tblSubjectToLoan[Ending Balance],ROW()-ROW(tblSubjectToLoan[#Headers])-1))))</f>
        <v>0</v>
      </c>
      <c r="C4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8" s="14">
        <f>IF(tblSubjectToLoan[[#This Row],[Payment]]=0,0,MAX(0,MIN(tblSubjectToLoan[[#This Row],[Beginning Balance]],tblSubjectToLoan[[#This Row],[Payment]]-tblSubjectToLoan[[#This Row],[Int]])))</f>
        <v>0</v>
      </c>
      <c r="E478" s="14">
        <f>IF(tblSubjectToLoan[[#This Row],[Date]]="",0,ROUND(tblSubjectToLoan[[#This Row],[Beginning Balance]]*(subjectInterestRate/12),2))</f>
        <v>0</v>
      </c>
      <c r="F478" s="14">
        <f t="shared" si="41"/>
        <v>134.16999999999999</v>
      </c>
      <c r="G478" s="14">
        <f t="shared" si="41"/>
        <v>188.55</v>
      </c>
      <c r="H478" s="14">
        <f>SUM(tblSubjectToLoan[[#This Row],[Princ]],tblSubjectToLoan[[#This Row],[Int]],tblSubjectToLoan[[#This Row],[Ins]],tblSubjectToLoan[[#This Row],[Taxes]])</f>
        <v>322.72000000000003</v>
      </c>
      <c r="I4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8" s="276">
        <f>IF(tblSubjectToLoan[[#This Row],[Date]]="",IF(ROW()=ROW(tblSubjectToLoan[#Headers])+1,0,INDEX(tblSubjectToLoan[Interest],ROW()-ROW(tblSubjectToLoan[#Headers])-1)),tblSubjectToLoan[[#This Row],[Int]]+IF(ROW()=ROW(tblSubjectToLoan[#Headers])+1,0,INDEX(tblSubjectToLoan[Interest],ROW()-ROW(tblSubjectToLoan[#Headers])-1)))</f>
        <v>36068.259999999973</v>
      </c>
      <c r="K478" s="969">
        <f>IF(tblSubjectToLoan[[#This Row],[Date]]="",0,MAX(0,tblSubjectToLoan[[#This Row],[Beginning Balance]]-tblSubjectToLoan[[#This Row],[Princ]]))</f>
        <v>0</v>
      </c>
      <c r="L478" s="394">
        <f t="shared" si="39"/>
        <v>0</v>
      </c>
      <c r="M478" s="394">
        <f t="shared" si="42"/>
        <v>0</v>
      </c>
      <c r="N478" s="613" t="str">
        <f>INDEX(tblSubjectToLoan[Date],ROW()-ROW(tblContractForDeed[#Headers]))</f>
        <v/>
      </c>
      <c r="O478" s="276">
        <f>IF(ROW()=ROW(tblContractForDeed[#Headers])+1,$O$6,IF(INDEX(tblContractForDeed[End Bal],ROW()-ROW(tblContractForDeed[#Headers])-1)&lt;0,0,INDEX(tblContractForDeed[End Bal],ROW()-ROW(tblContractForDeed[#Headers])-1)))</f>
        <v>0</v>
      </c>
      <c r="P478" s="454"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8" s="276">
        <f>IF(INDEX(tblContractForDeed[End Bal],ROW()-ROW(tblBuyerOutputs[#Headers]))&lt;=0,0,($O$6+IF(ROW()=ROW(tblBuyerOutputs[#Headers])+1,0,INDEX(tblBuyerOutputs[Cumul Appr],ROW()-ROW(tblBuyerOutputs[#Headers])-1)))*$O$2/12)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13" t="str">
        <f>IF(ROW()=ROW(tblSubjectToLoan[#Headers])+1,subjectKnownBalanceDate,IF(OR(INDEX(tblSubjectToLoan[Date],ROW()-ROW(tblSubjectToLoan[#Headers])-1)="",INDEX(tblSubjectToLoan[Date],ROW()-ROW(tblSubjectToLoan[#Headers])-1)&gt;=subjectMortgageEndDate),"",EDATE(INDEX(tblSubjectToLoan[Date],ROW()-ROW(tblSubjectToLoan[#Headers])-1),1)))</f>
        <v/>
      </c>
      <c r="B479" s="276">
        <f>IF(tblSubjectToLoan[[#This Row],[Date]]="",0,IF(ROW()=ROW(tblSubjectToLoan[#Headers])+1,subjectKnownBalance,MAX(0,INDEX(tblSubjectToLoan[Ending Balance],ROW()-ROW(tblSubjectToLoan[#Headers])-1))))</f>
        <v>0</v>
      </c>
      <c r="C4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9" s="14">
        <f>IF(tblSubjectToLoan[[#This Row],[Payment]]=0,0,MAX(0,MIN(tblSubjectToLoan[[#This Row],[Beginning Balance]],tblSubjectToLoan[[#This Row],[Payment]]-tblSubjectToLoan[[#This Row],[Int]])))</f>
        <v>0</v>
      </c>
      <c r="E479" s="14">
        <f>IF(tblSubjectToLoan[[#This Row],[Date]]="",0,ROUND(tblSubjectToLoan[[#This Row],[Beginning Balance]]*(subjectInterestRate/12),2))</f>
        <v>0</v>
      </c>
      <c r="F479" s="14">
        <f t="shared" ref="F479:G494" si="43">+F478</f>
        <v>134.16999999999999</v>
      </c>
      <c r="G479" s="14">
        <f t="shared" si="43"/>
        <v>188.55</v>
      </c>
      <c r="H479" s="14">
        <f>SUM(tblSubjectToLoan[[#This Row],[Princ]],tblSubjectToLoan[[#This Row],[Int]],tblSubjectToLoan[[#This Row],[Ins]],tblSubjectToLoan[[#This Row],[Taxes]])</f>
        <v>322.72000000000003</v>
      </c>
      <c r="I4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9" s="276">
        <f>IF(tblSubjectToLoan[[#This Row],[Date]]="",IF(ROW()=ROW(tblSubjectToLoan[#Headers])+1,0,INDEX(tblSubjectToLoan[Interest],ROW()-ROW(tblSubjectToLoan[#Headers])-1)),tblSubjectToLoan[[#This Row],[Int]]+IF(ROW()=ROW(tblSubjectToLoan[#Headers])+1,0,INDEX(tblSubjectToLoan[Interest],ROW()-ROW(tblSubjectToLoan[#Headers])-1)))</f>
        <v>36068.259999999973</v>
      </c>
      <c r="K479" s="969">
        <f>IF(tblSubjectToLoan[[#This Row],[Date]]="",0,MAX(0,tblSubjectToLoan[[#This Row],[Beginning Balance]]-tblSubjectToLoan[[#This Row],[Princ]]))</f>
        <v>0</v>
      </c>
      <c r="L479" s="394">
        <f t="shared" si="39"/>
        <v>0</v>
      </c>
      <c r="M479" s="394">
        <f t="shared" si="42"/>
        <v>0</v>
      </c>
      <c r="N479" s="613" t="str">
        <f>INDEX(tblSubjectToLoan[Date],ROW()-ROW(tblContractForDeed[#Headers]))</f>
        <v/>
      </c>
      <c r="O479" s="276">
        <f>IF(ROW()=ROW(tblContractForDeed[#Headers])+1,$O$6,IF(INDEX(tblContractForDeed[End Bal],ROW()-ROW(tblContractForDeed[#Headers])-1)&lt;0,0,INDEX(tblContractForDeed[End Bal],ROW()-ROW(tblContractForDeed[#Headers])-1)))</f>
        <v>0</v>
      </c>
      <c r="P479" s="454"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9" s="276">
        <f>IF(INDEX(tblContractForDeed[End Bal],ROW()-ROW(tblBuyerOutputs[#Headers]))&lt;=0,0,($O$6+IF(ROW()=ROW(tblBuyerOutputs[#Headers])+1,0,INDEX(tblBuyerOutputs[Cumul Appr],ROW()-ROW(tblBuyerOutputs[#Headers])-1)))*$O$2/12)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13" t="str">
        <f>IF(ROW()=ROW(tblSubjectToLoan[#Headers])+1,subjectKnownBalanceDate,IF(OR(INDEX(tblSubjectToLoan[Date],ROW()-ROW(tblSubjectToLoan[#Headers])-1)="",INDEX(tblSubjectToLoan[Date],ROW()-ROW(tblSubjectToLoan[#Headers])-1)&gt;=subjectMortgageEndDate),"",EDATE(INDEX(tblSubjectToLoan[Date],ROW()-ROW(tblSubjectToLoan[#Headers])-1),1)))</f>
        <v/>
      </c>
      <c r="B480" s="276">
        <f>IF(tblSubjectToLoan[[#This Row],[Date]]="",0,IF(ROW()=ROW(tblSubjectToLoan[#Headers])+1,subjectKnownBalance,MAX(0,INDEX(tblSubjectToLoan[Ending Balance],ROW()-ROW(tblSubjectToLoan[#Headers])-1))))</f>
        <v>0</v>
      </c>
      <c r="C4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0" s="14">
        <f>IF(tblSubjectToLoan[[#This Row],[Payment]]=0,0,MAX(0,MIN(tblSubjectToLoan[[#This Row],[Beginning Balance]],tblSubjectToLoan[[#This Row],[Payment]]-tblSubjectToLoan[[#This Row],[Int]])))</f>
        <v>0</v>
      </c>
      <c r="E480" s="14">
        <f>IF(tblSubjectToLoan[[#This Row],[Date]]="",0,ROUND(tblSubjectToLoan[[#This Row],[Beginning Balance]]*(subjectInterestRate/12),2))</f>
        <v>0</v>
      </c>
      <c r="F480" s="14">
        <f t="shared" si="43"/>
        <v>134.16999999999999</v>
      </c>
      <c r="G480" s="14">
        <f t="shared" si="43"/>
        <v>188.55</v>
      </c>
      <c r="H480" s="14">
        <f>SUM(tblSubjectToLoan[[#This Row],[Princ]],tblSubjectToLoan[[#This Row],[Int]],tblSubjectToLoan[[#This Row],[Ins]],tblSubjectToLoan[[#This Row],[Taxes]])</f>
        <v>322.72000000000003</v>
      </c>
      <c r="I4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0" s="276">
        <f>IF(tblSubjectToLoan[[#This Row],[Date]]="",IF(ROW()=ROW(tblSubjectToLoan[#Headers])+1,0,INDEX(tblSubjectToLoan[Interest],ROW()-ROW(tblSubjectToLoan[#Headers])-1)),tblSubjectToLoan[[#This Row],[Int]]+IF(ROW()=ROW(tblSubjectToLoan[#Headers])+1,0,INDEX(tblSubjectToLoan[Interest],ROW()-ROW(tblSubjectToLoan[#Headers])-1)))</f>
        <v>36068.259999999973</v>
      </c>
      <c r="K480" s="969">
        <f>IF(tblSubjectToLoan[[#This Row],[Date]]="",0,MAX(0,tblSubjectToLoan[[#This Row],[Beginning Balance]]-tblSubjectToLoan[[#This Row],[Princ]]))</f>
        <v>0</v>
      </c>
      <c r="L480" s="394">
        <f t="shared" si="39"/>
        <v>0</v>
      </c>
      <c r="M480" s="394">
        <f t="shared" si="42"/>
        <v>0</v>
      </c>
      <c r="N480" s="613" t="str">
        <f>INDEX(tblSubjectToLoan[Date],ROW()-ROW(tblContractForDeed[#Headers]))</f>
        <v/>
      </c>
      <c r="O480" s="276">
        <f>IF(ROW()=ROW(tblContractForDeed[#Headers])+1,$O$6,IF(INDEX(tblContractForDeed[End Bal],ROW()-ROW(tblContractForDeed[#Headers])-1)&lt;0,0,INDEX(tblContractForDeed[End Bal],ROW()-ROW(tblContractForDeed[#Headers])-1)))</f>
        <v>0</v>
      </c>
      <c r="P480" s="454"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0" s="276">
        <f>IF(INDEX(tblContractForDeed[End Bal],ROW()-ROW(tblBuyerOutputs[#Headers]))&lt;=0,0,($O$6+IF(ROW()=ROW(tblBuyerOutputs[#Headers])+1,0,INDEX(tblBuyerOutputs[Cumul Appr],ROW()-ROW(tblBuyerOutputs[#Headers])-1)))*$O$2/12)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13" t="str">
        <f>IF(ROW()=ROW(tblSubjectToLoan[#Headers])+1,subjectKnownBalanceDate,IF(OR(INDEX(tblSubjectToLoan[Date],ROW()-ROW(tblSubjectToLoan[#Headers])-1)="",INDEX(tblSubjectToLoan[Date],ROW()-ROW(tblSubjectToLoan[#Headers])-1)&gt;=subjectMortgageEndDate),"",EDATE(INDEX(tblSubjectToLoan[Date],ROW()-ROW(tblSubjectToLoan[#Headers])-1),1)))</f>
        <v/>
      </c>
      <c r="B481" s="276">
        <f>IF(tblSubjectToLoan[[#This Row],[Date]]="",0,IF(ROW()=ROW(tblSubjectToLoan[#Headers])+1,subjectKnownBalance,MAX(0,INDEX(tblSubjectToLoan[Ending Balance],ROW()-ROW(tblSubjectToLoan[#Headers])-1))))</f>
        <v>0</v>
      </c>
      <c r="C4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1" s="14">
        <f>IF(tblSubjectToLoan[[#This Row],[Payment]]=0,0,MAX(0,MIN(tblSubjectToLoan[[#This Row],[Beginning Balance]],tblSubjectToLoan[[#This Row],[Payment]]-tblSubjectToLoan[[#This Row],[Int]])))</f>
        <v>0</v>
      </c>
      <c r="E481" s="14">
        <f>IF(tblSubjectToLoan[[#This Row],[Date]]="",0,ROUND(tblSubjectToLoan[[#This Row],[Beginning Balance]]*(subjectInterestRate/12),2))</f>
        <v>0</v>
      </c>
      <c r="F481" s="14">
        <f t="shared" si="43"/>
        <v>134.16999999999999</v>
      </c>
      <c r="G481" s="14">
        <f t="shared" si="43"/>
        <v>188.55</v>
      </c>
      <c r="H481" s="14">
        <f>SUM(tblSubjectToLoan[[#This Row],[Princ]],tblSubjectToLoan[[#This Row],[Int]],tblSubjectToLoan[[#This Row],[Ins]],tblSubjectToLoan[[#This Row],[Taxes]])</f>
        <v>322.72000000000003</v>
      </c>
      <c r="I4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1" s="276">
        <f>IF(tblSubjectToLoan[[#This Row],[Date]]="",IF(ROW()=ROW(tblSubjectToLoan[#Headers])+1,0,INDEX(tblSubjectToLoan[Interest],ROW()-ROW(tblSubjectToLoan[#Headers])-1)),tblSubjectToLoan[[#This Row],[Int]]+IF(ROW()=ROW(tblSubjectToLoan[#Headers])+1,0,INDEX(tblSubjectToLoan[Interest],ROW()-ROW(tblSubjectToLoan[#Headers])-1)))</f>
        <v>36068.259999999973</v>
      </c>
      <c r="K481" s="969">
        <f>IF(tblSubjectToLoan[[#This Row],[Date]]="",0,MAX(0,tblSubjectToLoan[[#This Row],[Beginning Balance]]-tblSubjectToLoan[[#This Row],[Princ]]))</f>
        <v>0</v>
      </c>
      <c r="L481" s="394">
        <f t="shared" si="39"/>
        <v>0</v>
      </c>
      <c r="M481" s="394">
        <f t="shared" si="42"/>
        <v>0</v>
      </c>
      <c r="N481" s="613" t="str">
        <f>INDEX(tblSubjectToLoan[Date],ROW()-ROW(tblContractForDeed[#Headers]))</f>
        <v/>
      </c>
      <c r="O481" s="276">
        <f>IF(ROW()=ROW(tblContractForDeed[#Headers])+1,$O$6,IF(INDEX(tblContractForDeed[End Bal],ROW()-ROW(tblContractForDeed[#Headers])-1)&lt;0,0,INDEX(tblContractForDeed[End Bal],ROW()-ROW(tblContractForDeed[#Headers])-1)))</f>
        <v>0</v>
      </c>
      <c r="P481" s="454"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1" s="276">
        <f>IF(INDEX(tblContractForDeed[End Bal],ROW()-ROW(tblBuyerOutputs[#Headers]))&lt;=0,0,($O$6+IF(ROW()=ROW(tblBuyerOutputs[#Headers])+1,0,INDEX(tblBuyerOutputs[Cumul Appr],ROW()-ROW(tblBuyerOutputs[#Headers])-1)))*$O$2/12)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13" t="str">
        <f>IF(ROW()=ROW(tblSubjectToLoan[#Headers])+1,subjectKnownBalanceDate,IF(OR(INDEX(tblSubjectToLoan[Date],ROW()-ROW(tblSubjectToLoan[#Headers])-1)="",INDEX(tblSubjectToLoan[Date],ROW()-ROW(tblSubjectToLoan[#Headers])-1)&gt;=subjectMortgageEndDate),"",EDATE(INDEX(tblSubjectToLoan[Date],ROW()-ROW(tblSubjectToLoan[#Headers])-1),1)))</f>
        <v/>
      </c>
      <c r="B482" s="276">
        <f>IF(tblSubjectToLoan[[#This Row],[Date]]="",0,IF(ROW()=ROW(tblSubjectToLoan[#Headers])+1,subjectKnownBalance,MAX(0,INDEX(tblSubjectToLoan[Ending Balance],ROW()-ROW(tblSubjectToLoan[#Headers])-1))))</f>
        <v>0</v>
      </c>
      <c r="C4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2" s="14">
        <f>IF(tblSubjectToLoan[[#This Row],[Payment]]=0,0,MAX(0,MIN(tblSubjectToLoan[[#This Row],[Beginning Balance]],tblSubjectToLoan[[#This Row],[Payment]]-tblSubjectToLoan[[#This Row],[Int]])))</f>
        <v>0</v>
      </c>
      <c r="E482" s="14">
        <f>IF(tblSubjectToLoan[[#This Row],[Date]]="",0,ROUND(tblSubjectToLoan[[#This Row],[Beginning Balance]]*(subjectInterestRate/12),2))</f>
        <v>0</v>
      </c>
      <c r="F482" s="14">
        <f t="shared" si="43"/>
        <v>134.16999999999999</v>
      </c>
      <c r="G482" s="14">
        <f t="shared" si="43"/>
        <v>188.55</v>
      </c>
      <c r="H482" s="14">
        <f>SUM(tblSubjectToLoan[[#This Row],[Princ]],tblSubjectToLoan[[#This Row],[Int]],tblSubjectToLoan[[#This Row],[Ins]],tblSubjectToLoan[[#This Row],[Taxes]])</f>
        <v>322.72000000000003</v>
      </c>
      <c r="I4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2" s="276">
        <f>IF(tblSubjectToLoan[[#This Row],[Date]]="",IF(ROW()=ROW(tblSubjectToLoan[#Headers])+1,0,INDEX(tblSubjectToLoan[Interest],ROW()-ROW(tblSubjectToLoan[#Headers])-1)),tblSubjectToLoan[[#This Row],[Int]]+IF(ROW()=ROW(tblSubjectToLoan[#Headers])+1,0,INDEX(tblSubjectToLoan[Interest],ROW()-ROW(tblSubjectToLoan[#Headers])-1)))</f>
        <v>36068.259999999973</v>
      </c>
      <c r="K482" s="969">
        <f>IF(tblSubjectToLoan[[#This Row],[Date]]="",0,MAX(0,tblSubjectToLoan[[#This Row],[Beginning Balance]]-tblSubjectToLoan[[#This Row],[Princ]]))</f>
        <v>0</v>
      </c>
      <c r="L482" s="394">
        <f t="shared" si="39"/>
        <v>0</v>
      </c>
      <c r="M482" s="394">
        <f t="shared" si="42"/>
        <v>0</v>
      </c>
      <c r="N482" s="613" t="str">
        <f>INDEX(tblSubjectToLoan[Date],ROW()-ROW(tblContractForDeed[#Headers]))</f>
        <v/>
      </c>
      <c r="O482" s="276">
        <f>IF(ROW()=ROW(tblContractForDeed[#Headers])+1,$O$6,IF(INDEX(tblContractForDeed[End Bal],ROW()-ROW(tblContractForDeed[#Headers])-1)&lt;0,0,INDEX(tblContractForDeed[End Bal],ROW()-ROW(tblContractForDeed[#Headers])-1)))</f>
        <v>0</v>
      </c>
      <c r="P482" s="454"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2" s="276">
        <f>IF(INDEX(tblContractForDeed[End Bal],ROW()-ROW(tblBuyerOutputs[#Headers]))&lt;=0,0,($O$6+IF(ROW()=ROW(tblBuyerOutputs[#Headers])+1,0,INDEX(tblBuyerOutputs[Cumul Appr],ROW()-ROW(tblBuyerOutputs[#Headers])-1)))*$O$2/12)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13" t="str">
        <f>IF(ROW()=ROW(tblSubjectToLoan[#Headers])+1,subjectKnownBalanceDate,IF(OR(INDEX(tblSubjectToLoan[Date],ROW()-ROW(tblSubjectToLoan[#Headers])-1)="",INDEX(tblSubjectToLoan[Date],ROW()-ROW(tblSubjectToLoan[#Headers])-1)&gt;=subjectMortgageEndDate),"",EDATE(INDEX(tblSubjectToLoan[Date],ROW()-ROW(tblSubjectToLoan[#Headers])-1),1)))</f>
        <v/>
      </c>
      <c r="B483" s="276">
        <f>IF(tblSubjectToLoan[[#This Row],[Date]]="",0,IF(ROW()=ROW(tblSubjectToLoan[#Headers])+1,subjectKnownBalance,MAX(0,INDEX(tblSubjectToLoan[Ending Balance],ROW()-ROW(tblSubjectToLoan[#Headers])-1))))</f>
        <v>0</v>
      </c>
      <c r="C4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3" s="14">
        <f>IF(tblSubjectToLoan[[#This Row],[Payment]]=0,0,MAX(0,MIN(tblSubjectToLoan[[#This Row],[Beginning Balance]],tblSubjectToLoan[[#This Row],[Payment]]-tblSubjectToLoan[[#This Row],[Int]])))</f>
        <v>0</v>
      </c>
      <c r="E483" s="14">
        <f>IF(tblSubjectToLoan[[#This Row],[Date]]="",0,ROUND(tblSubjectToLoan[[#This Row],[Beginning Balance]]*(subjectInterestRate/12),2))</f>
        <v>0</v>
      </c>
      <c r="F483" s="14">
        <f t="shared" si="43"/>
        <v>134.16999999999999</v>
      </c>
      <c r="G483" s="14">
        <f t="shared" si="43"/>
        <v>188.55</v>
      </c>
      <c r="H483" s="14">
        <f>SUM(tblSubjectToLoan[[#This Row],[Princ]],tblSubjectToLoan[[#This Row],[Int]],tblSubjectToLoan[[#This Row],[Ins]],tblSubjectToLoan[[#This Row],[Taxes]])</f>
        <v>322.72000000000003</v>
      </c>
      <c r="I4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3" s="276">
        <f>IF(tblSubjectToLoan[[#This Row],[Date]]="",IF(ROW()=ROW(tblSubjectToLoan[#Headers])+1,0,INDEX(tblSubjectToLoan[Interest],ROW()-ROW(tblSubjectToLoan[#Headers])-1)),tblSubjectToLoan[[#This Row],[Int]]+IF(ROW()=ROW(tblSubjectToLoan[#Headers])+1,0,INDEX(tblSubjectToLoan[Interest],ROW()-ROW(tblSubjectToLoan[#Headers])-1)))</f>
        <v>36068.259999999973</v>
      </c>
      <c r="K483" s="969">
        <f>IF(tblSubjectToLoan[[#This Row],[Date]]="",0,MAX(0,tblSubjectToLoan[[#This Row],[Beginning Balance]]-tblSubjectToLoan[[#This Row],[Princ]]))</f>
        <v>0</v>
      </c>
      <c r="L483" s="394">
        <f t="shared" si="39"/>
        <v>0</v>
      </c>
      <c r="M483" s="394">
        <f t="shared" si="42"/>
        <v>0</v>
      </c>
      <c r="N483" s="613" t="str">
        <f>INDEX(tblSubjectToLoan[Date],ROW()-ROW(tblContractForDeed[#Headers]))</f>
        <v/>
      </c>
      <c r="O483" s="276">
        <f>IF(ROW()=ROW(tblContractForDeed[#Headers])+1,$O$6,IF(INDEX(tblContractForDeed[End Bal],ROW()-ROW(tblContractForDeed[#Headers])-1)&lt;0,0,INDEX(tblContractForDeed[End Bal],ROW()-ROW(tblContractForDeed[#Headers])-1)))</f>
        <v>0</v>
      </c>
      <c r="P483" s="454"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3" s="276">
        <f>IF(INDEX(tblContractForDeed[End Bal],ROW()-ROW(tblBuyerOutputs[#Headers]))&lt;=0,0,($O$6+IF(ROW()=ROW(tblBuyerOutputs[#Headers])+1,0,INDEX(tblBuyerOutputs[Cumul Appr],ROW()-ROW(tblBuyerOutputs[#Headers])-1)))*$O$2/12)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13" t="str">
        <f>IF(ROW()=ROW(tblSubjectToLoan[#Headers])+1,subjectKnownBalanceDate,IF(OR(INDEX(tblSubjectToLoan[Date],ROW()-ROW(tblSubjectToLoan[#Headers])-1)="",INDEX(tblSubjectToLoan[Date],ROW()-ROW(tblSubjectToLoan[#Headers])-1)&gt;=subjectMortgageEndDate),"",EDATE(INDEX(tblSubjectToLoan[Date],ROW()-ROW(tblSubjectToLoan[#Headers])-1),1)))</f>
        <v/>
      </c>
      <c r="B484" s="276">
        <f>IF(tblSubjectToLoan[[#This Row],[Date]]="",0,IF(ROW()=ROW(tblSubjectToLoan[#Headers])+1,subjectKnownBalance,MAX(0,INDEX(tblSubjectToLoan[Ending Balance],ROW()-ROW(tblSubjectToLoan[#Headers])-1))))</f>
        <v>0</v>
      </c>
      <c r="C4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4" s="14">
        <f>IF(tblSubjectToLoan[[#This Row],[Payment]]=0,0,MAX(0,MIN(tblSubjectToLoan[[#This Row],[Beginning Balance]],tblSubjectToLoan[[#This Row],[Payment]]-tblSubjectToLoan[[#This Row],[Int]])))</f>
        <v>0</v>
      </c>
      <c r="E484" s="14">
        <f>IF(tblSubjectToLoan[[#This Row],[Date]]="",0,ROUND(tblSubjectToLoan[[#This Row],[Beginning Balance]]*(subjectInterestRate/12),2))</f>
        <v>0</v>
      </c>
      <c r="F484" s="14">
        <f t="shared" si="43"/>
        <v>134.16999999999999</v>
      </c>
      <c r="G484" s="14">
        <f t="shared" si="43"/>
        <v>188.55</v>
      </c>
      <c r="H484" s="14">
        <f>SUM(tblSubjectToLoan[[#This Row],[Princ]],tblSubjectToLoan[[#This Row],[Int]],tblSubjectToLoan[[#This Row],[Ins]],tblSubjectToLoan[[#This Row],[Taxes]])</f>
        <v>322.72000000000003</v>
      </c>
      <c r="I4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4" s="276">
        <f>IF(tblSubjectToLoan[[#This Row],[Date]]="",IF(ROW()=ROW(tblSubjectToLoan[#Headers])+1,0,INDEX(tblSubjectToLoan[Interest],ROW()-ROW(tblSubjectToLoan[#Headers])-1)),tblSubjectToLoan[[#This Row],[Int]]+IF(ROW()=ROW(tblSubjectToLoan[#Headers])+1,0,INDEX(tblSubjectToLoan[Interest],ROW()-ROW(tblSubjectToLoan[#Headers])-1)))</f>
        <v>36068.259999999973</v>
      </c>
      <c r="K484" s="969">
        <f>IF(tblSubjectToLoan[[#This Row],[Date]]="",0,MAX(0,tblSubjectToLoan[[#This Row],[Beginning Balance]]-tblSubjectToLoan[[#This Row],[Princ]]))</f>
        <v>0</v>
      </c>
      <c r="L484" s="394">
        <f t="shared" si="39"/>
        <v>0</v>
      </c>
      <c r="M484" s="394">
        <f t="shared" si="42"/>
        <v>0</v>
      </c>
      <c r="N484" s="613" t="str">
        <f>INDEX(tblSubjectToLoan[Date],ROW()-ROW(tblContractForDeed[#Headers]))</f>
        <v/>
      </c>
      <c r="O484" s="276">
        <f>IF(ROW()=ROW(tblContractForDeed[#Headers])+1,$O$6,IF(INDEX(tblContractForDeed[End Bal],ROW()-ROW(tblContractForDeed[#Headers])-1)&lt;0,0,INDEX(tblContractForDeed[End Bal],ROW()-ROW(tblContractForDeed[#Headers])-1)))</f>
        <v>0</v>
      </c>
      <c r="P484" s="454"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4" s="276">
        <f>IF(INDEX(tblContractForDeed[End Bal],ROW()-ROW(tblBuyerOutputs[#Headers]))&lt;=0,0,($O$6+IF(ROW()=ROW(tblBuyerOutputs[#Headers])+1,0,INDEX(tblBuyerOutputs[Cumul Appr],ROW()-ROW(tblBuyerOutputs[#Headers])-1)))*$O$2/12)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13" t="str">
        <f>IF(ROW()=ROW(tblSubjectToLoan[#Headers])+1,subjectKnownBalanceDate,IF(OR(INDEX(tblSubjectToLoan[Date],ROW()-ROW(tblSubjectToLoan[#Headers])-1)="",INDEX(tblSubjectToLoan[Date],ROW()-ROW(tblSubjectToLoan[#Headers])-1)&gt;=subjectMortgageEndDate),"",EDATE(INDEX(tblSubjectToLoan[Date],ROW()-ROW(tblSubjectToLoan[#Headers])-1),1)))</f>
        <v/>
      </c>
      <c r="B485" s="276">
        <f>IF(tblSubjectToLoan[[#This Row],[Date]]="",0,IF(ROW()=ROW(tblSubjectToLoan[#Headers])+1,subjectKnownBalance,MAX(0,INDEX(tblSubjectToLoan[Ending Balance],ROW()-ROW(tblSubjectToLoan[#Headers])-1))))</f>
        <v>0</v>
      </c>
      <c r="C4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5" s="14">
        <f>IF(tblSubjectToLoan[[#This Row],[Payment]]=0,0,MAX(0,MIN(tblSubjectToLoan[[#This Row],[Beginning Balance]],tblSubjectToLoan[[#This Row],[Payment]]-tblSubjectToLoan[[#This Row],[Int]])))</f>
        <v>0</v>
      </c>
      <c r="E485" s="14">
        <f>IF(tblSubjectToLoan[[#This Row],[Date]]="",0,ROUND(tblSubjectToLoan[[#This Row],[Beginning Balance]]*(subjectInterestRate/12),2))</f>
        <v>0</v>
      </c>
      <c r="F485" s="14">
        <f t="shared" si="43"/>
        <v>134.16999999999999</v>
      </c>
      <c r="G485" s="14">
        <f t="shared" si="43"/>
        <v>188.55</v>
      </c>
      <c r="H485" s="14">
        <f>SUM(tblSubjectToLoan[[#This Row],[Princ]],tblSubjectToLoan[[#This Row],[Int]],tblSubjectToLoan[[#This Row],[Ins]],tblSubjectToLoan[[#This Row],[Taxes]])</f>
        <v>322.72000000000003</v>
      </c>
      <c r="I4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5" s="276">
        <f>IF(tblSubjectToLoan[[#This Row],[Date]]="",IF(ROW()=ROW(tblSubjectToLoan[#Headers])+1,0,INDEX(tblSubjectToLoan[Interest],ROW()-ROW(tblSubjectToLoan[#Headers])-1)),tblSubjectToLoan[[#This Row],[Int]]+IF(ROW()=ROW(tblSubjectToLoan[#Headers])+1,0,INDEX(tblSubjectToLoan[Interest],ROW()-ROW(tblSubjectToLoan[#Headers])-1)))</f>
        <v>36068.259999999973</v>
      </c>
      <c r="K485" s="969">
        <f>IF(tblSubjectToLoan[[#This Row],[Date]]="",0,MAX(0,tblSubjectToLoan[[#This Row],[Beginning Balance]]-tblSubjectToLoan[[#This Row],[Princ]]))</f>
        <v>0</v>
      </c>
      <c r="L485" s="394">
        <f t="shared" si="39"/>
        <v>0</v>
      </c>
      <c r="M485" s="394">
        <f t="shared" si="42"/>
        <v>0</v>
      </c>
      <c r="N485" s="613" t="str">
        <f>INDEX(tblSubjectToLoan[Date],ROW()-ROW(tblContractForDeed[#Headers]))</f>
        <v/>
      </c>
      <c r="O485" s="276">
        <f>IF(ROW()=ROW(tblContractForDeed[#Headers])+1,$O$6,IF(INDEX(tblContractForDeed[End Bal],ROW()-ROW(tblContractForDeed[#Headers])-1)&lt;0,0,INDEX(tblContractForDeed[End Bal],ROW()-ROW(tblContractForDeed[#Headers])-1)))</f>
        <v>0</v>
      </c>
      <c r="P485" s="454"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5" s="276">
        <f>IF(INDEX(tblContractForDeed[End Bal],ROW()-ROW(tblBuyerOutputs[#Headers]))&lt;=0,0,($O$6+IF(ROW()=ROW(tblBuyerOutputs[#Headers])+1,0,INDEX(tblBuyerOutputs[Cumul Appr],ROW()-ROW(tblBuyerOutputs[#Headers])-1)))*$O$2/12)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13" t="str">
        <f>IF(ROW()=ROW(tblSubjectToLoan[#Headers])+1,subjectKnownBalanceDate,IF(OR(INDEX(tblSubjectToLoan[Date],ROW()-ROW(tblSubjectToLoan[#Headers])-1)="",INDEX(tblSubjectToLoan[Date],ROW()-ROW(tblSubjectToLoan[#Headers])-1)&gt;=subjectMortgageEndDate),"",EDATE(INDEX(tblSubjectToLoan[Date],ROW()-ROW(tblSubjectToLoan[#Headers])-1),1)))</f>
        <v/>
      </c>
      <c r="B486" s="276">
        <f>IF(tblSubjectToLoan[[#This Row],[Date]]="",0,IF(ROW()=ROW(tblSubjectToLoan[#Headers])+1,subjectKnownBalance,MAX(0,INDEX(tblSubjectToLoan[Ending Balance],ROW()-ROW(tblSubjectToLoan[#Headers])-1))))</f>
        <v>0</v>
      </c>
      <c r="C4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6" s="14">
        <f>IF(tblSubjectToLoan[[#This Row],[Payment]]=0,0,MAX(0,MIN(tblSubjectToLoan[[#This Row],[Beginning Balance]],tblSubjectToLoan[[#This Row],[Payment]]-tblSubjectToLoan[[#This Row],[Int]])))</f>
        <v>0</v>
      </c>
      <c r="E486" s="14">
        <f>IF(tblSubjectToLoan[[#This Row],[Date]]="",0,ROUND(tblSubjectToLoan[[#This Row],[Beginning Balance]]*(subjectInterestRate/12),2))</f>
        <v>0</v>
      </c>
      <c r="F486" s="14">
        <f t="shared" si="43"/>
        <v>134.16999999999999</v>
      </c>
      <c r="G486" s="14">
        <f t="shared" si="43"/>
        <v>188.55</v>
      </c>
      <c r="H486" s="14">
        <f>SUM(tblSubjectToLoan[[#This Row],[Princ]],tblSubjectToLoan[[#This Row],[Int]],tblSubjectToLoan[[#This Row],[Ins]],tblSubjectToLoan[[#This Row],[Taxes]])</f>
        <v>322.72000000000003</v>
      </c>
      <c r="I4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6" s="276">
        <f>IF(tblSubjectToLoan[[#This Row],[Date]]="",IF(ROW()=ROW(tblSubjectToLoan[#Headers])+1,0,INDEX(tblSubjectToLoan[Interest],ROW()-ROW(tblSubjectToLoan[#Headers])-1)),tblSubjectToLoan[[#This Row],[Int]]+IF(ROW()=ROW(tblSubjectToLoan[#Headers])+1,0,INDEX(tblSubjectToLoan[Interest],ROW()-ROW(tblSubjectToLoan[#Headers])-1)))</f>
        <v>36068.259999999973</v>
      </c>
      <c r="K486" s="969">
        <f>IF(tblSubjectToLoan[[#This Row],[Date]]="",0,MAX(0,tblSubjectToLoan[[#This Row],[Beginning Balance]]-tblSubjectToLoan[[#This Row],[Princ]]))</f>
        <v>0</v>
      </c>
      <c r="L486" s="394">
        <f t="shared" si="39"/>
        <v>0</v>
      </c>
      <c r="M486" s="394">
        <f t="shared" si="42"/>
        <v>0</v>
      </c>
      <c r="N486" s="613" t="str">
        <f>INDEX(tblSubjectToLoan[Date],ROW()-ROW(tblContractForDeed[#Headers]))</f>
        <v/>
      </c>
      <c r="O486" s="276">
        <f>IF(ROW()=ROW(tblContractForDeed[#Headers])+1,$O$6,IF(INDEX(tblContractForDeed[End Bal],ROW()-ROW(tblContractForDeed[#Headers])-1)&lt;0,0,INDEX(tblContractForDeed[End Bal],ROW()-ROW(tblContractForDeed[#Headers])-1)))</f>
        <v>0</v>
      </c>
      <c r="P486" s="454"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6" s="276">
        <f>IF(INDEX(tblContractForDeed[End Bal],ROW()-ROW(tblBuyerOutputs[#Headers]))&lt;=0,0,($O$6+IF(ROW()=ROW(tblBuyerOutputs[#Headers])+1,0,INDEX(tblBuyerOutputs[Cumul Appr],ROW()-ROW(tblBuyerOutputs[#Headers])-1)))*$O$2/12)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14" t="str">
        <f>IF(ROW()=ROW(tblSubjectToLoan[#Headers])+1,subjectKnownBalanceDate,IF(OR(INDEX(tblSubjectToLoan[Date],ROW()-ROW(tblSubjectToLoan[#Headers])-1)="",INDEX(tblSubjectToLoan[Date],ROW()-ROW(tblSubjectToLoan[#Headers])-1)&gt;=subjectMortgageEndDate),"",EDATE(INDEX(tblSubjectToLoan[Date],ROW()-ROW(tblSubjectToLoan[#Headers])-1),1)))</f>
        <v/>
      </c>
      <c r="B487" s="332">
        <f>IF(tblSubjectToLoan[[#This Row],[Date]]="",0,IF(ROW()=ROW(tblSubjectToLoan[#Headers])+1,subjectKnownBalance,MAX(0,INDEX(tblSubjectToLoan[Ending Balance],ROW()-ROW(tblSubjectToLoan[#Headers])-1))))</f>
        <v>0</v>
      </c>
      <c r="C48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7" s="21">
        <f>IF(tblSubjectToLoan[[#This Row],[Payment]]=0,0,MAX(0,MIN(tblSubjectToLoan[[#This Row],[Beginning Balance]],tblSubjectToLoan[[#This Row],[Payment]]-tblSubjectToLoan[[#This Row],[Int]])))</f>
        <v>0</v>
      </c>
      <c r="E487" s="21">
        <f>IF(tblSubjectToLoan[[#This Row],[Date]]="",0,ROUND(tblSubjectToLoan[[#This Row],[Beginning Balance]]*(subjectInterestRate/12),2))</f>
        <v>0</v>
      </c>
      <c r="F487" s="21">
        <f t="shared" si="43"/>
        <v>134.16999999999999</v>
      </c>
      <c r="G487" s="21">
        <f t="shared" si="43"/>
        <v>188.55</v>
      </c>
      <c r="H487" s="21">
        <f>SUM(tblSubjectToLoan[[#This Row],[Princ]],tblSubjectToLoan[[#This Row],[Int]],tblSubjectToLoan[[#This Row],[Ins]],tblSubjectToLoan[[#This Row],[Taxes]])</f>
        <v>322.72000000000003</v>
      </c>
      <c r="I48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87" s="332">
        <f>IF(tblSubjectToLoan[[#This Row],[Date]]="",IF(ROW()=ROW(tblSubjectToLoan[#Headers])+1,0,INDEX(tblSubjectToLoan[Interest],ROW()-ROW(tblSubjectToLoan[#Headers])-1)),tblSubjectToLoan[[#This Row],[Int]]+IF(ROW()=ROW(tblSubjectToLoan[#Headers])+1,0,INDEX(tblSubjectToLoan[Interest],ROW()-ROW(tblSubjectToLoan[#Headers])-1)))</f>
        <v>36068.259999999973</v>
      </c>
      <c r="K487" s="970">
        <f>IF(tblSubjectToLoan[[#This Row],[Date]]="",0,MAX(0,tblSubjectToLoan[[#This Row],[Beginning Balance]]-tblSubjectToLoan[[#This Row],[Princ]]))</f>
        <v>0</v>
      </c>
      <c r="L487" s="395">
        <f t="shared" si="39"/>
        <v>0</v>
      </c>
      <c r="M487" s="395">
        <f t="shared" si="42"/>
        <v>0</v>
      </c>
      <c r="N487" s="614" t="str">
        <f>INDEX(tblSubjectToLoan[Date],ROW()-ROW(tblContractForDeed[#Headers]))</f>
        <v/>
      </c>
      <c r="O487" s="332">
        <f>IF(ROW()=ROW(tblContractForDeed[#Headers])+1,$O$6,IF(INDEX(tblContractForDeed[End Bal],ROW()-ROW(tblContractForDeed[#Headers])-1)&lt;0,0,INDEX(tblContractForDeed[End Bal],ROW()-ROW(tblContractForDeed[#Headers])-1)))</f>
        <v>0</v>
      </c>
      <c r="P487" s="454"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7" s="332">
        <f>IF(INDEX(tblContractForDeed[End Bal],ROW()-ROW(tblBuyerOutputs[#Headers]))&lt;=0,0,($O$6+IF(ROW()=ROW(tblBuyerOutputs[#Headers])+1,0,INDEX(tblBuyerOutputs[Cumul Appr],ROW()-ROW(tblBuyerOutputs[#Headers])-1)))*$O$2/12)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13" t="str">
        <f>IF(ROW()=ROW(tblSubjectToLoan[#Headers])+1,subjectKnownBalanceDate,IF(OR(INDEX(tblSubjectToLoan[Date],ROW()-ROW(tblSubjectToLoan[#Headers])-1)="",INDEX(tblSubjectToLoan[Date],ROW()-ROW(tblSubjectToLoan[#Headers])-1)&gt;=subjectMortgageEndDate),"",EDATE(INDEX(tblSubjectToLoan[Date],ROW()-ROW(tblSubjectToLoan[#Headers])-1),1)))</f>
        <v/>
      </c>
      <c r="B488" s="276">
        <f>IF(tblSubjectToLoan[[#This Row],[Date]]="",0,IF(ROW()=ROW(tblSubjectToLoan[#Headers])+1,subjectKnownBalance,MAX(0,INDEX(tblSubjectToLoan[Ending Balance],ROW()-ROW(tblSubjectToLoan[#Headers])-1))))</f>
        <v>0</v>
      </c>
      <c r="C4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8" s="14">
        <f>IF(tblSubjectToLoan[[#This Row],[Payment]]=0,0,MAX(0,MIN(tblSubjectToLoan[[#This Row],[Beginning Balance]],tblSubjectToLoan[[#This Row],[Payment]]-tblSubjectToLoan[[#This Row],[Int]])))</f>
        <v>0</v>
      </c>
      <c r="E488" s="14">
        <f>IF(tblSubjectToLoan[[#This Row],[Date]]="",0,ROUND(tblSubjectToLoan[[#This Row],[Beginning Balance]]*(subjectInterestRate/12),2))</f>
        <v>0</v>
      </c>
      <c r="F488" s="14">
        <f t="shared" si="43"/>
        <v>134.16999999999999</v>
      </c>
      <c r="G488" s="14">
        <f t="shared" si="43"/>
        <v>188.55</v>
      </c>
      <c r="H488" s="14">
        <f>SUM(tblSubjectToLoan[[#This Row],[Princ]],tblSubjectToLoan[[#This Row],[Int]],tblSubjectToLoan[[#This Row],[Ins]],tblSubjectToLoan[[#This Row],[Taxes]])</f>
        <v>322.72000000000003</v>
      </c>
      <c r="I4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8" s="276">
        <f>IF(tblSubjectToLoan[[#This Row],[Date]]="",IF(ROW()=ROW(tblSubjectToLoan[#Headers])+1,0,INDEX(tblSubjectToLoan[Interest],ROW()-ROW(tblSubjectToLoan[#Headers])-1)),tblSubjectToLoan[[#This Row],[Int]]+IF(ROW()=ROW(tblSubjectToLoan[#Headers])+1,0,INDEX(tblSubjectToLoan[Interest],ROW()-ROW(tblSubjectToLoan[#Headers])-1)))</f>
        <v>36068.259999999973</v>
      </c>
      <c r="K488" s="969">
        <f>IF(tblSubjectToLoan[[#This Row],[Date]]="",0,MAX(0,tblSubjectToLoan[[#This Row],[Beginning Balance]]-tblSubjectToLoan[[#This Row],[Princ]]))</f>
        <v>0</v>
      </c>
      <c r="L488" s="394">
        <f t="shared" si="39"/>
        <v>0</v>
      </c>
      <c r="M488" s="394">
        <f t="shared" si="42"/>
        <v>0</v>
      </c>
      <c r="N488" s="613" t="str">
        <f>INDEX(tblSubjectToLoan[Date],ROW()-ROW(tblContractForDeed[#Headers]))</f>
        <v/>
      </c>
      <c r="O488" s="276">
        <f>IF(ROW()=ROW(tblContractForDeed[#Headers])+1,$O$6,IF(INDEX(tblContractForDeed[End Bal],ROW()-ROW(tblContractForDeed[#Headers])-1)&lt;0,0,INDEX(tblContractForDeed[End Bal],ROW()-ROW(tblContractForDeed[#Headers])-1)))</f>
        <v>0</v>
      </c>
      <c r="P488" s="454"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8" s="276">
        <f>IF(INDEX(tblContractForDeed[End Bal],ROW()-ROW(tblBuyerOutputs[#Headers]))&lt;=0,0,($O$6+IF(ROW()=ROW(tblBuyerOutputs[#Headers])+1,0,INDEX(tblBuyerOutputs[Cumul Appr],ROW()-ROW(tblBuyerOutputs[#Headers])-1)))*$O$2/12)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13" t="str">
        <f>IF(ROW()=ROW(tblSubjectToLoan[#Headers])+1,subjectKnownBalanceDate,IF(OR(INDEX(tblSubjectToLoan[Date],ROW()-ROW(tblSubjectToLoan[#Headers])-1)="",INDEX(tblSubjectToLoan[Date],ROW()-ROW(tblSubjectToLoan[#Headers])-1)&gt;=subjectMortgageEndDate),"",EDATE(INDEX(tblSubjectToLoan[Date],ROW()-ROW(tblSubjectToLoan[#Headers])-1),1)))</f>
        <v/>
      </c>
      <c r="B489" s="276">
        <f>IF(tblSubjectToLoan[[#This Row],[Date]]="",0,IF(ROW()=ROW(tblSubjectToLoan[#Headers])+1,subjectKnownBalance,MAX(0,INDEX(tblSubjectToLoan[Ending Balance],ROW()-ROW(tblSubjectToLoan[#Headers])-1))))</f>
        <v>0</v>
      </c>
      <c r="C4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9" s="14">
        <f>IF(tblSubjectToLoan[[#This Row],[Payment]]=0,0,MAX(0,MIN(tblSubjectToLoan[[#This Row],[Beginning Balance]],tblSubjectToLoan[[#This Row],[Payment]]-tblSubjectToLoan[[#This Row],[Int]])))</f>
        <v>0</v>
      </c>
      <c r="E489" s="14">
        <f>IF(tblSubjectToLoan[[#This Row],[Date]]="",0,ROUND(tblSubjectToLoan[[#This Row],[Beginning Balance]]*(subjectInterestRate/12),2))</f>
        <v>0</v>
      </c>
      <c r="F489" s="14">
        <f t="shared" si="43"/>
        <v>134.16999999999999</v>
      </c>
      <c r="G489" s="14">
        <f t="shared" si="43"/>
        <v>188.55</v>
      </c>
      <c r="H489" s="14">
        <f>SUM(tblSubjectToLoan[[#This Row],[Princ]],tblSubjectToLoan[[#This Row],[Int]],tblSubjectToLoan[[#This Row],[Ins]],tblSubjectToLoan[[#This Row],[Taxes]])</f>
        <v>322.72000000000003</v>
      </c>
      <c r="I4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9" s="276">
        <f>IF(tblSubjectToLoan[[#This Row],[Date]]="",IF(ROW()=ROW(tblSubjectToLoan[#Headers])+1,0,INDEX(tblSubjectToLoan[Interest],ROW()-ROW(tblSubjectToLoan[#Headers])-1)),tblSubjectToLoan[[#This Row],[Int]]+IF(ROW()=ROW(tblSubjectToLoan[#Headers])+1,0,INDEX(tblSubjectToLoan[Interest],ROW()-ROW(tblSubjectToLoan[#Headers])-1)))</f>
        <v>36068.259999999973</v>
      </c>
      <c r="K489" s="969">
        <f>IF(tblSubjectToLoan[[#This Row],[Date]]="",0,MAX(0,tblSubjectToLoan[[#This Row],[Beginning Balance]]-tblSubjectToLoan[[#This Row],[Princ]]))</f>
        <v>0</v>
      </c>
      <c r="L489" s="394">
        <f t="shared" si="39"/>
        <v>0</v>
      </c>
      <c r="M489" s="394">
        <f t="shared" si="42"/>
        <v>0</v>
      </c>
      <c r="N489" s="613" t="str">
        <f>INDEX(tblSubjectToLoan[Date],ROW()-ROW(tblContractForDeed[#Headers]))</f>
        <v/>
      </c>
      <c r="O489" s="276">
        <f>IF(ROW()=ROW(tblContractForDeed[#Headers])+1,$O$6,IF(INDEX(tblContractForDeed[End Bal],ROW()-ROW(tblContractForDeed[#Headers])-1)&lt;0,0,INDEX(tblContractForDeed[End Bal],ROW()-ROW(tblContractForDeed[#Headers])-1)))</f>
        <v>0</v>
      </c>
      <c r="P489" s="454"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9" s="276">
        <f>IF(INDEX(tblContractForDeed[End Bal],ROW()-ROW(tblBuyerOutputs[#Headers]))&lt;=0,0,($O$6+IF(ROW()=ROW(tblBuyerOutputs[#Headers])+1,0,INDEX(tblBuyerOutputs[Cumul Appr],ROW()-ROW(tblBuyerOutputs[#Headers])-1)))*$O$2/12)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13" t="str">
        <f>IF(ROW()=ROW(tblSubjectToLoan[#Headers])+1,subjectKnownBalanceDate,IF(OR(INDEX(tblSubjectToLoan[Date],ROW()-ROW(tblSubjectToLoan[#Headers])-1)="",INDEX(tblSubjectToLoan[Date],ROW()-ROW(tblSubjectToLoan[#Headers])-1)&gt;=subjectMortgageEndDate),"",EDATE(INDEX(tblSubjectToLoan[Date],ROW()-ROW(tblSubjectToLoan[#Headers])-1),1)))</f>
        <v/>
      </c>
      <c r="B490" s="276">
        <f>IF(tblSubjectToLoan[[#This Row],[Date]]="",0,IF(ROW()=ROW(tblSubjectToLoan[#Headers])+1,subjectKnownBalance,MAX(0,INDEX(tblSubjectToLoan[Ending Balance],ROW()-ROW(tblSubjectToLoan[#Headers])-1))))</f>
        <v>0</v>
      </c>
      <c r="C4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0" s="14">
        <f>IF(tblSubjectToLoan[[#This Row],[Payment]]=0,0,MAX(0,MIN(tblSubjectToLoan[[#This Row],[Beginning Balance]],tblSubjectToLoan[[#This Row],[Payment]]-tblSubjectToLoan[[#This Row],[Int]])))</f>
        <v>0</v>
      </c>
      <c r="E490" s="14">
        <f>IF(tblSubjectToLoan[[#This Row],[Date]]="",0,ROUND(tblSubjectToLoan[[#This Row],[Beginning Balance]]*(subjectInterestRate/12),2))</f>
        <v>0</v>
      </c>
      <c r="F490" s="14">
        <f t="shared" si="43"/>
        <v>134.16999999999999</v>
      </c>
      <c r="G490" s="14">
        <f t="shared" si="43"/>
        <v>188.55</v>
      </c>
      <c r="H490" s="14">
        <f>SUM(tblSubjectToLoan[[#This Row],[Princ]],tblSubjectToLoan[[#This Row],[Int]],tblSubjectToLoan[[#This Row],[Ins]],tblSubjectToLoan[[#This Row],[Taxes]])</f>
        <v>322.72000000000003</v>
      </c>
      <c r="I4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0" s="276">
        <f>IF(tblSubjectToLoan[[#This Row],[Date]]="",IF(ROW()=ROW(tblSubjectToLoan[#Headers])+1,0,INDEX(tblSubjectToLoan[Interest],ROW()-ROW(tblSubjectToLoan[#Headers])-1)),tblSubjectToLoan[[#This Row],[Int]]+IF(ROW()=ROW(tblSubjectToLoan[#Headers])+1,0,INDEX(tblSubjectToLoan[Interest],ROW()-ROW(tblSubjectToLoan[#Headers])-1)))</f>
        <v>36068.259999999973</v>
      </c>
      <c r="K490" s="969">
        <f>IF(tblSubjectToLoan[[#This Row],[Date]]="",0,MAX(0,tblSubjectToLoan[[#This Row],[Beginning Balance]]-tblSubjectToLoan[[#This Row],[Princ]]))</f>
        <v>0</v>
      </c>
      <c r="L490" s="394">
        <f t="shared" si="39"/>
        <v>0</v>
      </c>
      <c r="M490" s="394">
        <f t="shared" si="42"/>
        <v>0</v>
      </c>
      <c r="N490" s="613" t="str">
        <f>INDEX(tblSubjectToLoan[Date],ROW()-ROW(tblContractForDeed[#Headers]))</f>
        <v/>
      </c>
      <c r="O490" s="276">
        <f>IF(ROW()=ROW(tblContractForDeed[#Headers])+1,$O$6,IF(INDEX(tblContractForDeed[End Bal],ROW()-ROW(tblContractForDeed[#Headers])-1)&lt;0,0,INDEX(tblContractForDeed[End Bal],ROW()-ROW(tblContractForDeed[#Headers])-1)))</f>
        <v>0</v>
      </c>
      <c r="P490" s="454"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0" s="276">
        <f>IF(INDEX(tblContractForDeed[End Bal],ROW()-ROW(tblBuyerOutputs[#Headers]))&lt;=0,0,($O$6+IF(ROW()=ROW(tblBuyerOutputs[#Headers])+1,0,INDEX(tblBuyerOutputs[Cumul Appr],ROW()-ROW(tblBuyerOutputs[#Headers])-1)))*$O$2/12)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13" t="str">
        <f>IF(ROW()=ROW(tblSubjectToLoan[#Headers])+1,subjectKnownBalanceDate,IF(OR(INDEX(tblSubjectToLoan[Date],ROW()-ROW(tblSubjectToLoan[#Headers])-1)="",INDEX(tblSubjectToLoan[Date],ROW()-ROW(tblSubjectToLoan[#Headers])-1)&gt;=subjectMortgageEndDate),"",EDATE(INDEX(tblSubjectToLoan[Date],ROW()-ROW(tblSubjectToLoan[#Headers])-1),1)))</f>
        <v/>
      </c>
      <c r="B491" s="276">
        <f>IF(tblSubjectToLoan[[#This Row],[Date]]="",0,IF(ROW()=ROW(tblSubjectToLoan[#Headers])+1,subjectKnownBalance,MAX(0,INDEX(tblSubjectToLoan[Ending Balance],ROW()-ROW(tblSubjectToLoan[#Headers])-1))))</f>
        <v>0</v>
      </c>
      <c r="C4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1" s="14">
        <f>IF(tblSubjectToLoan[[#This Row],[Payment]]=0,0,MAX(0,MIN(tblSubjectToLoan[[#This Row],[Beginning Balance]],tblSubjectToLoan[[#This Row],[Payment]]-tblSubjectToLoan[[#This Row],[Int]])))</f>
        <v>0</v>
      </c>
      <c r="E491" s="14">
        <f>IF(tblSubjectToLoan[[#This Row],[Date]]="",0,ROUND(tblSubjectToLoan[[#This Row],[Beginning Balance]]*(subjectInterestRate/12),2))</f>
        <v>0</v>
      </c>
      <c r="F491" s="14">
        <f t="shared" si="43"/>
        <v>134.16999999999999</v>
      </c>
      <c r="G491" s="14">
        <f t="shared" si="43"/>
        <v>188.55</v>
      </c>
      <c r="H491" s="14">
        <f>SUM(tblSubjectToLoan[[#This Row],[Princ]],tblSubjectToLoan[[#This Row],[Int]],tblSubjectToLoan[[#This Row],[Ins]],tblSubjectToLoan[[#This Row],[Taxes]])</f>
        <v>322.72000000000003</v>
      </c>
      <c r="I4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1" s="276">
        <f>IF(tblSubjectToLoan[[#This Row],[Date]]="",IF(ROW()=ROW(tblSubjectToLoan[#Headers])+1,0,INDEX(tblSubjectToLoan[Interest],ROW()-ROW(tblSubjectToLoan[#Headers])-1)),tblSubjectToLoan[[#This Row],[Int]]+IF(ROW()=ROW(tblSubjectToLoan[#Headers])+1,0,INDEX(tblSubjectToLoan[Interest],ROW()-ROW(tblSubjectToLoan[#Headers])-1)))</f>
        <v>36068.259999999973</v>
      </c>
      <c r="K491" s="969">
        <f>IF(tblSubjectToLoan[[#This Row],[Date]]="",0,MAX(0,tblSubjectToLoan[[#This Row],[Beginning Balance]]-tblSubjectToLoan[[#This Row],[Princ]]))</f>
        <v>0</v>
      </c>
      <c r="L491" s="394">
        <f t="shared" si="39"/>
        <v>0</v>
      </c>
      <c r="M491" s="394">
        <f t="shared" si="42"/>
        <v>0</v>
      </c>
      <c r="N491" s="613" t="str">
        <f>INDEX(tblSubjectToLoan[Date],ROW()-ROW(tblContractForDeed[#Headers]))</f>
        <v/>
      </c>
      <c r="O491" s="276">
        <f>IF(ROW()=ROW(tblContractForDeed[#Headers])+1,$O$6,IF(INDEX(tblContractForDeed[End Bal],ROW()-ROW(tblContractForDeed[#Headers])-1)&lt;0,0,INDEX(tblContractForDeed[End Bal],ROW()-ROW(tblContractForDeed[#Headers])-1)))</f>
        <v>0</v>
      </c>
      <c r="P491" s="454"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1" s="276">
        <f>IF(INDEX(tblContractForDeed[End Bal],ROW()-ROW(tblBuyerOutputs[#Headers]))&lt;=0,0,($O$6+IF(ROW()=ROW(tblBuyerOutputs[#Headers])+1,0,INDEX(tblBuyerOutputs[Cumul Appr],ROW()-ROW(tblBuyerOutputs[#Headers])-1)))*$O$2/12)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13" t="str">
        <f>IF(ROW()=ROW(tblSubjectToLoan[#Headers])+1,subjectKnownBalanceDate,IF(OR(INDEX(tblSubjectToLoan[Date],ROW()-ROW(tblSubjectToLoan[#Headers])-1)="",INDEX(tblSubjectToLoan[Date],ROW()-ROW(tblSubjectToLoan[#Headers])-1)&gt;=subjectMortgageEndDate),"",EDATE(INDEX(tblSubjectToLoan[Date],ROW()-ROW(tblSubjectToLoan[#Headers])-1),1)))</f>
        <v/>
      </c>
      <c r="B492" s="276">
        <f>IF(tblSubjectToLoan[[#This Row],[Date]]="",0,IF(ROW()=ROW(tblSubjectToLoan[#Headers])+1,subjectKnownBalance,MAX(0,INDEX(tblSubjectToLoan[Ending Balance],ROW()-ROW(tblSubjectToLoan[#Headers])-1))))</f>
        <v>0</v>
      </c>
      <c r="C4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2" s="14">
        <f>IF(tblSubjectToLoan[[#This Row],[Payment]]=0,0,MAX(0,MIN(tblSubjectToLoan[[#This Row],[Beginning Balance]],tblSubjectToLoan[[#This Row],[Payment]]-tblSubjectToLoan[[#This Row],[Int]])))</f>
        <v>0</v>
      </c>
      <c r="E492" s="14">
        <f>IF(tblSubjectToLoan[[#This Row],[Date]]="",0,ROUND(tblSubjectToLoan[[#This Row],[Beginning Balance]]*(subjectInterestRate/12),2))</f>
        <v>0</v>
      </c>
      <c r="F492" s="14">
        <f t="shared" si="43"/>
        <v>134.16999999999999</v>
      </c>
      <c r="G492" s="14">
        <f t="shared" si="43"/>
        <v>188.55</v>
      </c>
      <c r="H492" s="14">
        <f>SUM(tblSubjectToLoan[[#This Row],[Princ]],tblSubjectToLoan[[#This Row],[Int]],tblSubjectToLoan[[#This Row],[Ins]],tblSubjectToLoan[[#This Row],[Taxes]])</f>
        <v>322.72000000000003</v>
      </c>
      <c r="I4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2" s="276">
        <f>IF(tblSubjectToLoan[[#This Row],[Date]]="",IF(ROW()=ROW(tblSubjectToLoan[#Headers])+1,0,INDEX(tblSubjectToLoan[Interest],ROW()-ROW(tblSubjectToLoan[#Headers])-1)),tblSubjectToLoan[[#This Row],[Int]]+IF(ROW()=ROW(tblSubjectToLoan[#Headers])+1,0,INDEX(tblSubjectToLoan[Interest],ROW()-ROW(tblSubjectToLoan[#Headers])-1)))</f>
        <v>36068.259999999973</v>
      </c>
      <c r="K492" s="969">
        <f>IF(tblSubjectToLoan[[#This Row],[Date]]="",0,MAX(0,tblSubjectToLoan[[#This Row],[Beginning Balance]]-tblSubjectToLoan[[#This Row],[Princ]]))</f>
        <v>0</v>
      </c>
      <c r="L492" s="394">
        <f t="shared" si="39"/>
        <v>0</v>
      </c>
      <c r="M492" s="394">
        <f t="shared" si="42"/>
        <v>0</v>
      </c>
      <c r="N492" s="613" t="str">
        <f>INDEX(tblSubjectToLoan[Date],ROW()-ROW(tblContractForDeed[#Headers]))</f>
        <v/>
      </c>
      <c r="O492" s="276">
        <f>IF(ROW()=ROW(tblContractForDeed[#Headers])+1,$O$6,IF(INDEX(tblContractForDeed[End Bal],ROW()-ROW(tblContractForDeed[#Headers])-1)&lt;0,0,INDEX(tblContractForDeed[End Bal],ROW()-ROW(tblContractForDeed[#Headers])-1)))</f>
        <v>0</v>
      </c>
      <c r="P492" s="454"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2" s="276">
        <f>IF(INDEX(tblContractForDeed[End Bal],ROW()-ROW(tblBuyerOutputs[#Headers]))&lt;=0,0,($O$6+IF(ROW()=ROW(tblBuyerOutputs[#Headers])+1,0,INDEX(tblBuyerOutputs[Cumul Appr],ROW()-ROW(tblBuyerOutputs[#Headers])-1)))*$O$2/12)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13" t="str">
        <f>IF(ROW()=ROW(tblSubjectToLoan[#Headers])+1,subjectKnownBalanceDate,IF(OR(INDEX(tblSubjectToLoan[Date],ROW()-ROW(tblSubjectToLoan[#Headers])-1)="",INDEX(tblSubjectToLoan[Date],ROW()-ROW(tblSubjectToLoan[#Headers])-1)&gt;=subjectMortgageEndDate),"",EDATE(INDEX(tblSubjectToLoan[Date],ROW()-ROW(tblSubjectToLoan[#Headers])-1),1)))</f>
        <v/>
      </c>
      <c r="B493" s="276">
        <f>IF(tblSubjectToLoan[[#This Row],[Date]]="",0,IF(ROW()=ROW(tblSubjectToLoan[#Headers])+1,subjectKnownBalance,MAX(0,INDEX(tblSubjectToLoan[Ending Balance],ROW()-ROW(tblSubjectToLoan[#Headers])-1))))</f>
        <v>0</v>
      </c>
      <c r="C4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3" s="14">
        <f>IF(tblSubjectToLoan[[#This Row],[Payment]]=0,0,MAX(0,MIN(tblSubjectToLoan[[#This Row],[Beginning Balance]],tblSubjectToLoan[[#This Row],[Payment]]-tblSubjectToLoan[[#This Row],[Int]])))</f>
        <v>0</v>
      </c>
      <c r="E493" s="14">
        <f>IF(tblSubjectToLoan[[#This Row],[Date]]="",0,ROUND(tblSubjectToLoan[[#This Row],[Beginning Balance]]*(subjectInterestRate/12),2))</f>
        <v>0</v>
      </c>
      <c r="F493" s="14">
        <f t="shared" si="43"/>
        <v>134.16999999999999</v>
      </c>
      <c r="G493" s="14">
        <f t="shared" si="43"/>
        <v>188.55</v>
      </c>
      <c r="H493" s="14">
        <f>SUM(tblSubjectToLoan[[#This Row],[Princ]],tblSubjectToLoan[[#This Row],[Int]],tblSubjectToLoan[[#This Row],[Ins]],tblSubjectToLoan[[#This Row],[Taxes]])</f>
        <v>322.72000000000003</v>
      </c>
      <c r="I4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3" s="276">
        <f>IF(tblSubjectToLoan[[#This Row],[Date]]="",IF(ROW()=ROW(tblSubjectToLoan[#Headers])+1,0,INDEX(tblSubjectToLoan[Interest],ROW()-ROW(tblSubjectToLoan[#Headers])-1)),tblSubjectToLoan[[#This Row],[Int]]+IF(ROW()=ROW(tblSubjectToLoan[#Headers])+1,0,INDEX(tblSubjectToLoan[Interest],ROW()-ROW(tblSubjectToLoan[#Headers])-1)))</f>
        <v>36068.259999999973</v>
      </c>
      <c r="K493" s="969">
        <f>IF(tblSubjectToLoan[[#This Row],[Date]]="",0,MAX(0,tblSubjectToLoan[[#This Row],[Beginning Balance]]-tblSubjectToLoan[[#This Row],[Princ]]))</f>
        <v>0</v>
      </c>
      <c r="L493" s="394">
        <f t="shared" si="39"/>
        <v>0</v>
      </c>
      <c r="M493" s="394">
        <f t="shared" si="42"/>
        <v>0</v>
      </c>
      <c r="N493" s="613" t="str">
        <f>INDEX(tblSubjectToLoan[Date],ROW()-ROW(tblContractForDeed[#Headers]))</f>
        <v/>
      </c>
      <c r="O493" s="276">
        <f>IF(ROW()=ROW(tblContractForDeed[#Headers])+1,$O$6,IF(INDEX(tblContractForDeed[End Bal],ROW()-ROW(tblContractForDeed[#Headers])-1)&lt;0,0,INDEX(tblContractForDeed[End Bal],ROW()-ROW(tblContractForDeed[#Headers])-1)))</f>
        <v>0</v>
      </c>
      <c r="P493" s="454"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3" s="276">
        <f>IF(INDEX(tblContractForDeed[End Bal],ROW()-ROW(tblBuyerOutputs[#Headers]))&lt;=0,0,($O$6+IF(ROW()=ROW(tblBuyerOutputs[#Headers])+1,0,INDEX(tblBuyerOutputs[Cumul Appr],ROW()-ROW(tblBuyerOutputs[#Headers])-1)))*$O$2/12)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13" t="str">
        <f>IF(ROW()=ROW(tblSubjectToLoan[#Headers])+1,subjectKnownBalanceDate,IF(OR(INDEX(tblSubjectToLoan[Date],ROW()-ROW(tblSubjectToLoan[#Headers])-1)="",INDEX(tblSubjectToLoan[Date],ROW()-ROW(tblSubjectToLoan[#Headers])-1)&gt;=subjectMortgageEndDate),"",EDATE(INDEX(tblSubjectToLoan[Date],ROW()-ROW(tblSubjectToLoan[#Headers])-1),1)))</f>
        <v/>
      </c>
      <c r="B494" s="276">
        <f>IF(tblSubjectToLoan[[#This Row],[Date]]="",0,IF(ROW()=ROW(tblSubjectToLoan[#Headers])+1,subjectKnownBalance,MAX(0,INDEX(tblSubjectToLoan[Ending Balance],ROW()-ROW(tblSubjectToLoan[#Headers])-1))))</f>
        <v>0</v>
      </c>
      <c r="C4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4" s="14">
        <f>IF(tblSubjectToLoan[[#This Row],[Payment]]=0,0,MAX(0,MIN(tblSubjectToLoan[[#This Row],[Beginning Balance]],tblSubjectToLoan[[#This Row],[Payment]]-tblSubjectToLoan[[#This Row],[Int]])))</f>
        <v>0</v>
      </c>
      <c r="E494" s="14">
        <f>IF(tblSubjectToLoan[[#This Row],[Date]]="",0,ROUND(tblSubjectToLoan[[#This Row],[Beginning Balance]]*(subjectInterestRate/12),2))</f>
        <v>0</v>
      </c>
      <c r="F494" s="14">
        <f t="shared" si="43"/>
        <v>134.16999999999999</v>
      </c>
      <c r="G494" s="14">
        <f t="shared" si="43"/>
        <v>188.55</v>
      </c>
      <c r="H494" s="14">
        <f>SUM(tblSubjectToLoan[[#This Row],[Princ]],tblSubjectToLoan[[#This Row],[Int]],tblSubjectToLoan[[#This Row],[Ins]],tblSubjectToLoan[[#This Row],[Taxes]])</f>
        <v>322.72000000000003</v>
      </c>
      <c r="I4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4" s="276">
        <f>IF(tblSubjectToLoan[[#This Row],[Date]]="",IF(ROW()=ROW(tblSubjectToLoan[#Headers])+1,0,INDEX(tblSubjectToLoan[Interest],ROW()-ROW(tblSubjectToLoan[#Headers])-1)),tblSubjectToLoan[[#This Row],[Int]]+IF(ROW()=ROW(tblSubjectToLoan[#Headers])+1,0,INDEX(tblSubjectToLoan[Interest],ROW()-ROW(tblSubjectToLoan[#Headers])-1)))</f>
        <v>36068.259999999973</v>
      </c>
      <c r="K494" s="969">
        <f>IF(tblSubjectToLoan[[#This Row],[Date]]="",0,MAX(0,tblSubjectToLoan[[#This Row],[Beginning Balance]]-tblSubjectToLoan[[#This Row],[Princ]]))</f>
        <v>0</v>
      </c>
      <c r="L494" s="394">
        <f t="shared" si="39"/>
        <v>0</v>
      </c>
      <c r="M494" s="394">
        <f t="shared" si="42"/>
        <v>0</v>
      </c>
      <c r="N494" s="613" t="str">
        <f>INDEX(tblSubjectToLoan[Date],ROW()-ROW(tblContractForDeed[#Headers]))</f>
        <v/>
      </c>
      <c r="O494" s="276">
        <f>IF(ROW()=ROW(tblContractForDeed[#Headers])+1,$O$6,IF(INDEX(tblContractForDeed[End Bal],ROW()-ROW(tblContractForDeed[#Headers])-1)&lt;0,0,INDEX(tblContractForDeed[End Bal],ROW()-ROW(tblContractForDeed[#Headers])-1)))</f>
        <v>0</v>
      </c>
      <c r="P494" s="454"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4" s="276">
        <f>IF(INDEX(tblContractForDeed[End Bal],ROW()-ROW(tblBuyerOutputs[#Headers]))&lt;=0,0,($O$6+IF(ROW()=ROW(tblBuyerOutputs[#Headers])+1,0,INDEX(tblBuyerOutputs[Cumul Appr],ROW()-ROW(tblBuyerOutputs[#Headers])-1)))*$O$2/12)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13" t="str">
        <f>IF(ROW()=ROW(tblSubjectToLoan[#Headers])+1,subjectKnownBalanceDate,IF(OR(INDEX(tblSubjectToLoan[Date],ROW()-ROW(tblSubjectToLoan[#Headers])-1)="",INDEX(tblSubjectToLoan[Date],ROW()-ROW(tblSubjectToLoan[#Headers])-1)&gt;=subjectMortgageEndDate),"",EDATE(INDEX(tblSubjectToLoan[Date],ROW()-ROW(tblSubjectToLoan[#Headers])-1),1)))</f>
        <v/>
      </c>
      <c r="B495" s="276">
        <f>IF(tblSubjectToLoan[[#This Row],[Date]]="",0,IF(ROW()=ROW(tblSubjectToLoan[#Headers])+1,subjectKnownBalance,MAX(0,INDEX(tblSubjectToLoan[Ending Balance],ROW()-ROW(tblSubjectToLoan[#Headers])-1))))</f>
        <v>0</v>
      </c>
      <c r="C4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5" s="14">
        <f>IF(tblSubjectToLoan[[#This Row],[Payment]]=0,0,MAX(0,MIN(tblSubjectToLoan[[#This Row],[Beginning Balance]],tblSubjectToLoan[[#This Row],[Payment]]-tblSubjectToLoan[[#This Row],[Int]])))</f>
        <v>0</v>
      </c>
      <c r="E495" s="14">
        <f>IF(tblSubjectToLoan[[#This Row],[Date]]="",0,ROUND(tblSubjectToLoan[[#This Row],[Beginning Balance]]*(subjectInterestRate/12),2))</f>
        <v>0</v>
      </c>
      <c r="F495" s="14">
        <f t="shared" ref="F495:G495" si="44">+F494</f>
        <v>134.16999999999999</v>
      </c>
      <c r="G495" s="14">
        <f t="shared" si="44"/>
        <v>188.55</v>
      </c>
      <c r="H495" s="14">
        <f>SUM(tblSubjectToLoan[[#This Row],[Princ]],tblSubjectToLoan[[#This Row],[Int]],tblSubjectToLoan[[#This Row],[Ins]],tblSubjectToLoan[[#This Row],[Taxes]])</f>
        <v>322.72000000000003</v>
      </c>
      <c r="I4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5" s="276">
        <f>IF(tblSubjectToLoan[[#This Row],[Date]]="",IF(ROW()=ROW(tblSubjectToLoan[#Headers])+1,0,INDEX(tblSubjectToLoan[Interest],ROW()-ROW(tblSubjectToLoan[#Headers])-1)),tblSubjectToLoan[[#This Row],[Int]]+IF(ROW()=ROW(tblSubjectToLoan[#Headers])+1,0,INDEX(tblSubjectToLoan[Interest],ROW()-ROW(tblSubjectToLoan[#Headers])-1)))</f>
        <v>36068.259999999973</v>
      </c>
      <c r="K495" s="969">
        <f>IF(tblSubjectToLoan[[#This Row],[Date]]="",0,MAX(0,tblSubjectToLoan[[#This Row],[Beginning Balance]]-tblSubjectToLoan[[#This Row],[Princ]]))</f>
        <v>0</v>
      </c>
      <c r="L495" s="394">
        <f t="shared" si="39"/>
        <v>0</v>
      </c>
      <c r="M495" s="394">
        <f t="shared" si="42"/>
        <v>0</v>
      </c>
      <c r="N495" s="613" t="str">
        <f>INDEX(tblSubjectToLoan[Date],ROW()-ROW(tblContractForDeed[#Headers]))</f>
        <v/>
      </c>
      <c r="O495" s="276">
        <f>IF(ROW()=ROW(tblContractForDeed[#Headers])+1,$O$6,IF(INDEX(tblContractForDeed[End Bal],ROW()-ROW(tblContractForDeed[#Headers])-1)&lt;0,0,INDEX(tblContractForDeed[End Bal],ROW()-ROW(tblContractForDeed[#Headers])-1)))</f>
        <v>0</v>
      </c>
      <c r="P495" s="454"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5" s="276">
        <f>IF(INDEX(tblContractForDeed[End Bal],ROW()-ROW(tblBuyerOutputs[#Headers]))&lt;=0,0,($O$6+IF(ROW()=ROW(tblBuyerOutputs[#Headers])+1,0,INDEX(tblBuyerOutputs[Cumul Appr],ROW()-ROW(tblBuyerOutputs[#Headers])-1)))*$O$2/12)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13" t="str">
        <f>IF(ROW()=ROW(tblSubjectToLoan[#Headers])+1,subjectKnownBalanceDate,IF(OR(INDEX(tblSubjectToLoan[Date],ROW()-ROW(tblSubjectToLoan[#Headers])-1)="",INDEX(tblSubjectToLoan[Date],ROW()-ROW(tblSubjectToLoan[#Headers])-1)&gt;=subjectMortgageEndDate),"",EDATE(INDEX(tblSubjectToLoan[Date],ROW()-ROW(tblSubjectToLoan[#Headers])-1),1)))</f>
        <v/>
      </c>
      <c r="B496" s="276">
        <f>IF(tblSubjectToLoan[[#This Row],[Date]]="",0,IF(ROW()=ROW(tblSubjectToLoan[#Headers])+1,subjectKnownBalance,MAX(0,INDEX(tblSubjectToLoan[Ending Balance],ROW()-ROW(tblSubjectToLoan[#Headers])-1))))</f>
        <v>0</v>
      </c>
      <c r="C4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6" s="14">
        <f>IF(tblSubjectToLoan[[#This Row],[Payment]]=0,0,MAX(0,MIN(tblSubjectToLoan[[#This Row],[Beginning Balance]],tblSubjectToLoan[[#This Row],[Payment]]-tblSubjectToLoan[[#This Row],[Int]])))</f>
        <v>0</v>
      </c>
      <c r="E496" s="14">
        <f>IF(tblSubjectToLoan[[#This Row],[Date]]="",0,ROUND(tblSubjectToLoan[[#This Row],[Beginning Balance]]*(subjectInterestRate/12),2))</f>
        <v>0</v>
      </c>
      <c r="H496" s="14">
        <f>SUM(tblSubjectToLoan[[#This Row],[Princ]],tblSubjectToLoan[[#This Row],[Int]],tblSubjectToLoan[[#This Row],[Ins]],tblSubjectToLoan[[#This Row],[Taxes]])</f>
        <v>0</v>
      </c>
      <c r="I4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6" s="276">
        <f>IF(tblSubjectToLoan[[#This Row],[Date]]="",IF(ROW()=ROW(tblSubjectToLoan[#Headers])+1,0,INDEX(tblSubjectToLoan[Interest],ROW()-ROW(tblSubjectToLoan[#Headers])-1)),tblSubjectToLoan[[#This Row],[Int]]+IF(ROW()=ROW(tblSubjectToLoan[#Headers])+1,0,INDEX(tblSubjectToLoan[Interest],ROW()-ROW(tblSubjectToLoan[#Headers])-1)))</f>
        <v>36068.259999999973</v>
      </c>
      <c r="K496" s="969">
        <f>IF(tblSubjectToLoan[[#This Row],[Date]]="",0,MAX(0,tblSubjectToLoan[[#This Row],[Beginning Balance]]-tblSubjectToLoan[[#This Row],[Princ]]))</f>
        <v>0</v>
      </c>
      <c r="L496" s="394">
        <f t="shared" si="39"/>
        <v>0</v>
      </c>
      <c r="M496" s="394">
        <f t="shared" si="42"/>
        <v>0</v>
      </c>
      <c r="N496" s="613" t="str">
        <f>INDEX(tblSubjectToLoan[Date],ROW()-ROW(tblContractForDeed[#Headers]))</f>
        <v/>
      </c>
      <c r="O496" s="276">
        <f>IF(ROW()=ROW(tblContractForDeed[#Headers])+1,$O$6,IF(INDEX(tblContractForDeed[End Bal],ROW()-ROW(tblContractForDeed[#Headers])-1)&lt;0,0,INDEX(tblContractForDeed[End Bal],ROW()-ROW(tblContractForDeed[#Headers])-1)))</f>
        <v>0</v>
      </c>
      <c r="P496" s="454"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6" s="276">
        <f>IF(INDEX(tblContractForDeed[End Bal],ROW()-ROW(tblBuyerOutputs[#Headers]))&lt;=0,0,($O$6+IF(ROW()=ROW(tblBuyerOutputs[#Headers])+1,0,INDEX(tblBuyerOutputs[Cumul Appr],ROW()-ROW(tblBuyerOutputs[#Headers])-1)))*$O$2/12)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13" t="str">
        <f>IF(ROW()=ROW(tblSubjectToLoan[#Headers])+1,subjectKnownBalanceDate,IF(OR(INDEX(tblSubjectToLoan[Date],ROW()-ROW(tblSubjectToLoan[#Headers])-1)="",INDEX(tblSubjectToLoan[Date],ROW()-ROW(tblSubjectToLoan[#Headers])-1)&gt;=subjectMortgageEndDate),"",EDATE(INDEX(tblSubjectToLoan[Date],ROW()-ROW(tblSubjectToLoan[#Headers])-1),1)))</f>
        <v/>
      </c>
      <c r="B497" s="276">
        <f>IF(tblSubjectToLoan[[#This Row],[Date]]="",0,IF(ROW()=ROW(tblSubjectToLoan[#Headers])+1,subjectKnownBalance,MAX(0,INDEX(tblSubjectToLoan[Ending Balance],ROW()-ROW(tblSubjectToLoan[#Headers])-1))))</f>
        <v>0</v>
      </c>
      <c r="C4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7" s="14">
        <f>IF(tblSubjectToLoan[[#This Row],[Payment]]=0,0,MAX(0,MIN(tblSubjectToLoan[[#This Row],[Beginning Balance]],tblSubjectToLoan[[#This Row],[Payment]]-tblSubjectToLoan[[#This Row],[Int]])))</f>
        <v>0</v>
      </c>
      <c r="E497" s="14">
        <f>IF(tblSubjectToLoan[[#This Row],[Date]]="",0,ROUND(tblSubjectToLoan[[#This Row],[Beginning Balance]]*(subjectInterestRate/12),2))</f>
        <v>0</v>
      </c>
      <c r="H497" s="14">
        <f>SUM(tblSubjectToLoan[[#This Row],[Princ]],tblSubjectToLoan[[#This Row],[Int]],tblSubjectToLoan[[#This Row],[Ins]],tblSubjectToLoan[[#This Row],[Taxes]])</f>
        <v>0</v>
      </c>
      <c r="I4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7" s="276">
        <f>IF(tblSubjectToLoan[[#This Row],[Date]]="",IF(ROW()=ROW(tblSubjectToLoan[#Headers])+1,0,INDEX(tblSubjectToLoan[Interest],ROW()-ROW(tblSubjectToLoan[#Headers])-1)),tblSubjectToLoan[[#This Row],[Int]]+IF(ROW()=ROW(tblSubjectToLoan[#Headers])+1,0,INDEX(tblSubjectToLoan[Interest],ROW()-ROW(tblSubjectToLoan[#Headers])-1)))</f>
        <v>36068.259999999973</v>
      </c>
      <c r="K497" s="969">
        <f>IF(tblSubjectToLoan[[#This Row],[Date]]="",0,MAX(0,tblSubjectToLoan[[#This Row],[Beginning Balance]]-tblSubjectToLoan[[#This Row],[Princ]]))</f>
        <v>0</v>
      </c>
      <c r="L497" s="394">
        <f t="shared" si="39"/>
        <v>0</v>
      </c>
      <c r="M497" s="394">
        <f t="shared" si="42"/>
        <v>0</v>
      </c>
      <c r="N497" s="613" t="str">
        <f>INDEX(tblSubjectToLoan[Date],ROW()-ROW(tblContractForDeed[#Headers]))</f>
        <v/>
      </c>
      <c r="O497" s="276">
        <f>IF(ROW()=ROW(tblContractForDeed[#Headers])+1,$O$6,IF(INDEX(tblContractForDeed[End Bal],ROW()-ROW(tblContractForDeed[#Headers])-1)&lt;0,0,INDEX(tblContractForDeed[End Bal],ROW()-ROW(tblContractForDeed[#Headers])-1)))</f>
        <v>0</v>
      </c>
      <c r="P497" s="454"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7" s="276">
        <f>IF(INDEX(tblContractForDeed[End Bal],ROW()-ROW(tblBuyerOutputs[#Headers]))&lt;=0,0,($O$6+IF(ROW()=ROW(tblBuyerOutputs[#Headers])+1,0,INDEX(tblBuyerOutputs[Cumul Appr],ROW()-ROW(tblBuyerOutputs[#Headers])-1)))*$O$2/12)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13" t="str">
        <f>IF(ROW()=ROW(tblSubjectToLoan[#Headers])+1,subjectKnownBalanceDate,IF(OR(INDEX(tblSubjectToLoan[Date],ROW()-ROW(tblSubjectToLoan[#Headers])-1)="",INDEX(tblSubjectToLoan[Date],ROW()-ROW(tblSubjectToLoan[#Headers])-1)&gt;=subjectMortgageEndDate),"",EDATE(INDEX(tblSubjectToLoan[Date],ROW()-ROW(tblSubjectToLoan[#Headers])-1),1)))</f>
        <v/>
      </c>
      <c r="B498" s="276">
        <f>IF(tblSubjectToLoan[[#This Row],[Date]]="",0,IF(ROW()=ROW(tblSubjectToLoan[#Headers])+1,subjectKnownBalance,MAX(0,INDEX(tblSubjectToLoan[Ending Balance],ROW()-ROW(tblSubjectToLoan[#Headers])-1))))</f>
        <v>0</v>
      </c>
      <c r="C4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8" s="14">
        <f>IF(tblSubjectToLoan[[#This Row],[Payment]]=0,0,MAX(0,MIN(tblSubjectToLoan[[#This Row],[Beginning Balance]],tblSubjectToLoan[[#This Row],[Payment]]-tblSubjectToLoan[[#This Row],[Int]])))</f>
        <v>0</v>
      </c>
      <c r="E498" s="14">
        <f>IF(tblSubjectToLoan[[#This Row],[Date]]="",0,ROUND(tblSubjectToLoan[[#This Row],[Beginning Balance]]*(subjectInterestRate/12),2))</f>
        <v>0</v>
      </c>
      <c r="H498" s="14">
        <f>SUM(tblSubjectToLoan[[#This Row],[Princ]],tblSubjectToLoan[[#This Row],[Int]],tblSubjectToLoan[[#This Row],[Ins]],tblSubjectToLoan[[#This Row],[Taxes]])</f>
        <v>0</v>
      </c>
      <c r="I4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8" s="276">
        <f>IF(tblSubjectToLoan[[#This Row],[Date]]="",IF(ROW()=ROW(tblSubjectToLoan[#Headers])+1,0,INDEX(tblSubjectToLoan[Interest],ROW()-ROW(tblSubjectToLoan[#Headers])-1)),tblSubjectToLoan[[#This Row],[Int]]+IF(ROW()=ROW(tblSubjectToLoan[#Headers])+1,0,INDEX(tblSubjectToLoan[Interest],ROW()-ROW(tblSubjectToLoan[#Headers])-1)))</f>
        <v>36068.259999999973</v>
      </c>
      <c r="K498" s="969">
        <f>IF(tblSubjectToLoan[[#This Row],[Date]]="",0,MAX(0,tblSubjectToLoan[[#This Row],[Beginning Balance]]-tblSubjectToLoan[[#This Row],[Princ]]))</f>
        <v>0</v>
      </c>
      <c r="L498" s="394">
        <f t="shared" si="39"/>
        <v>0</v>
      </c>
      <c r="M498" s="394">
        <f t="shared" si="42"/>
        <v>0</v>
      </c>
      <c r="N498" s="613" t="str">
        <f>INDEX(tblSubjectToLoan[Date],ROW()-ROW(tblContractForDeed[#Headers]))</f>
        <v/>
      </c>
      <c r="O498" s="276">
        <f>IF(ROW()=ROW(tblContractForDeed[#Headers])+1,$O$6,IF(INDEX(tblContractForDeed[End Bal],ROW()-ROW(tblContractForDeed[#Headers])-1)&lt;0,0,INDEX(tblContractForDeed[End Bal],ROW()-ROW(tblContractForDeed[#Headers])-1)))</f>
        <v>0</v>
      </c>
      <c r="P498" s="454"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8" s="276">
        <f>IF(INDEX(tblContractForDeed[End Bal],ROW()-ROW(tblBuyerOutputs[#Headers]))&lt;=0,0,($O$6+IF(ROW()=ROW(tblBuyerOutputs[#Headers])+1,0,INDEX(tblBuyerOutputs[Cumul Appr],ROW()-ROW(tblBuyerOutputs[#Headers])-1)))*$O$2/12)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14" t="str">
        <f>IF(ROW()=ROW(tblSubjectToLoan[#Headers])+1,subjectKnownBalanceDate,IF(OR(INDEX(tblSubjectToLoan[Date],ROW()-ROW(tblSubjectToLoan[#Headers])-1)="",INDEX(tblSubjectToLoan[Date],ROW()-ROW(tblSubjectToLoan[#Headers])-1)&gt;=subjectMortgageEndDate),"",EDATE(INDEX(tblSubjectToLoan[Date],ROW()-ROW(tblSubjectToLoan[#Headers])-1),1)))</f>
        <v/>
      </c>
      <c r="B499" s="332">
        <f>IF(tblSubjectToLoan[[#This Row],[Date]]="",0,IF(ROW()=ROW(tblSubjectToLoan[#Headers])+1,subjectKnownBalance,MAX(0,INDEX(tblSubjectToLoan[Ending Balance],ROW()-ROW(tblSubjectToLoan[#Headers])-1))))</f>
        <v>0</v>
      </c>
      <c r="C49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9" s="21">
        <f>IF(tblSubjectToLoan[[#This Row],[Payment]]=0,0,MAX(0,MIN(tblSubjectToLoan[[#This Row],[Beginning Balance]],tblSubjectToLoan[[#This Row],[Payment]]-tblSubjectToLoan[[#This Row],[Int]])))</f>
        <v>0</v>
      </c>
      <c r="E499" s="21">
        <f>IF(tblSubjectToLoan[[#This Row],[Date]]="",0,ROUND(tblSubjectToLoan[[#This Row],[Beginning Balance]]*(subjectInterestRate/12),2))</f>
        <v>0</v>
      </c>
      <c r="F499" s="21"/>
      <c r="G499" s="21"/>
      <c r="H499" s="21">
        <f>SUM(tblSubjectToLoan[[#This Row],[Princ]],tblSubjectToLoan[[#This Row],[Int]],tblSubjectToLoan[[#This Row],[Ins]],tblSubjectToLoan[[#This Row],[Taxes]])</f>
        <v>0</v>
      </c>
      <c r="I49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99" s="332">
        <f>IF(tblSubjectToLoan[[#This Row],[Date]]="",IF(ROW()=ROW(tblSubjectToLoan[#Headers])+1,0,INDEX(tblSubjectToLoan[Interest],ROW()-ROW(tblSubjectToLoan[#Headers])-1)),tblSubjectToLoan[[#This Row],[Int]]+IF(ROW()=ROW(tblSubjectToLoan[#Headers])+1,0,INDEX(tblSubjectToLoan[Interest],ROW()-ROW(tblSubjectToLoan[#Headers])-1)))</f>
        <v>36068.259999999973</v>
      </c>
      <c r="K499" s="970">
        <f>IF(tblSubjectToLoan[[#This Row],[Date]]="",0,MAX(0,tblSubjectToLoan[[#This Row],[Beginning Balance]]-tblSubjectToLoan[[#This Row],[Princ]]))</f>
        <v>0</v>
      </c>
      <c r="L499" s="395">
        <f t="shared" si="39"/>
        <v>0</v>
      </c>
      <c r="M499" s="395">
        <f t="shared" si="42"/>
        <v>0</v>
      </c>
      <c r="N499" s="614" t="str">
        <f>INDEX(tblSubjectToLoan[Date],ROW()-ROW(tblContractForDeed[#Headers]))</f>
        <v/>
      </c>
      <c r="O499" s="276">
        <f>IF(ROW()=ROW(tblContractForDeed[#Headers])+1,$O$6,IF(INDEX(tblContractForDeed[End Bal],ROW()-ROW(tblContractForDeed[#Headers])-1)&lt;0,0,INDEX(tblContractForDeed[End Bal],ROW()-ROW(tblContractForDeed[#Headers])-1)))</f>
        <v>0</v>
      </c>
      <c r="P499" s="454"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9" s="332">
        <f>IF(INDEX(tblContractForDeed[End Bal],ROW()-ROW(tblBuyerOutputs[#Headers]))&lt;=0,0,($O$6+IF(ROW()=ROW(tblBuyerOutputs[#Headers])+1,0,INDEX(tblBuyerOutputs[Cumul Appr],ROW()-ROW(tblBuyerOutputs[#Headers])-1)))*$O$2/12)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13" t="str">
        <f>IF(ROW()=ROW(tblSubjectToLoan[#Headers])+1,subjectKnownBalanceDate,IF(OR(INDEX(tblSubjectToLoan[Date],ROW()-ROW(tblSubjectToLoan[#Headers])-1)="",INDEX(tblSubjectToLoan[Date],ROW()-ROW(tblSubjectToLoan[#Headers])-1)&gt;=subjectMortgageEndDate),"",EDATE(INDEX(tblSubjectToLoan[Date],ROW()-ROW(tblSubjectToLoan[#Headers])-1),1)))</f>
        <v/>
      </c>
      <c r="B500" s="276">
        <f>IF(tblSubjectToLoan[[#This Row],[Date]]="",0,IF(ROW()=ROW(tblSubjectToLoan[#Headers])+1,subjectKnownBalance,MAX(0,INDEX(tblSubjectToLoan[Ending Balance],ROW()-ROW(tblSubjectToLoan[#Headers])-1))))</f>
        <v>0</v>
      </c>
      <c r="C5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0" s="14">
        <f>IF(tblSubjectToLoan[[#This Row],[Payment]]=0,0,MAX(0,MIN(tblSubjectToLoan[[#This Row],[Beginning Balance]],tblSubjectToLoan[[#This Row],[Payment]]-tblSubjectToLoan[[#This Row],[Int]])))</f>
        <v>0</v>
      </c>
      <c r="E500" s="14">
        <f>IF(tblSubjectToLoan[[#This Row],[Date]]="",0,ROUND(tblSubjectToLoan[[#This Row],[Beginning Balance]]*(subjectInterestRate/12),2))</f>
        <v>0</v>
      </c>
      <c r="H500" s="14">
        <f>SUM(tblSubjectToLoan[[#This Row],[Princ]],tblSubjectToLoan[[#This Row],[Int]],tblSubjectToLoan[[#This Row],[Ins]],tblSubjectToLoan[[#This Row],[Taxes]])</f>
        <v>0</v>
      </c>
      <c r="I5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0" s="276">
        <f>IF(tblSubjectToLoan[[#This Row],[Date]]="",IF(ROW()=ROW(tblSubjectToLoan[#Headers])+1,0,INDEX(tblSubjectToLoan[Interest],ROW()-ROW(tblSubjectToLoan[#Headers])-1)),tblSubjectToLoan[[#This Row],[Int]]+IF(ROW()=ROW(tblSubjectToLoan[#Headers])+1,0,INDEX(tblSubjectToLoan[Interest],ROW()-ROW(tblSubjectToLoan[#Headers])-1)))</f>
        <v>36068.259999999973</v>
      </c>
      <c r="K500" s="969">
        <f>IF(tblSubjectToLoan[[#This Row],[Date]]="",0,MAX(0,tblSubjectToLoan[[#This Row],[Beginning Balance]]-tblSubjectToLoan[[#This Row],[Princ]]))</f>
        <v>0</v>
      </c>
      <c r="L500" s="394">
        <f t="shared" ref="L500:L563" si="45">IF(MOD(M500,12)=0,M500/12,L499)</f>
        <v>0</v>
      </c>
      <c r="M500" s="394">
        <f t="shared" si="42"/>
        <v>0</v>
      </c>
      <c r="N500" s="613" t="str">
        <f>INDEX(tblSubjectToLoan[Date],ROW()-ROW(tblContractForDeed[#Headers]))</f>
        <v/>
      </c>
      <c r="O500" s="276">
        <f>IF(ROW()=ROW(tblContractForDeed[#Headers])+1,$O$6,IF(INDEX(tblContractForDeed[End Bal],ROW()-ROW(tblContractForDeed[#Headers])-1)&lt;0,0,INDEX(tblContractForDeed[End Bal],ROW()-ROW(tblContractForDeed[#Headers])-1)))</f>
        <v>0</v>
      </c>
      <c r="P500" s="454"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0" s="276">
        <f>IF(INDEX(tblContractForDeed[End Bal],ROW()-ROW(tblBuyerOutputs[#Headers]))&lt;=0,0,($O$6+IF(ROW()=ROW(tblBuyerOutputs[#Headers])+1,0,INDEX(tblBuyerOutputs[Cumul Appr],ROW()-ROW(tblBuyerOutputs[#Headers])-1)))*$O$2/12)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13" t="str">
        <f>IF(ROW()=ROW(tblSubjectToLoan[#Headers])+1,subjectKnownBalanceDate,IF(OR(INDEX(tblSubjectToLoan[Date],ROW()-ROW(tblSubjectToLoan[#Headers])-1)="",INDEX(tblSubjectToLoan[Date],ROW()-ROW(tblSubjectToLoan[#Headers])-1)&gt;=subjectMortgageEndDate),"",EDATE(INDEX(tblSubjectToLoan[Date],ROW()-ROW(tblSubjectToLoan[#Headers])-1),1)))</f>
        <v/>
      </c>
      <c r="B501" s="276">
        <f>IF(tblSubjectToLoan[[#This Row],[Date]]="",0,IF(ROW()=ROW(tblSubjectToLoan[#Headers])+1,subjectKnownBalance,MAX(0,INDEX(tblSubjectToLoan[Ending Balance],ROW()-ROW(tblSubjectToLoan[#Headers])-1))))</f>
        <v>0</v>
      </c>
      <c r="C5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1" s="14">
        <f>IF(tblSubjectToLoan[[#This Row],[Payment]]=0,0,MAX(0,MIN(tblSubjectToLoan[[#This Row],[Beginning Balance]],tblSubjectToLoan[[#This Row],[Payment]]-tblSubjectToLoan[[#This Row],[Int]])))</f>
        <v>0</v>
      </c>
      <c r="E501" s="14">
        <f>IF(tblSubjectToLoan[[#This Row],[Date]]="",0,ROUND(tblSubjectToLoan[[#This Row],[Beginning Balance]]*(subjectInterestRate/12),2))</f>
        <v>0</v>
      </c>
      <c r="H501" s="14">
        <f>SUM(tblSubjectToLoan[[#This Row],[Princ]],tblSubjectToLoan[[#This Row],[Int]],tblSubjectToLoan[[#This Row],[Ins]],tblSubjectToLoan[[#This Row],[Taxes]])</f>
        <v>0</v>
      </c>
      <c r="I5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1" s="276">
        <f>IF(tblSubjectToLoan[[#This Row],[Date]]="",IF(ROW()=ROW(tblSubjectToLoan[#Headers])+1,0,INDEX(tblSubjectToLoan[Interest],ROW()-ROW(tblSubjectToLoan[#Headers])-1)),tblSubjectToLoan[[#This Row],[Int]]+IF(ROW()=ROW(tblSubjectToLoan[#Headers])+1,0,INDEX(tblSubjectToLoan[Interest],ROW()-ROW(tblSubjectToLoan[#Headers])-1)))</f>
        <v>36068.259999999973</v>
      </c>
      <c r="K501" s="969">
        <f>IF(tblSubjectToLoan[[#This Row],[Date]]="",0,MAX(0,tblSubjectToLoan[[#This Row],[Beginning Balance]]-tblSubjectToLoan[[#This Row],[Princ]]))</f>
        <v>0</v>
      </c>
      <c r="L501" s="394">
        <f t="shared" si="45"/>
        <v>0</v>
      </c>
      <c r="M501" s="394">
        <f t="shared" si="42"/>
        <v>0</v>
      </c>
      <c r="N501" s="613" t="str">
        <f>INDEX(tblSubjectToLoan[Date],ROW()-ROW(tblContractForDeed[#Headers]))</f>
        <v/>
      </c>
      <c r="O501" s="276">
        <f>IF(ROW()=ROW(tblContractForDeed[#Headers])+1,$O$6,IF(INDEX(tblContractForDeed[End Bal],ROW()-ROW(tblContractForDeed[#Headers])-1)&lt;0,0,INDEX(tblContractForDeed[End Bal],ROW()-ROW(tblContractForDeed[#Headers])-1)))</f>
        <v>0</v>
      </c>
      <c r="P501" s="454"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1" s="276">
        <f>IF(INDEX(tblContractForDeed[End Bal],ROW()-ROW(tblBuyerOutputs[#Headers]))&lt;=0,0,($O$6+IF(ROW()=ROW(tblBuyerOutputs[#Headers])+1,0,INDEX(tblBuyerOutputs[Cumul Appr],ROW()-ROW(tblBuyerOutputs[#Headers])-1)))*$O$2/12)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13" t="str">
        <f>IF(ROW()=ROW(tblSubjectToLoan[#Headers])+1,subjectKnownBalanceDate,IF(OR(INDEX(tblSubjectToLoan[Date],ROW()-ROW(tblSubjectToLoan[#Headers])-1)="",INDEX(tblSubjectToLoan[Date],ROW()-ROW(tblSubjectToLoan[#Headers])-1)&gt;=subjectMortgageEndDate),"",EDATE(INDEX(tblSubjectToLoan[Date],ROW()-ROW(tblSubjectToLoan[#Headers])-1),1)))</f>
        <v/>
      </c>
      <c r="B502" s="276">
        <f>IF(tblSubjectToLoan[[#This Row],[Date]]="",0,IF(ROW()=ROW(tblSubjectToLoan[#Headers])+1,subjectKnownBalance,MAX(0,INDEX(tblSubjectToLoan[Ending Balance],ROW()-ROW(tblSubjectToLoan[#Headers])-1))))</f>
        <v>0</v>
      </c>
      <c r="C5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2" s="14">
        <f>IF(tblSubjectToLoan[[#This Row],[Payment]]=0,0,MAX(0,MIN(tblSubjectToLoan[[#This Row],[Beginning Balance]],tblSubjectToLoan[[#This Row],[Payment]]-tblSubjectToLoan[[#This Row],[Int]])))</f>
        <v>0</v>
      </c>
      <c r="E502" s="14">
        <f>IF(tblSubjectToLoan[[#This Row],[Date]]="",0,ROUND(tblSubjectToLoan[[#This Row],[Beginning Balance]]*(subjectInterestRate/12),2))</f>
        <v>0</v>
      </c>
      <c r="H502" s="14">
        <f>SUM(tblSubjectToLoan[[#This Row],[Princ]],tblSubjectToLoan[[#This Row],[Int]],tblSubjectToLoan[[#This Row],[Ins]],tblSubjectToLoan[[#This Row],[Taxes]])</f>
        <v>0</v>
      </c>
      <c r="I5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2" s="276">
        <f>IF(tblSubjectToLoan[[#This Row],[Date]]="",IF(ROW()=ROW(tblSubjectToLoan[#Headers])+1,0,INDEX(tblSubjectToLoan[Interest],ROW()-ROW(tblSubjectToLoan[#Headers])-1)),tblSubjectToLoan[[#This Row],[Int]]+IF(ROW()=ROW(tblSubjectToLoan[#Headers])+1,0,INDEX(tblSubjectToLoan[Interest],ROW()-ROW(tblSubjectToLoan[#Headers])-1)))</f>
        <v>36068.259999999973</v>
      </c>
      <c r="K502" s="969">
        <f>IF(tblSubjectToLoan[[#This Row],[Date]]="",0,MAX(0,tblSubjectToLoan[[#This Row],[Beginning Balance]]-tblSubjectToLoan[[#This Row],[Princ]]))</f>
        <v>0</v>
      </c>
      <c r="L502" s="394">
        <f t="shared" si="45"/>
        <v>0</v>
      </c>
      <c r="M502" s="394">
        <f t="shared" si="42"/>
        <v>0</v>
      </c>
      <c r="N502" s="613" t="str">
        <f>INDEX(tblSubjectToLoan[Date],ROW()-ROW(tblContractForDeed[#Headers]))</f>
        <v/>
      </c>
      <c r="O502" s="276">
        <f>IF(ROW()=ROW(tblContractForDeed[#Headers])+1,$O$6,IF(INDEX(tblContractForDeed[End Bal],ROW()-ROW(tblContractForDeed[#Headers])-1)&lt;0,0,INDEX(tblContractForDeed[End Bal],ROW()-ROW(tblContractForDeed[#Headers])-1)))</f>
        <v>0</v>
      </c>
      <c r="P502" s="454"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2" s="276">
        <f>IF(INDEX(tblContractForDeed[End Bal],ROW()-ROW(tblBuyerOutputs[#Headers]))&lt;=0,0,($O$6+IF(ROW()=ROW(tblBuyerOutputs[#Headers])+1,0,INDEX(tblBuyerOutputs[Cumul Appr],ROW()-ROW(tblBuyerOutputs[#Headers])-1)))*$O$2/12)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13" t="str">
        <f>IF(ROW()=ROW(tblSubjectToLoan[#Headers])+1,subjectKnownBalanceDate,IF(OR(INDEX(tblSubjectToLoan[Date],ROW()-ROW(tblSubjectToLoan[#Headers])-1)="",INDEX(tblSubjectToLoan[Date],ROW()-ROW(tblSubjectToLoan[#Headers])-1)&gt;=subjectMortgageEndDate),"",EDATE(INDEX(tblSubjectToLoan[Date],ROW()-ROW(tblSubjectToLoan[#Headers])-1),1)))</f>
        <v/>
      </c>
      <c r="B503" s="276">
        <f>IF(tblSubjectToLoan[[#This Row],[Date]]="",0,IF(ROW()=ROW(tblSubjectToLoan[#Headers])+1,subjectKnownBalance,MAX(0,INDEX(tblSubjectToLoan[Ending Balance],ROW()-ROW(tblSubjectToLoan[#Headers])-1))))</f>
        <v>0</v>
      </c>
      <c r="C5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3" s="14">
        <f>IF(tblSubjectToLoan[[#This Row],[Payment]]=0,0,MAX(0,MIN(tblSubjectToLoan[[#This Row],[Beginning Balance]],tblSubjectToLoan[[#This Row],[Payment]]-tblSubjectToLoan[[#This Row],[Int]])))</f>
        <v>0</v>
      </c>
      <c r="E503" s="14">
        <f>IF(tblSubjectToLoan[[#This Row],[Date]]="",0,ROUND(tblSubjectToLoan[[#This Row],[Beginning Balance]]*(subjectInterestRate/12),2))</f>
        <v>0</v>
      </c>
      <c r="H503" s="14">
        <f>SUM(tblSubjectToLoan[[#This Row],[Princ]],tblSubjectToLoan[[#This Row],[Int]],tblSubjectToLoan[[#This Row],[Ins]],tblSubjectToLoan[[#This Row],[Taxes]])</f>
        <v>0</v>
      </c>
      <c r="I5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3" s="276">
        <f>IF(tblSubjectToLoan[[#This Row],[Date]]="",IF(ROW()=ROW(tblSubjectToLoan[#Headers])+1,0,INDEX(tblSubjectToLoan[Interest],ROW()-ROW(tblSubjectToLoan[#Headers])-1)),tblSubjectToLoan[[#This Row],[Int]]+IF(ROW()=ROW(tblSubjectToLoan[#Headers])+1,0,INDEX(tblSubjectToLoan[Interest],ROW()-ROW(tblSubjectToLoan[#Headers])-1)))</f>
        <v>36068.259999999973</v>
      </c>
      <c r="K503" s="969">
        <f>IF(tblSubjectToLoan[[#This Row],[Date]]="",0,MAX(0,tblSubjectToLoan[[#This Row],[Beginning Balance]]-tblSubjectToLoan[[#This Row],[Princ]]))</f>
        <v>0</v>
      </c>
      <c r="L503" s="394">
        <f t="shared" si="45"/>
        <v>0</v>
      </c>
      <c r="M503" s="394">
        <f t="shared" si="42"/>
        <v>0</v>
      </c>
      <c r="N503" s="613" t="str">
        <f>INDEX(tblSubjectToLoan[Date],ROW()-ROW(tblContractForDeed[#Headers]))</f>
        <v/>
      </c>
      <c r="O503" s="276">
        <f>IF(ROW()=ROW(tblContractForDeed[#Headers])+1,$O$6,IF(INDEX(tblContractForDeed[End Bal],ROW()-ROW(tblContractForDeed[#Headers])-1)&lt;0,0,INDEX(tblContractForDeed[End Bal],ROW()-ROW(tblContractForDeed[#Headers])-1)))</f>
        <v>0</v>
      </c>
      <c r="P503" s="454"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3" s="276">
        <f>IF(INDEX(tblContractForDeed[End Bal],ROW()-ROW(tblBuyerOutputs[#Headers]))&lt;=0,0,($O$6+IF(ROW()=ROW(tblBuyerOutputs[#Headers])+1,0,INDEX(tblBuyerOutputs[Cumul Appr],ROW()-ROW(tblBuyerOutputs[#Headers])-1)))*$O$2/12)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13" t="str">
        <f>IF(ROW()=ROW(tblSubjectToLoan[#Headers])+1,subjectKnownBalanceDate,IF(OR(INDEX(tblSubjectToLoan[Date],ROW()-ROW(tblSubjectToLoan[#Headers])-1)="",INDEX(tblSubjectToLoan[Date],ROW()-ROW(tblSubjectToLoan[#Headers])-1)&gt;=subjectMortgageEndDate),"",EDATE(INDEX(tblSubjectToLoan[Date],ROW()-ROW(tblSubjectToLoan[#Headers])-1),1)))</f>
        <v/>
      </c>
      <c r="B504" s="276">
        <f>IF(tblSubjectToLoan[[#This Row],[Date]]="",0,IF(ROW()=ROW(tblSubjectToLoan[#Headers])+1,subjectKnownBalance,MAX(0,INDEX(tblSubjectToLoan[Ending Balance],ROW()-ROW(tblSubjectToLoan[#Headers])-1))))</f>
        <v>0</v>
      </c>
      <c r="C5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4" s="14">
        <f>IF(tblSubjectToLoan[[#This Row],[Payment]]=0,0,MAX(0,MIN(tblSubjectToLoan[[#This Row],[Beginning Balance]],tblSubjectToLoan[[#This Row],[Payment]]-tblSubjectToLoan[[#This Row],[Int]])))</f>
        <v>0</v>
      </c>
      <c r="E504" s="14">
        <f>IF(tblSubjectToLoan[[#This Row],[Date]]="",0,ROUND(tblSubjectToLoan[[#This Row],[Beginning Balance]]*(subjectInterestRate/12),2))</f>
        <v>0</v>
      </c>
      <c r="H504" s="14">
        <f>SUM(tblSubjectToLoan[[#This Row],[Princ]],tblSubjectToLoan[[#This Row],[Int]],tblSubjectToLoan[[#This Row],[Ins]],tblSubjectToLoan[[#This Row],[Taxes]])</f>
        <v>0</v>
      </c>
      <c r="I5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4" s="276">
        <f>IF(tblSubjectToLoan[[#This Row],[Date]]="",IF(ROW()=ROW(tblSubjectToLoan[#Headers])+1,0,INDEX(tblSubjectToLoan[Interest],ROW()-ROW(tblSubjectToLoan[#Headers])-1)),tblSubjectToLoan[[#This Row],[Int]]+IF(ROW()=ROW(tblSubjectToLoan[#Headers])+1,0,INDEX(tblSubjectToLoan[Interest],ROW()-ROW(tblSubjectToLoan[#Headers])-1)))</f>
        <v>36068.259999999973</v>
      </c>
      <c r="K504" s="969">
        <f>IF(tblSubjectToLoan[[#This Row],[Date]]="",0,MAX(0,tblSubjectToLoan[[#This Row],[Beginning Balance]]-tblSubjectToLoan[[#This Row],[Princ]]))</f>
        <v>0</v>
      </c>
      <c r="L504" s="394">
        <f t="shared" si="45"/>
        <v>0</v>
      </c>
      <c r="M504" s="394">
        <f t="shared" si="42"/>
        <v>0</v>
      </c>
      <c r="N504" s="613" t="str">
        <f>INDEX(tblSubjectToLoan[Date],ROW()-ROW(tblContractForDeed[#Headers]))</f>
        <v/>
      </c>
      <c r="O504" s="276">
        <f>IF(ROW()=ROW(tblContractForDeed[#Headers])+1,$O$6,IF(INDEX(tblContractForDeed[End Bal],ROW()-ROW(tblContractForDeed[#Headers])-1)&lt;0,0,INDEX(tblContractForDeed[End Bal],ROW()-ROW(tblContractForDeed[#Headers])-1)))</f>
        <v>0</v>
      </c>
      <c r="P504" s="454"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4" s="276">
        <f>IF(INDEX(tblContractForDeed[End Bal],ROW()-ROW(tblBuyerOutputs[#Headers]))&lt;=0,0,($O$6+IF(ROW()=ROW(tblBuyerOutputs[#Headers])+1,0,INDEX(tblBuyerOutputs[Cumul Appr],ROW()-ROW(tblBuyerOutputs[#Headers])-1)))*$O$2/12)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13" t="str">
        <f>IF(ROW()=ROW(tblSubjectToLoan[#Headers])+1,subjectKnownBalanceDate,IF(OR(INDEX(tblSubjectToLoan[Date],ROW()-ROW(tblSubjectToLoan[#Headers])-1)="",INDEX(tblSubjectToLoan[Date],ROW()-ROW(tblSubjectToLoan[#Headers])-1)&gt;=subjectMortgageEndDate),"",EDATE(INDEX(tblSubjectToLoan[Date],ROW()-ROW(tblSubjectToLoan[#Headers])-1),1)))</f>
        <v/>
      </c>
      <c r="B505" s="276">
        <f>IF(tblSubjectToLoan[[#This Row],[Date]]="",0,IF(ROW()=ROW(tblSubjectToLoan[#Headers])+1,subjectKnownBalance,MAX(0,INDEX(tblSubjectToLoan[Ending Balance],ROW()-ROW(tblSubjectToLoan[#Headers])-1))))</f>
        <v>0</v>
      </c>
      <c r="C5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5" s="14">
        <f>IF(tblSubjectToLoan[[#This Row],[Payment]]=0,0,MAX(0,MIN(tblSubjectToLoan[[#This Row],[Beginning Balance]],tblSubjectToLoan[[#This Row],[Payment]]-tblSubjectToLoan[[#This Row],[Int]])))</f>
        <v>0</v>
      </c>
      <c r="E505" s="14">
        <f>IF(tblSubjectToLoan[[#This Row],[Date]]="",0,ROUND(tblSubjectToLoan[[#This Row],[Beginning Balance]]*(subjectInterestRate/12),2))</f>
        <v>0</v>
      </c>
      <c r="H505" s="14">
        <f>SUM(tblSubjectToLoan[[#This Row],[Princ]],tblSubjectToLoan[[#This Row],[Int]],tblSubjectToLoan[[#This Row],[Ins]],tblSubjectToLoan[[#This Row],[Taxes]])</f>
        <v>0</v>
      </c>
      <c r="I5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5" s="276">
        <f>IF(tblSubjectToLoan[[#This Row],[Date]]="",IF(ROW()=ROW(tblSubjectToLoan[#Headers])+1,0,INDEX(tblSubjectToLoan[Interest],ROW()-ROW(tblSubjectToLoan[#Headers])-1)),tblSubjectToLoan[[#This Row],[Int]]+IF(ROW()=ROW(tblSubjectToLoan[#Headers])+1,0,INDEX(tblSubjectToLoan[Interest],ROW()-ROW(tblSubjectToLoan[#Headers])-1)))</f>
        <v>36068.259999999973</v>
      </c>
      <c r="K505" s="969">
        <f>IF(tblSubjectToLoan[[#This Row],[Date]]="",0,MAX(0,tblSubjectToLoan[[#This Row],[Beginning Balance]]-tblSubjectToLoan[[#This Row],[Princ]]))</f>
        <v>0</v>
      </c>
      <c r="L505" s="394">
        <f t="shared" si="45"/>
        <v>0</v>
      </c>
      <c r="M505" s="394">
        <f t="shared" si="42"/>
        <v>0</v>
      </c>
      <c r="N505" s="613" t="str">
        <f>INDEX(tblSubjectToLoan[Date],ROW()-ROW(tblContractForDeed[#Headers]))</f>
        <v/>
      </c>
      <c r="O505" s="276">
        <f>IF(ROW()=ROW(tblContractForDeed[#Headers])+1,$O$6,IF(INDEX(tblContractForDeed[End Bal],ROW()-ROW(tblContractForDeed[#Headers])-1)&lt;0,0,INDEX(tblContractForDeed[End Bal],ROW()-ROW(tblContractForDeed[#Headers])-1)))</f>
        <v>0</v>
      </c>
      <c r="P505" s="454"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5" s="276">
        <f>IF(INDEX(tblContractForDeed[End Bal],ROW()-ROW(tblBuyerOutputs[#Headers]))&lt;=0,0,($O$6+IF(ROW()=ROW(tblBuyerOutputs[#Headers])+1,0,INDEX(tblBuyerOutputs[Cumul Appr],ROW()-ROW(tblBuyerOutputs[#Headers])-1)))*$O$2/12)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13" t="str">
        <f>IF(ROW()=ROW(tblSubjectToLoan[#Headers])+1,subjectKnownBalanceDate,IF(OR(INDEX(tblSubjectToLoan[Date],ROW()-ROW(tblSubjectToLoan[#Headers])-1)="",INDEX(tblSubjectToLoan[Date],ROW()-ROW(tblSubjectToLoan[#Headers])-1)&gt;=subjectMortgageEndDate),"",EDATE(INDEX(tblSubjectToLoan[Date],ROW()-ROW(tblSubjectToLoan[#Headers])-1),1)))</f>
        <v/>
      </c>
      <c r="B506" s="276">
        <f>IF(tblSubjectToLoan[[#This Row],[Date]]="",0,IF(ROW()=ROW(tblSubjectToLoan[#Headers])+1,subjectKnownBalance,MAX(0,INDEX(tblSubjectToLoan[Ending Balance],ROW()-ROW(tblSubjectToLoan[#Headers])-1))))</f>
        <v>0</v>
      </c>
      <c r="C5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6" s="14">
        <f>IF(tblSubjectToLoan[[#This Row],[Payment]]=0,0,MAX(0,MIN(tblSubjectToLoan[[#This Row],[Beginning Balance]],tblSubjectToLoan[[#This Row],[Payment]]-tblSubjectToLoan[[#This Row],[Int]])))</f>
        <v>0</v>
      </c>
      <c r="E506" s="14">
        <f>IF(tblSubjectToLoan[[#This Row],[Date]]="",0,ROUND(tblSubjectToLoan[[#This Row],[Beginning Balance]]*(subjectInterestRate/12),2))</f>
        <v>0</v>
      </c>
      <c r="H506" s="14">
        <f>SUM(tblSubjectToLoan[[#This Row],[Princ]],tblSubjectToLoan[[#This Row],[Int]],tblSubjectToLoan[[#This Row],[Ins]],tblSubjectToLoan[[#This Row],[Taxes]])</f>
        <v>0</v>
      </c>
      <c r="I5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6" s="276">
        <f>IF(tblSubjectToLoan[[#This Row],[Date]]="",IF(ROW()=ROW(tblSubjectToLoan[#Headers])+1,0,INDEX(tblSubjectToLoan[Interest],ROW()-ROW(tblSubjectToLoan[#Headers])-1)),tblSubjectToLoan[[#This Row],[Int]]+IF(ROW()=ROW(tblSubjectToLoan[#Headers])+1,0,INDEX(tblSubjectToLoan[Interest],ROW()-ROW(tblSubjectToLoan[#Headers])-1)))</f>
        <v>36068.259999999973</v>
      </c>
      <c r="K506" s="969">
        <f>IF(tblSubjectToLoan[[#This Row],[Date]]="",0,MAX(0,tblSubjectToLoan[[#This Row],[Beginning Balance]]-tblSubjectToLoan[[#This Row],[Princ]]))</f>
        <v>0</v>
      </c>
      <c r="L506" s="394">
        <f t="shared" si="45"/>
        <v>0</v>
      </c>
      <c r="M506" s="394">
        <f t="shared" si="42"/>
        <v>0</v>
      </c>
      <c r="N506" s="613" t="str">
        <f>INDEX(tblSubjectToLoan[Date],ROW()-ROW(tblContractForDeed[#Headers]))</f>
        <v/>
      </c>
      <c r="O506" s="276">
        <f>IF(ROW()=ROW(tblContractForDeed[#Headers])+1,$O$6,IF(INDEX(tblContractForDeed[End Bal],ROW()-ROW(tblContractForDeed[#Headers])-1)&lt;0,0,INDEX(tblContractForDeed[End Bal],ROW()-ROW(tblContractForDeed[#Headers])-1)))</f>
        <v>0</v>
      </c>
      <c r="P506" s="454"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6" s="276">
        <f>IF(INDEX(tblContractForDeed[End Bal],ROW()-ROW(tblBuyerOutputs[#Headers]))&lt;=0,0,($O$6+IF(ROW()=ROW(tblBuyerOutputs[#Headers])+1,0,INDEX(tblBuyerOutputs[Cumul Appr],ROW()-ROW(tblBuyerOutputs[#Headers])-1)))*$O$2/12)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13" t="str">
        <f>IF(ROW()=ROW(tblSubjectToLoan[#Headers])+1,subjectKnownBalanceDate,IF(OR(INDEX(tblSubjectToLoan[Date],ROW()-ROW(tblSubjectToLoan[#Headers])-1)="",INDEX(tblSubjectToLoan[Date],ROW()-ROW(tblSubjectToLoan[#Headers])-1)&gt;=subjectMortgageEndDate),"",EDATE(INDEX(tblSubjectToLoan[Date],ROW()-ROW(tblSubjectToLoan[#Headers])-1),1)))</f>
        <v/>
      </c>
      <c r="B507" s="276">
        <f>IF(tblSubjectToLoan[[#This Row],[Date]]="",0,IF(ROW()=ROW(tblSubjectToLoan[#Headers])+1,subjectKnownBalance,MAX(0,INDEX(tblSubjectToLoan[Ending Balance],ROW()-ROW(tblSubjectToLoan[#Headers])-1))))</f>
        <v>0</v>
      </c>
      <c r="C5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7" s="14">
        <f>IF(tblSubjectToLoan[[#This Row],[Payment]]=0,0,MAX(0,MIN(tblSubjectToLoan[[#This Row],[Beginning Balance]],tblSubjectToLoan[[#This Row],[Payment]]-tblSubjectToLoan[[#This Row],[Int]])))</f>
        <v>0</v>
      </c>
      <c r="E507" s="14">
        <f>IF(tblSubjectToLoan[[#This Row],[Date]]="",0,ROUND(tblSubjectToLoan[[#This Row],[Beginning Balance]]*(subjectInterestRate/12),2))</f>
        <v>0</v>
      </c>
      <c r="H507" s="14">
        <f>SUM(tblSubjectToLoan[[#This Row],[Princ]],tblSubjectToLoan[[#This Row],[Int]],tblSubjectToLoan[[#This Row],[Ins]],tblSubjectToLoan[[#This Row],[Taxes]])</f>
        <v>0</v>
      </c>
      <c r="I5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7" s="276">
        <f>IF(tblSubjectToLoan[[#This Row],[Date]]="",IF(ROW()=ROW(tblSubjectToLoan[#Headers])+1,0,INDEX(tblSubjectToLoan[Interest],ROW()-ROW(tblSubjectToLoan[#Headers])-1)),tblSubjectToLoan[[#This Row],[Int]]+IF(ROW()=ROW(tblSubjectToLoan[#Headers])+1,0,INDEX(tblSubjectToLoan[Interest],ROW()-ROW(tblSubjectToLoan[#Headers])-1)))</f>
        <v>36068.259999999973</v>
      </c>
      <c r="K507" s="969">
        <f>IF(tblSubjectToLoan[[#This Row],[Date]]="",0,MAX(0,tblSubjectToLoan[[#This Row],[Beginning Balance]]-tblSubjectToLoan[[#This Row],[Princ]]))</f>
        <v>0</v>
      </c>
      <c r="L507" s="394">
        <f t="shared" si="45"/>
        <v>0</v>
      </c>
      <c r="M507" s="394">
        <f t="shared" si="42"/>
        <v>0</v>
      </c>
      <c r="N507" s="613" t="str">
        <f>INDEX(tblSubjectToLoan[Date],ROW()-ROW(tblContractForDeed[#Headers]))</f>
        <v/>
      </c>
      <c r="O507" s="276">
        <f>IF(ROW()=ROW(tblContractForDeed[#Headers])+1,$O$6,IF(INDEX(tblContractForDeed[End Bal],ROW()-ROW(tblContractForDeed[#Headers])-1)&lt;0,0,INDEX(tblContractForDeed[End Bal],ROW()-ROW(tblContractForDeed[#Headers])-1)))</f>
        <v>0</v>
      </c>
      <c r="P507" s="454"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7" s="276">
        <f>IF(INDEX(tblContractForDeed[End Bal],ROW()-ROW(tblBuyerOutputs[#Headers]))&lt;=0,0,($O$6+IF(ROW()=ROW(tblBuyerOutputs[#Headers])+1,0,INDEX(tblBuyerOutputs[Cumul Appr],ROW()-ROW(tblBuyerOutputs[#Headers])-1)))*$O$2/12)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13" t="str">
        <f>IF(ROW()=ROW(tblSubjectToLoan[#Headers])+1,subjectKnownBalanceDate,IF(OR(INDEX(tblSubjectToLoan[Date],ROW()-ROW(tblSubjectToLoan[#Headers])-1)="",INDEX(tblSubjectToLoan[Date],ROW()-ROW(tblSubjectToLoan[#Headers])-1)&gt;=subjectMortgageEndDate),"",EDATE(INDEX(tblSubjectToLoan[Date],ROW()-ROW(tblSubjectToLoan[#Headers])-1),1)))</f>
        <v/>
      </c>
      <c r="B508" s="276">
        <f>IF(tblSubjectToLoan[[#This Row],[Date]]="",0,IF(ROW()=ROW(tblSubjectToLoan[#Headers])+1,subjectKnownBalance,MAX(0,INDEX(tblSubjectToLoan[Ending Balance],ROW()-ROW(tblSubjectToLoan[#Headers])-1))))</f>
        <v>0</v>
      </c>
      <c r="C5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8" s="14">
        <f>IF(tblSubjectToLoan[[#This Row],[Payment]]=0,0,MAX(0,MIN(tblSubjectToLoan[[#This Row],[Beginning Balance]],tblSubjectToLoan[[#This Row],[Payment]]-tblSubjectToLoan[[#This Row],[Int]])))</f>
        <v>0</v>
      </c>
      <c r="E508" s="14">
        <f>IF(tblSubjectToLoan[[#This Row],[Date]]="",0,ROUND(tblSubjectToLoan[[#This Row],[Beginning Balance]]*(subjectInterestRate/12),2))</f>
        <v>0</v>
      </c>
      <c r="H508" s="14">
        <f>SUM(tblSubjectToLoan[[#This Row],[Princ]],tblSubjectToLoan[[#This Row],[Int]],tblSubjectToLoan[[#This Row],[Ins]],tblSubjectToLoan[[#This Row],[Taxes]])</f>
        <v>0</v>
      </c>
      <c r="I5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8" s="276">
        <f>IF(tblSubjectToLoan[[#This Row],[Date]]="",IF(ROW()=ROW(tblSubjectToLoan[#Headers])+1,0,INDEX(tblSubjectToLoan[Interest],ROW()-ROW(tblSubjectToLoan[#Headers])-1)),tblSubjectToLoan[[#This Row],[Int]]+IF(ROW()=ROW(tblSubjectToLoan[#Headers])+1,0,INDEX(tblSubjectToLoan[Interest],ROW()-ROW(tblSubjectToLoan[#Headers])-1)))</f>
        <v>36068.259999999973</v>
      </c>
      <c r="K508" s="969">
        <f>IF(tblSubjectToLoan[[#This Row],[Date]]="",0,MAX(0,tblSubjectToLoan[[#This Row],[Beginning Balance]]-tblSubjectToLoan[[#This Row],[Princ]]))</f>
        <v>0</v>
      </c>
      <c r="L508" s="394">
        <f t="shared" si="45"/>
        <v>0</v>
      </c>
      <c r="M508" s="394">
        <f t="shared" si="42"/>
        <v>0</v>
      </c>
      <c r="N508" s="613" t="str">
        <f>INDEX(tblSubjectToLoan[Date],ROW()-ROW(tblContractForDeed[#Headers]))</f>
        <v/>
      </c>
      <c r="O508" s="276">
        <f>IF(ROW()=ROW(tblContractForDeed[#Headers])+1,$O$6,IF(INDEX(tblContractForDeed[End Bal],ROW()-ROW(tblContractForDeed[#Headers])-1)&lt;0,0,INDEX(tblContractForDeed[End Bal],ROW()-ROW(tblContractForDeed[#Headers])-1)))</f>
        <v>0</v>
      </c>
      <c r="P508" s="454"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8" s="276">
        <f>IF(INDEX(tblContractForDeed[End Bal],ROW()-ROW(tblBuyerOutputs[#Headers]))&lt;=0,0,($O$6+IF(ROW()=ROW(tblBuyerOutputs[#Headers])+1,0,INDEX(tblBuyerOutputs[Cumul Appr],ROW()-ROW(tblBuyerOutputs[#Headers])-1)))*$O$2/12)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13" t="str">
        <f>IF(ROW()=ROW(tblSubjectToLoan[#Headers])+1,subjectKnownBalanceDate,IF(OR(INDEX(tblSubjectToLoan[Date],ROW()-ROW(tblSubjectToLoan[#Headers])-1)="",INDEX(tblSubjectToLoan[Date],ROW()-ROW(tblSubjectToLoan[#Headers])-1)&gt;=subjectMortgageEndDate),"",EDATE(INDEX(tblSubjectToLoan[Date],ROW()-ROW(tblSubjectToLoan[#Headers])-1),1)))</f>
        <v/>
      </c>
      <c r="B509" s="276">
        <f>IF(tblSubjectToLoan[[#This Row],[Date]]="",0,IF(ROW()=ROW(tblSubjectToLoan[#Headers])+1,subjectKnownBalance,MAX(0,INDEX(tblSubjectToLoan[Ending Balance],ROW()-ROW(tblSubjectToLoan[#Headers])-1))))</f>
        <v>0</v>
      </c>
      <c r="C5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9" s="14">
        <f>IF(tblSubjectToLoan[[#This Row],[Payment]]=0,0,MAX(0,MIN(tblSubjectToLoan[[#This Row],[Beginning Balance]],tblSubjectToLoan[[#This Row],[Payment]]-tblSubjectToLoan[[#This Row],[Int]])))</f>
        <v>0</v>
      </c>
      <c r="E509" s="14">
        <f>IF(tblSubjectToLoan[[#This Row],[Date]]="",0,ROUND(tblSubjectToLoan[[#This Row],[Beginning Balance]]*(subjectInterestRate/12),2))</f>
        <v>0</v>
      </c>
      <c r="H509" s="14">
        <f>SUM(tblSubjectToLoan[[#This Row],[Princ]],tblSubjectToLoan[[#This Row],[Int]],tblSubjectToLoan[[#This Row],[Ins]],tblSubjectToLoan[[#This Row],[Taxes]])</f>
        <v>0</v>
      </c>
      <c r="I5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9" s="276">
        <f>IF(tblSubjectToLoan[[#This Row],[Date]]="",IF(ROW()=ROW(tblSubjectToLoan[#Headers])+1,0,INDEX(tblSubjectToLoan[Interest],ROW()-ROW(tblSubjectToLoan[#Headers])-1)),tblSubjectToLoan[[#This Row],[Int]]+IF(ROW()=ROW(tblSubjectToLoan[#Headers])+1,0,INDEX(tblSubjectToLoan[Interest],ROW()-ROW(tblSubjectToLoan[#Headers])-1)))</f>
        <v>36068.259999999973</v>
      </c>
      <c r="K509" s="969">
        <f>IF(tblSubjectToLoan[[#This Row],[Date]]="",0,MAX(0,tblSubjectToLoan[[#This Row],[Beginning Balance]]-tblSubjectToLoan[[#This Row],[Princ]]))</f>
        <v>0</v>
      </c>
      <c r="L509" s="394">
        <f t="shared" si="45"/>
        <v>0</v>
      </c>
      <c r="M509" s="394">
        <f t="shared" si="42"/>
        <v>0</v>
      </c>
      <c r="N509" s="613" t="str">
        <f>INDEX(tblSubjectToLoan[Date],ROW()-ROW(tblContractForDeed[#Headers]))</f>
        <v/>
      </c>
      <c r="O509" s="276">
        <f>IF(ROW()=ROW(tblContractForDeed[#Headers])+1,$O$6,IF(INDEX(tblContractForDeed[End Bal],ROW()-ROW(tblContractForDeed[#Headers])-1)&lt;0,0,INDEX(tblContractForDeed[End Bal],ROW()-ROW(tblContractForDeed[#Headers])-1)))</f>
        <v>0</v>
      </c>
      <c r="P509" s="454"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9" s="276">
        <f>IF(INDEX(tblContractForDeed[End Bal],ROW()-ROW(tblBuyerOutputs[#Headers]))&lt;=0,0,($O$6+IF(ROW()=ROW(tblBuyerOutputs[#Headers])+1,0,INDEX(tblBuyerOutputs[Cumul Appr],ROW()-ROW(tblBuyerOutputs[#Headers])-1)))*$O$2/12)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13" t="str">
        <f>IF(ROW()=ROW(tblSubjectToLoan[#Headers])+1,subjectKnownBalanceDate,IF(OR(INDEX(tblSubjectToLoan[Date],ROW()-ROW(tblSubjectToLoan[#Headers])-1)="",INDEX(tblSubjectToLoan[Date],ROW()-ROW(tblSubjectToLoan[#Headers])-1)&gt;=subjectMortgageEndDate),"",EDATE(INDEX(tblSubjectToLoan[Date],ROW()-ROW(tblSubjectToLoan[#Headers])-1),1)))</f>
        <v/>
      </c>
      <c r="B510" s="276">
        <f>IF(tblSubjectToLoan[[#This Row],[Date]]="",0,IF(ROW()=ROW(tblSubjectToLoan[#Headers])+1,subjectKnownBalance,MAX(0,INDEX(tblSubjectToLoan[Ending Balance],ROW()-ROW(tblSubjectToLoan[#Headers])-1))))</f>
        <v>0</v>
      </c>
      <c r="C5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0" s="14">
        <f>IF(tblSubjectToLoan[[#This Row],[Payment]]=0,0,MAX(0,MIN(tblSubjectToLoan[[#This Row],[Beginning Balance]],tblSubjectToLoan[[#This Row],[Payment]]-tblSubjectToLoan[[#This Row],[Int]])))</f>
        <v>0</v>
      </c>
      <c r="E510" s="14">
        <f>IF(tblSubjectToLoan[[#This Row],[Date]]="",0,ROUND(tblSubjectToLoan[[#This Row],[Beginning Balance]]*(subjectInterestRate/12),2))</f>
        <v>0</v>
      </c>
      <c r="H510" s="14">
        <f>SUM(tblSubjectToLoan[[#This Row],[Princ]],tblSubjectToLoan[[#This Row],[Int]],tblSubjectToLoan[[#This Row],[Ins]],tblSubjectToLoan[[#This Row],[Taxes]])</f>
        <v>0</v>
      </c>
      <c r="I5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0" s="276">
        <f>IF(tblSubjectToLoan[[#This Row],[Date]]="",IF(ROW()=ROW(tblSubjectToLoan[#Headers])+1,0,INDEX(tblSubjectToLoan[Interest],ROW()-ROW(tblSubjectToLoan[#Headers])-1)),tblSubjectToLoan[[#This Row],[Int]]+IF(ROW()=ROW(tblSubjectToLoan[#Headers])+1,0,INDEX(tblSubjectToLoan[Interest],ROW()-ROW(tblSubjectToLoan[#Headers])-1)))</f>
        <v>36068.259999999973</v>
      </c>
      <c r="K510" s="969">
        <f>IF(tblSubjectToLoan[[#This Row],[Date]]="",0,MAX(0,tblSubjectToLoan[[#This Row],[Beginning Balance]]-tblSubjectToLoan[[#This Row],[Princ]]))</f>
        <v>0</v>
      </c>
      <c r="L510" s="394">
        <f t="shared" si="45"/>
        <v>0</v>
      </c>
      <c r="M510" s="394">
        <f t="shared" si="42"/>
        <v>0</v>
      </c>
      <c r="N510" s="613" t="str">
        <f>INDEX(tblSubjectToLoan[Date],ROW()-ROW(tblContractForDeed[#Headers]))</f>
        <v/>
      </c>
      <c r="O510" s="276">
        <f>IF(ROW()=ROW(tblContractForDeed[#Headers])+1,$O$6,IF(INDEX(tblContractForDeed[End Bal],ROW()-ROW(tblContractForDeed[#Headers])-1)&lt;0,0,INDEX(tblContractForDeed[End Bal],ROW()-ROW(tblContractForDeed[#Headers])-1)))</f>
        <v>0</v>
      </c>
      <c r="P510" s="454"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0" s="276">
        <f>IF(INDEX(tblContractForDeed[End Bal],ROW()-ROW(tblBuyerOutputs[#Headers]))&lt;=0,0,($O$6+IF(ROW()=ROW(tblBuyerOutputs[#Headers])+1,0,INDEX(tblBuyerOutputs[Cumul Appr],ROW()-ROW(tblBuyerOutputs[#Headers])-1)))*$O$2/12)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14" t="str">
        <f>IF(ROW()=ROW(tblSubjectToLoan[#Headers])+1,subjectKnownBalanceDate,IF(OR(INDEX(tblSubjectToLoan[Date],ROW()-ROW(tblSubjectToLoan[#Headers])-1)="",INDEX(tblSubjectToLoan[Date],ROW()-ROW(tblSubjectToLoan[#Headers])-1)&gt;=subjectMortgageEndDate),"",EDATE(INDEX(tblSubjectToLoan[Date],ROW()-ROW(tblSubjectToLoan[#Headers])-1),1)))</f>
        <v/>
      </c>
      <c r="B511" s="332">
        <f>IF(tblSubjectToLoan[[#This Row],[Date]]="",0,IF(ROW()=ROW(tblSubjectToLoan[#Headers])+1,subjectKnownBalance,MAX(0,INDEX(tblSubjectToLoan[Ending Balance],ROW()-ROW(tblSubjectToLoan[#Headers])-1))))</f>
        <v>0</v>
      </c>
      <c r="C51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1" s="21">
        <f>IF(tblSubjectToLoan[[#This Row],[Payment]]=0,0,MAX(0,MIN(tblSubjectToLoan[[#This Row],[Beginning Balance]],tblSubjectToLoan[[#This Row],[Payment]]-tblSubjectToLoan[[#This Row],[Int]])))</f>
        <v>0</v>
      </c>
      <c r="E511" s="21">
        <f>IF(tblSubjectToLoan[[#This Row],[Date]]="",0,ROUND(tblSubjectToLoan[[#This Row],[Beginning Balance]]*(subjectInterestRate/12),2))</f>
        <v>0</v>
      </c>
      <c r="F511" s="21"/>
      <c r="G511" s="21"/>
      <c r="H511" s="21">
        <f>SUM(tblSubjectToLoan[[#This Row],[Princ]],tblSubjectToLoan[[#This Row],[Int]],tblSubjectToLoan[[#This Row],[Ins]],tblSubjectToLoan[[#This Row],[Taxes]])</f>
        <v>0</v>
      </c>
      <c r="I51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11" s="332">
        <f>IF(tblSubjectToLoan[[#This Row],[Date]]="",IF(ROW()=ROW(tblSubjectToLoan[#Headers])+1,0,INDEX(tblSubjectToLoan[Interest],ROW()-ROW(tblSubjectToLoan[#Headers])-1)),tblSubjectToLoan[[#This Row],[Int]]+IF(ROW()=ROW(tblSubjectToLoan[#Headers])+1,0,INDEX(tblSubjectToLoan[Interest],ROW()-ROW(tblSubjectToLoan[#Headers])-1)))</f>
        <v>36068.259999999973</v>
      </c>
      <c r="K511" s="970">
        <f>IF(tblSubjectToLoan[[#This Row],[Date]]="",0,MAX(0,tblSubjectToLoan[[#This Row],[Beginning Balance]]-tblSubjectToLoan[[#This Row],[Princ]]))</f>
        <v>0</v>
      </c>
      <c r="L511" s="395">
        <f t="shared" si="45"/>
        <v>0</v>
      </c>
      <c r="M511" s="395">
        <f t="shared" si="42"/>
        <v>0</v>
      </c>
      <c r="N511" s="614" t="str">
        <f>INDEX(tblSubjectToLoan[Date],ROW()-ROW(tblContractForDeed[#Headers]))</f>
        <v/>
      </c>
      <c r="O511" s="276">
        <f>IF(ROW()=ROW(tblContractForDeed[#Headers])+1,$O$6,IF(INDEX(tblContractForDeed[End Bal],ROW()-ROW(tblContractForDeed[#Headers])-1)&lt;0,0,INDEX(tblContractForDeed[End Bal],ROW()-ROW(tblContractForDeed[#Headers])-1)))</f>
        <v>0</v>
      </c>
      <c r="P511" s="454"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1" s="332">
        <f>IF(INDEX(tblContractForDeed[End Bal],ROW()-ROW(tblBuyerOutputs[#Headers]))&lt;=0,0,($O$6+IF(ROW()=ROW(tblBuyerOutputs[#Headers])+1,0,INDEX(tblBuyerOutputs[Cumul Appr],ROW()-ROW(tblBuyerOutputs[#Headers])-1)))*$O$2/12)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13" t="str">
        <f>IF(ROW()=ROW(tblSubjectToLoan[#Headers])+1,subjectKnownBalanceDate,IF(OR(INDEX(tblSubjectToLoan[Date],ROW()-ROW(tblSubjectToLoan[#Headers])-1)="",INDEX(tblSubjectToLoan[Date],ROW()-ROW(tblSubjectToLoan[#Headers])-1)&gt;=subjectMortgageEndDate),"",EDATE(INDEX(tblSubjectToLoan[Date],ROW()-ROW(tblSubjectToLoan[#Headers])-1),1)))</f>
        <v/>
      </c>
      <c r="B512" s="276">
        <f>IF(tblSubjectToLoan[[#This Row],[Date]]="",0,IF(ROW()=ROW(tblSubjectToLoan[#Headers])+1,subjectKnownBalance,MAX(0,INDEX(tblSubjectToLoan[Ending Balance],ROW()-ROW(tblSubjectToLoan[#Headers])-1))))</f>
        <v>0</v>
      </c>
      <c r="C5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2" s="14">
        <f>IF(tblSubjectToLoan[[#This Row],[Payment]]=0,0,MAX(0,MIN(tblSubjectToLoan[[#This Row],[Beginning Balance]],tblSubjectToLoan[[#This Row],[Payment]]-tblSubjectToLoan[[#This Row],[Int]])))</f>
        <v>0</v>
      </c>
      <c r="E512" s="14">
        <f>IF(tblSubjectToLoan[[#This Row],[Date]]="",0,ROUND(tblSubjectToLoan[[#This Row],[Beginning Balance]]*(subjectInterestRate/12),2))</f>
        <v>0</v>
      </c>
      <c r="H512" s="14">
        <f>SUM(tblSubjectToLoan[[#This Row],[Princ]],tblSubjectToLoan[[#This Row],[Int]],tblSubjectToLoan[[#This Row],[Ins]],tblSubjectToLoan[[#This Row],[Taxes]])</f>
        <v>0</v>
      </c>
      <c r="I5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2" s="276">
        <f>IF(tblSubjectToLoan[[#This Row],[Date]]="",IF(ROW()=ROW(tblSubjectToLoan[#Headers])+1,0,INDEX(tblSubjectToLoan[Interest],ROW()-ROW(tblSubjectToLoan[#Headers])-1)),tblSubjectToLoan[[#This Row],[Int]]+IF(ROW()=ROW(tblSubjectToLoan[#Headers])+1,0,INDEX(tblSubjectToLoan[Interest],ROW()-ROW(tblSubjectToLoan[#Headers])-1)))</f>
        <v>36068.259999999973</v>
      </c>
      <c r="K512" s="969">
        <f>IF(tblSubjectToLoan[[#This Row],[Date]]="",0,MAX(0,tblSubjectToLoan[[#This Row],[Beginning Balance]]-tblSubjectToLoan[[#This Row],[Princ]]))</f>
        <v>0</v>
      </c>
      <c r="L512" s="394">
        <f t="shared" si="45"/>
        <v>0</v>
      </c>
      <c r="M512" s="394">
        <f t="shared" si="42"/>
        <v>0</v>
      </c>
      <c r="N512" s="613" t="str">
        <f>INDEX(tblSubjectToLoan[Date],ROW()-ROW(tblContractForDeed[#Headers]))</f>
        <v/>
      </c>
      <c r="O512" s="276">
        <f>IF(ROW()=ROW(tblContractForDeed[#Headers])+1,$O$6,IF(INDEX(tblContractForDeed[End Bal],ROW()-ROW(tblContractForDeed[#Headers])-1)&lt;0,0,INDEX(tblContractForDeed[End Bal],ROW()-ROW(tblContractForDeed[#Headers])-1)))</f>
        <v>0</v>
      </c>
      <c r="P512" s="454"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2" s="276">
        <f>IF(INDEX(tblContractForDeed[End Bal],ROW()-ROW(tblBuyerOutputs[#Headers]))&lt;=0,0,($O$6+IF(ROW()=ROW(tblBuyerOutputs[#Headers])+1,0,INDEX(tblBuyerOutputs[Cumul Appr],ROW()-ROW(tblBuyerOutputs[#Headers])-1)))*$O$2/12)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13" t="str">
        <f>IF(ROW()=ROW(tblSubjectToLoan[#Headers])+1,subjectKnownBalanceDate,IF(OR(INDEX(tblSubjectToLoan[Date],ROW()-ROW(tblSubjectToLoan[#Headers])-1)="",INDEX(tblSubjectToLoan[Date],ROW()-ROW(tblSubjectToLoan[#Headers])-1)&gt;=subjectMortgageEndDate),"",EDATE(INDEX(tblSubjectToLoan[Date],ROW()-ROW(tblSubjectToLoan[#Headers])-1),1)))</f>
        <v/>
      </c>
      <c r="B513" s="276">
        <f>IF(tblSubjectToLoan[[#This Row],[Date]]="",0,IF(ROW()=ROW(tblSubjectToLoan[#Headers])+1,subjectKnownBalance,MAX(0,INDEX(tblSubjectToLoan[Ending Balance],ROW()-ROW(tblSubjectToLoan[#Headers])-1))))</f>
        <v>0</v>
      </c>
      <c r="C5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3" s="14">
        <f>IF(tblSubjectToLoan[[#This Row],[Payment]]=0,0,MAX(0,MIN(tblSubjectToLoan[[#This Row],[Beginning Balance]],tblSubjectToLoan[[#This Row],[Payment]]-tblSubjectToLoan[[#This Row],[Int]])))</f>
        <v>0</v>
      </c>
      <c r="E513" s="14">
        <f>IF(tblSubjectToLoan[[#This Row],[Date]]="",0,ROUND(tblSubjectToLoan[[#This Row],[Beginning Balance]]*(subjectInterestRate/12),2))</f>
        <v>0</v>
      </c>
      <c r="H513" s="14">
        <f>SUM(tblSubjectToLoan[[#This Row],[Princ]],tblSubjectToLoan[[#This Row],[Int]],tblSubjectToLoan[[#This Row],[Ins]],tblSubjectToLoan[[#This Row],[Taxes]])</f>
        <v>0</v>
      </c>
      <c r="I5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3" s="276">
        <f>IF(tblSubjectToLoan[[#This Row],[Date]]="",IF(ROW()=ROW(tblSubjectToLoan[#Headers])+1,0,INDEX(tblSubjectToLoan[Interest],ROW()-ROW(tblSubjectToLoan[#Headers])-1)),tblSubjectToLoan[[#This Row],[Int]]+IF(ROW()=ROW(tblSubjectToLoan[#Headers])+1,0,INDEX(tblSubjectToLoan[Interest],ROW()-ROW(tblSubjectToLoan[#Headers])-1)))</f>
        <v>36068.259999999973</v>
      </c>
      <c r="K513" s="969">
        <f>IF(tblSubjectToLoan[[#This Row],[Date]]="",0,MAX(0,tblSubjectToLoan[[#This Row],[Beginning Balance]]-tblSubjectToLoan[[#This Row],[Princ]]))</f>
        <v>0</v>
      </c>
      <c r="L513" s="394">
        <f t="shared" si="45"/>
        <v>0</v>
      </c>
      <c r="M513" s="394">
        <f t="shared" si="42"/>
        <v>0</v>
      </c>
      <c r="N513" s="613" t="str">
        <f>INDEX(tblSubjectToLoan[Date],ROW()-ROW(tblContractForDeed[#Headers]))</f>
        <v/>
      </c>
      <c r="O513" s="276">
        <f>IF(ROW()=ROW(tblContractForDeed[#Headers])+1,$O$6,IF(INDEX(tblContractForDeed[End Bal],ROW()-ROW(tblContractForDeed[#Headers])-1)&lt;0,0,INDEX(tblContractForDeed[End Bal],ROW()-ROW(tblContractForDeed[#Headers])-1)))</f>
        <v>0</v>
      </c>
      <c r="P513" s="454"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3" s="276">
        <f>IF(INDEX(tblContractForDeed[End Bal],ROW()-ROW(tblBuyerOutputs[#Headers]))&lt;=0,0,($O$6+IF(ROW()=ROW(tblBuyerOutputs[#Headers])+1,0,INDEX(tblBuyerOutputs[Cumul Appr],ROW()-ROW(tblBuyerOutputs[#Headers])-1)))*$O$2/12)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13" t="str">
        <f>IF(ROW()=ROW(tblSubjectToLoan[#Headers])+1,subjectKnownBalanceDate,IF(OR(INDEX(tblSubjectToLoan[Date],ROW()-ROW(tblSubjectToLoan[#Headers])-1)="",INDEX(tblSubjectToLoan[Date],ROW()-ROW(tblSubjectToLoan[#Headers])-1)&gt;=subjectMortgageEndDate),"",EDATE(INDEX(tblSubjectToLoan[Date],ROW()-ROW(tblSubjectToLoan[#Headers])-1),1)))</f>
        <v/>
      </c>
      <c r="B514" s="276">
        <f>IF(tblSubjectToLoan[[#This Row],[Date]]="",0,IF(ROW()=ROW(tblSubjectToLoan[#Headers])+1,subjectKnownBalance,MAX(0,INDEX(tblSubjectToLoan[Ending Balance],ROW()-ROW(tblSubjectToLoan[#Headers])-1))))</f>
        <v>0</v>
      </c>
      <c r="C5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4" s="14">
        <f>IF(tblSubjectToLoan[[#This Row],[Payment]]=0,0,MAX(0,MIN(tblSubjectToLoan[[#This Row],[Beginning Balance]],tblSubjectToLoan[[#This Row],[Payment]]-tblSubjectToLoan[[#This Row],[Int]])))</f>
        <v>0</v>
      </c>
      <c r="E514" s="14">
        <f>IF(tblSubjectToLoan[[#This Row],[Date]]="",0,ROUND(tblSubjectToLoan[[#This Row],[Beginning Balance]]*(subjectInterestRate/12),2))</f>
        <v>0</v>
      </c>
      <c r="H514" s="14">
        <f>SUM(tblSubjectToLoan[[#This Row],[Princ]],tblSubjectToLoan[[#This Row],[Int]],tblSubjectToLoan[[#This Row],[Ins]],tblSubjectToLoan[[#This Row],[Taxes]])</f>
        <v>0</v>
      </c>
      <c r="I5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4" s="276">
        <f>IF(tblSubjectToLoan[[#This Row],[Date]]="",IF(ROW()=ROW(tblSubjectToLoan[#Headers])+1,0,INDEX(tblSubjectToLoan[Interest],ROW()-ROW(tblSubjectToLoan[#Headers])-1)),tblSubjectToLoan[[#This Row],[Int]]+IF(ROW()=ROW(tblSubjectToLoan[#Headers])+1,0,INDEX(tblSubjectToLoan[Interest],ROW()-ROW(tblSubjectToLoan[#Headers])-1)))</f>
        <v>36068.259999999973</v>
      </c>
      <c r="K514" s="969">
        <f>IF(tblSubjectToLoan[[#This Row],[Date]]="",0,MAX(0,tblSubjectToLoan[[#This Row],[Beginning Balance]]-tblSubjectToLoan[[#This Row],[Princ]]))</f>
        <v>0</v>
      </c>
      <c r="L514" s="394">
        <f t="shared" si="45"/>
        <v>0</v>
      </c>
      <c r="M514" s="394">
        <f t="shared" si="42"/>
        <v>0</v>
      </c>
      <c r="N514" s="613" t="str">
        <f>INDEX(tblSubjectToLoan[Date],ROW()-ROW(tblContractForDeed[#Headers]))</f>
        <v/>
      </c>
      <c r="O514" s="276">
        <f>IF(ROW()=ROW(tblContractForDeed[#Headers])+1,$O$6,IF(INDEX(tblContractForDeed[End Bal],ROW()-ROW(tblContractForDeed[#Headers])-1)&lt;0,0,INDEX(tblContractForDeed[End Bal],ROW()-ROW(tblContractForDeed[#Headers])-1)))</f>
        <v>0</v>
      </c>
      <c r="P514" s="454"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4" s="276">
        <f>IF(INDEX(tblContractForDeed[End Bal],ROW()-ROW(tblBuyerOutputs[#Headers]))&lt;=0,0,($O$6+IF(ROW()=ROW(tblBuyerOutputs[#Headers])+1,0,INDEX(tblBuyerOutputs[Cumul Appr],ROW()-ROW(tblBuyerOutputs[#Headers])-1)))*$O$2/12)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13" t="str">
        <f>IF(ROW()=ROW(tblSubjectToLoan[#Headers])+1,subjectKnownBalanceDate,IF(OR(INDEX(tblSubjectToLoan[Date],ROW()-ROW(tblSubjectToLoan[#Headers])-1)="",INDEX(tblSubjectToLoan[Date],ROW()-ROW(tblSubjectToLoan[#Headers])-1)&gt;=subjectMortgageEndDate),"",EDATE(INDEX(tblSubjectToLoan[Date],ROW()-ROW(tblSubjectToLoan[#Headers])-1),1)))</f>
        <v/>
      </c>
      <c r="B515" s="276">
        <f>IF(tblSubjectToLoan[[#This Row],[Date]]="",0,IF(ROW()=ROW(tblSubjectToLoan[#Headers])+1,subjectKnownBalance,MAX(0,INDEX(tblSubjectToLoan[Ending Balance],ROW()-ROW(tblSubjectToLoan[#Headers])-1))))</f>
        <v>0</v>
      </c>
      <c r="C5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5" s="14">
        <f>IF(tblSubjectToLoan[[#This Row],[Payment]]=0,0,MAX(0,MIN(tblSubjectToLoan[[#This Row],[Beginning Balance]],tblSubjectToLoan[[#This Row],[Payment]]-tblSubjectToLoan[[#This Row],[Int]])))</f>
        <v>0</v>
      </c>
      <c r="E515" s="14">
        <f>IF(tblSubjectToLoan[[#This Row],[Date]]="",0,ROUND(tblSubjectToLoan[[#This Row],[Beginning Balance]]*(subjectInterestRate/12),2))</f>
        <v>0</v>
      </c>
      <c r="H515" s="14">
        <f>SUM(tblSubjectToLoan[[#This Row],[Princ]],tblSubjectToLoan[[#This Row],[Int]],tblSubjectToLoan[[#This Row],[Ins]],tblSubjectToLoan[[#This Row],[Taxes]])</f>
        <v>0</v>
      </c>
      <c r="I5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5" s="276">
        <f>IF(tblSubjectToLoan[[#This Row],[Date]]="",IF(ROW()=ROW(tblSubjectToLoan[#Headers])+1,0,INDEX(tblSubjectToLoan[Interest],ROW()-ROW(tblSubjectToLoan[#Headers])-1)),tblSubjectToLoan[[#This Row],[Int]]+IF(ROW()=ROW(tblSubjectToLoan[#Headers])+1,0,INDEX(tblSubjectToLoan[Interest],ROW()-ROW(tblSubjectToLoan[#Headers])-1)))</f>
        <v>36068.259999999973</v>
      </c>
      <c r="K515" s="969">
        <f>IF(tblSubjectToLoan[[#This Row],[Date]]="",0,MAX(0,tblSubjectToLoan[[#This Row],[Beginning Balance]]-tblSubjectToLoan[[#This Row],[Princ]]))</f>
        <v>0</v>
      </c>
      <c r="L515" s="394">
        <f t="shared" si="45"/>
        <v>0</v>
      </c>
      <c r="M515" s="394">
        <f t="shared" si="42"/>
        <v>0</v>
      </c>
      <c r="N515" s="613" t="str">
        <f>INDEX(tblSubjectToLoan[Date],ROW()-ROW(tblContractForDeed[#Headers]))</f>
        <v/>
      </c>
      <c r="O515" s="276">
        <f>IF(ROW()=ROW(tblContractForDeed[#Headers])+1,$O$6,IF(INDEX(tblContractForDeed[End Bal],ROW()-ROW(tblContractForDeed[#Headers])-1)&lt;0,0,INDEX(tblContractForDeed[End Bal],ROW()-ROW(tblContractForDeed[#Headers])-1)))</f>
        <v>0</v>
      </c>
      <c r="P515" s="454"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5" s="276">
        <f>IF(INDEX(tblContractForDeed[End Bal],ROW()-ROW(tblBuyerOutputs[#Headers]))&lt;=0,0,($O$6+IF(ROW()=ROW(tblBuyerOutputs[#Headers])+1,0,INDEX(tblBuyerOutputs[Cumul Appr],ROW()-ROW(tblBuyerOutputs[#Headers])-1)))*$O$2/12)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13" t="str">
        <f>IF(ROW()=ROW(tblSubjectToLoan[#Headers])+1,subjectKnownBalanceDate,IF(OR(INDEX(tblSubjectToLoan[Date],ROW()-ROW(tblSubjectToLoan[#Headers])-1)="",INDEX(tblSubjectToLoan[Date],ROW()-ROW(tblSubjectToLoan[#Headers])-1)&gt;=subjectMortgageEndDate),"",EDATE(INDEX(tblSubjectToLoan[Date],ROW()-ROW(tblSubjectToLoan[#Headers])-1),1)))</f>
        <v/>
      </c>
      <c r="B516" s="276">
        <f>IF(tblSubjectToLoan[[#This Row],[Date]]="",0,IF(ROW()=ROW(tblSubjectToLoan[#Headers])+1,subjectKnownBalance,MAX(0,INDEX(tblSubjectToLoan[Ending Balance],ROW()-ROW(tblSubjectToLoan[#Headers])-1))))</f>
        <v>0</v>
      </c>
      <c r="C5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6" s="14">
        <f>IF(tblSubjectToLoan[[#This Row],[Payment]]=0,0,MAX(0,MIN(tblSubjectToLoan[[#This Row],[Beginning Balance]],tblSubjectToLoan[[#This Row],[Payment]]-tblSubjectToLoan[[#This Row],[Int]])))</f>
        <v>0</v>
      </c>
      <c r="E516" s="14">
        <f>IF(tblSubjectToLoan[[#This Row],[Date]]="",0,ROUND(tblSubjectToLoan[[#This Row],[Beginning Balance]]*(subjectInterestRate/12),2))</f>
        <v>0</v>
      </c>
      <c r="H516" s="14">
        <f>SUM(tblSubjectToLoan[[#This Row],[Princ]],tblSubjectToLoan[[#This Row],[Int]],tblSubjectToLoan[[#This Row],[Ins]],tblSubjectToLoan[[#This Row],[Taxes]])</f>
        <v>0</v>
      </c>
      <c r="I5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6" s="276">
        <f>IF(tblSubjectToLoan[[#This Row],[Date]]="",IF(ROW()=ROW(tblSubjectToLoan[#Headers])+1,0,INDEX(tblSubjectToLoan[Interest],ROW()-ROW(tblSubjectToLoan[#Headers])-1)),tblSubjectToLoan[[#This Row],[Int]]+IF(ROW()=ROW(tblSubjectToLoan[#Headers])+1,0,INDEX(tblSubjectToLoan[Interest],ROW()-ROW(tblSubjectToLoan[#Headers])-1)))</f>
        <v>36068.259999999973</v>
      </c>
      <c r="K516" s="969">
        <f>IF(tblSubjectToLoan[[#This Row],[Date]]="",0,MAX(0,tblSubjectToLoan[[#This Row],[Beginning Balance]]-tblSubjectToLoan[[#This Row],[Princ]]))</f>
        <v>0</v>
      </c>
      <c r="L516" s="394">
        <f t="shared" si="45"/>
        <v>0</v>
      </c>
      <c r="M516" s="394">
        <f t="shared" si="42"/>
        <v>0</v>
      </c>
      <c r="N516" s="613" t="str">
        <f>INDEX(tblSubjectToLoan[Date],ROW()-ROW(tblContractForDeed[#Headers]))</f>
        <v/>
      </c>
      <c r="O516" s="276">
        <f>IF(ROW()=ROW(tblContractForDeed[#Headers])+1,$O$6,IF(INDEX(tblContractForDeed[End Bal],ROW()-ROW(tblContractForDeed[#Headers])-1)&lt;0,0,INDEX(tblContractForDeed[End Bal],ROW()-ROW(tblContractForDeed[#Headers])-1)))</f>
        <v>0</v>
      </c>
      <c r="P516" s="454"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6" s="276">
        <f>IF(INDEX(tblContractForDeed[End Bal],ROW()-ROW(tblBuyerOutputs[#Headers]))&lt;=0,0,($O$6+IF(ROW()=ROW(tblBuyerOutputs[#Headers])+1,0,INDEX(tblBuyerOutputs[Cumul Appr],ROW()-ROW(tblBuyerOutputs[#Headers])-1)))*$O$2/12)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13" t="str">
        <f>IF(ROW()=ROW(tblSubjectToLoan[#Headers])+1,subjectKnownBalanceDate,IF(OR(INDEX(tblSubjectToLoan[Date],ROW()-ROW(tblSubjectToLoan[#Headers])-1)="",INDEX(tblSubjectToLoan[Date],ROW()-ROW(tblSubjectToLoan[#Headers])-1)&gt;=subjectMortgageEndDate),"",EDATE(INDEX(tblSubjectToLoan[Date],ROW()-ROW(tblSubjectToLoan[#Headers])-1),1)))</f>
        <v/>
      </c>
      <c r="B517" s="276">
        <f>IF(tblSubjectToLoan[[#This Row],[Date]]="",0,IF(ROW()=ROW(tblSubjectToLoan[#Headers])+1,subjectKnownBalance,MAX(0,INDEX(tblSubjectToLoan[Ending Balance],ROW()-ROW(tblSubjectToLoan[#Headers])-1))))</f>
        <v>0</v>
      </c>
      <c r="C5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7" s="14">
        <f>IF(tblSubjectToLoan[[#This Row],[Payment]]=0,0,MAX(0,MIN(tblSubjectToLoan[[#This Row],[Beginning Balance]],tblSubjectToLoan[[#This Row],[Payment]]-tblSubjectToLoan[[#This Row],[Int]])))</f>
        <v>0</v>
      </c>
      <c r="E517" s="14">
        <f>IF(tblSubjectToLoan[[#This Row],[Date]]="",0,ROUND(tblSubjectToLoan[[#This Row],[Beginning Balance]]*(subjectInterestRate/12),2))</f>
        <v>0</v>
      </c>
      <c r="H517" s="14">
        <f>SUM(tblSubjectToLoan[[#This Row],[Princ]],tblSubjectToLoan[[#This Row],[Int]],tblSubjectToLoan[[#This Row],[Ins]],tblSubjectToLoan[[#This Row],[Taxes]])</f>
        <v>0</v>
      </c>
      <c r="I5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7" s="276">
        <f>IF(tblSubjectToLoan[[#This Row],[Date]]="",IF(ROW()=ROW(tblSubjectToLoan[#Headers])+1,0,INDEX(tblSubjectToLoan[Interest],ROW()-ROW(tblSubjectToLoan[#Headers])-1)),tblSubjectToLoan[[#This Row],[Int]]+IF(ROW()=ROW(tblSubjectToLoan[#Headers])+1,0,INDEX(tblSubjectToLoan[Interest],ROW()-ROW(tblSubjectToLoan[#Headers])-1)))</f>
        <v>36068.259999999973</v>
      </c>
      <c r="K517" s="969">
        <f>IF(tblSubjectToLoan[[#This Row],[Date]]="",0,MAX(0,tblSubjectToLoan[[#This Row],[Beginning Balance]]-tblSubjectToLoan[[#This Row],[Princ]]))</f>
        <v>0</v>
      </c>
      <c r="L517" s="394">
        <f t="shared" si="45"/>
        <v>0</v>
      </c>
      <c r="M517" s="394">
        <f t="shared" si="42"/>
        <v>0</v>
      </c>
      <c r="N517" s="613" t="str">
        <f>INDEX(tblSubjectToLoan[Date],ROW()-ROW(tblContractForDeed[#Headers]))</f>
        <v/>
      </c>
      <c r="O517" s="276">
        <f>IF(ROW()=ROW(tblContractForDeed[#Headers])+1,$O$6,IF(INDEX(tblContractForDeed[End Bal],ROW()-ROW(tblContractForDeed[#Headers])-1)&lt;0,0,INDEX(tblContractForDeed[End Bal],ROW()-ROW(tblContractForDeed[#Headers])-1)))</f>
        <v>0</v>
      </c>
      <c r="P517" s="454"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7" s="276">
        <f>IF(INDEX(tblContractForDeed[End Bal],ROW()-ROW(tblBuyerOutputs[#Headers]))&lt;=0,0,($O$6+IF(ROW()=ROW(tblBuyerOutputs[#Headers])+1,0,INDEX(tblBuyerOutputs[Cumul Appr],ROW()-ROW(tblBuyerOutputs[#Headers])-1)))*$O$2/12)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13" t="str">
        <f>IF(ROW()=ROW(tblSubjectToLoan[#Headers])+1,subjectKnownBalanceDate,IF(OR(INDEX(tblSubjectToLoan[Date],ROW()-ROW(tblSubjectToLoan[#Headers])-1)="",INDEX(tblSubjectToLoan[Date],ROW()-ROW(tblSubjectToLoan[#Headers])-1)&gt;=subjectMortgageEndDate),"",EDATE(INDEX(tblSubjectToLoan[Date],ROW()-ROW(tblSubjectToLoan[#Headers])-1),1)))</f>
        <v/>
      </c>
      <c r="B518" s="276">
        <f>IF(tblSubjectToLoan[[#This Row],[Date]]="",0,IF(ROW()=ROW(tblSubjectToLoan[#Headers])+1,subjectKnownBalance,MAX(0,INDEX(tblSubjectToLoan[Ending Balance],ROW()-ROW(tblSubjectToLoan[#Headers])-1))))</f>
        <v>0</v>
      </c>
      <c r="C5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8" s="14">
        <f>IF(tblSubjectToLoan[[#This Row],[Payment]]=0,0,MAX(0,MIN(tblSubjectToLoan[[#This Row],[Beginning Balance]],tblSubjectToLoan[[#This Row],[Payment]]-tblSubjectToLoan[[#This Row],[Int]])))</f>
        <v>0</v>
      </c>
      <c r="E518" s="14">
        <f>IF(tblSubjectToLoan[[#This Row],[Date]]="",0,ROUND(tblSubjectToLoan[[#This Row],[Beginning Balance]]*(subjectInterestRate/12),2))</f>
        <v>0</v>
      </c>
      <c r="H518" s="14">
        <f>SUM(tblSubjectToLoan[[#This Row],[Princ]],tblSubjectToLoan[[#This Row],[Int]],tblSubjectToLoan[[#This Row],[Ins]],tblSubjectToLoan[[#This Row],[Taxes]])</f>
        <v>0</v>
      </c>
      <c r="I5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8" s="276">
        <f>IF(tblSubjectToLoan[[#This Row],[Date]]="",IF(ROW()=ROW(tblSubjectToLoan[#Headers])+1,0,INDEX(tblSubjectToLoan[Interest],ROW()-ROW(tblSubjectToLoan[#Headers])-1)),tblSubjectToLoan[[#This Row],[Int]]+IF(ROW()=ROW(tblSubjectToLoan[#Headers])+1,0,INDEX(tblSubjectToLoan[Interest],ROW()-ROW(tblSubjectToLoan[#Headers])-1)))</f>
        <v>36068.259999999973</v>
      </c>
      <c r="K518" s="969">
        <f>IF(tblSubjectToLoan[[#This Row],[Date]]="",0,MAX(0,tblSubjectToLoan[[#This Row],[Beginning Balance]]-tblSubjectToLoan[[#This Row],[Princ]]))</f>
        <v>0</v>
      </c>
      <c r="L518" s="394">
        <f t="shared" si="45"/>
        <v>0</v>
      </c>
      <c r="M518" s="394">
        <f t="shared" si="42"/>
        <v>0</v>
      </c>
      <c r="N518" s="613" t="str">
        <f>INDEX(tblSubjectToLoan[Date],ROW()-ROW(tblContractForDeed[#Headers]))</f>
        <v/>
      </c>
      <c r="O518" s="276">
        <f>IF(ROW()=ROW(tblContractForDeed[#Headers])+1,$O$6,IF(INDEX(tblContractForDeed[End Bal],ROW()-ROW(tblContractForDeed[#Headers])-1)&lt;0,0,INDEX(tblContractForDeed[End Bal],ROW()-ROW(tblContractForDeed[#Headers])-1)))</f>
        <v>0</v>
      </c>
      <c r="P518" s="454"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8" s="276">
        <f>IF(INDEX(tblContractForDeed[End Bal],ROW()-ROW(tblBuyerOutputs[#Headers]))&lt;=0,0,($O$6+IF(ROW()=ROW(tblBuyerOutputs[#Headers])+1,0,INDEX(tblBuyerOutputs[Cumul Appr],ROW()-ROW(tblBuyerOutputs[#Headers])-1)))*$O$2/12)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13" t="str">
        <f>IF(ROW()=ROW(tblSubjectToLoan[#Headers])+1,subjectKnownBalanceDate,IF(OR(INDEX(tblSubjectToLoan[Date],ROW()-ROW(tblSubjectToLoan[#Headers])-1)="",INDEX(tblSubjectToLoan[Date],ROW()-ROW(tblSubjectToLoan[#Headers])-1)&gt;=subjectMortgageEndDate),"",EDATE(INDEX(tblSubjectToLoan[Date],ROW()-ROW(tblSubjectToLoan[#Headers])-1),1)))</f>
        <v/>
      </c>
      <c r="B519" s="276">
        <f>IF(tblSubjectToLoan[[#This Row],[Date]]="",0,IF(ROW()=ROW(tblSubjectToLoan[#Headers])+1,subjectKnownBalance,MAX(0,INDEX(tblSubjectToLoan[Ending Balance],ROW()-ROW(tblSubjectToLoan[#Headers])-1))))</f>
        <v>0</v>
      </c>
      <c r="C5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9" s="14">
        <f>IF(tblSubjectToLoan[[#This Row],[Payment]]=0,0,MAX(0,MIN(tblSubjectToLoan[[#This Row],[Beginning Balance]],tblSubjectToLoan[[#This Row],[Payment]]-tblSubjectToLoan[[#This Row],[Int]])))</f>
        <v>0</v>
      </c>
      <c r="E519" s="14">
        <f>IF(tblSubjectToLoan[[#This Row],[Date]]="",0,ROUND(tblSubjectToLoan[[#This Row],[Beginning Balance]]*(subjectInterestRate/12),2))</f>
        <v>0</v>
      </c>
      <c r="H519" s="14">
        <f>SUM(tblSubjectToLoan[[#This Row],[Princ]],tblSubjectToLoan[[#This Row],[Int]],tblSubjectToLoan[[#This Row],[Ins]],tblSubjectToLoan[[#This Row],[Taxes]])</f>
        <v>0</v>
      </c>
      <c r="I5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9" s="276">
        <f>IF(tblSubjectToLoan[[#This Row],[Date]]="",IF(ROW()=ROW(tblSubjectToLoan[#Headers])+1,0,INDEX(tblSubjectToLoan[Interest],ROW()-ROW(tblSubjectToLoan[#Headers])-1)),tblSubjectToLoan[[#This Row],[Int]]+IF(ROW()=ROW(tblSubjectToLoan[#Headers])+1,0,INDEX(tblSubjectToLoan[Interest],ROW()-ROW(tblSubjectToLoan[#Headers])-1)))</f>
        <v>36068.259999999973</v>
      </c>
      <c r="K519" s="969">
        <f>IF(tblSubjectToLoan[[#This Row],[Date]]="",0,MAX(0,tblSubjectToLoan[[#This Row],[Beginning Balance]]-tblSubjectToLoan[[#This Row],[Princ]]))</f>
        <v>0</v>
      </c>
      <c r="L519" s="394">
        <f t="shared" si="45"/>
        <v>0</v>
      </c>
      <c r="M519" s="394">
        <f t="shared" si="42"/>
        <v>0</v>
      </c>
      <c r="N519" s="613" t="str">
        <f>INDEX(tblSubjectToLoan[Date],ROW()-ROW(tblContractForDeed[#Headers]))</f>
        <v/>
      </c>
      <c r="O519" s="276">
        <f>IF(ROW()=ROW(tblContractForDeed[#Headers])+1,$O$6,IF(INDEX(tblContractForDeed[End Bal],ROW()-ROW(tblContractForDeed[#Headers])-1)&lt;0,0,INDEX(tblContractForDeed[End Bal],ROW()-ROW(tblContractForDeed[#Headers])-1)))</f>
        <v>0</v>
      </c>
      <c r="P519" s="454"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9" s="276">
        <f>IF(INDEX(tblContractForDeed[End Bal],ROW()-ROW(tblBuyerOutputs[#Headers]))&lt;=0,0,($O$6+IF(ROW()=ROW(tblBuyerOutputs[#Headers])+1,0,INDEX(tblBuyerOutputs[Cumul Appr],ROW()-ROW(tblBuyerOutputs[#Headers])-1)))*$O$2/12)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13" t="str">
        <f>IF(ROW()=ROW(tblSubjectToLoan[#Headers])+1,subjectKnownBalanceDate,IF(OR(INDEX(tblSubjectToLoan[Date],ROW()-ROW(tblSubjectToLoan[#Headers])-1)="",INDEX(tblSubjectToLoan[Date],ROW()-ROW(tblSubjectToLoan[#Headers])-1)&gt;=subjectMortgageEndDate),"",EDATE(INDEX(tblSubjectToLoan[Date],ROW()-ROW(tblSubjectToLoan[#Headers])-1),1)))</f>
        <v/>
      </c>
      <c r="B520" s="276">
        <f>IF(tblSubjectToLoan[[#This Row],[Date]]="",0,IF(ROW()=ROW(tblSubjectToLoan[#Headers])+1,subjectKnownBalance,MAX(0,INDEX(tblSubjectToLoan[Ending Balance],ROW()-ROW(tblSubjectToLoan[#Headers])-1))))</f>
        <v>0</v>
      </c>
      <c r="C5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0" s="14">
        <f>IF(tblSubjectToLoan[[#This Row],[Payment]]=0,0,MAX(0,MIN(tblSubjectToLoan[[#This Row],[Beginning Balance]],tblSubjectToLoan[[#This Row],[Payment]]-tblSubjectToLoan[[#This Row],[Int]])))</f>
        <v>0</v>
      </c>
      <c r="E520" s="14">
        <f>IF(tblSubjectToLoan[[#This Row],[Date]]="",0,ROUND(tblSubjectToLoan[[#This Row],[Beginning Balance]]*(subjectInterestRate/12),2))</f>
        <v>0</v>
      </c>
      <c r="H520" s="14">
        <f>SUM(tblSubjectToLoan[[#This Row],[Princ]],tblSubjectToLoan[[#This Row],[Int]],tblSubjectToLoan[[#This Row],[Ins]],tblSubjectToLoan[[#This Row],[Taxes]])</f>
        <v>0</v>
      </c>
      <c r="I5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0" s="276">
        <f>IF(tblSubjectToLoan[[#This Row],[Date]]="",IF(ROW()=ROW(tblSubjectToLoan[#Headers])+1,0,INDEX(tblSubjectToLoan[Interest],ROW()-ROW(tblSubjectToLoan[#Headers])-1)),tblSubjectToLoan[[#This Row],[Int]]+IF(ROW()=ROW(tblSubjectToLoan[#Headers])+1,0,INDEX(tblSubjectToLoan[Interest],ROW()-ROW(tblSubjectToLoan[#Headers])-1)))</f>
        <v>36068.259999999973</v>
      </c>
      <c r="K520" s="969">
        <f>IF(tblSubjectToLoan[[#This Row],[Date]]="",0,MAX(0,tblSubjectToLoan[[#This Row],[Beginning Balance]]-tblSubjectToLoan[[#This Row],[Princ]]))</f>
        <v>0</v>
      </c>
      <c r="L520" s="394">
        <f t="shared" si="45"/>
        <v>0</v>
      </c>
      <c r="M520" s="394">
        <f t="shared" si="42"/>
        <v>0</v>
      </c>
      <c r="N520" s="613" t="str">
        <f>INDEX(tblSubjectToLoan[Date],ROW()-ROW(tblContractForDeed[#Headers]))</f>
        <v/>
      </c>
      <c r="O520" s="276">
        <f>IF(ROW()=ROW(tblContractForDeed[#Headers])+1,$O$6,IF(INDEX(tblContractForDeed[End Bal],ROW()-ROW(tblContractForDeed[#Headers])-1)&lt;0,0,INDEX(tblContractForDeed[End Bal],ROW()-ROW(tblContractForDeed[#Headers])-1)))</f>
        <v>0</v>
      </c>
      <c r="P520" s="454"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0" s="276">
        <f>IF(INDEX(tblContractForDeed[End Bal],ROW()-ROW(tblBuyerOutputs[#Headers]))&lt;=0,0,($O$6+IF(ROW()=ROW(tblBuyerOutputs[#Headers])+1,0,INDEX(tblBuyerOutputs[Cumul Appr],ROW()-ROW(tblBuyerOutputs[#Headers])-1)))*$O$2/12)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13" t="str">
        <f>IF(ROW()=ROW(tblSubjectToLoan[#Headers])+1,subjectKnownBalanceDate,IF(OR(INDEX(tblSubjectToLoan[Date],ROW()-ROW(tblSubjectToLoan[#Headers])-1)="",INDEX(tblSubjectToLoan[Date],ROW()-ROW(tblSubjectToLoan[#Headers])-1)&gt;=subjectMortgageEndDate),"",EDATE(INDEX(tblSubjectToLoan[Date],ROW()-ROW(tblSubjectToLoan[#Headers])-1),1)))</f>
        <v/>
      </c>
      <c r="B521" s="276">
        <f>IF(tblSubjectToLoan[[#This Row],[Date]]="",0,IF(ROW()=ROW(tblSubjectToLoan[#Headers])+1,subjectKnownBalance,MAX(0,INDEX(tblSubjectToLoan[Ending Balance],ROW()-ROW(tblSubjectToLoan[#Headers])-1))))</f>
        <v>0</v>
      </c>
      <c r="C5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1" s="14">
        <f>IF(tblSubjectToLoan[[#This Row],[Payment]]=0,0,MAX(0,MIN(tblSubjectToLoan[[#This Row],[Beginning Balance]],tblSubjectToLoan[[#This Row],[Payment]]-tblSubjectToLoan[[#This Row],[Int]])))</f>
        <v>0</v>
      </c>
      <c r="E521" s="14">
        <f>IF(tblSubjectToLoan[[#This Row],[Date]]="",0,ROUND(tblSubjectToLoan[[#This Row],[Beginning Balance]]*(subjectInterestRate/12),2))</f>
        <v>0</v>
      </c>
      <c r="H521" s="14">
        <f>SUM(tblSubjectToLoan[[#This Row],[Princ]],tblSubjectToLoan[[#This Row],[Int]],tblSubjectToLoan[[#This Row],[Ins]],tblSubjectToLoan[[#This Row],[Taxes]])</f>
        <v>0</v>
      </c>
      <c r="I5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1" s="276">
        <f>IF(tblSubjectToLoan[[#This Row],[Date]]="",IF(ROW()=ROW(tblSubjectToLoan[#Headers])+1,0,INDEX(tblSubjectToLoan[Interest],ROW()-ROW(tblSubjectToLoan[#Headers])-1)),tblSubjectToLoan[[#This Row],[Int]]+IF(ROW()=ROW(tblSubjectToLoan[#Headers])+1,0,INDEX(tblSubjectToLoan[Interest],ROW()-ROW(tblSubjectToLoan[#Headers])-1)))</f>
        <v>36068.259999999973</v>
      </c>
      <c r="K521" s="969">
        <f>IF(tblSubjectToLoan[[#This Row],[Date]]="",0,MAX(0,tblSubjectToLoan[[#This Row],[Beginning Balance]]-tblSubjectToLoan[[#This Row],[Princ]]))</f>
        <v>0</v>
      </c>
      <c r="L521" s="394">
        <f t="shared" si="45"/>
        <v>0</v>
      </c>
      <c r="M521" s="394">
        <f t="shared" si="42"/>
        <v>0</v>
      </c>
      <c r="N521" s="613" t="str">
        <f>INDEX(tblSubjectToLoan[Date],ROW()-ROW(tblContractForDeed[#Headers]))</f>
        <v/>
      </c>
      <c r="O521" s="276">
        <f>IF(ROW()=ROW(tblContractForDeed[#Headers])+1,$O$6,IF(INDEX(tblContractForDeed[End Bal],ROW()-ROW(tblContractForDeed[#Headers])-1)&lt;0,0,INDEX(tblContractForDeed[End Bal],ROW()-ROW(tblContractForDeed[#Headers])-1)))</f>
        <v>0</v>
      </c>
      <c r="P521" s="454"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1" s="276">
        <f>IF(INDEX(tblContractForDeed[End Bal],ROW()-ROW(tblBuyerOutputs[#Headers]))&lt;=0,0,($O$6+IF(ROW()=ROW(tblBuyerOutputs[#Headers])+1,0,INDEX(tblBuyerOutputs[Cumul Appr],ROW()-ROW(tblBuyerOutputs[#Headers])-1)))*$O$2/12)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13" t="str">
        <f>IF(ROW()=ROW(tblSubjectToLoan[#Headers])+1,subjectKnownBalanceDate,IF(OR(INDEX(tblSubjectToLoan[Date],ROW()-ROW(tblSubjectToLoan[#Headers])-1)="",INDEX(tblSubjectToLoan[Date],ROW()-ROW(tblSubjectToLoan[#Headers])-1)&gt;=subjectMortgageEndDate),"",EDATE(INDEX(tblSubjectToLoan[Date],ROW()-ROW(tblSubjectToLoan[#Headers])-1),1)))</f>
        <v/>
      </c>
      <c r="B522" s="276">
        <f>IF(tblSubjectToLoan[[#This Row],[Date]]="",0,IF(ROW()=ROW(tblSubjectToLoan[#Headers])+1,subjectKnownBalance,MAX(0,INDEX(tblSubjectToLoan[Ending Balance],ROW()-ROW(tblSubjectToLoan[#Headers])-1))))</f>
        <v>0</v>
      </c>
      <c r="C5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2" s="14">
        <f>IF(tblSubjectToLoan[[#This Row],[Payment]]=0,0,MAX(0,MIN(tblSubjectToLoan[[#This Row],[Beginning Balance]],tblSubjectToLoan[[#This Row],[Payment]]-tblSubjectToLoan[[#This Row],[Int]])))</f>
        <v>0</v>
      </c>
      <c r="E522" s="14">
        <f>IF(tblSubjectToLoan[[#This Row],[Date]]="",0,ROUND(tblSubjectToLoan[[#This Row],[Beginning Balance]]*(subjectInterestRate/12),2))</f>
        <v>0</v>
      </c>
      <c r="H522" s="14">
        <f>SUM(tblSubjectToLoan[[#This Row],[Princ]],tblSubjectToLoan[[#This Row],[Int]],tblSubjectToLoan[[#This Row],[Ins]],tblSubjectToLoan[[#This Row],[Taxes]])</f>
        <v>0</v>
      </c>
      <c r="I5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2" s="276">
        <f>IF(tblSubjectToLoan[[#This Row],[Date]]="",IF(ROW()=ROW(tblSubjectToLoan[#Headers])+1,0,INDEX(tblSubjectToLoan[Interest],ROW()-ROW(tblSubjectToLoan[#Headers])-1)),tblSubjectToLoan[[#This Row],[Int]]+IF(ROW()=ROW(tblSubjectToLoan[#Headers])+1,0,INDEX(tblSubjectToLoan[Interest],ROW()-ROW(tblSubjectToLoan[#Headers])-1)))</f>
        <v>36068.259999999973</v>
      </c>
      <c r="K522" s="969">
        <f>IF(tblSubjectToLoan[[#This Row],[Date]]="",0,MAX(0,tblSubjectToLoan[[#This Row],[Beginning Balance]]-tblSubjectToLoan[[#This Row],[Princ]]))</f>
        <v>0</v>
      </c>
      <c r="L522" s="394">
        <f t="shared" si="45"/>
        <v>0</v>
      </c>
      <c r="M522" s="394">
        <f t="shared" si="42"/>
        <v>0</v>
      </c>
      <c r="N522" s="613" t="str">
        <f>INDEX(tblSubjectToLoan[Date],ROW()-ROW(tblContractForDeed[#Headers]))</f>
        <v/>
      </c>
      <c r="O522" s="276">
        <f>IF(ROW()=ROW(tblContractForDeed[#Headers])+1,$O$6,IF(INDEX(tblContractForDeed[End Bal],ROW()-ROW(tblContractForDeed[#Headers])-1)&lt;0,0,INDEX(tblContractForDeed[End Bal],ROW()-ROW(tblContractForDeed[#Headers])-1)))</f>
        <v>0</v>
      </c>
      <c r="P522" s="454"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2" s="276">
        <f>IF(INDEX(tblContractForDeed[End Bal],ROW()-ROW(tblBuyerOutputs[#Headers]))&lt;=0,0,($O$6+IF(ROW()=ROW(tblBuyerOutputs[#Headers])+1,0,INDEX(tblBuyerOutputs[Cumul Appr],ROW()-ROW(tblBuyerOutputs[#Headers])-1)))*$O$2/12)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14" t="str">
        <f>IF(ROW()=ROW(tblSubjectToLoan[#Headers])+1,subjectKnownBalanceDate,IF(OR(INDEX(tblSubjectToLoan[Date],ROW()-ROW(tblSubjectToLoan[#Headers])-1)="",INDEX(tblSubjectToLoan[Date],ROW()-ROW(tblSubjectToLoan[#Headers])-1)&gt;=subjectMortgageEndDate),"",EDATE(INDEX(tblSubjectToLoan[Date],ROW()-ROW(tblSubjectToLoan[#Headers])-1),1)))</f>
        <v/>
      </c>
      <c r="B523" s="332">
        <f>IF(tblSubjectToLoan[[#This Row],[Date]]="",0,IF(ROW()=ROW(tblSubjectToLoan[#Headers])+1,subjectKnownBalance,MAX(0,INDEX(tblSubjectToLoan[Ending Balance],ROW()-ROW(tblSubjectToLoan[#Headers])-1))))</f>
        <v>0</v>
      </c>
      <c r="C52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3" s="21">
        <f>IF(tblSubjectToLoan[[#This Row],[Payment]]=0,0,MAX(0,MIN(tblSubjectToLoan[[#This Row],[Beginning Balance]],tblSubjectToLoan[[#This Row],[Payment]]-tblSubjectToLoan[[#This Row],[Int]])))</f>
        <v>0</v>
      </c>
      <c r="E523" s="21">
        <f>IF(tblSubjectToLoan[[#This Row],[Date]]="",0,ROUND(tblSubjectToLoan[[#This Row],[Beginning Balance]]*(subjectInterestRate/12),2))</f>
        <v>0</v>
      </c>
      <c r="F523" s="21"/>
      <c r="G523" s="21"/>
      <c r="H523" s="21">
        <f>SUM(tblSubjectToLoan[[#This Row],[Princ]],tblSubjectToLoan[[#This Row],[Int]],tblSubjectToLoan[[#This Row],[Ins]],tblSubjectToLoan[[#This Row],[Taxes]])</f>
        <v>0</v>
      </c>
      <c r="I52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23" s="332">
        <f>IF(tblSubjectToLoan[[#This Row],[Date]]="",IF(ROW()=ROW(tblSubjectToLoan[#Headers])+1,0,INDEX(tblSubjectToLoan[Interest],ROW()-ROW(tblSubjectToLoan[#Headers])-1)),tblSubjectToLoan[[#This Row],[Int]]+IF(ROW()=ROW(tblSubjectToLoan[#Headers])+1,0,INDEX(tblSubjectToLoan[Interest],ROW()-ROW(tblSubjectToLoan[#Headers])-1)))</f>
        <v>36068.259999999973</v>
      </c>
      <c r="K523" s="970">
        <f>IF(tblSubjectToLoan[[#This Row],[Date]]="",0,MAX(0,tblSubjectToLoan[[#This Row],[Beginning Balance]]-tblSubjectToLoan[[#This Row],[Princ]]))</f>
        <v>0</v>
      </c>
      <c r="L523" s="395">
        <f t="shared" si="45"/>
        <v>0</v>
      </c>
      <c r="M523" s="395">
        <f t="shared" si="42"/>
        <v>0</v>
      </c>
      <c r="N523" s="614" t="str">
        <f>INDEX(tblSubjectToLoan[Date],ROW()-ROW(tblContractForDeed[#Headers]))</f>
        <v/>
      </c>
      <c r="O523" s="276">
        <f>IF(ROW()=ROW(tblContractForDeed[#Headers])+1,$O$6,IF(INDEX(tblContractForDeed[End Bal],ROW()-ROW(tblContractForDeed[#Headers])-1)&lt;0,0,INDEX(tblContractForDeed[End Bal],ROW()-ROW(tblContractForDeed[#Headers])-1)))</f>
        <v>0</v>
      </c>
      <c r="P523" s="454"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3" s="332">
        <f>IF(INDEX(tblContractForDeed[End Bal],ROW()-ROW(tblBuyerOutputs[#Headers]))&lt;=0,0,($O$6+IF(ROW()=ROW(tblBuyerOutputs[#Headers])+1,0,INDEX(tblBuyerOutputs[Cumul Appr],ROW()-ROW(tblBuyerOutputs[#Headers])-1)))*$O$2/12)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13" t="str">
        <f>IF(ROW()=ROW(tblSubjectToLoan[#Headers])+1,subjectKnownBalanceDate,IF(OR(INDEX(tblSubjectToLoan[Date],ROW()-ROW(tblSubjectToLoan[#Headers])-1)="",INDEX(tblSubjectToLoan[Date],ROW()-ROW(tblSubjectToLoan[#Headers])-1)&gt;=subjectMortgageEndDate),"",EDATE(INDEX(tblSubjectToLoan[Date],ROW()-ROW(tblSubjectToLoan[#Headers])-1),1)))</f>
        <v/>
      </c>
      <c r="B524" s="276">
        <f>IF(tblSubjectToLoan[[#This Row],[Date]]="",0,IF(ROW()=ROW(tblSubjectToLoan[#Headers])+1,subjectKnownBalance,MAX(0,INDEX(tblSubjectToLoan[Ending Balance],ROW()-ROW(tblSubjectToLoan[#Headers])-1))))</f>
        <v>0</v>
      </c>
      <c r="C5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4" s="14">
        <f>IF(tblSubjectToLoan[[#This Row],[Payment]]=0,0,MAX(0,MIN(tblSubjectToLoan[[#This Row],[Beginning Balance]],tblSubjectToLoan[[#This Row],[Payment]]-tblSubjectToLoan[[#This Row],[Int]])))</f>
        <v>0</v>
      </c>
      <c r="E524" s="14">
        <f>IF(tblSubjectToLoan[[#This Row],[Date]]="",0,ROUND(tblSubjectToLoan[[#This Row],[Beginning Balance]]*(subjectInterestRate/12),2))</f>
        <v>0</v>
      </c>
      <c r="H524" s="14">
        <f>SUM(tblSubjectToLoan[[#This Row],[Princ]],tblSubjectToLoan[[#This Row],[Int]],tblSubjectToLoan[[#This Row],[Ins]],tblSubjectToLoan[[#This Row],[Taxes]])</f>
        <v>0</v>
      </c>
      <c r="I5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4" s="276">
        <f>IF(tblSubjectToLoan[[#This Row],[Date]]="",IF(ROW()=ROW(tblSubjectToLoan[#Headers])+1,0,INDEX(tblSubjectToLoan[Interest],ROW()-ROW(tblSubjectToLoan[#Headers])-1)),tblSubjectToLoan[[#This Row],[Int]]+IF(ROW()=ROW(tblSubjectToLoan[#Headers])+1,0,INDEX(tblSubjectToLoan[Interest],ROW()-ROW(tblSubjectToLoan[#Headers])-1)))</f>
        <v>36068.259999999973</v>
      </c>
      <c r="K524" s="969">
        <f>IF(tblSubjectToLoan[[#This Row],[Date]]="",0,MAX(0,tblSubjectToLoan[[#This Row],[Beginning Balance]]-tblSubjectToLoan[[#This Row],[Princ]]))</f>
        <v>0</v>
      </c>
      <c r="L524" s="394">
        <f t="shared" si="45"/>
        <v>0</v>
      </c>
      <c r="M524" s="394">
        <f t="shared" si="42"/>
        <v>0</v>
      </c>
      <c r="N524" s="613" t="str">
        <f>INDEX(tblSubjectToLoan[Date],ROW()-ROW(tblContractForDeed[#Headers]))</f>
        <v/>
      </c>
      <c r="O524" s="276">
        <f>IF(ROW()=ROW(tblContractForDeed[#Headers])+1,$O$6,IF(INDEX(tblContractForDeed[End Bal],ROW()-ROW(tblContractForDeed[#Headers])-1)&lt;0,0,INDEX(tblContractForDeed[End Bal],ROW()-ROW(tblContractForDeed[#Headers])-1)))</f>
        <v>0</v>
      </c>
      <c r="P524" s="454"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4" s="276">
        <f>IF(INDEX(tblContractForDeed[End Bal],ROW()-ROW(tblBuyerOutputs[#Headers]))&lt;=0,0,($O$6+IF(ROW()=ROW(tblBuyerOutputs[#Headers])+1,0,INDEX(tblBuyerOutputs[Cumul Appr],ROW()-ROW(tblBuyerOutputs[#Headers])-1)))*$O$2/12)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13" t="str">
        <f>IF(ROW()=ROW(tblSubjectToLoan[#Headers])+1,subjectKnownBalanceDate,IF(OR(INDEX(tblSubjectToLoan[Date],ROW()-ROW(tblSubjectToLoan[#Headers])-1)="",INDEX(tblSubjectToLoan[Date],ROW()-ROW(tblSubjectToLoan[#Headers])-1)&gt;=subjectMortgageEndDate),"",EDATE(INDEX(tblSubjectToLoan[Date],ROW()-ROW(tblSubjectToLoan[#Headers])-1),1)))</f>
        <v/>
      </c>
      <c r="B525" s="276">
        <f>IF(tblSubjectToLoan[[#This Row],[Date]]="",0,IF(ROW()=ROW(tblSubjectToLoan[#Headers])+1,subjectKnownBalance,MAX(0,INDEX(tblSubjectToLoan[Ending Balance],ROW()-ROW(tblSubjectToLoan[#Headers])-1))))</f>
        <v>0</v>
      </c>
      <c r="C5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5" s="14">
        <f>IF(tblSubjectToLoan[[#This Row],[Payment]]=0,0,MAX(0,MIN(tblSubjectToLoan[[#This Row],[Beginning Balance]],tblSubjectToLoan[[#This Row],[Payment]]-tblSubjectToLoan[[#This Row],[Int]])))</f>
        <v>0</v>
      </c>
      <c r="E525" s="14">
        <f>IF(tblSubjectToLoan[[#This Row],[Date]]="",0,ROUND(tblSubjectToLoan[[#This Row],[Beginning Balance]]*(subjectInterestRate/12),2))</f>
        <v>0</v>
      </c>
      <c r="H525" s="14">
        <f>SUM(tblSubjectToLoan[[#This Row],[Princ]],tblSubjectToLoan[[#This Row],[Int]],tblSubjectToLoan[[#This Row],[Ins]],tblSubjectToLoan[[#This Row],[Taxes]])</f>
        <v>0</v>
      </c>
      <c r="I5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5" s="276">
        <f>IF(tblSubjectToLoan[[#This Row],[Date]]="",IF(ROW()=ROW(tblSubjectToLoan[#Headers])+1,0,INDEX(tblSubjectToLoan[Interest],ROW()-ROW(tblSubjectToLoan[#Headers])-1)),tblSubjectToLoan[[#This Row],[Int]]+IF(ROW()=ROW(tblSubjectToLoan[#Headers])+1,0,INDEX(tblSubjectToLoan[Interest],ROW()-ROW(tblSubjectToLoan[#Headers])-1)))</f>
        <v>36068.259999999973</v>
      </c>
      <c r="K525" s="969">
        <f>IF(tblSubjectToLoan[[#This Row],[Date]]="",0,MAX(0,tblSubjectToLoan[[#This Row],[Beginning Balance]]-tblSubjectToLoan[[#This Row],[Princ]]))</f>
        <v>0</v>
      </c>
      <c r="L525" s="394">
        <f t="shared" si="45"/>
        <v>0</v>
      </c>
      <c r="M525" s="394">
        <f t="shared" si="42"/>
        <v>0</v>
      </c>
      <c r="N525" s="613" t="str">
        <f>INDEX(tblSubjectToLoan[Date],ROW()-ROW(tblContractForDeed[#Headers]))</f>
        <v/>
      </c>
      <c r="O525" s="276">
        <f>IF(ROW()=ROW(tblContractForDeed[#Headers])+1,$O$6,IF(INDEX(tblContractForDeed[End Bal],ROW()-ROW(tblContractForDeed[#Headers])-1)&lt;0,0,INDEX(tblContractForDeed[End Bal],ROW()-ROW(tblContractForDeed[#Headers])-1)))</f>
        <v>0</v>
      </c>
      <c r="P525" s="454"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5" s="276">
        <f>IF(INDEX(tblContractForDeed[End Bal],ROW()-ROW(tblBuyerOutputs[#Headers]))&lt;=0,0,($O$6+IF(ROW()=ROW(tblBuyerOutputs[#Headers])+1,0,INDEX(tblBuyerOutputs[Cumul Appr],ROW()-ROW(tblBuyerOutputs[#Headers])-1)))*$O$2/12)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13" t="str">
        <f>IF(ROW()=ROW(tblSubjectToLoan[#Headers])+1,subjectKnownBalanceDate,IF(OR(INDEX(tblSubjectToLoan[Date],ROW()-ROW(tblSubjectToLoan[#Headers])-1)="",INDEX(tblSubjectToLoan[Date],ROW()-ROW(tblSubjectToLoan[#Headers])-1)&gt;=subjectMortgageEndDate),"",EDATE(INDEX(tblSubjectToLoan[Date],ROW()-ROW(tblSubjectToLoan[#Headers])-1),1)))</f>
        <v/>
      </c>
      <c r="B526" s="276">
        <f>IF(tblSubjectToLoan[[#This Row],[Date]]="",0,IF(ROW()=ROW(tblSubjectToLoan[#Headers])+1,subjectKnownBalance,MAX(0,INDEX(tblSubjectToLoan[Ending Balance],ROW()-ROW(tblSubjectToLoan[#Headers])-1))))</f>
        <v>0</v>
      </c>
      <c r="C5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6" s="14">
        <f>IF(tblSubjectToLoan[[#This Row],[Payment]]=0,0,MAX(0,MIN(tblSubjectToLoan[[#This Row],[Beginning Balance]],tblSubjectToLoan[[#This Row],[Payment]]-tblSubjectToLoan[[#This Row],[Int]])))</f>
        <v>0</v>
      </c>
      <c r="E526" s="14">
        <f>IF(tblSubjectToLoan[[#This Row],[Date]]="",0,ROUND(tblSubjectToLoan[[#This Row],[Beginning Balance]]*(subjectInterestRate/12),2))</f>
        <v>0</v>
      </c>
      <c r="H526" s="14">
        <f>SUM(tblSubjectToLoan[[#This Row],[Princ]],tblSubjectToLoan[[#This Row],[Int]],tblSubjectToLoan[[#This Row],[Ins]],tblSubjectToLoan[[#This Row],[Taxes]])</f>
        <v>0</v>
      </c>
      <c r="I5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6" s="276">
        <f>IF(tblSubjectToLoan[[#This Row],[Date]]="",IF(ROW()=ROW(tblSubjectToLoan[#Headers])+1,0,INDEX(tblSubjectToLoan[Interest],ROW()-ROW(tblSubjectToLoan[#Headers])-1)),tblSubjectToLoan[[#This Row],[Int]]+IF(ROW()=ROW(tblSubjectToLoan[#Headers])+1,0,INDEX(tblSubjectToLoan[Interest],ROW()-ROW(tblSubjectToLoan[#Headers])-1)))</f>
        <v>36068.259999999973</v>
      </c>
      <c r="K526" s="969">
        <f>IF(tblSubjectToLoan[[#This Row],[Date]]="",0,MAX(0,tblSubjectToLoan[[#This Row],[Beginning Balance]]-tblSubjectToLoan[[#This Row],[Princ]]))</f>
        <v>0</v>
      </c>
      <c r="L526" s="394">
        <f t="shared" si="45"/>
        <v>0</v>
      </c>
      <c r="M526" s="394">
        <f t="shared" si="42"/>
        <v>0</v>
      </c>
      <c r="N526" s="613" t="str">
        <f>INDEX(tblSubjectToLoan[Date],ROW()-ROW(tblContractForDeed[#Headers]))</f>
        <v/>
      </c>
      <c r="O526" s="276">
        <f>IF(ROW()=ROW(tblContractForDeed[#Headers])+1,$O$6,IF(INDEX(tblContractForDeed[End Bal],ROW()-ROW(tblContractForDeed[#Headers])-1)&lt;0,0,INDEX(tblContractForDeed[End Bal],ROW()-ROW(tblContractForDeed[#Headers])-1)))</f>
        <v>0</v>
      </c>
      <c r="P526" s="454"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6" s="276">
        <f>IF(INDEX(tblContractForDeed[End Bal],ROW()-ROW(tblBuyerOutputs[#Headers]))&lt;=0,0,($O$6+IF(ROW()=ROW(tblBuyerOutputs[#Headers])+1,0,INDEX(tblBuyerOutputs[Cumul Appr],ROW()-ROW(tblBuyerOutputs[#Headers])-1)))*$O$2/12)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13" t="str">
        <f>IF(ROW()=ROW(tblSubjectToLoan[#Headers])+1,subjectKnownBalanceDate,IF(OR(INDEX(tblSubjectToLoan[Date],ROW()-ROW(tblSubjectToLoan[#Headers])-1)="",INDEX(tblSubjectToLoan[Date],ROW()-ROW(tblSubjectToLoan[#Headers])-1)&gt;=subjectMortgageEndDate),"",EDATE(INDEX(tblSubjectToLoan[Date],ROW()-ROW(tblSubjectToLoan[#Headers])-1),1)))</f>
        <v/>
      </c>
      <c r="B527" s="276">
        <f>IF(tblSubjectToLoan[[#This Row],[Date]]="",0,IF(ROW()=ROW(tblSubjectToLoan[#Headers])+1,subjectKnownBalance,MAX(0,INDEX(tblSubjectToLoan[Ending Balance],ROW()-ROW(tblSubjectToLoan[#Headers])-1))))</f>
        <v>0</v>
      </c>
      <c r="C5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7" s="14">
        <f>IF(tblSubjectToLoan[[#This Row],[Payment]]=0,0,MAX(0,MIN(tblSubjectToLoan[[#This Row],[Beginning Balance]],tblSubjectToLoan[[#This Row],[Payment]]-tblSubjectToLoan[[#This Row],[Int]])))</f>
        <v>0</v>
      </c>
      <c r="E527" s="14">
        <f>IF(tblSubjectToLoan[[#This Row],[Date]]="",0,ROUND(tblSubjectToLoan[[#This Row],[Beginning Balance]]*(subjectInterestRate/12),2))</f>
        <v>0</v>
      </c>
      <c r="H527" s="14">
        <f>SUM(tblSubjectToLoan[[#This Row],[Princ]],tblSubjectToLoan[[#This Row],[Int]],tblSubjectToLoan[[#This Row],[Ins]],tblSubjectToLoan[[#This Row],[Taxes]])</f>
        <v>0</v>
      </c>
      <c r="I5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7" s="276">
        <f>IF(tblSubjectToLoan[[#This Row],[Date]]="",IF(ROW()=ROW(tblSubjectToLoan[#Headers])+1,0,INDEX(tblSubjectToLoan[Interest],ROW()-ROW(tblSubjectToLoan[#Headers])-1)),tblSubjectToLoan[[#This Row],[Int]]+IF(ROW()=ROW(tblSubjectToLoan[#Headers])+1,0,INDEX(tblSubjectToLoan[Interest],ROW()-ROW(tblSubjectToLoan[#Headers])-1)))</f>
        <v>36068.259999999973</v>
      </c>
      <c r="K527" s="969">
        <f>IF(tblSubjectToLoan[[#This Row],[Date]]="",0,MAX(0,tblSubjectToLoan[[#This Row],[Beginning Balance]]-tblSubjectToLoan[[#This Row],[Princ]]))</f>
        <v>0</v>
      </c>
      <c r="L527" s="394">
        <f t="shared" si="45"/>
        <v>0</v>
      </c>
      <c r="M527" s="394">
        <f t="shared" si="42"/>
        <v>0</v>
      </c>
      <c r="N527" s="613" t="str">
        <f>INDEX(tblSubjectToLoan[Date],ROW()-ROW(tblContractForDeed[#Headers]))</f>
        <v/>
      </c>
      <c r="O527" s="276">
        <f>IF(ROW()=ROW(tblContractForDeed[#Headers])+1,$O$6,IF(INDEX(tblContractForDeed[End Bal],ROW()-ROW(tblContractForDeed[#Headers])-1)&lt;0,0,INDEX(tblContractForDeed[End Bal],ROW()-ROW(tblContractForDeed[#Headers])-1)))</f>
        <v>0</v>
      </c>
      <c r="P527" s="454"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7" s="276">
        <f>IF(INDEX(tblContractForDeed[End Bal],ROW()-ROW(tblBuyerOutputs[#Headers]))&lt;=0,0,($O$6+IF(ROW()=ROW(tblBuyerOutputs[#Headers])+1,0,INDEX(tblBuyerOutputs[Cumul Appr],ROW()-ROW(tblBuyerOutputs[#Headers])-1)))*$O$2/12)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13" t="str">
        <f>IF(ROW()=ROW(tblSubjectToLoan[#Headers])+1,subjectKnownBalanceDate,IF(OR(INDEX(tblSubjectToLoan[Date],ROW()-ROW(tblSubjectToLoan[#Headers])-1)="",INDEX(tblSubjectToLoan[Date],ROW()-ROW(tblSubjectToLoan[#Headers])-1)&gt;=subjectMortgageEndDate),"",EDATE(INDEX(tblSubjectToLoan[Date],ROW()-ROW(tblSubjectToLoan[#Headers])-1),1)))</f>
        <v/>
      </c>
      <c r="B528" s="276">
        <f>IF(tblSubjectToLoan[[#This Row],[Date]]="",0,IF(ROW()=ROW(tblSubjectToLoan[#Headers])+1,subjectKnownBalance,MAX(0,INDEX(tblSubjectToLoan[Ending Balance],ROW()-ROW(tblSubjectToLoan[#Headers])-1))))</f>
        <v>0</v>
      </c>
      <c r="C5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8" s="14">
        <f>IF(tblSubjectToLoan[[#This Row],[Payment]]=0,0,MAX(0,MIN(tblSubjectToLoan[[#This Row],[Beginning Balance]],tblSubjectToLoan[[#This Row],[Payment]]-tblSubjectToLoan[[#This Row],[Int]])))</f>
        <v>0</v>
      </c>
      <c r="E528" s="14">
        <f>IF(tblSubjectToLoan[[#This Row],[Date]]="",0,ROUND(tblSubjectToLoan[[#This Row],[Beginning Balance]]*(subjectInterestRate/12),2))</f>
        <v>0</v>
      </c>
      <c r="H528" s="14">
        <f>SUM(tblSubjectToLoan[[#This Row],[Princ]],tblSubjectToLoan[[#This Row],[Int]],tblSubjectToLoan[[#This Row],[Ins]],tblSubjectToLoan[[#This Row],[Taxes]])</f>
        <v>0</v>
      </c>
      <c r="I5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8" s="276">
        <f>IF(tblSubjectToLoan[[#This Row],[Date]]="",IF(ROW()=ROW(tblSubjectToLoan[#Headers])+1,0,INDEX(tblSubjectToLoan[Interest],ROW()-ROW(tblSubjectToLoan[#Headers])-1)),tblSubjectToLoan[[#This Row],[Int]]+IF(ROW()=ROW(tblSubjectToLoan[#Headers])+1,0,INDEX(tblSubjectToLoan[Interest],ROW()-ROW(tblSubjectToLoan[#Headers])-1)))</f>
        <v>36068.259999999973</v>
      </c>
      <c r="K528" s="969">
        <f>IF(tblSubjectToLoan[[#This Row],[Date]]="",0,MAX(0,tblSubjectToLoan[[#This Row],[Beginning Balance]]-tblSubjectToLoan[[#This Row],[Princ]]))</f>
        <v>0</v>
      </c>
      <c r="L528" s="394">
        <f t="shared" si="45"/>
        <v>0</v>
      </c>
      <c r="M528" s="394">
        <f t="shared" si="42"/>
        <v>0</v>
      </c>
      <c r="N528" s="613" t="str">
        <f>INDEX(tblSubjectToLoan[Date],ROW()-ROW(tblContractForDeed[#Headers]))</f>
        <v/>
      </c>
      <c r="O528" s="276">
        <f>IF(ROW()=ROW(tblContractForDeed[#Headers])+1,$O$6,IF(INDEX(tblContractForDeed[End Bal],ROW()-ROW(tblContractForDeed[#Headers])-1)&lt;0,0,INDEX(tblContractForDeed[End Bal],ROW()-ROW(tblContractForDeed[#Headers])-1)))</f>
        <v>0</v>
      </c>
      <c r="P528" s="454"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8" s="276">
        <f>IF(INDEX(tblContractForDeed[End Bal],ROW()-ROW(tblBuyerOutputs[#Headers]))&lt;=0,0,($O$6+IF(ROW()=ROW(tblBuyerOutputs[#Headers])+1,0,INDEX(tblBuyerOutputs[Cumul Appr],ROW()-ROW(tblBuyerOutputs[#Headers])-1)))*$O$2/12)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13" t="str">
        <f>IF(ROW()=ROW(tblSubjectToLoan[#Headers])+1,subjectKnownBalanceDate,IF(OR(INDEX(tblSubjectToLoan[Date],ROW()-ROW(tblSubjectToLoan[#Headers])-1)="",INDEX(tblSubjectToLoan[Date],ROW()-ROW(tblSubjectToLoan[#Headers])-1)&gt;=subjectMortgageEndDate),"",EDATE(INDEX(tblSubjectToLoan[Date],ROW()-ROW(tblSubjectToLoan[#Headers])-1),1)))</f>
        <v/>
      </c>
      <c r="B529" s="276">
        <f>IF(tblSubjectToLoan[[#This Row],[Date]]="",0,IF(ROW()=ROW(tblSubjectToLoan[#Headers])+1,subjectKnownBalance,MAX(0,INDEX(tblSubjectToLoan[Ending Balance],ROW()-ROW(tblSubjectToLoan[#Headers])-1))))</f>
        <v>0</v>
      </c>
      <c r="C5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9" s="14">
        <f>IF(tblSubjectToLoan[[#This Row],[Payment]]=0,0,MAX(0,MIN(tblSubjectToLoan[[#This Row],[Beginning Balance]],tblSubjectToLoan[[#This Row],[Payment]]-tblSubjectToLoan[[#This Row],[Int]])))</f>
        <v>0</v>
      </c>
      <c r="E529" s="14">
        <f>IF(tblSubjectToLoan[[#This Row],[Date]]="",0,ROUND(tblSubjectToLoan[[#This Row],[Beginning Balance]]*(subjectInterestRate/12),2))</f>
        <v>0</v>
      </c>
      <c r="H529" s="14">
        <f>SUM(tblSubjectToLoan[[#This Row],[Princ]],tblSubjectToLoan[[#This Row],[Int]],tblSubjectToLoan[[#This Row],[Ins]],tblSubjectToLoan[[#This Row],[Taxes]])</f>
        <v>0</v>
      </c>
      <c r="I5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9" s="276">
        <f>IF(tblSubjectToLoan[[#This Row],[Date]]="",IF(ROW()=ROW(tblSubjectToLoan[#Headers])+1,0,INDEX(tblSubjectToLoan[Interest],ROW()-ROW(tblSubjectToLoan[#Headers])-1)),tblSubjectToLoan[[#This Row],[Int]]+IF(ROW()=ROW(tblSubjectToLoan[#Headers])+1,0,INDEX(tblSubjectToLoan[Interest],ROW()-ROW(tblSubjectToLoan[#Headers])-1)))</f>
        <v>36068.259999999973</v>
      </c>
      <c r="K529" s="969">
        <f>IF(tblSubjectToLoan[[#This Row],[Date]]="",0,MAX(0,tblSubjectToLoan[[#This Row],[Beginning Balance]]-tblSubjectToLoan[[#This Row],[Princ]]))</f>
        <v>0</v>
      </c>
      <c r="L529" s="394">
        <f t="shared" si="45"/>
        <v>0</v>
      </c>
      <c r="M529" s="394">
        <f t="shared" si="42"/>
        <v>0</v>
      </c>
      <c r="N529" s="613" t="str">
        <f>INDEX(tblSubjectToLoan[Date],ROW()-ROW(tblContractForDeed[#Headers]))</f>
        <v/>
      </c>
      <c r="O529" s="276">
        <f>IF(ROW()=ROW(tblContractForDeed[#Headers])+1,$O$6,IF(INDEX(tblContractForDeed[End Bal],ROW()-ROW(tblContractForDeed[#Headers])-1)&lt;0,0,INDEX(tblContractForDeed[End Bal],ROW()-ROW(tblContractForDeed[#Headers])-1)))</f>
        <v>0</v>
      </c>
      <c r="P529" s="454"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9" s="276">
        <f>IF(INDEX(tblContractForDeed[End Bal],ROW()-ROW(tblBuyerOutputs[#Headers]))&lt;=0,0,($O$6+IF(ROW()=ROW(tblBuyerOutputs[#Headers])+1,0,INDEX(tblBuyerOutputs[Cumul Appr],ROW()-ROW(tblBuyerOutputs[#Headers])-1)))*$O$2/12)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13" t="str">
        <f>IF(ROW()=ROW(tblSubjectToLoan[#Headers])+1,subjectKnownBalanceDate,IF(OR(INDEX(tblSubjectToLoan[Date],ROW()-ROW(tblSubjectToLoan[#Headers])-1)="",INDEX(tblSubjectToLoan[Date],ROW()-ROW(tblSubjectToLoan[#Headers])-1)&gt;=subjectMortgageEndDate),"",EDATE(INDEX(tblSubjectToLoan[Date],ROW()-ROW(tblSubjectToLoan[#Headers])-1),1)))</f>
        <v/>
      </c>
      <c r="B530" s="276">
        <f>IF(tblSubjectToLoan[[#This Row],[Date]]="",0,IF(ROW()=ROW(tblSubjectToLoan[#Headers])+1,subjectKnownBalance,MAX(0,INDEX(tblSubjectToLoan[Ending Balance],ROW()-ROW(tblSubjectToLoan[#Headers])-1))))</f>
        <v>0</v>
      </c>
      <c r="C5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0" s="14">
        <f>IF(tblSubjectToLoan[[#This Row],[Payment]]=0,0,MAX(0,MIN(tblSubjectToLoan[[#This Row],[Beginning Balance]],tblSubjectToLoan[[#This Row],[Payment]]-tblSubjectToLoan[[#This Row],[Int]])))</f>
        <v>0</v>
      </c>
      <c r="E530" s="14">
        <f>IF(tblSubjectToLoan[[#This Row],[Date]]="",0,ROUND(tblSubjectToLoan[[#This Row],[Beginning Balance]]*(subjectInterestRate/12),2))</f>
        <v>0</v>
      </c>
      <c r="H530" s="14">
        <f>SUM(tblSubjectToLoan[[#This Row],[Princ]],tblSubjectToLoan[[#This Row],[Int]],tblSubjectToLoan[[#This Row],[Ins]],tblSubjectToLoan[[#This Row],[Taxes]])</f>
        <v>0</v>
      </c>
      <c r="I5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0" s="276">
        <f>IF(tblSubjectToLoan[[#This Row],[Date]]="",IF(ROW()=ROW(tblSubjectToLoan[#Headers])+1,0,INDEX(tblSubjectToLoan[Interest],ROW()-ROW(tblSubjectToLoan[#Headers])-1)),tblSubjectToLoan[[#This Row],[Int]]+IF(ROW()=ROW(tblSubjectToLoan[#Headers])+1,0,INDEX(tblSubjectToLoan[Interest],ROW()-ROW(tblSubjectToLoan[#Headers])-1)))</f>
        <v>36068.259999999973</v>
      </c>
      <c r="K530" s="969">
        <f>IF(tblSubjectToLoan[[#This Row],[Date]]="",0,MAX(0,tblSubjectToLoan[[#This Row],[Beginning Balance]]-tblSubjectToLoan[[#This Row],[Princ]]))</f>
        <v>0</v>
      </c>
      <c r="L530" s="394">
        <f t="shared" si="45"/>
        <v>0</v>
      </c>
      <c r="M530" s="394">
        <f t="shared" si="42"/>
        <v>0</v>
      </c>
      <c r="N530" s="613" t="str">
        <f>INDEX(tblSubjectToLoan[Date],ROW()-ROW(tblContractForDeed[#Headers]))</f>
        <v/>
      </c>
      <c r="O530" s="276">
        <f>IF(ROW()=ROW(tblContractForDeed[#Headers])+1,$O$6,IF(INDEX(tblContractForDeed[End Bal],ROW()-ROW(tblContractForDeed[#Headers])-1)&lt;0,0,INDEX(tblContractForDeed[End Bal],ROW()-ROW(tblContractForDeed[#Headers])-1)))</f>
        <v>0</v>
      </c>
      <c r="P530" s="454"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0" s="276">
        <f>IF(INDEX(tblContractForDeed[End Bal],ROW()-ROW(tblBuyerOutputs[#Headers]))&lt;=0,0,($O$6+IF(ROW()=ROW(tblBuyerOutputs[#Headers])+1,0,INDEX(tblBuyerOutputs[Cumul Appr],ROW()-ROW(tblBuyerOutputs[#Headers])-1)))*$O$2/12)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13" t="str">
        <f>IF(ROW()=ROW(tblSubjectToLoan[#Headers])+1,subjectKnownBalanceDate,IF(OR(INDEX(tblSubjectToLoan[Date],ROW()-ROW(tblSubjectToLoan[#Headers])-1)="",INDEX(tblSubjectToLoan[Date],ROW()-ROW(tblSubjectToLoan[#Headers])-1)&gt;=subjectMortgageEndDate),"",EDATE(INDEX(tblSubjectToLoan[Date],ROW()-ROW(tblSubjectToLoan[#Headers])-1),1)))</f>
        <v/>
      </c>
      <c r="B531" s="276">
        <f>IF(tblSubjectToLoan[[#This Row],[Date]]="",0,IF(ROW()=ROW(tblSubjectToLoan[#Headers])+1,subjectKnownBalance,MAX(0,INDEX(tblSubjectToLoan[Ending Balance],ROW()-ROW(tblSubjectToLoan[#Headers])-1))))</f>
        <v>0</v>
      </c>
      <c r="C5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1" s="14">
        <f>IF(tblSubjectToLoan[[#This Row],[Payment]]=0,0,MAX(0,MIN(tblSubjectToLoan[[#This Row],[Beginning Balance]],tblSubjectToLoan[[#This Row],[Payment]]-tblSubjectToLoan[[#This Row],[Int]])))</f>
        <v>0</v>
      </c>
      <c r="E531" s="14">
        <f>IF(tblSubjectToLoan[[#This Row],[Date]]="",0,ROUND(tblSubjectToLoan[[#This Row],[Beginning Balance]]*(subjectInterestRate/12),2))</f>
        <v>0</v>
      </c>
      <c r="H531" s="14">
        <f>SUM(tblSubjectToLoan[[#This Row],[Princ]],tblSubjectToLoan[[#This Row],[Int]],tblSubjectToLoan[[#This Row],[Ins]],tblSubjectToLoan[[#This Row],[Taxes]])</f>
        <v>0</v>
      </c>
      <c r="I5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1" s="276">
        <f>IF(tblSubjectToLoan[[#This Row],[Date]]="",IF(ROW()=ROW(tblSubjectToLoan[#Headers])+1,0,INDEX(tblSubjectToLoan[Interest],ROW()-ROW(tblSubjectToLoan[#Headers])-1)),tblSubjectToLoan[[#This Row],[Int]]+IF(ROW()=ROW(tblSubjectToLoan[#Headers])+1,0,INDEX(tblSubjectToLoan[Interest],ROW()-ROW(tblSubjectToLoan[#Headers])-1)))</f>
        <v>36068.259999999973</v>
      </c>
      <c r="K531" s="969">
        <f>IF(tblSubjectToLoan[[#This Row],[Date]]="",0,MAX(0,tblSubjectToLoan[[#This Row],[Beginning Balance]]-tblSubjectToLoan[[#This Row],[Princ]]))</f>
        <v>0</v>
      </c>
      <c r="L531" s="394">
        <f t="shared" si="45"/>
        <v>0</v>
      </c>
      <c r="M531" s="394">
        <f t="shared" si="42"/>
        <v>0</v>
      </c>
      <c r="N531" s="613" t="str">
        <f>INDEX(tblSubjectToLoan[Date],ROW()-ROW(tblContractForDeed[#Headers]))</f>
        <v/>
      </c>
      <c r="O531" s="276">
        <f>IF(ROW()=ROW(tblContractForDeed[#Headers])+1,$O$6,IF(INDEX(tblContractForDeed[End Bal],ROW()-ROW(tblContractForDeed[#Headers])-1)&lt;0,0,INDEX(tblContractForDeed[End Bal],ROW()-ROW(tblContractForDeed[#Headers])-1)))</f>
        <v>0</v>
      </c>
      <c r="P531" s="454"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1" s="276">
        <f>IF(INDEX(tblContractForDeed[End Bal],ROW()-ROW(tblBuyerOutputs[#Headers]))&lt;=0,0,($O$6+IF(ROW()=ROW(tblBuyerOutputs[#Headers])+1,0,INDEX(tblBuyerOutputs[Cumul Appr],ROW()-ROW(tblBuyerOutputs[#Headers])-1)))*$O$2/12)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13" t="str">
        <f>IF(ROW()=ROW(tblSubjectToLoan[#Headers])+1,subjectKnownBalanceDate,IF(OR(INDEX(tblSubjectToLoan[Date],ROW()-ROW(tblSubjectToLoan[#Headers])-1)="",INDEX(tblSubjectToLoan[Date],ROW()-ROW(tblSubjectToLoan[#Headers])-1)&gt;=subjectMortgageEndDate),"",EDATE(INDEX(tblSubjectToLoan[Date],ROW()-ROW(tblSubjectToLoan[#Headers])-1),1)))</f>
        <v/>
      </c>
      <c r="B532" s="276">
        <f>IF(tblSubjectToLoan[[#This Row],[Date]]="",0,IF(ROW()=ROW(tblSubjectToLoan[#Headers])+1,subjectKnownBalance,MAX(0,INDEX(tblSubjectToLoan[Ending Balance],ROW()-ROW(tblSubjectToLoan[#Headers])-1))))</f>
        <v>0</v>
      </c>
      <c r="C5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2" s="14">
        <f>IF(tblSubjectToLoan[[#This Row],[Payment]]=0,0,MAX(0,MIN(tblSubjectToLoan[[#This Row],[Beginning Balance]],tblSubjectToLoan[[#This Row],[Payment]]-tblSubjectToLoan[[#This Row],[Int]])))</f>
        <v>0</v>
      </c>
      <c r="E532" s="14">
        <f>IF(tblSubjectToLoan[[#This Row],[Date]]="",0,ROUND(tblSubjectToLoan[[#This Row],[Beginning Balance]]*(subjectInterestRate/12),2))</f>
        <v>0</v>
      </c>
      <c r="H532" s="14">
        <f>SUM(tblSubjectToLoan[[#This Row],[Princ]],tblSubjectToLoan[[#This Row],[Int]],tblSubjectToLoan[[#This Row],[Ins]],tblSubjectToLoan[[#This Row],[Taxes]])</f>
        <v>0</v>
      </c>
      <c r="I5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2" s="276">
        <f>IF(tblSubjectToLoan[[#This Row],[Date]]="",IF(ROW()=ROW(tblSubjectToLoan[#Headers])+1,0,INDEX(tblSubjectToLoan[Interest],ROW()-ROW(tblSubjectToLoan[#Headers])-1)),tblSubjectToLoan[[#This Row],[Int]]+IF(ROW()=ROW(tblSubjectToLoan[#Headers])+1,0,INDEX(tblSubjectToLoan[Interest],ROW()-ROW(tblSubjectToLoan[#Headers])-1)))</f>
        <v>36068.259999999973</v>
      </c>
      <c r="K532" s="969">
        <f>IF(tblSubjectToLoan[[#This Row],[Date]]="",0,MAX(0,tblSubjectToLoan[[#This Row],[Beginning Balance]]-tblSubjectToLoan[[#This Row],[Princ]]))</f>
        <v>0</v>
      </c>
      <c r="L532" s="394">
        <f t="shared" si="45"/>
        <v>0</v>
      </c>
      <c r="M532" s="394">
        <f t="shared" si="42"/>
        <v>0</v>
      </c>
      <c r="N532" s="613" t="str">
        <f>INDEX(tblSubjectToLoan[Date],ROW()-ROW(tblContractForDeed[#Headers]))</f>
        <v/>
      </c>
      <c r="O532" s="276">
        <f>IF(ROW()=ROW(tblContractForDeed[#Headers])+1,$O$6,IF(INDEX(tblContractForDeed[End Bal],ROW()-ROW(tblContractForDeed[#Headers])-1)&lt;0,0,INDEX(tblContractForDeed[End Bal],ROW()-ROW(tblContractForDeed[#Headers])-1)))</f>
        <v>0</v>
      </c>
      <c r="P532" s="454"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2" s="276">
        <f>IF(INDEX(tblContractForDeed[End Bal],ROW()-ROW(tblBuyerOutputs[#Headers]))&lt;=0,0,($O$6+IF(ROW()=ROW(tblBuyerOutputs[#Headers])+1,0,INDEX(tblBuyerOutputs[Cumul Appr],ROW()-ROW(tblBuyerOutputs[#Headers])-1)))*$O$2/12)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13" t="str">
        <f>IF(ROW()=ROW(tblSubjectToLoan[#Headers])+1,subjectKnownBalanceDate,IF(OR(INDEX(tblSubjectToLoan[Date],ROW()-ROW(tblSubjectToLoan[#Headers])-1)="",INDEX(tblSubjectToLoan[Date],ROW()-ROW(tblSubjectToLoan[#Headers])-1)&gt;=subjectMortgageEndDate),"",EDATE(INDEX(tblSubjectToLoan[Date],ROW()-ROW(tblSubjectToLoan[#Headers])-1),1)))</f>
        <v/>
      </c>
      <c r="B533" s="276">
        <f>IF(tblSubjectToLoan[[#This Row],[Date]]="",0,IF(ROW()=ROW(tblSubjectToLoan[#Headers])+1,subjectKnownBalance,MAX(0,INDEX(tblSubjectToLoan[Ending Balance],ROW()-ROW(tblSubjectToLoan[#Headers])-1))))</f>
        <v>0</v>
      </c>
      <c r="C5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3" s="14">
        <f>IF(tblSubjectToLoan[[#This Row],[Payment]]=0,0,MAX(0,MIN(tblSubjectToLoan[[#This Row],[Beginning Balance]],tblSubjectToLoan[[#This Row],[Payment]]-tblSubjectToLoan[[#This Row],[Int]])))</f>
        <v>0</v>
      </c>
      <c r="E533" s="14">
        <f>IF(tblSubjectToLoan[[#This Row],[Date]]="",0,ROUND(tblSubjectToLoan[[#This Row],[Beginning Balance]]*(subjectInterestRate/12),2))</f>
        <v>0</v>
      </c>
      <c r="H533" s="14">
        <f>SUM(tblSubjectToLoan[[#This Row],[Princ]],tblSubjectToLoan[[#This Row],[Int]],tblSubjectToLoan[[#This Row],[Ins]],tblSubjectToLoan[[#This Row],[Taxes]])</f>
        <v>0</v>
      </c>
      <c r="I5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3" s="276">
        <f>IF(tblSubjectToLoan[[#This Row],[Date]]="",IF(ROW()=ROW(tblSubjectToLoan[#Headers])+1,0,INDEX(tblSubjectToLoan[Interest],ROW()-ROW(tblSubjectToLoan[#Headers])-1)),tblSubjectToLoan[[#This Row],[Int]]+IF(ROW()=ROW(tblSubjectToLoan[#Headers])+1,0,INDEX(tblSubjectToLoan[Interest],ROW()-ROW(tblSubjectToLoan[#Headers])-1)))</f>
        <v>36068.259999999973</v>
      </c>
      <c r="K533" s="969">
        <f>IF(tblSubjectToLoan[[#This Row],[Date]]="",0,MAX(0,tblSubjectToLoan[[#This Row],[Beginning Balance]]-tblSubjectToLoan[[#This Row],[Princ]]))</f>
        <v>0</v>
      </c>
      <c r="L533" s="394">
        <f t="shared" si="45"/>
        <v>0</v>
      </c>
      <c r="M533" s="394">
        <f t="shared" ref="M533:M596" si="46">IF($A533&lt;&gt;"",M532+1,0)</f>
        <v>0</v>
      </c>
      <c r="N533" s="613" t="str">
        <f>INDEX(tblSubjectToLoan[Date],ROW()-ROW(tblContractForDeed[#Headers]))</f>
        <v/>
      </c>
      <c r="O533" s="276">
        <f>IF(ROW()=ROW(tblContractForDeed[#Headers])+1,$O$6,IF(INDEX(tblContractForDeed[End Bal],ROW()-ROW(tblContractForDeed[#Headers])-1)&lt;0,0,INDEX(tblContractForDeed[End Bal],ROW()-ROW(tblContractForDeed[#Headers])-1)))</f>
        <v>0</v>
      </c>
      <c r="P533" s="454"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3" s="276">
        <f>IF(INDEX(tblContractForDeed[End Bal],ROW()-ROW(tblBuyerOutputs[#Headers]))&lt;=0,0,($O$6+IF(ROW()=ROW(tblBuyerOutputs[#Headers])+1,0,INDEX(tblBuyerOutputs[Cumul Appr],ROW()-ROW(tblBuyerOutputs[#Headers])-1)))*$O$2/12)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13" t="str">
        <f>IF(ROW()=ROW(tblSubjectToLoan[#Headers])+1,subjectKnownBalanceDate,IF(OR(INDEX(tblSubjectToLoan[Date],ROW()-ROW(tblSubjectToLoan[#Headers])-1)="",INDEX(tblSubjectToLoan[Date],ROW()-ROW(tblSubjectToLoan[#Headers])-1)&gt;=subjectMortgageEndDate),"",EDATE(INDEX(tblSubjectToLoan[Date],ROW()-ROW(tblSubjectToLoan[#Headers])-1),1)))</f>
        <v/>
      </c>
      <c r="B534" s="276">
        <f>IF(tblSubjectToLoan[[#This Row],[Date]]="",0,IF(ROW()=ROW(tblSubjectToLoan[#Headers])+1,subjectKnownBalance,MAX(0,INDEX(tblSubjectToLoan[Ending Balance],ROW()-ROW(tblSubjectToLoan[#Headers])-1))))</f>
        <v>0</v>
      </c>
      <c r="C5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4" s="14">
        <f>IF(tblSubjectToLoan[[#This Row],[Payment]]=0,0,MAX(0,MIN(tblSubjectToLoan[[#This Row],[Beginning Balance]],tblSubjectToLoan[[#This Row],[Payment]]-tblSubjectToLoan[[#This Row],[Int]])))</f>
        <v>0</v>
      </c>
      <c r="E534" s="14">
        <f>IF(tblSubjectToLoan[[#This Row],[Date]]="",0,ROUND(tblSubjectToLoan[[#This Row],[Beginning Balance]]*(subjectInterestRate/12),2))</f>
        <v>0</v>
      </c>
      <c r="H534" s="14">
        <f>SUM(tblSubjectToLoan[[#This Row],[Princ]],tblSubjectToLoan[[#This Row],[Int]],tblSubjectToLoan[[#This Row],[Ins]],tblSubjectToLoan[[#This Row],[Taxes]])</f>
        <v>0</v>
      </c>
      <c r="I5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4" s="276">
        <f>IF(tblSubjectToLoan[[#This Row],[Date]]="",IF(ROW()=ROW(tblSubjectToLoan[#Headers])+1,0,INDEX(tblSubjectToLoan[Interest],ROW()-ROW(tblSubjectToLoan[#Headers])-1)),tblSubjectToLoan[[#This Row],[Int]]+IF(ROW()=ROW(tblSubjectToLoan[#Headers])+1,0,INDEX(tblSubjectToLoan[Interest],ROW()-ROW(tblSubjectToLoan[#Headers])-1)))</f>
        <v>36068.259999999973</v>
      </c>
      <c r="K534" s="969">
        <f>IF(tblSubjectToLoan[[#This Row],[Date]]="",0,MAX(0,tblSubjectToLoan[[#This Row],[Beginning Balance]]-tblSubjectToLoan[[#This Row],[Princ]]))</f>
        <v>0</v>
      </c>
      <c r="L534" s="394">
        <f t="shared" si="45"/>
        <v>0</v>
      </c>
      <c r="M534" s="394">
        <f t="shared" si="46"/>
        <v>0</v>
      </c>
      <c r="N534" s="613" t="str">
        <f>INDEX(tblSubjectToLoan[Date],ROW()-ROW(tblContractForDeed[#Headers]))</f>
        <v/>
      </c>
      <c r="O534" s="276">
        <f>IF(ROW()=ROW(tblContractForDeed[#Headers])+1,$O$6,IF(INDEX(tblContractForDeed[End Bal],ROW()-ROW(tblContractForDeed[#Headers])-1)&lt;0,0,INDEX(tblContractForDeed[End Bal],ROW()-ROW(tblContractForDeed[#Headers])-1)))</f>
        <v>0</v>
      </c>
      <c r="P534" s="454"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4" s="276">
        <f>IF(INDEX(tblContractForDeed[End Bal],ROW()-ROW(tblBuyerOutputs[#Headers]))&lt;=0,0,($O$6+IF(ROW()=ROW(tblBuyerOutputs[#Headers])+1,0,INDEX(tblBuyerOutputs[Cumul Appr],ROW()-ROW(tblBuyerOutputs[#Headers])-1)))*$O$2/12)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14" t="str">
        <f>IF(ROW()=ROW(tblSubjectToLoan[#Headers])+1,subjectKnownBalanceDate,IF(OR(INDEX(tblSubjectToLoan[Date],ROW()-ROW(tblSubjectToLoan[#Headers])-1)="",INDEX(tblSubjectToLoan[Date],ROW()-ROW(tblSubjectToLoan[#Headers])-1)&gt;=subjectMortgageEndDate),"",EDATE(INDEX(tblSubjectToLoan[Date],ROW()-ROW(tblSubjectToLoan[#Headers])-1),1)))</f>
        <v/>
      </c>
      <c r="B535" s="332">
        <f>IF(tblSubjectToLoan[[#This Row],[Date]]="",0,IF(ROW()=ROW(tblSubjectToLoan[#Headers])+1,subjectKnownBalance,MAX(0,INDEX(tblSubjectToLoan[Ending Balance],ROW()-ROW(tblSubjectToLoan[#Headers])-1))))</f>
        <v>0</v>
      </c>
      <c r="C53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5" s="21">
        <f>IF(tblSubjectToLoan[[#This Row],[Payment]]=0,0,MAX(0,MIN(tblSubjectToLoan[[#This Row],[Beginning Balance]],tblSubjectToLoan[[#This Row],[Payment]]-tblSubjectToLoan[[#This Row],[Int]])))</f>
        <v>0</v>
      </c>
      <c r="E535" s="21">
        <f>IF(tblSubjectToLoan[[#This Row],[Date]]="",0,ROUND(tblSubjectToLoan[[#This Row],[Beginning Balance]]*(subjectInterestRate/12),2))</f>
        <v>0</v>
      </c>
      <c r="F535" s="21"/>
      <c r="G535" s="21"/>
      <c r="H535" s="21">
        <f>SUM(tblSubjectToLoan[[#This Row],[Princ]],tblSubjectToLoan[[#This Row],[Int]],tblSubjectToLoan[[#This Row],[Ins]],tblSubjectToLoan[[#This Row],[Taxes]])</f>
        <v>0</v>
      </c>
      <c r="I53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35" s="332">
        <f>IF(tblSubjectToLoan[[#This Row],[Date]]="",IF(ROW()=ROW(tblSubjectToLoan[#Headers])+1,0,INDEX(tblSubjectToLoan[Interest],ROW()-ROW(tblSubjectToLoan[#Headers])-1)),tblSubjectToLoan[[#This Row],[Int]]+IF(ROW()=ROW(tblSubjectToLoan[#Headers])+1,0,INDEX(tblSubjectToLoan[Interest],ROW()-ROW(tblSubjectToLoan[#Headers])-1)))</f>
        <v>36068.259999999973</v>
      </c>
      <c r="K535" s="970">
        <f>IF(tblSubjectToLoan[[#This Row],[Date]]="",0,MAX(0,tblSubjectToLoan[[#This Row],[Beginning Balance]]-tblSubjectToLoan[[#This Row],[Princ]]))</f>
        <v>0</v>
      </c>
      <c r="L535" s="395">
        <f t="shared" si="45"/>
        <v>0</v>
      </c>
      <c r="M535" s="395">
        <f t="shared" si="46"/>
        <v>0</v>
      </c>
      <c r="N535" s="614" t="str">
        <f>INDEX(tblSubjectToLoan[Date],ROW()-ROW(tblContractForDeed[#Headers]))</f>
        <v/>
      </c>
      <c r="O535" s="276">
        <f>IF(ROW()=ROW(tblContractForDeed[#Headers])+1,$O$6,IF(INDEX(tblContractForDeed[End Bal],ROW()-ROW(tblContractForDeed[#Headers])-1)&lt;0,0,INDEX(tblContractForDeed[End Bal],ROW()-ROW(tblContractForDeed[#Headers])-1)))</f>
        <v>0</v>
      </c>
      <c r="P535" s="454"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5" s="332">
        <f>IF(INDEX(tblContractForDeed[End Bal],ROW()-ROW(tblBuyerOutputs[#Headers]))&lt;=0,0,($O$6+IF(ROW()=ROW(tblBuyerOutputs[#Headers])+1,0,INDEX(tblBuyerOutputs[Cumul Appr],ROW()-ROW(tblBuyerOutputs[#Headers])-1)))*$O$2/12)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13" t="str">
        <f>IF(ROW()=ROW(tblSubjectToLoan[#Headers])+1,subjectKnownBalanceDate,IF(OR(INDEX(tblSubjectToLoan[Date],ROW()-ROW(tblSubjectToLoan[#Headers])-1)="",INDEX(tblSubjectToLoan[Date],ROW()-ROW(tblSubjectToLoan[#Headers])-1)&gt;=subjectMortgageEndDate),"",EDATE(INDEX(tblSubjectToLoan[Date],ROW()-ROW(tblSubjectToLoan[#Headers])-1),1)))</f>
        <v/>
      </c>
      <c r="B536" s="276">
        <f>IF(tblSubjectToLoan[[#This Row],[Date]]="",0,IF(ROW()=ROW(tblSubjectToLoan[#Headers])+1,subjectKnownBalance,MAX(0,INDEX(tblSubjectToLoan[Ending Balance],ROW()-ROW(tblSubjectToLoan[#Headers])-1))))</f>
        <v>0</v>
      </c>
      <c r="C5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6" s="14">
        <f>IF(tblSubjectToLoan[[#This Row],[Payment]]=0,0,MAX(0,MIN(tblSubjectToLoan[[#This Row],[Beginning Balance]],tblSubjectToLoan[[#This Row],[Payment]]-tblSubjectToLoan[[#This Row],[Int]])))</f>
        <v>0</v>
      </c>
      <c r="E536" s="14">
        <f>IF(tblSubjectToLoan[[#This Row],[Date]]="",0,ROUND(tblSubjectToLoan[[#This Row],[Beginning Balance]]*(subjectInterestRate/12),2))</f>
        <v>0</v>
      </c>
      <c r="H536" s="14">
        <f>SUM(tblSubjectToLoan[[#This Row],[Princ]],tblSubjectToLoan[[#This Row],[Int]],tblSubjectToLoan[[#This Row],[Ins]],tblSubjectToLoan[[#This Row],[Taxes]])</f>
        <v>0</v>
      </c>
      <c r="I5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6" s="276">
        <f>IF(tblSubjectToLoan[[#This Row],[Date]]="",IF(ROW()=ROW(tblSubjectToLoan[#Headers])+1,0,INDEX(tblSubjectToLoan[Interest],ROW()-ROW(tblSubjectToLoan[#Headers])-1)),tblSubjectToLoan[[#This Row],[Int]]+IF(ROW()=ROW(tblSubjectToLoan[#Headers])+1,0,INDEX(tblSubjectToLoan[Interest],ROW()-ROW(tblSubjectToLoan[#Headers])-1)))</f>
        <v>36068.259999999973</v>
      </c>
      <c r="K536" s="969">
        <f>IF(tblSubjectToLoan[[#This Row],[Date]]="",0,MAX(0,tblSubjectToLoan[[#This Row],[Beginning Balance]]-tblSubjectToLoan[[#This Row],[Princ]]))</f>
        <v>0</v>
      </c>
      <c r="L536" s="394">
        <f t="shared" si="45"/>
        <v>0</v>
      </c>
      <c r="M536" s="394">
        <f t="shared" si="46"/>
        <v>0</v>
      </c>
      <c r="N536" s="613" t="str">
        <f>INDEX(tblSubjectToLoan[Date],ROW()-ROW(tblContractForDeed[#Headers]))</f>
        <v/>
      </c>
      <c r="O536" s="276">
        <f>IF(ROW()=ROW(tblContractForDeed[#Headers])+1,$O$6,IF(INDEX(tblContractForDeed[End Bal],ROW()-ROW(tblContractForDeed[#Headers])-1)&lt;0,0,INDEX(tblContractForDeed[End Bal],ROW()-ROW(tblContractForDeed[#Headers])-1)))</f>
        <v>0</v>
      </c>
      <c r="P536" s="454"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6" s="276">
        <f>IF(INDEX(tblContractForDeed[End Bal],ROW()-ROW(tblBuyerOutputs[#Headers]))&lt;=0,0,($O$6+IF(ROW()=ROW(tblBuyerOutputs[#Headers])+1,0,INDEX(tblBuyerOutputs[Cumul Appr],ROW()-ROW(tblBuyerOutputs[#Headers])-1)))*$O$2/12)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13" t="str">
        <f>IF(ROW()=ROW(tblSubjectToLoan[#Headers])+1,subjectKnownBalanceDate,IF(OR(INDEX(tblSubjectToLoan[Date],ROW()-ROW(tblSubjectToLoan[#Headers])-1)="",INDEX(tblSubjectToLoan[Date],ROW()-ROW(tblSubjectToLoan[#Headers])-1)&gt;=subjectMortgageEndDate),"",EDATE(INDEX(tblSubjectToLoan[Date],ROW()-ROW(tblSubjectToLoan[#Headers])-1),1)))</f>
        <v/>
      </c>
      <c r="B537" s="276">
        <f>IF(tblSubjectToLoan[[#This Row],[Date]]="",0,IF(ROW()=ROW(tblSubjectToLoan[#Headers])+1,subjectKnownBalance,MAX(0,INDEX(tblSubjectToLoan[Ending Balance],ROW()-ROW(tblSubjectToLoan[#Headers])-1))))</f>
        <v>0</v>
      </c>
      <c r="C5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7" s="14">
        <f>IF(tblSubjectToLoan[[#This Row],[Payment]]=0,0,MAX(0,MIN(tblSubjectToLoan[[#This Row],[Beginning Balance]],tblSubjectToLoan[[#This Row],[Payment]]-tblSubjectToLoan[[#This Row],[Int]])))</f>
        <v>0</v>
      </c>
      <c r="E537" s="14">
        <f>IF(tblSubjectToLoan[[#This Row],[Date]]="",0,ROUND(tblSubjectToLoan[[#This Row],[Beginning Balance]]*(subjectInterestRate/12),2))</f>
        <v>0</v>
      </c>
      <c r="H537" s="14">
        <f>SUM(tblSubjectToLoan[[#This Row],[Princ]],tblSubjectToLoan[[#This Row],[Int]],tblSubjectToLoan[[#This Row],[Ins]],tblSubjectToLoan[[#This Row],[Taxes]])</f>
        <v>0</v>
      </c>
      <c r="I5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7" s="276">
        <f>IF(tblSubjectToLoan[[#This Row],[Date]]="",IF(ROW()=ROW(tblSubjectToLoan[#Headers])+1,0,INDEX(tblSubjectToLoan[Interest],ROW()-ROW(tblSubjectToLoan[#Headers])-1)),tblSubjectToLoan[[#This Row],[Int]]+IF(ROW()=ROW(tblSubjectToLoan[#Headers])+1,0,INDEX(tblSubjectToLoan[Interest],ROW()-ROW(tblSubjectToLoan[#Headers])-1)))</f>
        <v>36068.259999999973</v>
      </c>
      <c r="K537" s="969">
        <f>IF(tblSubjectToLoan[[#This Row],[Date]]="",0,MAX(0,tblSubjectToLoan[[#This Row],[Beginning Balance]]-tblSubjectToLoan[[#This Row],[Princ]]))</f>
        <v>0</v>
      </c>
      <c r="L537" s="394">
        <f t="shared" si="45"/>
        <v>0</v>
      </c>
      <c r="M537" s="394">
        <f t="shared" si="46"/>
        <v>0</v>
      </c>
      <c r="N537" s="613" t="str">
        <f>INDEX(tblSubjectToLoan[Date],ROW()-ROW(tblContractForDeed[#Headers]))</f>
        <v/>
      </c>
      <c r="O537" s="276">
        <f>IF(ROW()=ROW(tblContractForDeed[#Headers])+1,$O$6,IF(INDEX(tblContractForDeed[End Bal],ROW()-ROW(tblContractForDeed[#Headers])-1)&lt;0,0,INDEX(tblContractForDeed[End Bal],ROW()-ROW(tblContractForDeed[#Headers])-1)))</f>
        <v>0</v>
      </c>
      <c r="P537" s="454"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7" s="276">
        <f>IF(INDEX(tblContractForDeed[End Bal],ROW()-ROW(tblBuyerOutputs[#Headers]))&lt;=0,0,($O$6+IF(ROW()=ROW(tblBuyerOutputs[#Headers])+1,0,INDEX(tblBuyerOutputs[Cumul Appr],ROW()-ROW(tblBuyerOutputs[#Headers])-1)))*$O$2/12)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13" t="str">
        <f>IF(ROW()=ROW(tblSubjectToLoan[#Headers])+1,subjectKnownBalanceDate,IF(OR(INDEX(tblSubjectToLoan[Date],ROW()-ROW(tblSubjectToLoan[#Headers])-1)="",INDEX(tblSubjectToLoan[Date],ROW()-ROW(tblSubjectToLoan[#Headers])-1)&gt;=subjectMortgageEndDate),"",EDATE(INDEX(tblSubjectToLoan[Date],ROW()-ROW(tblSubjectToLoan[#Headers])-1),1)))</f>
        <v/>
      </c>
      <c r="B538" s="276">
        <f>IF(tblSubjectToLoan[[#This Row],[Date]]="",0,IF(ROW()=ROW(tblSubjectToLoan[#Headers])+1,subjectKnownBalance,MAX(0,INDEX(tblSubjectToLoan[Ending Balance],ROW()-ROW(tblSubjectToLoan[#Headers])-1))))</f>
        <v>0</v>
      </c>
      <c r="C5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8" s="14">
        <f>IF(tblSubjectToLoan[[#This Row],[Payment]]=0,0,MAX(0,MIN(tblSubjectToLoan[[#This Row],[Beginning Balance]],tblSubjectToLoan[[#This Row],[Payment]]-tblSubjectToLoan[[#This Row],[Int]])))</f>
        <v>0</v>
      </c>
      <c r="E538" s="14">
        <f>IF(tblSubjectToLoan[[#This Row],[Date]]="",0,ROUND(tblSubjectToLoan[[#This Row],[Beginning Balance]]*(subjectInterestRate/12),2))</f>
        <v>0</v>
      </c>
      <c r="H538" s="14">
        <f>SUM(tblSubjectToLoan[[#This Row],[Princ]],tblSubjectToLoan[[#This Row],[Int]],tblSubjectToLoan[[#This Row],[Ins]],tblSubjectToLoan[[#This Row],[Taxes]])</f>
        <v>0</v>
      </c>
      <c r="I5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8" s="276">
        <f>IF(tblSubjectToLoan[[#This Row],[Date]]="",IF(ROW()=ROW(tblSubjectToLoan[#Headers])+1,0,INDEX(tblSubjectToLoan[Interest],ROW()-ROW(tblSubjectToLoan[#Headers])-1)),tblSubjectToLoan[[#This Row],[Int]]+IF(ROW()=ROW(tblSubjectToLoan[#Headers])+1,0,INDEX(tblSubjectToLoan[Interest],ROW()-ROW(tblSubjectToLoan[#Headers])-1)))</f>
        <v>36068.259999999973</v>
      </c>
      <c r="K538" s="969">
        <f>IF(tblSubjectToLoan[[#This Row],[Date]]="",0,MAX(0,tblSubjectToLoan[[#This Row],[Beginning Balance]]-tblSubjectToLoan[[#This Row],[Princ]]))</f>
        <v>0</v>
      </c>
      <c r="L538" s="394">
        <f t="shared" si="45"/>
        <v>0</v>
      </c>
      <c r="M538" s="394">
        <f t="shared" si="46"/>
        <v>0</v>
      </c>
      <c r="N538" s="613" t="str">
        <f>INDEX(tblSubjectToLoan[Date],ROW()-ROW(tblContractForDeed[#Headers]))</f>
        <v/>
      </c>
      <c r="O538" s="276">
        <f>IF(ROW()=ROW(tblContractForDeed[#Headers])+1,$O$6,IF(INDEX(tblContractForDeed[End Bal],ROW()-ROW(tblContractForDeed[#Headers])-1)&lt;0,0,INDEX(tblContractForDeed[End Bal],ROW()-ROW(tblContractForDeed[#Headers])-1)))</f>
        <v>0</v>
      </c>
      <c r="P538" s="454"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8" s="276">
        <f>IF(INDEX(tblContractForDeed[End Bal],ROW()-ROW(tblBuyerOutputs[#Headers]))&lt;=0,0,($O$6+IF(ROW()=ROW(tblBuyerOutputs[#Headers])+1,0,INDEX(tblBuyerOutputs[Cumul Appr],ROW()-ROW(tblBuyerOutputs[#Headers])-1)))*$O$2/12)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13" t="str">
        <f>IF(ROW()=ROW(tblSubjectToLoan[#Headers])+1,subjectKnownBalanceDate,IF(OR(INDEX(tblSubjectToLoan[Date],ROW()-ROW(tblSubjectToLoan[#Headers])-1)="",INDEX(tblSubjectToLoan[Date],ROW()-ROW(tblSubjectToLoan[#Headers])-1)&gt;=subjectMortgageEndDate),"",EDATE(INDEX(tblSubjectToLoan[Date],ROW()-ROW(tblSubjectToLoan[#Headers])-1),1)))</f>
        <v/>
      </c>
      <c r="B539" s="276">
        <f>IF(tblSubjectToLoan[[#This Row],[Date]]="",0,IF(ROW()=ROW(tblSubjectToLoan[#Headers])+1,subjectKnownBalance,MAX(0,INDEX(tblSubjectToLoan[Ending Balance],ROW()-ROW(tblSubjectToLoan[#Headers])-1))))</f>
        <v>0</v>
      </c>
      <c r="C5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9" s="14">
        <f>IF(tblSubjectToLoan[[#This Row],[Payment]]=0,0,MAX(0,MIN(tblSubjectToLoan[[#This Row],[Beginning Balance]],tblSubjectToLoan[[#This Row],[Payment]]-tblSubjectToLoan[[#This Row],[Int]])))</f>
        <v>0</v>
      </c>
      <c r="E539" s="14">
        <f>IF(tblSubjectToLoan[[#This Row],[Date]]="",0,ROUND(tblSubjectToLoan[[#This Row],[Beginning Balance]]*(subjectInterestRate/12),2))</f>
        <v>0</v>
      </c>
      <c r="H539" s="14">
        <f>SUM(tblSubjectToLoan[[#This Row],[Princ]],tblSubjectToLoan[[#This Row],[Int]],tblSubjectToLoan[[#This Row],[Ins]],tblSubjectToLoan[[#This Row],[Taxes]])</f>
        <v>0</v>
      </c>
      <c r="I5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9" s="276">
        <f>IF(tblSubjectToLoan[[#This Row],[Date]]="",IF(ROW()=ROW(tblSubjectToLoan[#Headers])+1,0,INDEX(tblSubjectToLoan[Interest],ROW()-ROW(tblSubjectToLoan[#Headers])-1)),tblSubjectToLoan[[#This Row],[Int]]+IF(ROW()=ROW(tblSubjectToLoan[#Headers])+1,0,INDEX(tblSubjectToLoan[Interest],ROW()-ROW(tblSubjectToLoan[#Headers])-1)))</f>
        <v>36068.259999999973</v>
      </c>
      <c r="K539" s="969">
        <f>IF(tblSubjectToLoan[[#This Row],[Date]]="",0,MAX(0,tblSubjectToLoan[[#This Row],[Beginning Balance]]-tblSubjectToLoan[[#This Row],[Princ]]))</f>
        <v>0</v>
      </c>
      <c r="L539" s="394">
        <f t="shared" si="45"/>
        <v>0</v>
      </c>
      <c r="M539" s="394">
        <f t="shared" si="46"/>
        <v>0</v>
      </c>
      <c r="N539" s="613" t="str">
        <f>INDEX(tblSubjectToLoan[Date],ROW()-ROW(tblContractForDeed[#Headers]))</f>
        <v/>
      </c>
      <c r="O539" s="276">
        <f>IF(ROW()=ROW(tblContractForDeed[#Headers])+1,$O$6,IF(INDEX(tblContractForDeed[End Bal],ROW()-ROW(tblContractForDeed[#Headers])-1)&lt;0,0,INDEX(tblContractForDeed[End Bal],ROW()-ROW(tblContractForDeed[#Headers])-1)))</f>
        <v>0</v>
      </c>
      <c r="P539" s="454"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9" s="276">
        <f>IF(INDEX(tblContractForDeed[End Bal],ROW()-ROW(tblBuyerOutputs[#Headers]))&lt;=0,0,($O$6+IF(ROW()=ROW(tblBuyerOutputs[#Headers])+1,0,INDEX(tblBuyerOutputs[Cumul Appr],ROW()-ROW(tblBuyerOutputs[#Headers])-1)))*$O$2/12)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13" t="str">
        <f>IF(ROW()=ROW(tblSubjectToLoan[#Headers])+1,subjectKnownBalanceDate,IF(OR(INDEX(tblSubjectToLoan[Date],ROW()-ROW(tblSubjectToLoan[#Headers])-1)="",INDEX(tblSubjectToLoan[Date],ROW()-ROW(tblSubjectToLoan[#Headers])-1)&gt;=subjectMortgageEndDate),"",EDATE(INDEX(tblSubjectToLoan[Date],ROW()-ROW(tblSubjectToLoan[#Headers])-1),1)))</f>
        <v/>
      </c>
      <c r="B540" s="276">
        <f>IF(tblSubjectToLoan[[#This Row],[Date]]="",0,IF(ROW()=ROW(tblSubjectToLoan[#Headers])+1,subjectKnownBalance,MAX(0,INDEX(tblSubjectToLoan[Ending Balance],ROW()-ROW(tblSubjectToLoan[#Headers])-1))))</f>
        <v>0</v>
      </c>
      <c r="C5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0" s="14">
        <f>IF(tblSubjectToLoan[[#This Row],[Payment]]=0,0,MAX(0,MIN(tblSubjectToLoan[[#This Row],[Beginning Balance]],tblSubjectToLoan[[#This Row],[Payment]]-tblSubjectToLoan[[#This Row],[Int]])))</f>
        <v>0</v>
      </c>
      <c r="E540" s="14">
        <f>IF(tblSubjectToLoan[[#This Row],[Date]]="",0,ROUND(tblSubjectToLoan[[#This Row],[Beginning Balance]]*(subjectInterestRate/12),2))</f>
        <v>0</v>
      </c>
      <c r="H540" s="14">
        <f>SUM(tblSubjectToLoan[[#This Row],[Princ]],tblSubjectToLoan[[#This Row],[Int]],tblSubjectToLoan[[#This Row],[Ins]],tblSubjectToLoan[[#This Row],[Taxes]])</f>
        <v>0</v>
      </c>
      <c r="I5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0" s="276">
        <f>IF(tblSubjectToLoan[[#This Row],[Date]]="",IF(ROW()=ROW(tblSubjectToLoan[#Headers])+1,0,INDEX(tblSubjectToLoan[Interest],ROW()-ROW(tblSubjectToLoan[#Headers])-1)),tblSubjectToLoan[[#This Row],[Int]]+IF(ROW()=ROW(tblSubjectToLoan[#Headers])+1,0,INDEX(tblSubjectToLoan[Interest],ROW()-ROW(tblSubjectToLoan[#Headers])-1)))</f>
        <v>36068.259999999973</v>
      </c>
      <c r="K540" s="969">
        <f>IF(tblSubjectToLoan[[#This Row],[Date]]="",0,MAX(0,tblSubjectToLoan[[#This Row],[Beginning Balance]]-tblSubjectToLoan[[#This Row],[Princ]]))</f>
        <v>0</v>
      </c>
      <c r="L540" s="394">
        <f t="shared" si="45"/>
        <v>0</v>
      </c>
      <c r="M540" s="394">
        <f t="shared" si="46"/>
        <v>0</v>
      </c>
      <c r="N540" s="613" t="str">
        <f>INDEX(tblSubjectToLoan[Date],ROW()-ROW(tblContractForDeed[#Headers]))</f>
        <v/>
      </c>
      <c r="O540" s="276">
        <f>IF(ROW()=ROW(tblContractForDeed[#Headers])+1,$O$6,IF(INDEX(tblContractForDeed[End Bal],ROW()-ROW(tblContractForDeed[#Headers])-1)&lt;0,0,INDEX(tblContractForDeed[End Bal],ROW()-ROW(tblContractForDeed[#Headers])-1)))</f>
        <v>0</v>
      </c>
      <c r="P540" s="454"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0" s="276">
        <f>IF(INDEX(tblContractForDeed[End Bal],ROW()-ROW(tblBuyerOutputs[#Headers]))&lt;=0,0,($O$6+IF(ROW()=ROW(tblBuyerOutputs[#Headers])+1,0,INDEX(tblBuyerOutputs[Cumul Appr],ROW()-ROW(tblBuyerOutputs[#Headers])-1)))*$O$2/12)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13" t="str">
        <f>IF(ROW()=ROW(tblSubjectToLoan[#Headers])+1,subjectKnownBalanceDate,IF(OR(INDEX(tblSubjectToLoan[Date],ROW()-ROW(tblSubjectToLoan[#Headers])-1)="",INDEX(tblSubjectToLoan[Date],ROW()-ROW(tblSubjectToLoan[#Headers])-1)&gt;=subjectMortgageEndDate),"",EDATE(INDEX(tblSubjectToLoan[Date],ROW()-ROW(tblSubjectToLoan[#Headers])-1),1)))</f>
        <v/>
      </c>
      <c r="B541" s="276">
        <f>IF(tblSubjectToLoan[[#This Row],[Date]]="",0,IF(ROW()=ROW(tblSubjectToLoan[#Headers])+1,subjectKnownBalance,MAX(0,INDEX(tblSubjectToLoan[Ending Balance],ROW()-ROW(tblSubjectToLoan[#Headers])-1))))</f>
        <v>0</v>
      </c>
      <c r="C5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1" s="14">
        <f>IF(tblSubjectToLoan[[#This Row],[Payment]]=0,0,MAX(0,MIN(tblSubjectToLoan[[#This Row],[Beginning Balance]],tblSubjectToLoan[[#This Row],[Payment]]-tblSubjectToLoan[[#This Row],[Int]])))</f>
        <v>0</v>
      </c>
      <c r="E541" s="14">
        <f>IF(tblSubjectToLoan[[#This Row],[Date]]="",0,ROUND(tblSubjectToLoan[[#This Row],[Beginning Balance]]*(subjectInterestRate/12),2))</f>
        <v>0</v>
      </c>
      <c r="H541" s="14">
        <f>SUM(tblSubjectToLoan[[#This Row],[Princ]],tblSubjectToLoan[[#This Row],[Int]],tblSubjectToLoan[[#This Row],[Ins]],tblSubjectToLoan[[#This Row],[Taxes]])</f>
        <v>0</v>
      </c>
      <c r="I5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1" s="276">
        <f>IF(tblSubjectToLoan[[#This Row],[Date]]="",IF(ROW()=ROW(tblSubjectToLoan[#Headers])+1,0,INDEX(tblSubjectToLoan[Interest],ROW()-ROW(tblSubjectToLoan[#Headers])-1)),tblSubjectToLoan[[#This Row],[Int]]+IF(ROW()=ROW(tblSubjectToLoan[#Headers])+1,0,INDEX(tblSubjectToLoan[Interest],ROW()-ROW(tblSubjectToLoan[#Headers])-1)))</f>
        <v>36068.259999999973</v>
      </c>
      <c r="K541" s="969">
        <f>IF(tblSubjectToLoan[[#This Row],[Date]]="",0,MAX(0,tblSubjectToLoan[[#This Row],[Beginning Balance]]-tblSubjectToLoan[[#This Row],[Princ]]))</f>
        <v>0</v>
      </c>
      <c r="L541" s="394">
        <f t="shared" si="45"/>
        <v>0</v>
      </c>
      <c r="M541" s="394">
        <f t="shared" si="46"/>
        <v>0</v>
      </c>
      <c r="N541" s="613" t="str">
        <f>INDEX(tblSubjectToLoan[Date],ROW()-ROW(tblContractForDeed[#Headers]))</f>
        <v/>
      </c>
      <c r="O541" s="276">
        <f>IF(ROW()=ROW(tblContractForDeed[#Headers])+1,$O$6,IF(INDEX(tblContractForDeed[End Bal],ROW()-ROW(tblContractForDeed[#Headers])-1)&lt;0,0,INDEX(tblContractForDeed[End Bal],ROW()-ROW(tblContractForDeed[#Headers])-1)))</f>
        <v>0</v>
      </c>
      <c r="P541" s="454"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1" s="276">
        <f>IF(INDEX(tblContractForDeed[End Bal],ROW()-ROW(tblBuyerOutputs[#Headers]))&lt;=0,0,($O$6+IF(ROW()=ROW(tblBuyerOutputs[#Headers])+1,0,INDEX(tblBuyerOutputs[Cumul Appr],ROW()-ROW(tblBuyerOutputs[#Headers])-1)))*$O$2/12)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13" t="str">
        <f>IF(ROW()=ROW(tblSubjectToLoan[#Headers])+1,subjectKnownBalanceDate,IF(OR(INDEX(tblSubjectToLoan[Date],ROW()-ROW(tblSubjectToLoan[#Headers])-1)="",INDEX(tblSubjectToLoan[Date],ROW()-ROW(tblSubjectToLoan[#Headers])-1)&gt;=subjectMortgageEndDate),"",EDATE(INDEX(tblSubjectToLoan[Date],ROW()-ROW(tblSubjectToLoan[#Headers])-1),1)))</f>
        <v/>
      </c>
      <c r="B542" s="276">
        <f>IF(tblSubjectToLoan[[#This Row],[Date]]="",0,IF(ROW()=ROW(tblSubjectToLoan[#Headers])+1,subjectKnownBalance,MAX(0,INDEX(tblSubjectToLoan[Ending Balance],ROW()-ROW(tblSubjectToLoan[#Headers])-1))))</f>
        <v>0</v>
      </c>
      <c r="C5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2" s="14">
        <f>IF(tblSubjectToLoan[[#This Row],[Payment]]=0,0,MAX(0,MIN(tblSubjectToLoan[[#This Row],[Beginning Balance]],tblSubjectToLoan[[#This Row],[Payment]]-tblSubjectToLoan[[#This Row],[Int]])))</f>
        <v>0</v>
      </c>
      <c r="E542" s="14">
        <f>IF(tblSubjectToLoan[[#This Row],[Date]]="",0,ROUND(tblSubjectToLoan[[#This Row],[Beginning Balance]]*(subjectInterestRate/12),2))</f>
        <v>0</v>
      </c>
      <c r="H542" s="14">
        <f>SUM(tblSubjectToLoan[[#This Row],[Princ]],tblSubjectToLoan[[#This Row],[Int]],tblSubjectToLoan[[#This Row],[Ins]],tblSubjectToLoan[[#This Row],[Taxes]])</f>
        <v>0</v>
      </c>
      <c r="I5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2" s="276">
        <f>IF(tblSubjectToLoan[[#This Row],[Date]]="",IF(ROW()=ROW(tblSubjectToLoan[#Headers])+1,0,INDEX(tblSubjectToLoan[Interest],ROW()-ROW(tblSubjectToLoan[#Headers])-1)),tblSubjectToLoan[[#This Row],[Int]]+IF(ROW()=ROW(tblSubjectToLoan[#Headers])+1,0,INDEX(tblSubjectToLoan[Interest],ROW()-ROW(tblSubjectToLoan[#Headers])-1)))</f>
        <v>36068.259999999973</v>
      </c>
      <c r="K542" s="969">
        <f>IF(tblSubjectToLoan[[#This Row],[Date]]="",0,MAX(0,tblSubjectToLoan[[#This Row],[Beginning Balance]]-tblSubjectToLoan[[#This Row],[Princ]]))</f>
        <v>0</v>
      </c>
      <c r="L542" s="394">
        <f t="shared" si="45"/>
        <v>0</v>
      </c>
      <c r="M542" s="394">
        <f t="shared" si="46"/>
        <v>0</v>
      </c>
      <c r="N542" s="613" t="str">
        <f>INDEX(tblSubjectToLoan[Date],ROW()-ROW(tblContractForDeed[#Headers]))</f>
        <v/>
      </c>
      <c r="O542" s="276">
        <f>IF(ROW()=ROW(tblContractForDeed[#Headers])+1,$O$6,IF(INDEX(tblContractForDeed[End Bal],ROW()-ROW(tblContractForDeed[#Headers])-1)&lt;0,0,INDEX(tblContractForDeed[End Bal],ROW()-ROW(tblContractForDeed[#Headers])-1)))</f>
        <v>0</v>
      </c>
      <c r="P542" s="454"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2" s="276">
        <f>IF(INDEX(tblContractForDeed[End Bal],ROW()-ROW(tblBuyerOutputs[#Headers]))&lt;=0,0,($O$6+IF(ROW()=ROW(tblBuyerOutputs[#Headers])+1,0,INDEX(tblBuyerOutputs[Cumul Appr],ROW()-ROW(tblBuyerOutputs[#Headers])-1)))*$O$2/12)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13" t="str">
        <f>IF(ROW()=ROW(tblSubjectToLoan[#Headers])+1,subjectKnownBalanceDate,IF(OR(INDEX(tblSubjectToLoan[Date],ROW()-ROW(tblSubjectToLoan[#Headers])-1)="",INDEX(tblSubjectToLoan[Date],ROW()-ROW(tblSubjectToLoan[#Headers])-1)&gt;=subjectMortgageEndDate),"",EDATE(INDEX(tblSubjectToLoan[Date],ROW()-ROW(tblSubjectToLoan[#Headers])-1),1)))</f>
        <v/>
      </c>
      <c r="B543" s="276">
        <f>IF(tblSubjectToLoan[[#This Row],[Date]]="",0,IF(ROW()=ROW(tblSubjectToLoan[#Headers])+1,subjectKnownBalance,MAX(0,INDEX(tblSubjectToLoan[Ending Balance],ROW()-ROW(tblSubjectToLoan[#Headers])-1))))</f>
        <v>0</v>
      </c>
      <c r="C5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3" s="14">
        <f>IF(tblSubjectToLoan[[#This Row],[Payment]]=0,0,MAX(0,MIN(tblSubjectToLoan[[#This Row],[Beginning Balance]],tblSubjectToLoan[[#This Row],[Payment]]-tblSubjectToLoan[[#This Row],[Int]])))</f>
        <v>0</v>
      </c>
      <c r="E543" s="14">
        <f>IF(tblSubjectToLoan[[#This Row],[Date]]="",0,ROUND(tblSubjectToLoan[[#This Row],[Beginning Balance]]*(subjectInterestRate/12),2))</f>
        <v>0</v>
      </c>
      <c r="H543" s="14">
        <f>SUM(tblSubjectToLoan[[#This Row],[Princ]],tblSubjectToLoan[[#This Row],[Int]],tblSubjectToLoan[[#This Row],[Ins]],tblSubjectToLoan[[#This Row],[Taxes]])</f>
        <v>0</v>
      </c>
      <c r="I5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3" s="276">
        <f>IF(tblSubjectToLoan[[#This Row],[Date]]="",IF(ROW()=ROW(tblSubjectToLoan[#Headers])+1,0,INDEX(tblSubjectToLoan[Interest],ROW()-ROW(tblSubjectToLoan[#Headers])-1)),tblSubjectToLoan[[#This Row],[Int]]+IF(ROW()=ROW(tblSubjectToLoan[#Headers])+1,0,INDEX(tblSubjectToLoan[Interest],ROW()-ROW(tblSubjectToLoan[#Headers])-1)))</f>
        <v>36068.259999999973</v>
      </c>
      <c r="K543" s="969">
        <f>IF(tblSubjectToLoan[[#This Row],[Date]]="",0,MAX(0,tblSubjectToLoan[[#This Row],[Beginning Balance]]-tblSubjectToLoan[[#This Row],[Princ]]))</f>
        <v>0</v>
      </c>
      <c r="L543" s="394">
        <f t="shared" si="45"/>
        <v>0</v>
      </c>
      <c r="M543" s="394">
        <f t="shared" si="46"/>
        <v>0</v>
      </c>
      <c r="N543" s="613" t="str">
        <f>INDEX(tblSubjectToLoan[Date],ROW()-ROW(tblContractForDeed[#Headers]))</f>
        <v/>
      </c>
      <c r="O543" s="276">
        <f>IF(ROW()=ROW(tblContractForDeed[#Headers])+1,$O$6,IF(INDEX(tblContractForDeed[End Bal],ROW()-ROW(tblContractForDeed[#Headers])-1)&lt;0,0,INDEX(tblContractForDeed[End Bal],ROW()-ROW(tblContractForDeed[#Headers])-1)))</f>
        <v>0</v>
      </c>
      <c r="P543" s="454"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3" s="276">
        <f>IF(INDEX(tblContractForDeed[End Bal],ROW()-ROW(tblBuyerOutputs[#Headers]))&lt;=0,0,($O$6+IF(ROW()=ROW(tblBuyerOutputs[#Headers])+1,0,INDEX(tblBuyerOutputs[Cumul Appr],ROW()-ROW(tblBuyerOutputs[#Headers])-1)))*$O$2/12)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13" t="str">
        <f>IF(ROW()=ROW(tblSubjectToLoan[#Headers])+1,subjectKnownBalanceDate,IF(OR(INDEX(tblSubjectToLoan[Date],ROW()-ROW(tblSubjectToLoan[#Headers])-1)="",INDEX(tblSubjectToLoan[Date],ROW()-ROW(tblSubjectToLoan[#Headers])-1)&gt;=subjectMortgageEndDate),"",EDATE(INDEX(tblSubjectToLoan[Date],ROW()-ROW(tblSubjectToLoan[#Headers])-1),1)))</f>
        <v/>
      </c>
      <c r="B544" s="276">
        <f>IF(tblSubjectToLoan[[#This Row],[Date]]="",0,IF(ROW()=ROW(tblSubjectToLoan[#Headers])+1,subjectKnownBalance,MAX(0,INDEX(tblSubjectToLoan[Ending Balance],ROW()-ROW(tblSubjectToLoan[#Headers])-1))))</f>
        <v>0</v>
      </c>
      <c r="C5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4" s="14">
        <f>IF(tblSubjectToLoan[[#This Row],[Payment]]=0,0,MAX(0,MIN(tblSubjectToLoan[[#This Row],[Beginning Balance]],tblSubjectToLoan[[#This Row],[Payment]]-tblSubjectToLoan[[#This Row],[Int]])))</f>
        <v>0</v>
      </c>
      <c r="E544" s="14">
        <f>IF(tblSubjectToLoan[[#This Row],[Date]]="",0,ROUND(tblSubjectToLoan[[#This Row],[Beginning Balance]]*(subjectInterestRate/12),2))</f>
        <v>0</v>
      </c>
      <c r="H544" s="14">
        <f>SUM(tblSubjectToLoan[[#This Row],[Princ]],tblSubjectToLoan[[#This Row],[Int]],tblSubjectToLoan[[#This Row],[Ins]],tblSubjectToLoan[[#This Row],[Taxes]])</f>
        <v>0</v>
      </c>
      <c r="I5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4" s="276">
        <f>IF(tblSubjectToLoan[[#This Row],[Date]]="",IF(ROW()=ROW(tblSubjectToLoan[#Headers])+1,0,INDEX(tblSubjectToLoan[Interest],ROW()-ROW(tblSubjectToLoan[#Headers])-1)),tblSubjectToLoan[[#This Row],[Int]]+IF(ROW()=ROW(tblSubjectToLoan[#Headers])+1,0,INDEX(tblSubjectToLoan[Interest],ROW()-ROW(tblSubjectToLoan[#Headers])-1)))</f>
        <v>36068.259999999973</v>
      </c>
      <c r="K544" s="969">
        <f>IF(tblSubjectToLoan[[#This Row],[Date]]="",0,MAX(0,tblSubjectToLoan[[#This Row],[Beginning Balance]]-tblSubjectToLoan[[#This Row],[Princ]]))</f>
        <v>0</v>
      </c>
      <c r="L544" s="394">
        <f t="shared" si="45"/>
        <v>0</v>
      </c>
      <c r="M544" s="394">
        <f t="shared" si="46"/>
        <v>0</v>
      </c>
      <c r="N544" s="613" t="str">
        <f>INDEX(tblSubjectToLoan[Date],ROW()-ROW(tblContractForDeed[#Headers]))</f>
        <v/>
      </c>
      <c r="O544" s="276">
        <f>IF(ROW()=ROW(tblContractForDeed[#Headers])+1,$O$6,IF(INDEX(tblContractForDeed[End Bal],ROW()-ROW(tblContractForDeed[#Headers])-1)&lt;0,0,INDEX(tblContractForDeed[End Bal],ROW()-ROW(tblContractForDeed[#Headers])-1)))</f>
        <v>0</v>
      </c>
      <c r="P544" s="454"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4" s="276">
        <f>IF(INDEX(tblContractForDeed[End Bal],ROW()-ROW(tblBuyerOutputs[#Headers]))&lt;=0,0,($O$6+IF(ROW()=ROW(tblBuyerOutputs[#Headers])+1,0,INDEX(tblBuyerOutputs[Cumul Appr],ROW()-ROW(tblBuyerOutputs[#Headers])-1)))*$O$2/12)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13" t="str">
        <f>IF(ROW()=ROW(tblSubjectToLoan[#Headers])+1,subjectKnownBalanceDate,IF(OR(INDEX(tblSubjectToLoan[Date],ROW()-ROW(tblSubjectToLoan[#Headers])-1)="",INDEX(tblSubjectToLoan[Date],ROW()-ROW(tblSubjectToLoan[#Headers])-1)&gt;=subjectMortgageEndDate),"",EDATE(INDEX(tblSubjectToLoan[Date],ROW()-ROW(tblSubjectToLoan[#Headers])-1),1)))</f>
        <v/>
      </c>
      <c r="B545" s="276">
        <f>IF(tblSubjectToLoan[[#This Row],[Date]]="",0,IF(ROW()=ROW(tblSubjectToLoan[#Headers])+1,subjectKnownBalance,MAX(0,INDEX(tblSubjectToLoan[Ending Balance],ROW()-ROW(tblSubjectToLoan[#Headers])-1))))</f>
        <v>0</v>
      </c>
      <c r="C5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5" s="14">
        <f>IF(tblSubjectToLoan[[#This Row],[Payment]]=0,0,MAX(0,MIN(tblSubjectToLoan[[#This Row],[Beginning Balance]],tblSubjectToLoan[[#This Row],[Payment]]-tblSubjectToLoan[[#This Row],[Int]])))</f>
        <v>0</v>
      </c>
      <c r="E545" s="14">
        <f>IF(tblSubjectToLoan[[#This Row],[Date]]="",0,ROUND(tblSubjectToLoan[[#This Row],[Beginning Balance]]*(subjectInterestRate/12),2))</f>
        <v>0</v>
      </c>
      <c r="H545" s="14">
        <f>SUM(tblSubjectToLoan[[#This Row],[Princ]],tblSubjectToLoan[[#This Row],[Int]],tblSubjectToLoan[[#This Row],[Ins]],tblSubjectToLoan[[#This Row],[Taxes]])</f>
        <v>0</v>
      </c>
      <c r="I5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5" s="276">
        <f>IF(tblSubjectToLoan[[#This Row],[Date]]="",IF(ROW()=ROW(tblSubjectToLoan[#Headers])+1,0,INDEX(tblSubjectToLoan[Interest],ROW()-ROW(tblSubjectToLoan[#Headers])-1)),tblSubjectToLoan[[#This Row],[Int]]+IF(ROW()=ROW(tblSubjectToLoan[#Headers])+1,0,INDEX(tblSubjectToLoan[Interest],ROW()-ROW(tblSubjectToLoan[#Headers])-1)))</f>
        <v>36068.259999999973</v>
      </c>
      <c r="K545" s="969">
        <f>IF(tblSubjectToLoan[[#This Row],[Date]]="",0,MAX(0,tblSubjectToLoan[[#This Row],[Beginning Balance]]-tblSubjectToLoan[[#This Row],[Princ]]))</f>
        <v>0</v>
      </c>
      <c r="L545" s="394">
        <f t="shared" si="45"/>
        <v>0</v>
      </c>
      <c r="M545" s="394">
        <f t="shared" si="46"/>
        <v>0</v>
      </c>
      <c r="N545" s="613" t="str">
        <f>INDEX(tblSubjectToLoan[Date],ROW()-ROW(tblContractForDeed[#Headers]))</f>
        <v/>
      </c>
      <c r="O545" s="276">
        <f>IF(ROW()=ROW(tblContractForDeed[#Headers])+1,$O$6,IF(INDEX(tblContractForDeed[End Bal],ROW()-ROW(tblContractForDeed[#Headers])-1)&lt;0,0,INDEX(tblContractForDeed[End Bal],ROW()-ROW(tblContractForDeed[#Headers])-1)))</f>
        <v>0</v>
      </c>
      <c r="P545" s="454"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5" s="276">
        <f>IF(INDEX(tblContractForDeed[End Bal],ROW()-ROW(tblBuyerOutputs[#Headers]))&lt;=0,0,($O$6+IF(ROW()=ROW(tblBuyerOutputs[#Headers])+1,0,INDEX(tblBuyerOutputs[Cumul Appr],ROW()-ROW(tblBuyerOutputs[#Headers])-1)))*$O$2/12)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13" t="str">
        <f>IF(ROW()=ROW(tblSubjectToLoan[#Headers])+1,subjectKnownBalanceDate,IF(OR(INDEX(tblSubjectToLoan[Date],ROW()-ROW(tblSubjectToLoan[#Headers])-1)="",INDEX(tblSubjectToLoan[Date],ROW()-ROW(tblSubjectToLoan[#Headers])-1)&gt;=subjectMortgageEndDate),"",EDATE(INDEX(tblSubjectToLoan[Date],ROW()-ROW(tblSubjectToLoan[#Headers])-1),1)))</f>
        <v/>
      </c>
      <c r="B546" s="276">
        <f>IF(tblSubjectToLoan[[#This Row],[Date]]="",0,IF(ROW()=ROW(tblSubjectToLoan[#Headers])+1,subjectKnownBalance,MAX(0,INDEX(tblSubjectToLoan[Ending Balance],ROW()-ROW(tblSubjectToLoan[#Headers])-1))))</f>
        <v>0</v>
      </c>
      <c r="C5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6" s="14">
        <f>IF(tblSubjectToLoan[[#This Row],[Payment]]=0,0,MAX(0,MIN(tblSubjectToLoan[[#This Row],[Beginning Balance]],tblSubjectToLoan[[#This Row],[Payment]]-tblSubjectToLoan[[#This Row],[Int]])))</f>
        <v>0</v>
      </c>
      <c r="E546" s="14">
        <f>IF(tblSubjectToLoan[[#This Row],[Date]]="",0,ROUND(tblSubjectToLoan[[#This Row],[Beginning Balance]]*(subjectInterestRate/12),2))</f>
        <v>0</v>
      </c>
      <c r="H546" s="14">
        <f>SUM(tblSubjectToLoan[[#This Row],[Princ]],tblSubjectToLoan[[#This Row],[Int]],tblSubjectToLoan[[#This Row],[Ins]],tblSubjectToLoan[[#This Row],[Taxes]])</f>
        <v>0</v>
      </c>
      <c r="I5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6" s="276">
        <f>IF(tblSubjectToLoan[[#This Row],[Date]]="",IF(ROW()=ROW(tblSubjectToLoan[#Headers])+1,0,INDEX(tblSubjectToLoan[Interest],ROW()-ROW(tblSubjectToLoan[#Headers])-1)),tblSubjectToLoan[[#This Row],[Int]]+IF(ROW()=ROW(tblSubjectToLoan[#Headers])+1,0,INDEX(tblSubjectToLoan[Interest],ROW()-ROW(tblSubjectToLoan[#Headers])-1)))</f>
        <v>36068.259999999973</v>
      </c>
      <c r="K546" s="969">
        <f>IF(tblSubjectToLoan[[#This Row],[Date]]="",0,MAX(0,tblSubjectToLoan[[#This Row],[Beginning Balance]]-tblSubjectToLoan[[#This Row],[Princ]]))</f>
        <v>0</v>
      </c>
      <c r="L546" s="394">
        <f t="shared" si="45"/>
        <v>0</v>
      </c>
      <c r="M546" s="394">
        <f t="shared" si="46"/>
        <v>0</v>
      </c>
      <c r="N546" s="613" t="str">
        <f>INDEX(tblSubjectToLoan[Date],ROW()-ROW(tblContractForDeed[#Headers]))</f>
        <v/>
      </c>
      <c r="O546" s="276">
        <f>IF(ROW()=ROW(tblContractForDeed[#Headers])+1,$O$6,IF(INDEX(tblContractForDeed[End Bal],ROW()-ROW(tblContractForDeed[#Headers])-1)&lt;0,0,INDEX(tblContractForDeed[End Bal],ROW()-ROW(tblContractForDeed[#Headers])-1)))</f>
        <v>0</v>
      </c>
      <c r="P546" s="454"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6" s="276">
        <f>IF(INDEX(tblContractForDeed[End Bal],ROW()-ROW(tblBuyerOutputs[#Headers]))&lt;=0,0,($O$6+IF(ROW()=ROW(tblBuyerOutputs[#Headers])+1,0,INDEX(tblBuyerOutputs[Cumul Appr],ROW()-ROW(tblBuyerOutputs[#Headers])-1)))*$O$2/12)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14" t="str">
        <f>IF(ROW()=ROW(tblSubjectToLoan[#Headers])+1,subjectKnownBalanceDate,IF(OR(INDEX(tblSubjectToLoan[Date],ROW()-ROW(tblSubjectToLoan[#Headers])-1)="",INDEX(tblSubjectToLoan[Date],ROW()-ROW(tblSubjectToLoan[#Headers])-1)&gt;=subjectMortgageEndDate),"",EDATE(INDEX(tblSubjectToLoan[Date],ROW()-ROW(tblSubjectToLoan[#Headers])-1),1)))</f>
        <v/>
      </c>
      <c r="B547" s="332">
        <f>IF(tblSubjectToLoan[[#This Row],[Date]]="",0,IF(ROW()=ROW(tblSubjectToLoan[#Headers])+1,subjectKnownBalance,MAX(0,INDEX(tblSubjectToLoan[Ending Balance],ROW()-ROW(tblSubjectToLoan[#Headers])-1))))</f>
        <v>0</v>
      </c>
      <c r="C54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7" s="21">
        <f>IF(tblSubjectToLoan[[#This Row],[Payment]]=0,0,MAX(0,MIN(tblSubjectToLoan[[#This Row],[Beginning Balance]],tblSubjectToLoan[[#This Row],[Payment]]-tblSubjectToLoan[[#This Row],[Int]])))</f>
        <v>0</v>
      </c>
      <c r="E547" s="21">
        <f>IF(tblSubjectToLoan[[#This Row],[Date]]="",0,ROUND(tblSubjectToLoan[[#This Row],[Beginning Balance]]*(subjectInterestRate/12),2))</f>
        <v>0</v>
      </c>
      <c r="F547" s="21"/>
      <c r="G547" s="21"/>
      <c r="H547" s="21">
        <f>SUM(tblSubjectToLoan[[#This Row],[Princ]],tblSubjectToLoan[[#This Row],[Int]],tblSubjectToLoan[[#This Row],[Ins]],tblSubjectToLoan[[#This Row],[Taxes]])</f>
        <v>0</v>
      </c>
      <c r="I54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47" s="332">
        <f>IF(tblSubjectToLoan[[#This Row],[Date]]="",IF(ROW()=ROW(tblSubjectToLoan[#Headers])+1,0,INDEX(tblSubjectToLoan[Interest],ROW()-ROW(tblSubjectToLoan[#Headers])-1)),tblSubjectToLoan[[#This Row],[Int]]+IF(ROW()=ROW(tblSubjectToLoan[#Headers])+1,0,INDEX(tblSubjectToLoan[Interest],ROW()-ROW(tblSubjectToLoan[#Headers])-1)))</f>
        <v>36068.259999999973</v>
      </c>
      <c r="K547" s="970">
        <f>IF(tblSubjectToLoan[[#This Row],[Date]]="",0,MAX(0,tblSubjectToLoan[[#This Row],[Beginning Balance]]-tblSubjectToLoan[[#This Row],[Princ]]))</f>
        <v>0</v>
      </c>
      <c r="L547" s="395">
        <f t="shared" si="45"/>
        <v>0</v>
      </c>
      <c r="M547" s="395">
        <f t="shared" si="46"/>
        <v>0</v>
      </c>
      <c r="N547" s="614" t="str">
        <f>INDEX(tblSubjectToLoan[Date],ROW()-ROW(tblContractForDeed[#Headers]))</f>
        <v/>
      </c>
      <c r="O547" s="276">
        <f>IF(ROW()=ROW(tblContractForDeed[#Headers])+1,$O$6,IF(INDEX(tblContractForDeed[End Bal],ROW()-ROW(tblContractForDeed[#Headers])-1)&lt;0,0,INDEX(tblContractForDeed[End Bal],ROW()-ROW(tblContractForDeed[#Headers])-1)))</f>
        <v>0</v>
      </c>
      <c r="P547" s="454"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7" s="332">
        <f>IF(INDEX(tblContractForDeed[End Bal],ROW()-ROW(tblBuyerOutputs[#Headers]))&lt;=0,0,($O$6+IF(ROW()=ROW(tblBuyerOutputs[#Headers])+1,0,INDEX(tblBuyerOutputs[Cumul Appr],ROW()-ROW(tblBuyerOutputs[#Headers])-1)))*$O$2/12)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13" t="str">
        <f>IF(ROW()=ROW(tblSubjectToLoan[#Headers])+1,subjectKnownBalanceDate,IF(OR(INDEX(tblSubjectToLoan[Date],ROW()-ROW(tblSubjectToLoan[#Headers])-1)="",INDEX(tblSubjectToLoan[Date],ROW()-ROW(tblSubjectToLoan[#Headers])-1)&gt;=subjectMortgageEndDate),"",EDATE(INDEX(tblSubjectToLoan[Date],ROW()-ROW(tblSubjectToLoan[#Headers])-1),1)))</f>
        <v/>
      </c>
      <c r="B548" s="276">
        <f>IF(tblSubjectToLoan[[#This Row],[Date]]="",0,IF(ROW()=ROW(tblSubjectToLoan[#Headers])+1,subjectKnownBalance,MAX(0,INDEX(tblSubjectToLoan[Ending Balance],ROW()-ROW(tblSubjectToLoan[#Headers])-1))))</f>
        <v>0</v>
      </c>
      <c r="C5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8" s="14">
        <f>IF(tblSubjectToLoan[[#This Row],[Payment]]=0,0,MAX(0,MIN(tblSubjectToLoan[[#This Row],[Beginning Balance]],tblSubjectToLoan[[#This Row],[Payment]]-tblSubjectToLoan[[#This Row],[Int]])))</f>
        <v>0</v>
      </c>
      <c r="E548" s="14">
        <f>IF(tblSubjectToLoan[[#This Row],[Date]]="",0,ROUND(tblSubjectToLoan[[#This Row],[Beginning Balance]]*(subjectInterestRate/12),2))</f>
        <v>0</v>
      </c>
      <c r="H548" s="14">
        <f>SUM(tblSubjectToLoan[[#This Row],[Princ]],tblSubjectToLoan[[#This Row],[Int]],tblSubjectToLoan[[#This Row],[Ins]],tblSubjectToLoan[[#This Row],[Taxes]])</f>
        <v>0</v>
      </c>
      <c r="I5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8" s="276">
        <f>IF(tblSubjectToLoan[[#This Row],[Date]]="",IF(ROW()=ROW(tblSubjectToLoan[#Headers])+1,0,INDEX(tblSubjectToLoan[Interest],ROW()-ROW(tblSubjectToLoan[#Headers])-1)),tblSubjectToLoan[[#This Row],[Int]]+IF(ROW()=ROW(tblSubjectToLoan[#Headers])+1,0,INDEX(tblSubjectToLoan[Interest],ROW()-ROW(tblSubjectToLoan[#Headers])-1)))</f>
        <v>36068.259999999973</v>
      </c>
      <c r="K548" s="969">
        <f>IF(tblSubjectToLoan[[#This Row],[Date]]="",0,MAX(0,tblSubjectToLoan[[#This Row],[Beginning Balance]]-tblSubjectToLoan[[#This Row],[Princ]]))</f>
        <v>0</v>
      </c>
      <c r="L548" s="394">
        <f t="shared" si="45"/>
        <v>0</v>
      </c>
      <c r="M548" s="394">
        <f t="shared" si="46"/>
        <v>0</v>
      </c>
      <c r="N548" s="613" t="str">
        <f>INDEX(tblSubjectToLoan[Date],ROW()-ROW(tblContractForDeed[#Headers]))</f>
        <v/>
      </c>
      <c r="O548" s="276">
        <f>IF(ROW()=ROW(tblContractForDeed[#Headers])+1,$O$6,IF(INDEX(tblContractForDeed[End Bal],ROW()-ROW(tblContractForDeed[#Headers])-1)&lt;0,0,INDEX(tblContractForDeed[End Bal],ROW()-ROW(tblContractForDeed[#Headers])-1)))</f>
        <v>0</v>
      </c>
      <c r="P548" s="454"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8" s="276">
        <f>IF(INDEX(tblContractForDeed[End Bal],ROW()-ROW(tblBuyerOutputs[#Headers]))&lt;=0,0,($O$6+IF(ROW()=ROW(tblBuyerOutputs[#Headers])+1,0,INDEX(tblBuyerOutputs[Cumul Appr],ROW()-ROW(tblBuyerOutputs[#Headers])-1)))*$O$2/12)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13" t="str">
        <f>IF(ROW()=ROW(tblSubjectToLoan[#Headers])+1,subjectKnownBalanceDate,IF(OR(INDEX(tblSubjectToLoan[Date],ROW()-ROW(tblSubjectToLoan[#Headers])-1)="",INDEX(tblSubjectToLoan[Date],ROW()-ROW(tblSubjectToLoan[#Headers])-1)&gt;=subjectMortgageEndDate),"",EDATE(INDEX(tblSubjectToLoan[Date],ROW()-ROW(tblSubjectToLoan[#Headers])-1),1)))</f>
        <v/>
      </c>
      <c r="B549" s="276">
        <f>IF(tblSubjectToLoan[[#This Row],[Date]]="",0,IF(ROW()=ROW(tblSubjectToLoan[#Headers])+1,subjectKnownBalance,MAX(0,INDEX(tblSubjectToLoan[Ending Balance],ROW()-ROW(tblSubjectToLoan[#Headers])-1))))</f>
        <v>0</v>
      </c>
      <c r="C5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9" s="14">
        <f>IF(tblSubjectToLoan[[#This Row],[Payment]]=0,0,MAX(0,MIN(tblSubjectToLoan[[#This Row],[Beginning Balance]],tblSubjectToLoan[[#This Row],[Payment]]-tblSubjectToLoan[[#This Row],[Int]])))</f>
        <v>0</v>
      </c>
      <c r="E549" s="14">
        <f>IF(tblSubjectToLoan[[#This Row],[Date]]="",0,ROUND(tblSubjectToLoan[[#This Row],[Beginning Balance]]*(subjectInterestRate/12),2))</f>
        <v>0</v>
      </c>
      <c r="H549" s="14">
        <f>SUM(tblSubjectToLoan[[#This Row],[Princ]],tblSubjectToLoan[[#This Row],[Int]],tblSubjectToLoan[[#This Row],[Ins]],tblSubjectToLoan[[#This Row],[Taxes]])</f>
        <v>0</v>
      </c>
      <c r="I5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9" s="276">
        <f>IF(tblSubjectToLoan[[#This Row],[Date]]="",IF(ROW()=ROW(tblSubjectToLoan[#Headers])+1,0,INDEX(tblSubjectToLoan[Interest],ROW()-ROW(tblSubjectToLoan[#Headers])-1)),tblSubjectToLoan[[#This Row],[Int]]+IF(ROW()=ROW(tblSubjectToLoan[#Headers])+1,0,INDEX(tblSubjectToLoan[Interest],ROW()-ROW(tblSubjectToLoan[#Headers])-1)))</f>
        <v>36068.259999999973</v>
      </c>
      <c r="K549" s="969">
        <f>IF(tblSubjectToLoan[[#This Row],[Date]]="",0,MAX(0,tblSubjectToLoan[[#This Row],[Beginning Balance]]-tblSubjectToLoan[[#This Row],[Princ]]))</f>
        <v>0</v>
      </c>
      <c r="L549" s="394">
        <f t="shared" si="45"/>
        <v>0</v>
      </c>
      <c r="M549" s="394">
        <f t="shared" si="46"/>
        <v>0</v>
      </c>
      <c r="N549" s="613" t="str">
        <f>INDEX(tblSubjectToLoan[Date],ROW()-ROW(tblContractForDeed[#Headers]))</f>
        <v/>
      </c>
      <c r="O549" s="276">
        <f>IF(ROW()=ROW(tblContractForDeed[#Headers])+1,$O$6,IF(INDEX(tblContractForDeed[End Bal],ROW()-ROW(tblContractForDeed[#Headers])-1)&lt;0,0,INDEX(tblContractForDeed[End Bal],ROW()-ROW(tblContractForDeed[#Headers])-1)))</f>
        <v>0</v>
      </c>
      <c r="P549" s="454"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9" s="276">
        <f>IF(INDEX(tblContractForDeed[End Bal],ROW()-ROW(tblBuyerOutputs[#Headers]))&lt;=0,0,($O$6+IF(ROW()=ROW(tblBuyerOutputs[#Headers])+1,0,INDEX(tblBuyerOutputs[Cumul Appr],ROW()-ROW(tblBuyerOutputs[#Headers])-1)))*$O$2/12)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13" t="str">
        <f>IF(ROW()=ROW(tblSubjectToLoan[#Headers])+1,subjectKnownBalanceDate,IF(OR(INDEX(tblSubjectToLoan[Date],ROW()-ROW(tblSubjectToLoan[#Headers])-1)="",INDEX(tblSubjectToLoan[Date],ROW()-ROW(tblSubjectToLoan[#Headers])-1)&gt;=subjectMortgageEndDate),"",EDATE(INDEX(tblSubjectToLoan[Date],ROW()-ROW(tblSubjectToLoan[#Headers])-1),1)))</f>
        <v/>
      </c>
      <c r="B550" s="276">
        <f>IF(tblSubjectToLoan[[#This Row],[Date]]="",0,IF(ROW()=ROW(tblSubjectToLoan[#Headers])+1,subjectKnownBalance,MAX(0,INDEX(tblSubjectToLoan[Ending Balance],ROW()-ROW(tblSubjectToLoan[#Headers])-1))))</f>
        <v>0</v>
      </c>
      <c r="C5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0" s="14">
        <f>IF(tblSubjectToLoan[[#This Row],[Payment]]=0,0,MAX(0,MIN(tblSubjectToLoan[[#This Row],[Beginning Balance]],tblSubjectToLoan[[#This Row],[Payment]]-tblSubjectToLoan[[#This Row],[Int]])))</f>
        <v>0</v>
      </c>
      <c r="E550" s="14">
        <f>IF(tblSubjectToLoan[[#This Row],[Date]]="",0,ROUND(tblSubjectToLoan[[#This Row],[Beginning Balance]]*(subjectInterestRate/12),2))</f>
        <v>0</v>
      </c>
      <c r="H550" s="14">
        <f>SUM(tblSubjectToLoan[[#This Row],[Princ]],tblSubjectToLoan[[#This Row],[Int]],tblSubjectToLoan[[#This Row],[Ins]],tblSubjectToLoan[[#This Row],[Taxes]])</f>
        <v>0</v>
      </c>
      <c r="I5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0" s="276">
        <f>IF(tblSubjectToLoan[[#This Row],[Date]]="",IF(ROW()=ROW(tblSubjectToLoan[#Headers])+1,0,INDEX(tblSubjectToLoan[Interest],ROW()-ROW(tblSubjectToLoan[#Headers])-1)),tblSubjectToLoan[[#This Row],[Int]]+IF(ROW()=ROW(tblSubjectToLoan[#Headers])+1,0,INDEX(tblSubjectToLoan[Interest],ROW()-ROW(tblSubjectToLoan[#Headers])-1)))</f>
        <v>36068.259999999973</v>
      </c>
      <c r="K550" s="969">
        <f>IF(tblSubjectToLoan[[#This Row],[Date]]="",0,MAX(0,tblSubjectToLoan[[#This Row],[Beginning Balance]]-tblSubjectToLoan[[#This Row],[Princ]]))</f>
        <v>0</v>
      </c>
      <c r="L550" s="394">
        <f t="shared" si="45"/>
        <v>0</v>
      </c>
      <c r="M550" s="394">
        <f t="shared" si="46"/>
        <v>0</v>
      </c>
      <c r="N550" s="613" t="str">
        <f>INDEX(tblSubjectToLoan[Date],ROW()-ROW(tblContractForDeed[#Headers]))</f>
        <v/>
      </c>
      <c r="O550" s="276">
        <f>IF(ROW()=ROW(tblContractForDeed[#Headers])+1,$O$6,IF(INDEX(tblContractForDeed[End Bal],ROW()-ROW(tblContractForDeed[#Headers])-1)&lt;0,0,INDEX(tblContractForDeed[End Bal],ROW()-ROW(tblContractForDeed[#Headers])-1)))</f>
        <v>0</v>
      </c>
      <c r="P550" s="454"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0" s="276">
        <f>IF(INDEX(tblContractForDeed[End Bal],ROW()-ROW(tblBuyerOutputs[#Headers]))&lt;=0,0,($O$6+IF(ROW()=ROW(tblBuyerOutputs[#Headers])+1,0,INDEX(tblBuyerOutputs[Cumul Appr],ROW()-ROW(tblBuyerOutputs[#Headers])-1)))*$O$2/12)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13" t="str">
        <f>IF(ROW()=ROW(tblSubjectToLoan[#Headers])+1,subjectKnownBalanceDate,IF(OR(INDEX(tblSubjectToLoan[Date],ROW()-ROW(tblSubjectToLoan[#Headers])-1)="",INDEX(tblSubjectToLoan[Date],ROW()-ROW(tblSubjectToLoan[#Headers])-1)&gt;=subjectMortgageEndDate),"",EDATE(INDEX(tblSubjectToLoan[Date],ROW()-ROW(tblSubjectToLoan[#Headers])-1),1)))</f>
        <v/>
      </c>
      <c r="B551" s="276">
        <f>IF(tblSubjectToLoan[[#This Row],[Date]]="",0,IF(ROW()=ROW(tblSubjectToLoan[#Headers])+1,subjectKnownBalance,MAX(0,INDEX(tblSubjectToLoan[Ending Balance],ROW()-ROW(tblSubjectToLoan[#Headers])-1))))</f>
        <v>0</v>
      </c>
      <c r="C5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1" s="14">
        <f>IF(tblSubjectToLoan[[#This Row],[Payment]]=0,0,MAX(0,MIN(tblSubjectToLoan[[#This Row],[Beginning Balance]],tblSubjectToLoan[[#This Row],[Payment]]-tblSubjectToLoan[[#This Row],[Int]])))</f>
        <v>0</v>
      </c>
      <c r="E551" s="14">
        <f>IF(tblSubjectToLoan[[#This Row],[Date]]="",0,ROUND(tblSubjectToLoan[[#This Row],[Beginning Balance]]*(subjectInterestRate/12),2))</f>
        <v>0</v>
      </c>
      <c r="H551" s="14">
        <f>SUM(tblSubjectToLoan[[#This Row],[Princ]],tblSubjectToLoan[[#This Row],[Int]],tblSubjectToLoan[[#This Row],[Ins]],tblSubjectToLoan[[#This Row],[Taxes]])</f>
        <v>0</v>
      </c>
      <c r="I5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1" s="276">
        <f>IF(tblSubjectToLoan[[#This Row],[Date]]="",IF(ROW()=ROW(tblSubjectToLoan[#Headers])+1,0,INDEX(tblSubjectToLoan[Interest],ROW()-ROW(tblSubjectToLoan[#Headers])-1)),tblSubjectToLoan[[#This Row],[Int]]+IF(ROW()=ROW(tblSubjectToLoan[#Headers])+1,0,INDEX(tblSubjectToLoan[Interest],ROW()-ROW(tblSubjectToLoan[#Headers])-1)))</f>
        <v>36068.259999999973</v>
      </c>
      <c r="K551" s="969">
        <f>IF(tblSubjectToLoan[[#This Row],[Date]]="",0,MAX(0,tblSubjectToLoan[[#This Row],[Beginning Balance]]-tblSubjectToLoan[[#This Row],[Princ]]))</f>
        <v>0</v>
      </c>
      <c r="L551" s="394">
        <f t="shared" si="45"/>
        <v>0</v>
      </c>
      <c r="M551" s="394">
        <f t="shared" si="46"/>
        <v>0</v>
      </c>
      <c r="N551" s="613" t="str">
        <f>INDEX(tblSubjectToLoan[Date],ROW()-ROW(tblContractForDeed[#Headers]))</f>
        <v/>
      </c>
      <c r="O551" s="276">
        <f>IF(ROW()=ROW(tblContractForDeed[#Headers])+1,$O$6,IF(INDEX(tblContractForDeed[End Bal],ROW()-ROW(tblContractForDeed[#Headers])-1)&lt;0,0,INDEX(tblContractForDeed[End Bal],ROW()-ROW(tblContractForDeed[#Headers])-1)))</f>
        <v>0</v>
      </c>
      <c r="P551" s="454"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1" s="276">
        <f>IF(INDEX(tblContractForDeed[End Bal],ROW()-ROW(tblBuyerOutputs[#Headers]))&lt;=0,0,($O$6+IF(ROW()=ROW(tblBuyerOutputs[#Headers])+1,0,INDEX(tblBuyerOutputs[Cumul Appr],ROW()-ROW(tblBuyerOutputs[#Headers])-1)))*$O$2/12)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13" t="str">
        <f>IF(ROW()=ROW(tblSubjectToLoan[#Headers])+1,subjectKnownBalanceDate,IF(OR(INDEX(tblSubjectToLoan[Date],ROW()-ROW(tblSubjectToLoan[#Headers])-1)="",INDEX(tblSubjectToLoan[Date],ROW()-ROW(tblSubjectToLoan[#Headers])-1)&gt;=subjectMortgageEndDate),"",EDATE(INDEX(tblSubjectToLoan[Date],ROW()-ROW(tblSubjectToLoan[#Headers])-1),1)))</f>
        <v/>
      </c>
      <c r="B552" s="276">
        <f>IF(tblSubjectToLoan[[#This Row],[Date]]="",0,IF(ROW()=ROW(tblSubjectToLoan[#Headers])+1,subjectKnownBalance,MAX(0,INDEX(tblSubjectToLoan[Ending Balance],ROW()-ROW(tblSubjectToLoan[#Headers])-1))))</f>
        <v>0</v>
      </c>
      <c r="C5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2" s="14">
        <f>IF(tblSubjectToLoan[[#This Row],[Payment]]=0,0,MAX(0,MIN(tblSubjectToLoan[[#This Row],[Beginning Balance]],tblSubjectToLoan[[#This Row],[Payment]]-tblSubjectToLoan[[#This Row],[Int]])))</f>
        <v>0</v>
      </c>
      <c r="E552" s="14">
        <f>IF(tblSubjectToLoan[[#This Row],[Date]]="",0,ROUND(tblSubjectToLoan[[#This Row],[Beginning Balance]]*(subjectInterestRate/12),2))</f>
        <v>0</v>
      </c>
      <c r="H552" s="14">
        <f>SUM(tblSubjectToLoan[[#This Row],[Princ]],tblSubjectToLoan[[#This Row],[Int]],tblSubjectToLoan[[#This Row],[Ins]],tblSubjectToLoan[[#This Row],[Taxes]])</f>
        <v>0</v>
      </c>
      <c r="I5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2" s="276">
        <f>IF(tblSubjectToLoan[[#This Row],[Date]]="",IF(ROW()=ROW(tblSubjectToLoan[#Headers])+1,0,INDEX(tblSubjectToLoan[Interest],ROW()-ROW(tblSubjectToLoan[#Headers])-1)),tblSubjectToLoan[[#This Row],[Int]]+IF(ROW()=ROW(tblSubjectToLoan[#Headers])+1,0,INDEX(tblSubjectToLoan[Interest],ROW()-ROW(tblSubjectToLoan[#Headers])-1)))</f>
        <v>36068.259999999973</v>
      </c>
      <c r="K552" s="969">
        <f>IF(tblSubjectToLoan[[#This Row],[Date]]="",0,MAX(0,tblSubjectToLoan[[#This Row],[Beginning Balance]]-tblSubjectToLoan[[#This Row],[Princ]]))</f>
        <v>0</v>
      </c>
      <c r="L552" s="394">
        <f t="shared" si="45"/>
        <v>0</v>
      </c>
      <c r="M552" s="394">
        <f t="shared" si="46"/>
        <v>0</v>
      </c>
      <c r="N552" s="613" t="str">
        <f>INDEX(tblSubjectToLoan[Date],ROW()-ROW(tblContractForDeed[#Headers]))</f>
        <v/>
      </c>
      <c r="O552" s="276">
        <f>IF(ROW()=ROW(tblContractForDeed[#Headers])+1,$O$6,IF(INDEX(tblContractForDeed[End Bal],ROW()-ROW(tblContractForDeed[#Headers])-1)&lt;0,0,INDEX(tblContractForDeed[End Bal],ROW()-ROW(tblContractForDeed[#Headers])-1)))</f>
        <v>0</v>
      </c>
      <c r="P552" s="454"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2" s="276">
        <f>IF(INDEX(tblContractForDeed[End Bal],ROW()-ROW(tblBuyerOutputs[#Headers]))&lt;=0,0,($O$6+IF(ROW()=ROW(tblBuyerOutputs[#Headers])+1,0,INDEX(tblBuyerOutputs[Cumul Appr],ROW()-ROW(tblBuyerOutputs[#Headers])-1)))*$O$2/12)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13" t="str">
        <f>IF(ROW()=ROW(tblSubjectToLoan[#Headers])+1,subjectKnownBalanceDate,IF(OR(INDEX(tblSubjectToLoan[Date],ROW()-ROW(tblSubjectToLoan[#Headers])-1)="",INDEX(tblSubjectToLoan[Date],ROW()-ROW(tblSubjectToLoan[#Headers])-1)&gt;=subjectMortgageEndDate),"",EDATE(INDEX(tblSubjectToLoan[Date],ROW()-ROW(tblSubjectToLoan[#Headers])-1),1)))</f>
        <v/>
      </c>
      <c r="B553" s="276">
        <f>IF(tblSubjectToLoan[[#This Row],[Date]]="",0,IF(ROW()=ROW(tblSubjectToLoan[#Headers])+1,subjectKnownBalance,MAX(0,INDEX(tblSubjectToLoan[Ending Balance],ROW()-ROW(tblSubjectToLoan[#Headers])-1))))</f>
        <v>0</v>
      </c>
      <c r="C5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3" s="14">
        <f>IF(tblSubjectToLoan[[#This Row],[Payment]]=0,0,MAX(0,MIN(tblSubjectToLoan[[#This Row],[Beginning Balance]],tblSubjectToLoan[[#This Row],[Payment]]-tblSubjectToLoan[[#This Row],[Int]])))</f>
        <v>0</v>
      </c>
      <c r="E553" s="14">
        <f>IF(tblSubjectToLoan[[#This Row],[Date]]="",0,ROUND(tblSubjectToLoan[[#This Row],[Beginning Balance]]*(subjectInterestRate/12),2))</f>
        <v>0</v>
      </c>
      <c r="H553" s="14">
        <f>SUM(tblSubjectToLoan[[#This Row],[Princ]],tblSubjectToLoan[[#This Row],[Int]],tblSubjectToLoan[[#This Row],[Ins]],tblSubjectToLoan[[#This Row],[Taxes]])</f>
        <v>0</v>
      </c>
      <c r="I5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3" s="276">
        <f>IF(tblSubjectToLoan[[#This Row],[Date]]="",IF(ROW()=ROW(tblSubjectToLoan[#Headers])+1,0,INDEX(tblSubjectToLoan[Interest],ROW()-ROW(tblSubjectToLoan[#Headers])-1)),tblSubjectToLoan[[#This Row],[Int]]+IF(ROW()=ROW(tblSubjectToLoan[#Headers])+1,0,INDEX(tblSubjectToLoan[Interest],ROW()-ROW(tblSubjectToLoan[#Headers])-1)))</f>
        <v>36068.259999999973</v>
      </c>
      <c r="K553" s="969">
        <f>IF(tblSubjectToLoan[[#This Row],[Date]]="",0,MAX(0,tblSubjectToLoan[[#This Row],[Beginning Balance]]-tblSubjectToLoan[[#This Row],[Princ]]))</f>
        <v>0</v>
      </c>
      <c r="L553" s="394">
        <f t="shared" si="45"/>
        <v>0</v>
      </c>
      <c r="M553" s="394">
        <f t="shared" si="46"/>
        <v>0</v>
      </c>
      <c r="N553" s="613" t="str">
        <f>INDEX(tblSubjectToLoan[Date],ROW()-ROW(tblContractForDeed[#Headers]))</f>
        <v/>
      </c>
      <c r="O553" s="276">
        <f>IF(ROW()=ROW(tblContractForDeed[#Headers])+1,$O$6,IF(INDEX(tblContractForDeed[End Bal],ROW()-ROW(tblContractForDeed[#Headers])-1)&lt;0,0,INDEX(tblContractForDeed[End Bal],ROW()-ROW(tblContractForDeed[#Headers])-1)))</f>
        <v>0</v>
      </c>
      <c r="P553" s="454"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3" s="276">
        <f>IF(INDEX(tblContractForDeed[End Bal],ROW()-ROW(tblBuyerOutputs[#Headers]))&lt;=0,0,($O$6+IF(ROW()=ROW(tblBuyerOutputs[#Headers])+1,0,INDEX(tblBuyerOutputs[Cumul Appr],ROW()-ROW(tblBuyerOutputs[#Headers])-1)))*$O$2/12)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13" t="str">
        <f>IF(ROW()=ROW(tblSubjectToLoan[#Headers])+1,subjectKnownBalanceDate,IF(OR(INDEX(tblSubjectToLoan[Date],ROW()-ROW(tblSubjectToLoan[#Headers])-1)="",INDEX(tblSubjectToLoan[Date],ROW()-ROW(tblSubjectToLoan[#Headers])-1)&gt;=subjectMortgageEndDate),"",EDATE(INDEX(tblSubjectToLoan[Date],ROW()-ROW(tblSubjectToLoan[#Headers])-1),1)))</f>
        <v/>
      </c>
      <c r="B554" s="276">
        <f>IF(tblSubjectToLoan[[#This Row],[Date]]="",0,IF(ROW()=ROW(tblSubjectToLoan[#Headers])+1,subjectKnownBalance,MAX(0,INDEX(tblSubjectToLoan[Ending Balance],ROW()-ROW(tblSubjectToLoan[#Headers])-1))))</f>
        <v>0</v>
      </c>
      <c r="C5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4" s="14">
        <f>IF(tblSubjectToLoan[[#This Row],[Payment]]=0,0,MAX(0,MIN(tblSubjectToLoan[[#This Row],[Beginning Balance]],tblSubjectToLoan[[#This Row],[Payment]]-tblSubjectToLoan[[#This Row],[Int]])))</f>
        <v>0</v>
      </c>
      <c r="E554" s="14">
        <f>IF(tblSubjectToLoan[[#This Row],[Date]]="",0,ROUND(tblSubjectToLoan[[#This Row],[Beginning Balance]]*(subjectInterestRate/12),2))</f>
        <v>0</v>
      </c>
      <c r="H554" s="14">
        <f>SUM(tblSubjectToLoan[[#This Row],[Princ]],tblSubjectToLoan[[#This Row],[Int]],tblSubjectToLoan[[#This Row],[Ins]],tblSubjectToLoan[[#This Row],[Taxes]])</f>
        <v>0</v>
      </c>
      <c r="I5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4" s="276">
        <f>IF(tblSubjectToLoan[[#This Row],[Date]]="",IF(ROW()=ROW(tblSubjectToLoan[#Headers])+1,0,INDEX(tblSubjectToLoan[Interest],ROW()-ROW(tblSubjectToLoan[#Headers])-1)),tblSubjectToLoan[[#This Row],[Int]]+IF(ROW()=ROW(tblSubjectToLoan[#Headers])+1,0,INDEX(tblSubjectToLoan[Interest],ROW()-ROW(tblSubjectToLoan[#Headers])-1)))</f>
        <v>36068.259999999973</v>
      </c>
      <c r="K554" s="969">
        <f>IF(tblSubjectToLoan[[#This Row],[Date]]="",0,MAX(0,tblSubjectToLoan[[#This Row],[Beginning Balance]]-tblSubjectToLoan[[#This Row],[Princ]]))</f>
        <v>0</v>
      </c>
      <c r="L554" s="394">
        <f t="shared" si="45"/>
        <v>0</v>
      </c>
      <c r="M554" s="394">
        <f t="shared" si="46"/>
        <v>0</v>
      </c>
      <c r="N554" s="613" t="str">
        <f>INDEX(tblSubjectToLoan[Date],ROW()-ROW(tblContractForDeed[#Headers]))</f>
        <v/>
      </c>
      <c r="O554" s="276">
        <f>IF(ROW()=ROW(tblContractForDeed[#Headers])+1,$O$6,IF(INDEX(tblContractForDeed[End Bal],ROW()-ROW(tblContractForDeed[#Headers])-1)&lt;0,0,INDEX(tblContractForDeed[End Bal],ROW()-ROW(tblContractForDeed[#Headers])-1)))</f>
        <v>0</v>
      </c>
      <c r="P554" s="454"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4" s="276">
        <f>IF(INDEX(tblContractForDeed[End Bal],ROW()-ROW(tblBuyerOutputs[#Headers]))&lt;=0,0,($O$6+IF(ROW()=ROW(tblBuyerOutputs[#Headers])+1,0,INDEX(tblBuyerOutputs[Cumul Appr],ROW()-ROW(tblBuyerOutputs[#Headers])-1)))*$O$2/12)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13" t="str">
        <f>IF(ROW()=ROW(tblSubjectToLoan[#Headers])+1,subjectKnownBalanceDate,IF(OR(INDEX(tblSubjectToLoan[Date],ROW()-ROW(tblSubjectToLoan[#Headers])-1)="",INDEX(tblSubjectToLoan[Date],ROW()-ROW(tblSubjectToLoan[#Headers])-1)&gt;=subjectMortgageEndDate),"",EDATE(INDEX(tblSubjectToLoan[Date],ROW()-ROW(tblSubjectToLoan[#Headers])-1),1)))</f>
        <v/>
      </c>
      <c r="B555" s="276">
        <f>IF(tblSubjectToLoan[[#This Row],[Date]]="",0,IF(ROW()=ROW(tblSubjectToLoan[#Headers])+1,subjectKnownBalance,MAX(0,INDEX(tblSubjectToLoan[Ending Balance],ROW()-ROW(tblSubjectToLoan[#Headers])-1))))</f>
        <v>0</v>
      </c>
      <c r="C5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5" s="14">
        <f>IF(tblSubjectToLoan[[#This Row],[Payment]]=0,0,MAX(0,MIN(tblSubjectToLoan[[#This Row],[Beginning Balance]],tblSubjectToLoan[[#This Row],[Payment]]-tblSubjectToLoan[[#This Row],[Int]])))</f>
        <v>0</v>
      </c>
      <c r="E555" s="14">
        <f>IF(tblSubjectToLoan[[#This Row],[Date]]="",0,ROUND(tblSubjectToLoan[[#This Row],[Beginning Balance]]*(subjectInterestRate/12),2))</f>
        <v>0</v>
      </c>
      <c r="H555" s="14">
        <f>SUM(tblSubjectToLoan[[#This Row],[Princ]],tblSubjectToLoan[[#This Row],[Int]],tblSubjectToLoan[[#This Row],[Ins]],tblSubjectToLoan[[#This Row],[Taxes]])</f>
        <v>0</v>
      </c>
      <c r="I5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5" s="276">
        <f>IF(tblSubjectToLoan[[#This Row],[Date]]="",IF(ROW()=ROW(tblSubjectToLoan[#Headers])+1,0,INDEX(tblSubjectToLoan[Interest],ROW()-ROW(tblSubjectToLoan[#Headers])-1)),tblSubjectToLoan[[#This Row],[Int]]+IF(ROW()=ROW(tblSubjectToLoan[#Headers])+1,0,INDEX(tblSubjectToLoan[Interest],ROW()-ROW(tblSubjectToLoan[#Headers])-1)))</f>
        <v>36068.259999999973</v>
      </c>
      <c r="K555" s="969">
        <f>IF(tblSubjectToLoan[[#This Row],[Date]]="",0,MAX(0,tblSubjectToLoan[[#This Row],[Beginning Balance]]-tblSubjectToLoan[[#This Row],[Princ]]))</f>
        <v>0</v>
      </c>
      <c r="L555" s="394">
        <f t="shared" si="45"/>
        <v>0</v>
      </c>
      <c r="M555" s="394">
        <f t="shared" si="46"/>
        <v>0</v>
      </c>
      <c r="N555" s="613" t="str">
        <f>INDEX(tblSubjectToLoan[Date],ROW()-ROW(tblContractForDeed[#Headers]))</f>
        <v/>
      </c>
      <c r="O555" s="276">
        <f>IF(ROW()=ROW(tblContractForDeed[#Headers])+1,$O$6,IF(INDEX(tblContractForDeed[End Bal],ROW()-ROW(tblContractForDeed[#Headers])-1)&lt;0,0,INDEX(tblContractForDeed[End Bal],ROW()-ROW(tblContractForDeed[#Headers])-1)))</f>
        <v>0</v>
      </c>
      <c r="P555" s="454"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5" s="276">
        <f>IF(INDEX(tblContractForDeed[End Bal],ROW()-ROW(tblBuyerOutputs[#Headers]))&lt;=0,0,($O$6+IF(ROW()=ROW(tblBuyerOutputs[#Headers])+1,0,INDEX(tblBuyerOutputs[Cumul Appr],ROW()-ROW(tblBuyerOutputs[#Headers])-1)))*$O$2/12)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13" t="str">
        <f>IF(ROW()=ROW(tblSubjectToLoan[#Headers])+1,subjectKnownBalanceDate,IF(OR(INDEX(tblSubjectToLoan[Date],ROW()-ROW(tblSubjectToLoan[#Headers])-1)="",INDEX(tblSubjectToLoan[Date],ROW()-ROW(tblSubjectToLoan[#Headers])-1)&gt;=subjectMortgageEndDate),"",EDATE(INDEX(tblSubjectToLoan[Date],ROW()-ROW(tblSubjectToLoan[#Headers])-1),1)))</f>
        <v/>
      </c>
      <c r="B556" s="276">
        <f>IF(tblSubjectToLoan[[#This Row],[Date]]="",0,IF(ROW()=ROW(tblSubjectToLoan[#Headers])+1,subjectKnownBalance,MAX(0,INDEX(tblSubjectToLoan[Ending Balance],ROW()-ROW(tblSubjectToLoan[#Headers])-1))))</f>
        <v>0</v>
      </c>
      <c r="C5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6" s="14">
        <f>IF(tblSubjectToLoan[[#This Row],[Payment]]=0,0,MAX(0,MIN(tblSubjectToLoan[[#This Row],[Beginning Balance]],tblSubjectToLoan[[#This Row],[Payment]]-tblSubjectToLoan[[#This Row],[Int]])))</f>
        <v>0</v>
      </c>
      <c r="E556" s="14">
        <f>IF(tblSubjectToLoan[[#This Row],[Date]]="",0,ROUND(tblSubjectToLoan[[#This Row],[Beginning Balance]]*(subjectInterestRate/12),2))</f>
        <v>0</v>
      </c>
      <c r="H556" s="14">
        <f>SUM(tblSubjectToLoan[[#This Row],[Princ]],tblSubjectToLoan[[#This Row],[Int]],tblSubjectToLoan[[#This Row],[Ins]],tblSubjectToLoan[[#This Row],[Taxes]])</f>
        <v>0</v>
      </c>
      <c r="I5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6" s="276">
        <f>IF(tblSubjectToLoan[[#This Row],[Date]]="",IF(ROW()=ROW(tblSubjectToLoan[#Headers])+1,0,INDEX(tblSubjectToLoan[Interest],ROW()-ROW(tblSubjectToLoan[#Headers])-1)),tblSubjectToLoan[[#This Row],[Int]]+IF(ROW()=ROW(tblSubjectToLoan[#Headers])+1,0,INDEX(tblSubjectToLoan[Interest],ROW()-ROW(tblSubjectToLoan[#Headers])-1)))</f>
        <v>36068.259999999973</v>
      </c>
      <c r="K556" s="969">
        <f>IF(tblSubjectToLoan[[#This Row],[Date]]="",0,MAX(0,tblSubjectToLoan[[#This Row],[Beginning Balance]]-tblSubjectToLoan[[#This Row],[Princ]]))</f>
        <v>0</v>
      </c>
      <c r="L556" s="394">
        <f t="shared" si="45"/>
        <v>0</v>
      </c>
      <c r="M556" s="394">
        <f t="shared" si="46"/>
        <v>0</v>
      </c>
      <c r="N556" s="613" t="str">
        <f>INDEX(tblSubjectToLoan[Date],ROW()-ROW(tblContractForDeed[#Headers]))</f>
        <v/>
      </c>
      <c r="O556" s="276">
        <f>IF(ROW()=ROW(tblContractForDeed[#Headers])+1,$O$6,IF(INDEX(tblContractForDeed[End Bal],ROW()-ROW(tblContractForDeed[#Headers])-1)&lt;0,0,INDEX(tblContractForDeed[End Bal],ROW()-ROW(tblContractForDeed[#Headers])-1)))</f>
        <v>0</v>
      </c>
      <c r="P556" s="454"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6" s="276">
        <f>IF(INDEX(tblContractForDeed[End Bal],ROW()-ROW(tblBuyerOutputs[#Headers]))&lt;=0,0,($O$6+IF(ROW()=ROW(tblBuyerOutputs[#Headers])+1,0,INDEX(tblBuyerOutputs[Cumul Appr],ROW()-ROW(tblBuyerOutputs[#Headers])-1)))*$O$2/12)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13" t="str">
        <f>IF(ROW()=ROW(tblSubjectToLoan[#Headers])+1,subjectKnownBalanceDate,IF(OR(INDEX(tblSubjectToLoan[Date],ROW()-ROW(tblSubjectToLoan[#Headers])-1)="",INDEX(tblSubjectToLoan[Date],ROW()-ROW(tblSubjectToLoan[#Headers])-1)&gt;=subjectMortgageEndDate),"",EDATE(INDEX(tblSubjectToLoan[Date],ROW()-ROW(tblSubjectToLoan[#Headers])-1),1)))</f>
        <v/>
      </c>
      <c r="B557" s="276">
        <f>IF(tblSubjectToLoan[[#This Row],[Date]]="",0,IF(ROW()=ROW(tblSubjectToLoan[#Headers])+1,subjectKnownBalance,MAX(0,INDEX(tblSubjectToLoan[Ending Balance],ROW()-ROW(tblSubjectToLoan[#Headers])-1))))</f>
        <v>0</v>
      </c>
      <c r="C5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7" s="14">
        <f>IF(tblSubjectToLoan[[#This Row],[Payment]]=0,0,MAX(0,MIN(tblSubjectToLoan[[#This Row],[Beginning Balance]],tblSubjectToLoan[[#This Row],[Payment]]-tblSubjectToLoan[[#This Row],[Int]])))</f>
        <v>0</v>
      </c>
      <c r="E557" s="14">
        <f>IF(tblSubjectToLoan[[#This Row],[Date]]="",0,ROUND(tblSubjectToLoan[[#This Row],[Beginning Balance]]*(subjectInterestRate/12),2))</f>
        <v>0</v>
      </c>
      <c r="H557" s="14">
        <f>SUM(tblSubjectToLoan[[#This Row],[Princ]],tblSubjectToLoan[[#This Row],[Int]],tblSubjectToLoan[[#This Row],[Ins]],tblSubjectToLoan[[#This Row],[Taxes]])</f>
        <v>0</v>
      </c>
      <c r="I5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7" s="276">
        <f>IF(tblSubjectToLoan[[#This Row],[Date]]="",IF(ROW()=ROW(tblSubjectToLoan[#Headers])+1,0,INDEX(tblSubjectToLoan[Interest],ROW()-ROW(tblSubjectToLoan[#Headers])-1)),tblSubjectToLoan[[#This Row],[Int]]+IF(ROW()=ROW(tblSubjectToLoan[#Headers])+1,0,INDEX(tblSubjectToLoan[Interest],ROW()-ROW(tblSubjectToLoan[#Headers])-1)))</f>
        <v>36068.259999999973</v>
      </c>
      <c r="K557" s="969">
        <f>IF(tblSubjectToLoan[[#This Row],[Date]]="",0,MAX(0,tblSubjectToLoan[[#This Row],[Beginning Balance]]-tblSubjectToLoan[[#This Row],[Princ]]))</f>
        <v>0</v>
      </c>
      <c r="L557" s="394">
        <f t="shared" si="45"/>
        <v>0</v>
      </c>
      <c r="M557" s="394">
        <f t="shared" si="46"/>
        <v>0</v>
      </c>
      <c r="N557" s="613" t="str">
        <f>INDEX(tblSubjectToLoan[Date],ROW()-ROW(tblContractForDeed[#Headers]))</f>
        <v/>
      </c>
      <c r="O557" s="276">
        <f>IF(ROW()=ROW(tblContractForDeed[#Headers])+1,$O$6,IF(INDEX(tblContractForDeed[End Bal],ROW()-ROW(tblContractForDeed[#Headers])-1)&lt;0,0,INDEX(tblContractForDeed[End Bal],ROW()-ROW(tblContractForDeed[#Headers])-1)))</f>
        <v>0</v>
      </c>
      <c r="P557" s="454"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7" s="276">
        <f>IF(INDEX(tblContractForDeed[End Bal],ROW()-ROW(tblBuyerOutputs[#Headers]))&lt;=0,0,($O$6+IF(ROW()=ROW(tblBuyerOutputs[#Headers])+1,0,INDEX(tblBuyerOutputs[Cumul Appr],ROW()-ROW(tblBuyerOutputs[#Headers])-1)))*$O$2/12)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13" t="str">
        <f>IF(ROW()=ROW(tblSubjectToLoan[#Headers])+1,subjectKnownBalanceDate,IF(OR(INDEX(tblSubjectToLoan[Date],ROW()-ROW(tblSubjectToLoan[#Headers])-1)="",INDEX(tblSubjectToLoan[Date],ROW()-ROW(tblSubjectToLoan[#Headers])-1)&gt;=subjectMortgageEndDate),"",EDATE(INDEX(tblSubjectToLoan[Date],ROW()-ROW(tblSubjectToLoan[#Headers])-1),1)))</f>
        <v/>
      </c>
      <c r="B558" s="276">
        <f>IF(tblSubjectToLoan[[#This Row],[Date]]="",0,IF(ROW()=ROW(tblSubjectToLoan[#Headers])+1,subjectKnownBalance,MAX(0,INDEX(tblSubjectToLoan[Ending Balance],ROW()-ROW(tblSubjectToLoan[#Headers])-1))))</f>
        <v>0</v>
      </c>
      <c r="C5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8" s="14">
        <f>IF(tblSubjectToLoan[[#This Row],[Payment]]=0,0,MAX(0,MIN(tblSubjectToLoan[[#This Row],[Beginning Balance]],tblSubjectToLoan[[#This Row],[Payment]]-tblSubjectToLoan[[#This Row],[Int]])))</f>
        <v>0</v>
      </c>
      <c r="E558" s="14">
        <f>IF(tblSubjectToLoan[[#This Row],[Date]]="",0,ROUND(tblSubjectToLoan[[#This Row],[Beginning Balance]]*(subjectInterestRate/12),2))</f>
        <v>0</v>
      </c>
      <c r="H558" s="14">
        <f>SUM(tblSubjectToLoan[[#This Row],[Princ]],tblSubjectToLoan[[#This Row],[Int]],tblSubjectToLoan[[#This Row],[Ins]],tblSubjectToLoan[[#This Row],[Taxes]])</f>
        <v>0</v>
      </c>
      <c r="I5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8" s="276">
        <f>IF(tblSubjectToLoan[[#This Row],[Date]]="",IF(ROW()=ROW(tblSubjectToLoan[#Headers])+1,0,INDEX(tblSubjectToLoan[Interest],ROW()-ROW(tblSubjectToLoan[#Headers])-1)),tblSubjectToLoan[[#This Row],[Int]]+IF(ROW()=ROW(tblSubjectToLoan[#Headers])+1,0,INDEX(tblSubjectToLoan[Interest],ROW()-ROW(tblSubjectToLoan[#Headers])-1)))</f>
        <v>36068.259999999973</v>
      </c>
      <c r="K558" s="969">
        <f>IF(tblSubjectToLoan[[#This Row],[Date]]="",0,MAX(0,tblSubjectToLoan[[#This Row],[Beginning Balance]]-tblSubjectToLoan[[#This Row],[Princ]]))</f>
        <v>0</v>
      </c>
      <c r="L558" s="394">
        <f t="shared" si="45"/>
        <v>0</v>
      </c>
      <c r="M558" s="394">
        <f t="shared" si="46"/>
        <v>0</v>
      </c>
      <c r="N558" s="613" t="str">
        <f>INDEX(tblSubjectToLoan[Date],ROW()-ROW(tblContractForDeed[#Headers]))</f>
        <v/>
      </c>
      <c r="O558" s="276">
        <f>IF(ROW()=ROW(tblContractForDeed[#Headers])+1,$O$6,IF(INDEX(tblContractForDeed[End Bal],ROW()-ROW(tblContractForDeed[#Headers])-1)&lt;0,0,INDEX(tblContractForDeed[End Bal],ROW()-ROW(tblContractForDeed[#Headers])-1)))</f>
        <v>0</v>
      </c>
      <c r="P558" s="454"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8" s="276">
        <f>IF(INDEX(tblContractForDeed[End Bal],ROW()-ROW(tblBuyerOutputs[#Headers]))&lt;=0,0,($O$6+IF(ROW()=ROW(tblBuyerOutputs[#Headers])+1,0,INDEX(tblBuyerOutputs[Cumul Appr],ROW()-ROW(tblBuyerOutputs[#Headers])-1)))*$O$2/12)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14" t="str">
        <f>IF(ROW()=ROW(tblSubjectToLoan[#Headers])+1,subjectKnownBalanceDate,IF(OR(INDEX(tblSubjectToLoan[Date],ROW()-ROW(tblSubjectToLoan[#Headers])-1)="",INDEX(tblSubjectToLoan[Date],ROW()-ROW(tblSubjectToLoan[#Headers])-1)&gt;=subjectMortgageEndDate),"",EDATE(INDEX(tblSubjectToLoan[Date],ROW()-ROW(tblSubjectToLoan[#Headers])-1),1)))</f>
        <v/>
      </c>
      <c r="B559" s="332">
        <f>IF(tblSubjectToLoan[[#This Row],[Date]]="",0,IF(ROW()=ROW(tblSubjectToLoan[#Headers])+1,subjectKnownBalance,MAX(0,INDEX(tblSubjectToLoan[Ending Balance],ROW()-ROW(tblSubjectToLoan[#Headers])-1))))</f>
        <v>0</v>
      </c>
      <c r="C55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9" s="21">
        <f>IF(tblSubjectToLoan[[#This Row],[Payment]]=0,0,MAX(0,MIN(tblSubjectToLoan[[#This Row],[Beginning Balance]],tblSubjectToLoan[[#This Row],[Payment]]-tblSubjectToLoan[[#This Row],[Int]])))</f>
        <v>0</v>
      </c>
      <c r="E559" s="21">
        <f>IF(tblSubjectToLoan[[#This Row],[Date]]="",0,ROUND(tblSubjectToLoan[[#This Row],[Beginning Balance]]*(subjectInterestRate/12),2))</f>
        <v>0</v>
      </c>
      <c r="F559" s="21"/>
      <c r="G559" s="21"/>
      <c r="H559" s="21">
        <f>SUM(tblSubjectToLoan[[#This Row],[Princ]],tblSubjectToLoan[[#This Row],[Int]],tblSubjectToLoan[[#This Row],[Ins]],tblSubjectToLoan[[#This Row],[Taxes]])</f>
        <v>0</v>
      </c>
      <c r="I55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59" s="332">
        <f>IF(tblSubjectToLoan[[#This Row],[Date]]="",IF(ROW()=ROW(tblSubjectToLoan[#Headers])+1,0,INDEX(tblSubjectToLoan[Interest],ROW()-ROW(tblSubjectToLoan[#Headers])-1)),tblSubjectToLoan[[#This Row],[Int]]+IF(ROW()=ROW(tblSubjectToLoan[#Headers])+1,0,INDEX(tblSubjectToLoan[Interest],ROW()-ROW(tblSubjectToLoan[#Headers])-1)))</f>
        <v>36068.259999999973</v>
      </c>
      <c r="K559" s="970">
        <f>IF(tblSubjectToLoan[[#This Row],[Date]]="",0,MAX(0,tblSubjectToLoan[[#This Row],[Beginning Balance]]-tblSubjectToLoan[[#This Row],[Princ]]))</f>
        <v>0</v>
      </c>
      <c r="L559" s="395">
        <f t="shared" si="45"/>
        <v>0</v>
      </c>
      <c r="M559" s="395">
        <f t="shared" si="46"/>
        <v>0</v>
      </c>
      <c r="N559" s="614" t="str">
        <f>INDEX(tblSubjectToLoan[Date],ROW()-ROW(tblContractForDeed[#Headers]))</f>
        <v/>
      </c>
      <c r="O559" s="332">
        <f>IF(ROW()=ROW(tblContractForDeed[#Headers])+1,$O$6,IF(INDEX(tblContractForDeed[End Bal],ROW()-ROW(tblContractForDeed[#Headers])-1)&lt;0,0,INDEX(tblContractForDeed[End Bal],ROW()-ROW(tblContractForDeed[#Headers])-1)))</f>
        <v>0</v>
      </c>
      <c r="P559" s="454"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9" s="332">
        <f>IF(INDEX(tblContractForDeed[End Bal],ROW()-ROW(tblBuyerOutputs[#Headers]))&lt;=0,0,($O$6+IF(ROW()=ROW(tblBuyerOutputs[#Headers])+1,0,INDEX(tblBuyerOutputs[Cumul Appr],ROW()-ROW(tblBuyerOutputs[#Headers])-1)))*$O$2/12)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13" t="str">
        <f>IF(ROW()=ROW(tblSubjectToLoan[#Headers])+1,subjectKnownBalanceDate,IF(OR(INDEX(tblSubjectToLoan[Date],ROW()-ROW(tblSubjectToLoan[#Headers])-1)="",INDEX(tblSubjectToLoan[Date],ROW()-ROW(tblSubjectToLoan[#Headers])-1)&gt;=subjectMortgageEndDate),"",EDATE(INDEX(tblSubjectToLoan[Date],ROW()-ROW(tblSubjectToLoan[#Headers])-1),1)))</f>
        <v/>
      </c>
      <c r="B560" s="276">
        <f>IF(tblSubjectToLoan[[#This Row],[Date]]="",0,IF(ROW()=ROW(tblSubjectToLoan[#Headers])+1,subjectKnownBalance,MAX(0,INDEX(tblSubjectToLoan[Ending Balance],ROW()-ROW(tblSubjectToLoan[#Headers])-1))))</f>
        <v>0</v>
      </c>
      <c r="C5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0" s="14">
        <f>IF(tblSubjectToLoan[[#This Row],[Payment]]=0,0,MAX(0,MIN(tblSubjectToLoan[[#This Row],[Beginning Balance]],tblSubjectToLoan[[#This Row],[Payment]]-tblSubjectToLoan[[#This Row],[Int]])))</f>
        <v>0</v>
      </c>
      <c r="E560" s="14">
        <f>IF(tblSubjectToLoan[[#This Row],[Date]]="",0,ROUND(tblSubjectToLoan[[#This Row],[Beginning Balance]]*(subjectInterestRate/12),2))</f>
        <v>0</v>
      </c>
      <c r="H560" s="14">
        <f>SUM(tblSubjectToLoan[[#This Row],[Princ]],tblSubjectToLoan[[#This Row],[Int]],tblSubjectToLoan[[#This Row],[Ins]],tblSubjectToLoan[[#This Row],[Taxes]])</f>
        <v>0</v>
      </c>
      <c r="I5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0" s="276">
        <f>IF(tblSubjectToLoan[[#This Row],[Date]]="",IF(ROW()=ROW(tblSubjectToLoan[#Headers])+1,0,INDEX(tblSubjectToLoan[Interest],ROW()-ROW(tblSubjectToLoan[#Headers])-1)),tblSubjectToLoan[[#This Row],[Int]]+IF(ROW()=ROW(tblSubjectToLoan[#Headers])+1,0,INDEX(tblSubjectToLoan[Interest],ROW()-ROW(tblSubjectToLoan[#Headers])-1)))</f>
        <v>36068.259999999973</v>
      </c>
      <c r="K560" s="969">
        <f>IF(tblSubjectToLoan[[#This Row],[Date]]="",0,MAX(0,tblSubjectToLoan[[#This Row],[Beginning Balance]]-tblSubjectToLoan[[#This Row],[Princ]]))</f>
        <v>0</v>
      </c>
      <c r="L560" s="394">
        <f t="shared" si="45"/>
        <v>0</v>
      </c>
      <c r="M560" s="394">
        <f t="shared" si="46"/>
        <v>0</v>
      </c>
      <c r="N560" s="613" t="str">
        <f>INDEX(tblSubjectToLoan[Date],ROW()-ROW(tblContractForDeed[#Headers]))</f>
        <v/>
      </c>
      <c r="O560" s="276">
        <f>IF(ROW()=ROW(tblContractForDeed[#Headers])+1,$O$6,IF(INDEX(tblContractForDeed[End Bal],ROW()-ROW(tblContractForDeed[#Headers])-1)&lt;0,0,INDEX(tblContractForDeed[End Bal],ROW()-ROW(tblContractForDeed[#Headers])-1)))</f>
        <v>0</v>
      </c>
      <c r="P560" s="454"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0" s="276">
        <f>IF(INDEX(tblContractForDeed[End Bal],ROW()-ROW(tblBuyerOutputs[#Headers]))&lt;=0,0,($O$6+IF(ROW()=ROW(tblBuyerOutputs[#Headers])+1,0,INDEX(tblBuyerOutputs[Cumul Appr],ROW()-ROW(tblBuyerOutputs[#Headers])-1)))*$O$2/12)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13" t="str">
        <f>IF(ROW()=ROW(tblSubjectToLoan[#Headers])+1,subjectKnownBalanceDate,IF(OR(INDEX(tblSubjectToLoan[Date],ROW()-ROW(tblSubjectToLoan[#Headers])-1)="",INDEX(tblSubjectToLoan[Date],ROW()-ROW(tblSubjectToLoan[#Headers])-1)&gt;=subjectMortgageEndDate),"",EDATE(INDEX(tblSubjectToLoan[Date],ROW()-ROW(tblSubjectToLoan[#Headers])-1),1)))</f>
        <v/>
      </c>
      <c r="B561" s="276">
        <f>IF(tblSubjectToLoan[[#This Row],[Date]]="",0,IF(ROW()=ROW(tblSubjectToLoan[#Headers])+1,subjectKnownBalance,MAX(0,INDEX(tblSubjectToLoan[Ending Balance],ROW()-ROW(tblSubjectToLoan[#Headers])-1))))</f>
        <v>0</v>
      </c>
      <c r="C5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1" s="14">
        <f>IF(tblSubjectToLoan[[#This Row],[Payment]]=0,0,MAX(0,MIN(tblSubjectToLoan[[#This Row],[Beginning Balance]],tblSubjectToLoan[[#This Row],[Payment]]-tblSubjectToLoan[[#This Row],[Int]])))</f>
        <v>0</v>
      </c>
      <c r="E561" s="14">
        <f>IF(tblSubjectToLoan[[#This Row],[Date]]="",0,ROUND(tblSubjectToLoan[[#This Row],[Beginning Balance]]*(subjectInterestRate/12),2))</f>
        <v>0</v>
      </c>
      <c r="H561" s="14">
        <f>SUM(tblSubjectToLoan[[#This Row],[Princ]],tblSubjectToLoan[[#This Row],[Int]],tblSubjectToLoan[[#This Row],[Ins]],tblSubjectToLoan[[#This Row],[Taxes]])</f>
        <v>0</v>
      </c>
      <c r="I5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1" s="276">
        <f>IF(tblSubjectToLoan[[#This Row],[Date]]="",IF(ROW()=ROW(tblSubjectToLoan[#Headers])+1,0,INDEX(tblSubjectToLoan[Interest],ROW()-ROW(tblSubjectToLoan[#Headers])-1)),tblSubjectToLoan[[#This Row],[Int]]+IF(ROW()=ROW(tblSubjectToLoan[#Headers])+1,0,INDEX(tblSubjectToLoan[Interest],ROW()-ROW(tblSubjectToLoan[#Headers])-1)))</f>
        <v>36068.259999999973</v>
      </c>
      <c r="K561" s="969">
        <f>IF(tblSubjectToLoan[[#This Row],[Date]]="",0,MAX(0,tblSubjectToLoan[[#This Row],[Beginning Balance]]-tblSubjectToLoan[[#This Row],[Princ]]))</f>
        <v>0</v>
      </c>
      <c r="L561" s="394">
        <f t="shared" si="45"/>
        <v>0</v>
      </c>
      <c r="M561" s="394">
        <f t="shared" si="46"/>
        <v>0</v>
      </c>
      <c r="N561" s="613" t="str">
        <f>INDEX(tblSubjectToLoan[Date],ROW()-ROW(tblContractForDeed[#Headers]))</f>
        <v/>
      </c>
      <c r="O561" s="276">
        <f>IF(ROW()=ROW(tblContractForDeed[#Headers])+1,$O$6,IF(INDEX(tblContractForDeed[End Bal],ROW()-ROW(tblContractForDeed[#Headers])-1)&lt;0,0,INDEX(tblContractForDeed[End Bal],ROW()-ROW(tblContractForDeed[#Headers])-1)))</f>
        <v>0</v>
      </c>
      <c r="P561" s="454"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1" s="276">
        <f>IF(INDEX(tblContractForDeed[End Bal],ROW()-ROW(tblBuyerOutputs[#Headers]))&lt;=0,0,($O$6+IF(ROW()=ROW(tblBuyerOutputs[#Headers])+1,0,INDEX(tblBuyerOutputs[Cumul Appr],ROW()-ROW(tblBuyerOutputs[#Headers])-1)))*$O$2/12)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13" t="str">
        <f>IF(ROW()=ROW(tblSubjectToLoan[#Headers])+1,subjectKnownBalanceDate,IF(OR(INDEX(tblSubjectToLoan[Date],ROW()-ROW(tblSubjectToLoan[#Headers])-1)="",INDEX(tblSubjectToLoan[Date],ROW()-ROW(tblSubjectToLoan[#Headers])-1)&gt;=subjectMortgageEndDate),"",EDATE(INDEX(tblSubjectToLoan[Date],ROW()-ROW(tblSubjectToLoan[#Headers])-1),1)))</f>
        <v/>
      </c>
      <c r="B562" s="276">
        <f>IF(tblSubjectToLoan[[#This Row],[Date]]="",0,IF(ROW()=ROW(tblSubjectToLoan[#Headers])+1,subjectKnownBalance,MAX(0,INDEX(tblSubjectToLoan[Ending Balance],ROW()-ROW(tblSubjectToLoan[#Headers])-1))))</f>
        <v>0</v>
      </c>
      <c r="C5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2" s="14">
        <f>IF(tblSubjectToLoan[[#This Row],[Payment]]=0,0,MAX(0,MIN(tblSubjectToLoan[[#This Row],[Beginning Balance]],tblSubjectToLoan[[#This Row],[Payment]]-tblSubjectToLoan[[#This Row],[Int]])))</f>
        <v>0</v>
      </c>
      <c r="E562" s="14">
        <f>IF(tblSubjectToLoan[[#This Row],[Date]]="",0,ROUND(tblSubjectToLoan[[#This Row],[Beginning Balance]]*(subjectInterestRate/12),2))</f>
        <v>0</v>
      </c>
      <c r="H562" s="14">
        <f>SUM(tblSubjectToLoan[[#This Row],[Princ]],tblSubjectToLoan[[#This Row],[Int]],tblSubjectToLoan[[#This Row],[Ins]],tblSubjectToLoan[[#This Row],[Taxes]])</f>
        <v>0</v>
      </c>
      <c r="I5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2" s="276">
        <f>IF(tblSubjectToLoan[[#This Row],[Date]]="",IF(ROW()=ROW(tblSubjectToLoan[#Headers])+1,0,INDEX(tblSubjectToLoan[Interest],ROW()-ROW(tblSubjectToLoan[#Headers])-1)),tblSubjectToLoan[[#This Row],[Int]]+IF(ROW()=ROW(tblSubjectToLoan[#Headers])+1,0,INDEX(tblSubjectToLoan[Interest],ROW()-ROW(tblSubjectToLoan[#Headers])-1)))</f>
        <v>36068.259999999973</v>
      </c>
      <c r="K562" s="969">
        <f>IF(tblSubjectToLoan[[#This Row],[Date]]="",0,MAX(0,tblSubjectToLoan[[#This Row],[Beginning Balance]]-tblSubjectToLoan[[#This Row],[Princ]]))</f>
        <v>0</v>
      </c>
      <c r="L562" s="394">
        <f t="shared" si="45"/>
        <v>0</v>
      </c>
      <c r="M562" s="394">
        <f t="shared" si="46"/>
        <v>0</v>
      </c>
      <c r="N562" s="613" t="str">
        <f>INDEX(tblSubjectToLoan[Date],ROW()-ROW(tblContractForDeed[#Headers]))</f>
        <v/>
      </c>
      <c r="O562" s="276">
        <f>IF(ROW()=ROW(tblContractForDeed[#Headers])+1,$O$6,IF(INDEX(tblContractForDeed[End Bal],ROW()-ROW(tblContractForDeed[#Headers])-1)&lt;0,0,INDEX(tblContractForDeed[End Bal],ROW()-ROW(tblContractForDeed[#Headers])-1)))</f>
        <v>0</v>
      </c>
      <c r="P562" s="454"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2" s="276">
        <f>IF(INDEX(tblContractForDeed[End Bal],ROW()-ROW(tblBuyerOutputs[#Headers]))&lt;=0,0,($O$6+IF(ROW()=ROW(tblBuyerOutputs[#Headers])+1,0,INDEX(tblBuyerOutputs[Cumul Appr],ROW()-ROW(tblBuyerOutputs[#Headers])-1)))*$O$2/12)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13" t="str">
        <f>IF(ROW()=ROW(tblSubjectToLoan[#Headers])+1,subjectKnownBalanceDate,IF(OR(INDEX(tblSubjectToLoan[Date],ROW()-ROW(tblSubjectToLoan[#Headers])-1)="",INDEX(tblSubjectToLoan[Date],ROW()-ROW(tblSubjectToLoan[#Headers])-1)&gt;=subjectMortgageEndDate),"",EDATE(INDEX(tblSubjectToLoan[Date],ROW()-ROW(tblSubjectToLoan[#Headers])-1),1)))</f>
        <v/>
      </c>
      <c r="B563" s="276">
        <f>IF(tblSubjectToLoan[[#This Row],[Date]]="",0,IF(ROW()=ROW(tblSubjectToLoan[#Headers])+1,subjectKnownBalance,MAX(0,INDEX(tblSubjectToLoan[Ending Balance],ROW()-ROW(tblSubjectToLoan[#Headers])-1))))</f>
        <v>0</v>
      </c>
      <c r="C5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3" s="14">
        <f>IF(tblSubjectToLoan[[#This Row],[Payment]]=0,0,MAX(0,MIN(tblSubjectToLoan[[#This Row],[Beginning Balance]],tblSubjectToLoan[[#This Row],[Payment]]-tblSubjectToLoan[[#This Row],[Int]])))</f>
        <v>0</v>
      </c>
      <c r="E563" s="14">
        <f>IF(tblSubjectToLoan[[#This Row],[Date]]="",0,ROUND(tblSubjectToLoan[[#This Row],[Beginning Balance]]*(subjectInterestRate/12),2))</f>
        <v>0</v>
      </c>
      <c r="H563" s="14">
        <f>SUM(tblSubjectToLoan[[#This Row],[Princ]],tblSubjectToLoan[[#This Row],[Int]],tblSubjectToLoan[[#This Row],[Ins]],tblSubjectToLoan[[#This Row],[Taxes]])</f>
        <v>0</v>
      </c>
      <c r="I5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3" s="276">
        <f>IF(tblSubjectToLoan[[#This Row],[Date]]="",IF(ROW()=ROW(tblSubjectToLoan[#Headers])+1,0,INDEX(tblSubjectToLoan[Interest],ROW()-ROW(tblSubjectToLoan[#Headers])-1)),tblSubjectToLoan[[#This Row],[Int]]+IF(ROW()=ROW(tblSubjectToLoan[#Headers])+1,0,INDEX(tblSubjectToLoan[Interest],ROW()-ROW(tblSubjectToLoan[#Headers])-1)))</f>
        <v>36068.259999999973</v>
      </c>
      <c r="K563" s="969">
        <f>IF(tblSubjectToLoan[[#This Row],[Date]]="",0,MAX(0,tblSubjectToLoan[[#This Row],[Beginning Balance]]-tblSubjectToLoan[[#This Row],[Princ]]))</f>
        <v>0</v>
      </c>
      <c r="L563" s="394">
        <f t="shared" si="45"/>
        <v>0</v>
      </c>
      <c r="M563" s="394">
        <f t="shared" si="46"/>
        <v>0</v>
      </c>
      <c r="N563" s="613" t="str">
        <f>INDEX(tblSubjectToLoan[Date],ROW()-ROW(tblContractForDeed[#Headers]))</f>
        <v/>
      </c>
      <c r="O563" s="276">
        <f>IF(ROW()=ROW(tblContractForDeed[#Headers])+1,$O$6,IF(INDEX(tblContractForDeed[End Bal],ROW()-ROW(tblContractForDeed[#Headers])-1)&lt;0,0,INDEX(tblContractForDeed[End Bal],ROW()-ROW(tblContractForDeed[#Headers])-1)))</f>
        <v>0</v>
      </c>
      <c r="P563" s="454"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3" s="276">
        <f>IF(INDEX(tblContractForDeed[End Bal],ROW()-ROW(tblBuyerOutputs[#Headers]))&lt;=0,0,($O$6+IF(ROW()=ROW(tblBuyerOutputs[#Headers])+1,0,INDEX(tblBuyerOutputs[Cumul Appr],ROW()-ROW(tblBuyerOutputs[#Headers])-1)))*$O$2/12)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13" t="str">
        <f>IF(ROW()=ROW(tblSubjectToLoan[#Headers])+1,subjectKnownBalanceDate,IF(OR(INDEX(tblSubjectToLoan[Date],ROW()-ROW(tblSubjectToLoan[#Headers])-1)="",INDEX(tblSubjectToLoan[Date],ROW()-ROW(tblSubjectToLoan[#Headers])-1)&gt;=subjectMortgageEndDate),"",EDATE(INDEX(tblSubjectToLoan[Date],ROW()-ROW(tblSubjectToLoan[#Headers])-1),1)))</f>
        <v/>
      </c>
      <c r="B564" s="276">
        <f>IF(tblSubjectToLoan[[#This Row],[Date]]="",0,IF(ROW()=ROW(tblSubjectToLoan[#Headers])+1,subjectKnownBalance,MAX(0,INDEX(tblSubjectToLoan[Ending Balance],ROW()-ROW(tblSubjectToLoan[#Headers])-1))))</f>
        <v>0</v>
      </c>
      <c r="C5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4" s="14">
        <f>IF(tblSubjectToLoan[[#This Row],[Payment]]=0,0,MAX(0,MIN(tblSubjectToLoan[[#This Row],[Beginning Balance]],tblSubjectToLoan[[#This Row],[Payment]]-tblSubjectToLoan[[#This Row],[Int]])))</f>
        <v>0</v>
      </c>
      <c r="E564" s="14">
        <f>IF(tblSubjectToLoan[[#This Row],[Date]]="",0,ROUND(tblSubjectToLoan[[#This Row],[Beginning Balance]]*(subjectInterestRate/12),2))</f>
        <v>0</v>
      </c>
      <c r="H564" s="14">
        <f>SUM(tblSubjectToLoan[[#This Row],[Princ]],tblSubjectToLoan[[#This Row],[Int]],tblSubjectToLoan[[#This Row],[Ins]],tblSubjectToLoan[[#This Row],[Taxes]])</f>
        <v>0</v>
      </c>
      <c r="I5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4" s="276">
        <f>IF(tblSubjectToLoan[[#This Row],[Date]]="",IF(ROW()=ROW(tblSubjectToLoan[#Headers])+1,0,INDEX(tblSubjectToLoan[Interest],ROW()-ROW(tblSubjectToLoan[#Headers])-1)),tblSubjectToLoan[[#This Row],[Int]]+IF(ROW()=ROW(tblSubjectToLoan[#Headers])+1,0,INDEX(tblSubjectToLoan[Interest],ROW()-ROW(tblSubjectToLoan[#Headers])-1)))</f>
        <v>36068.259999999973</v>
      </c>
      <c r="K564" s="969">
        <f>IF(tblSubjectToLoan[[#This Row],[Date]]="",0,MAX(0,tblSubjectToLoan[[#This Row],[Beginning Balance]]-tblSubjectToLoan[[#This Row],[Princ]]))</f>
        <v>0</v>
      </c>
      <c r="L564" s="394">
        <f t="shared" ref="L564:L627" si="47">IF(MOD(M564,12)=0,M564/12,L563)</f>
        <v>0</v>
      </c>
      <c r="M564" s="394">
        <f t="shared" si="46"/>
        <v>0</v>
      </c>
      <c r="N564" s="613" t="str">
        <f>INDEX(tblSubjectToLoan[Date],ROW()-ROW(tblContractForDeed[#Headers]))</f>
        <v/>
      </c>
      <c r="O564" s="276">
        <f>IF(ROW()=ROW(tblContractForDeed[#Headers])+1,$O$6,IF(INDEX(tblContractForDeed[End Bal],ROW()-ROW(tblContractForDeed[#Headers])-1)&lt;0,0,INDEX(tblContractForDeed[End Bal],ROW()-ROW(tblContractForDeed[#Headers])-1)))</f>
        <v>0</v>
      </c>
      <c r="P564" s="454"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4" s="276">
        <f>IF(INDEX(tblContractForDeed[End Bal],ROW()-ROW(tblBuyerOutputs[#Headers]))&lt;=0,0,($O$6+IF(ROW()=ROW(tblBuyerOutputs[#Headers])+1,0,INDEX(tblBuyerOutputs[Cumul Appr],ROW()-ROW(tblBuyerOutputs[#Headers])-1)))*$O$2/12)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13" t="str">
        <f>IF(ROW()=ROW(tblSubjectToLoan[#Headers])+1,subjectKnownBalanceDate,IF(OR(INDEX(tblSubjectToLoan[Date],ROW()-ROW(tblSubjectToLoan[#Headers])-1)="",INDEX(tblSubjectToLoan[Date],ROW()-ROW(tblSubjectToLoan[#Headers])-1)&gt;=subjectMortgageEndDate),"",EDATE(INDEX(tblSubjectToLoan[Date],ROW()-ROW(tblSubjectToLoan[#Headers])-1),1)))</f>
        <v/>
      </c>
      <c r="B565" s="276">
        <f>IF(tblSubjectToLoan[[#This Row],[Date]]="",0,IF(ROW()=ROW(tblSubjectToLoan[#Headers])+1,subjectKnownBalance,MAX(0,INDEX(tblSubjectToLoan[Ending Balance],ROW()-ROW(tblSubjectToLoan[#Headers])-1))))</f>
        <v>0</v>
      </c>
      <c r="C5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5" s="14">
        <f>IF(tblSubjectToLoan[[#This Row],[Payment]]=0,0,MAX(0,MIN(tblSubjectToLoan[[#This Row],[Beginning Balance]],tblSubjectToLoan[[#This Row],[Payment]]-tblSubjectToLoan[[#This Row],[Int]])))</f>
        <v>0</v>
      </c>
      <c r="E565" s="14">
        <f>IF(tblSubjectToLoan[[#This Row],[Date]]="",0,ROUND(tblSubjectToLoan[[#This Row],[Beginning Balance]]*(subjectInterestRate/12),2))</f>
        <v>0</v>
      </c>
      <c r="H565" s="14">
        <f>SUM(tblSubjectToLoan[[#This Row],[Princ]],tblSubjectToLoan[[#This Row],[Int]],tblSubjectToLoan[[#This Row],[Ins]],tblSubjectToLoan[[#This Row],[Taxes]])</f>
        <v>0</v>
      </c>
      <c r="I5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5" s="276">
        <f>IF(tblSubjectToLoan[[#This Row],[Date]]="",IF(ROW()=ROW(tblSubjectToLoan[#Headers])+1,0,INDEX(tblSubjectToLoan[Interest],ROW()-ROW(tblSubjectToLoan[#Headers])-1)),tblSubjectToLoan[[#This Row],[Int]]+IF(ROW()=ROW(tblSubjectToLoan[#Headers])+1,0,INDEX(tblSubjectToLoan[Interest],ROW()-ROW(tblSubjectToLoan[#Headers])-1)))</f>
        <v>36068.259999999973</v>
      </c>
      <c r="K565" s="969">
        <f>IF(tblSubjectToLoan[[#This Row],[Date]]="",0,MAX(0,tblSubjectToLoan[[#This Row],[Beginning Balance]]-tblSubjectToLoan[[#This Row],[Princ]]))</f>
        <v>0</v>
      </c>
      <c r="L565" s="394">
        <f t="shared" si="47"/>
        <v>0</v>
      </c>
      <c r="M565" s="394">
        <f t="shared" si="46"/>
        <v>0</v>
      </c>
      <c r="N565" s="613" t="str">
        <f>INDEX(tblSubjectToLoan[Date],ROW()-ROW(tblContractForDeed[#Headers]))</f>
        <v/>
      </c>
      <c r="O565" s="276">
        <f>IF(ROW()=ROW(tblContractForDeed[#Headers])+1,$O$6,IF(INDEX(tblContractForDeed[End Bal],ROW()-ROW(tblContractForDeed[#Headers])-1)&lt;0,0,INDEX(tblContractForDeed[End Bal],ROW()-ROW(tblContractForDeed[#Headers])-1)))</f>
        <v>0</v>
      </c>
      <c r="P565" s="454"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5" s="276">
        <f>IF(INDEX(tblContractForDeed[End Bal],ROW()-ROW(tblBuyerOutputs[#Headers]))&lt;=0,0,($O$6+IF(ROW()=ROW(tblBuyerOutputs[#Headers])+1,0,INDEX(tblBuyerOutputs[Cumul Appr],ROW()-ROW(tblBuyerOutputs[#Headers])-1)))*$O$2/12)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13" t="str">
        <f>IF(ROW()=ROW(tblSubjectToLoan[#Headers])+1,subjectKnownBalanceDate,IF(OR(INDEX(tblSubjectToLoan[Date],ROW()-ROW(tblSubjectToLoan[#Headers])-1)="",INDEX(tblSubjectToLoan[Date],ROW()-ROW(tblSubjectToLoan[#Headers])-1)&gt;=subjectMortgageEndDate),"",EDATE(INDEX(tblSubjectToLoan[Date],ROW()-ROW(tblSubjectToLoan[#Headers])-1),1)))</f>
        <v/>
      </c>
      <c r="B566" s="276">
        <f>IF(tblSubjectToLoan[[#This Row],[Date]]="",0,IF(ROW()=ROW(tblSubjectToLoan[#Headers])+1,subjectKnownBalance,MAX(0,INDEX(tblSubjectToLoan[Ending Balance],ROW()-ROW(tblSubjectToLoan[#Headers])-1))))</f>
        <v>0</v>
      </c>
      <c r="C5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6" s="14">
        <f>IF(tblSubjectToLoan[[#This Row],[Payment]]=0,0,MAX(0,MIN(tblSubjectToLoan[[#This Row],[Beginning Balance]],tblSubjectToLoan[[#This Row],[Payment]]-tblSubjectToLoan[[#This Row],[Int]])))</f>
        <v>0</v>
      </c>
      <c r="E566" s="14">
        <f>IF(tblSubjectToLoan[[#This Row],[Date]]="",0,ROUND(tblSubjectToLoan[[#This Row],[Beginning Balance]]*(subjectInterestRate/12),2))</f>
        <v>0</v>
      </c>
      <c r="H566" s="14">
        <f>SUM(tblSubjectToLoan[[#This Row],[Princ]],tblSubjectToLoan[[#This Row],[Int]],tblSubjectToLoan[[#This Row],[Ins]],tblSubjectToLoan[[#This Row],[Taxes]])</f>
        <v>0</v>
      </c>
      <c r="I5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6" s="276">
        <f>IF(tblSubjectToLoan[[#This Row],[Date]]="",IF(ROW()=ROW(tblSubjectToLoan[#Headers])+1,0,INDEX(tblSubjectToLoan[Interest],ROW()-ROW(tblSubjectToLoan[#Headers])-1)),tblSubjectToLoan[[#This Row],[Int]]+IF(ROW()=ROW(tblSubjectToLoan[#Headers])+1,0,INDEX(tblSubjectToLoan[Interest],ROW()-ROW(tblSubjectToLoan[#Headers])-1)))</f>
        <v>36068.259999999973</v>
      </c>
      <c r="K566" s="969">
        <f>IF(tblSubjectToLoan[[#This Row],[Date]]="",0,MAX(0,tblSubjectToLoan[[#This Row],[Beginning Balance]]-tblSubjectToLoan[[#This Row],[Princ]]))</f>
        <v>0</v>
      </c>
      <c r="L566" s="394">
        <f t="shared" si="47"/>
        <v>0</v>
      </c>
      <c r="M566" s="394">
        <f t="shared" si="46"/>
        <v>0</v>
      </c>
      <c r="N566" s="613" t="str">
        <f>INDEX(tblSubjectToLoan[Date],ROW()-ROW(tblContractForDeed[#Headers]))</f>
        <v/>
      </c>
      <c r="O566" s="276">
        <f>IF(ROW()=ROW(tblContractForDeed[#Headers])+1,$O$6,IF(INDEX(tblContractForDeed[End Bal],ROW()-ROW(tblContractForDeed[#Headers])-1)&lt;0,0,INDEX(tblContractForDeed[End Bal],ROW()-ROW(tblContractForDeed[#Headers])-1)))</f>
        <v>0</v>
      </c>
      <c r="P566" s="454"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6" s="276">
        <f>IF(INDEX(tblContractForDeed[End Bal],ROW()-ROW(tblBuyerOutputs[#Headers]))&lt;=0,0,($O$6+IF(ROW()=ROW(tblBuyerOutputs[#Headers])+1,0,INDEX(tblBuyerOutputs[Cumul Appr],ROW()-ROW(tblBuyerOutputs[#Headers])-1)))*$O$2/12)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13" t="str">
        <f>IF(ROW()=ROW(tblSubjectToLoan[#Headers])+1,subjectKnownBalanceDate,IF(OR(INDEX(tblSubjectToLoan[Date],ROW()-ROW(tblSubjectToLoan[#Headers])-1)="",INDEX(tblSubjectToLoan[Date],ROW()-ROW(tblSubjectToLoan[#Headers])-1)&gt;=subjectMortgageEndDate),"",EDATE(INDEX(tblSubjectToLoan[Date],ROW()-ROW(tblSubjectToLoan[#Headers])-1),1)))</f>
        <v/>
      </c>
      <c r="B567" s="276">
        <f>IF(tblSubjectToLoan[[#This Row],[Date]]="",0,IF(ROW()=ROW(tblSubjectToLoan[#Headers])+1,subjectKnownBalance,MAX(0,INDEX(tblSubjectToLoan[Ending Balance],ROW()-ROW(tblSubjectToLoan[#Headers])-1))))</f>
        <v>0</v>
      </c>
      <c r="C5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7" s="14">
        <f>IF(tblSubjectToLoan[[#This Row],[Payment]]=0,0,MAX(0,MIN(tblSubjectToLoan[[#This Row],[Beginning Balance]],tblSubjectToLoan[[#This Row],[Payment]]-tblSubjectToLoan[[#This Row],[Int]])))</f>
        <v>0</v>
      </c>
      <c r="E567" s="14">
        <f>IF(tblSubjectToLoan[[#This Row],[Date]]="",0,ROUND(tblSubjectToLoan[[#This Row],[Beginning Balance]]*(subjectInterestRate/12),2))</f>
        <v>0</v>
      </c>
      <c r="H567" s="14">
        <f>SUM(tblSubjectToLoan[[#This Row],[Princ]],tblSubjectToLoan[[#This Row],[Int]],tblSubjectToLoan[[#This Row],[Ins]],tblSubjectToLoan[[#This Row],[Taxes]])</f>
        <v>0</v>
      </c>
      <c r="I5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7" s="276">
        <f>IF(tblSubjectToLoan[[#This Row],[Date]]="",IF(ROW()=ROW(tblSubjectToLoan[#Headers])+1,0,INDEX(tblSubjectToLoan[Interest],ROW()-ROW(tblSubjectToLoan[#Headers])-1)),tblSubjectToLoan[[#This Row],[Int]]+IF(ROW()=ROW(tblSubjectToLoan[#Headers])+1,0,INDEX(tblSubjectToLoan[Interest],ROW()-ROW(tblSubjectToLoan[#Headers])-1)))</f>
        <v>36068.259999999973</v>
      </c>
      <c r="K567" s="969">
        <f>IF(tblSubjectToLoan[[#This Row],[Date]]="",0,MAX(0,tblSubjectToLoan[[#This Row],[Beginning Balance]]-tblSubjectToLoan[[#This Row],[Princ]]))</f>
        <v>0</v>
      </c>
      <c r="L567" s="394">
        <f t="shared" si="47"/>
        <v>0</v>
      </c>
      <c r="M567" s="394">
        <f t="shared" si="46"/>
        <v>0</v>
      </c>
      <c r="N567" s="613" t="str">
        <f>INDEX(tblSubjectToLoan[Date],ROW()-ROW(tblContractForDeed[#Headers]))</f>
        <v/>
      </c>
      <c r="O567" s="276">
        <f>IF(ROW()=ROW(tblContractForDeed[#Headers])+1,$O$6,IF(INDEX(tblContractForDeed[End Bal],ROW()-ROW(tblContractForDeed[#Headers])-1)&lt;0,0,INDEX(tblContractForDeed[End Bal],ROW()-ROW(tblContractForDeed[#Headers])-1)))</f>
        <v>0</v>
      </c>
      <c r="P567" s="454"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7" s="276">
        <f>IF(INDEX(tblContractForDeed[End Bal],ROW()-ROW(tblBuyerOutputs[#Headers]))&lt;=0,0,($O$6+IF(ROW()=ROW(tblBuyerOutputs[#Headers])+1,0,INDEX(tblBuyerOutputs[Cumul Appr],ROW()-ROW(tblBuyerOutputs[#Headers])-1)))*$O$2/12)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13" t="str">
        <f>IF(ROW()=ROW(tblSubjectToLoan[#Headers])+1,subjectKnownBalanceDate,IF(OR(INDEX(tblSubjectToLoan[Date],ROW()-ROW(tblSubjectToLoan[#Headers])-1)="",INDEX(tblSubjectToLoan[Date],ROW()-ROW(tblSubjectToLoan[#Headers])-1)&gt;=subjectMortgageEndDate),"",EDATE(INDEX(tblSubjectToLoan[Date],ROW()-ROW(tblSubjectToLoan[#Headers])-1),1)))</f>
        <v/>
      </c>
      <c r="B568" s="276">
        <f>IF(tblSubjectToLoan[[#This Row],[Date]]="",0,IF(ROW()=ROW(tblSubjectToLoan[#Headers])+1,subjectKnownBalance,MAX(0,INDEX(tblSubjectToLoan[Ending Balance],ROW()-ROW(tblSubjectToLoan[#Headers])-1))))</f>
        <v>0</v>
      </c>
      <c r="C5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8" s="14">
        <f>IF(tblSubjectToLoan[[#This Row],[Payment]]=0,0,MAX(0,MIN(tblSubjectToLoan[[#This Row],[Beginning Balance]],tblSubjectToLoan[[#This Row],[Payment]]-tblSubjectToLoan[[#This Row],[Int]])))</f>
        <v>0</v>
      </c>
      <c r="E568" s="14">
        <f>IF(tblSubjectToLoan[[#This Row],[Date]]="",0,ROUND(tblSubjectToLoan[[#This Row],[Beginning Balance]]*(subjectInterestRate/12),2))</f>
        <v>0</v>
      </c>
      <c r="H568" s="14">
        <f>SUM(tblSubjectToLoan[[#This Row],[Princ]],tblSubjectToLoan[[#This Row],[Int]],tblSubjectToLoan[[#This Row],[Ins]],tblSubjectToLoan[[#This Row],[Taxes]])</f>
        <v>0</v>
      </c>
      <c r="I5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8" s="276">
        <f>IF(tblSubjectToLoan[[#This Row],[Date]]="",IF(ROW()=ROW(tblSubjectToLoan[#Headers])+1,0,INDEX(tblSubjectToLoan[Interest],ROW()-ROW(tblSubjectToLoan[#Headers])-1)),tblSubjectToLoan[[#This Row],[Int]]+IF(ROW()=ROW(tblSubjectToLoan[#Headers])+1,0,INDEX(tblSubjectToLoan[Interest],ROW()-ROW(tblSubjectToLoan[#Headers])-1)))</f>
        <v>36068.259999999973</v>
      </c>
      <c r="K568" s="969">
        <f>IF(tblSubjectToLoan[[#This Row],[Date]]="",0,MAX(0,tblSubjectToLoan[[#This Row],[Beginning Balance]]-tblSubjectToLoan[[#This Row],[Princ]]))</f>
        <v>0</v>
      </c>
      <c r="L568" s="394">
        <f t="shared" si="47"/>
        <v>0</v>
      </c>
      <c r="M568" s="394">
        <f t="shared" si="46"/>
        <v>0</v>
      </c>
      <c r="N568" s="613" t="str">
        <f>INDEX(tblSubjectToLoan[Date],ROW()-ROW(tblContractForDeed[#Headers]))</f>
        <v/>
      </c>
      <c r="O568" s="276">
        <f>IF(ROW()=ROW(tblContractForDeed[#Headers])+1,$O$6,IF(INDEX(tblContractForDeed[End Bal],ROW()-ROW(tblContractForDeed[#Headers])-1)&lt;0,0,INDEX(tblContractForDeed[End Bal],ROW()-ROW(tblContractForDeed[#Headers])-1)))</f>
        <v>0</v>
      </c>
      <c r="P568" s="454"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8" s="276">
        <f>IF(INDEX(tblContractForDeed[End Bal],ROW()-ROW(tblBuyerOutputs[#Headers]))&lt;=0,0,($O$6+IF(ROW()=ROW(tblBuyerOutputs[#Headers])+1,0,INDEX(tblBuyerOutputs[Cumul Appr],ROW()-ROW(tblBuyerOutputs[#Headers])-1)))*$O$2/12)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13" t="str">
        <f>IF(ROW()=ROW(tblSubjectToLoan[#Headers])+1,subjectKnownBalanceDate,IF(OR(INDEX(tblSubjectToLoan[Date],ROW()-ROW(tblSubjectToLoan[#Headers])-1)="",INDEX(tblSubjectToLoan[Date],ROW()-ROW(tblSubjectToLoan[#Headers])-1)&gt;=subjectMortgageEndDate),"",EDATE(INDEX(tblSubjectToLoan[Date],ROW()-ROW(tblSubjectToLoan[#Headers])-1),1)))</f>
        <v/>
      </c>
      <c r="B569" s="276">
        <f>IF(tblSubjectToLoan[[#This Row],[Date]]="",0,IF(ROW()=ROW(tblSubjectToLoan[#Headers])+1,subjectKnownBalance,MAX(0,INDEX(tblSubjectToLoan[Ending Balance],ROW()-ROW(tblSubjectToLoan[#Headers])-1))))</f>
        <v>0</v>
      </c>
      <c r="C5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9" s="14">
        <f>IF(tblSubjectToLoan[[#This Row],[Payment]]=0,0,MAX(0,MIN(tblSubjectToLoan[[#This Row],[Beginning Balance]],tblSubjectToLoan[[#This Row],[Payment]]-tblSubjectToLoan[[#This Row],[Int]])))</f>
        <v>0</v>
      </c>
      <c r="E569" s="14">
        <f>IF(tblSubjectToLoan[[#This Row],[Date]]="",0,ROUND(tblSubjectToLoan[[#This Row],[Beginning Balance]]*(subjectInterestRate/12),2))</f>
        <v>0</v>
      </c>
      <c r="H569" s="14">
        <f>SUM(tblSubjectToLoan[[#This Row],[Princ]],tblSubjectToLoan[[#This Row],[Int]],tblSubjectToLoan[[#This Row],[Ins]],tblSubjectToLoan[[#This Row],[Taxes]])</f>
        <v>0</v>
      </c>
      <c r="I5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9" s="276">
        <f>IF(tblSubjectToLoan[[#This Row],[Date]]="",IF(ROW()=ROW(tblSubjectToLoan[#Headers])+1,0,INDEX(tblSubjectToLoan[Interest],ROW()-ROW(tblSubjectToLoan[#Headers])-1)),tblSubjectToLoan[[#This Row],[Int]]+IF(ROW()=ROW(tblSubjectToLoan[#Headers])+1,0,INDEX(tblSubjectToLoan[Interest],ROW()-ROW(tblSubjectToLoan[#Headers])-1)))</f>
        <v>36068.259999999973</v>
      </c>
      <c r="K569" s="969">
        <f>IF(tblSubjectToLoan[[#This Row],[Date]]="",0,MAX(0,tblSubjectToLoan[[#This Row],[Beginning Balance]]-tblSubjectToLoan[[#This Row],[Princ]]))</f>
        <v>0</v>
      </c>
      <c r="L569" s="394">
        <f t="shared" si="47"/>
        <v>0</v>
      </c>
      <c r="M569" s="394">
        <f t="shared" si="46"/>
        <v>0</v>
      </c>
      <c r="N569" s="613" t="str">
        <f>INDEX(tblSubjectToLoan[Date],ROW()-ROW(tblContractForDeed[#Headers]))</f>
        <v/>
      </c>
      <c r="O569" s="276">
        <f>IF(ROW()=ROW(tblContractForDeed[#Headers])+1,$O$6,IF(INDEX(tblContractForDeed[End Bal],ROW()-ROW(tblContractForDeed[#Headers])-1)&lt;0,0,INDEX(tblContractForDeed[End Bal],ROW()-ROW(tblContractForDeed[#Headers])-1)))</f>
        <v>0</v>
      </c>
      <c r="P569" s="454"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9" s="276">
        <f>IF(INDEX(tblContractForDeed[End Bal],ROW()-ROW(tblBuyerOutputs[#Headers]))&lt;=0,0,($O$6+IF(ROW()=ROW(tblBuyerOutputs[#Headers])+1,0,INDEX(tblBuyerOutputs[Cumul Appr],ROW()-ROW(tblBuyerOutputs[#Headers])-1)))*$O$2/12)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13" t="str">
        <f>IF(ROW()=ROW(tblSubjectToLoan[#Headers])+1,subjectKnownBalanceDate,IF(OR(INDEX(tblSubjectToLoan[Date],ROW()-ROW(tblSubjectToLoan[#Headers])-1)="",INDEX(tblSubjectToLoan[Date],ROW()-ROW(tblSubjectToLoan[#Headers])-1)&gt;=subjectMortgageEndDate),"",EDATE(INDEX(tblSubjectToLoan[Date],ROW()-ROW(tblSubjectToLoan[#Headers])-1),1)))</f>
        <v/>
      </c>
      <c r="B570" s="276">
        <f>IF(tblSubjectToLoan[[#This Row],[Date]]="",0,IF(ROW()=ROW(tblSubjectToLoan[#Headers])+1,subjectKnownBalance,MAX(0,INDEX(tblSubjectToLoan[Ending Balance],ROW()-ROW(tblSubjectToLoan[#Headers])-1))))</f>
        <v>0</v>
      </c>
      <c r="C5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0" s="14">
        <f>IF(tblSubjectToLoan[[#This Row],[Payment]]=0,0,MAX(0,MIN(tblSubjectToLoan[[#This Row],[Beginning Balance]],tblSubjectToLoan[[#This Row],[Payment]]-tblSubjectToLoan[[#This Row],[Int]])))</f>
        <v>0</v>
      </c>
      <c r="E570" s="14">
        <f>IF(tblSubjectToLoan[[#This Row],[Date]]="",0,ROUND(tblSubjectToLoan[[#This Row],[Beginning Balance]]*(subjectInterestRate/12),2))</f>
        <v>0</v>
      </c>
      <c r="H570" s="14">
        <f>SUM(tblSubjectToLoan[[#This Row],[Princ]],tblSubjectToLoan[[#This Row],[Int]],tblSubjectToLoan[[#This Row],[Ins]],tblSubjectToLoan[[#This Row],[Taxes]])</f>
        <v>0</v>
      </c>
      <c r="I5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0" s="276">
        <f>IF(tblSubjectToLoan[[#This Row],[Date]]="",IF(ROW()=ROW(tblSubjectToLoan[#Headers])+1,0,INDEX(tblSubjectToLoan[Interest],ROW()-ROW(tblSubjectToLoan[#Headers])-1)),tblSubjectToLoan[[#This Row],[Int]]+IF(ROW()=ROW(tblSubjectToLoan[#Headers])+1,0,INDEX(tblSubjectToLoan[Interest],ROW()-ROW(tblSubjectToLoan[#Headers])-1)))</f>
        <v>36068.259999999973</v>
      </c>
      <c r="K570" s="969">
        <f>IF(tblSubjectToLoan[[#This Row],[Date]]="",0,MAX(0,tblSubjectToLoan[[#This Row],[Beginning Balance]]-tblSubjectToLoan[[#This Row],[Princ]]))</f>
        <v>0</v>
      </c>
      <c r="L570" s="394">
        <f t="shared" si="47"/>
        <v>0</v>
      </c>
      <c r="M570" s="394">
        <f t="shared" si="46"/>
        <v>0</v>
      </c>
      <c r="N570" s="613" t="str">
        <f>INDEX(tblSubjectToLoan[Date],ROW()-ROW(tblContractForDeed[#Headers]))</f>
        <v/>
      </c>
      <c r="O570" s="276">
        <f>IF(ROW()=ROW(tblContractForDeed[#Headers])+1,$O$6,IF(INDEX(tblContractForDeed[End Bal],ROW()-ROW(tblContractForDeed[#Headers])-1)&lt;0,0,INDEX(tblContractForDeed[End Bal],ROW()-ROW(tblContractForDeed[#Headers])-1)))</f>
        <v>0</v>
      </c>
      <c r="P570" s="454"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0" s="276">
        <f>IF(INDEX(tblContractForDeed[End Bal],ROW()-ROW(tblBuyerOutputs[#Headers]))&lt;=0,0,($O$6+IF(ROW()=ROW(tblBuyerOutputs[#Headers])+1,0,INDEX(tblBuyerOutputs[Cumul Appr],ROW()-ROW(tblBuyerOutputs[#Headers])-1)))*$O$2/12)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14" t="str">
        <f>IF(ROW()=ROW(tblSubjectToLoan[#Headers])+1,subjectKnownBalanceDate,IF(OR(INDEX(tblSubjectToLoan[Date],ROW()-ROW(tblSubjectToLoan[#Headers])-1)="",INDEX(tblSubjectToLoan[Date],ROW()-ROW(tblSubjectToLoan[#Headers])-1)&gt;=subjectMortgageEndDate),"",EDATE(INDEX(tblSubjectToLoan[Date],ROW()-ROW(tblSubjectToLoan[#Headers])-1),1)))</f>
        <v/>
      </c>
      <c r="B571" s="332">
        <f>IF(tblSubjectToLoan[[#This Row],[Date]]="",0,IF(ROW()=ROW(tblSubjectToLoan[#Headers])+1,subjectKnownBalance,MAX(0,INDEX(tblSubjectToLoan[Ending Balance],ROW()-ROW(tblSubjectToLoan[#Headers])-1))))</f>
        <v>0</v>
      </c>
      <c r="C57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1" s="21">
        <f>IF(tblSubjectToLoan[[#This Row],[Payment]]=0,0,MAX(0,MIN(tblSubjectToLoan[[#This Row],[Beginning Balance]],tblSubjectToLoan[[#This Row],[Payment]]-tblSubjectToLoan[[#This Row],[Int]])))</f>
        <v>0</v>
      </c>
      <c r="E571" s="21">
        <f>IF(tblSubjectToLoan[[#This Row],[Date]]="",0,ROUND(tblSubjectToLoan[[#This Row],[Beginning Balance]]*(subjectInterestRate/12),2))</f>
        <v>0</v>
      </c>
      <c r="F571" s="21"/>
      <c r="G571" s="21"/>
      <c r="H571" s="21">
        <f>SUM(tblSubjectToLoan[[#This Row],[Princ]],tblSubjectToLoan[[#This Row],[Int]],tblSubjectToLoan[[#This Row],[Ins]],tblSubjectToLoan[[#This Row],[Taxes]])</f>
        <v>0</v>
      </c>
      <c r="I57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71" s="332">
        <f>IF(tblSubjectToLoan[[#This Row],[Date]]="",IF(ROW()=ROW(tblSubjectToLoan[#Headers])+1,0,INDEX(tblSubjectToLoan[Interest],ROW()-ROW(tblSubjectToLoan[#Headers])-1)),tblSubjectToLoan[[#This Row],[Int]]+IF(ROW()=ROW(tblSubjectToLoan[#Headers])+1,0,INDEX(tblSubjectToLoan[Interest],ROW()-ROW(tblSubjectToLoan[#Headers])-1)))</f>
        <v>36068.259999999973</v>
      </c>
      <c r="K571" s="970">
        <f>IF(tblSubjectToLoan[[#This Row],[Date]]="",0,MAX(0,tblSubjectToLoan[[#This Row],[Beginning Balance]]-tblSubjectToLoan[[#This Row],[Princ]]))</f>
        <v>0</v>
      </c>
      <c r="L571" s="395">
        <f t="shared" si="47"/>
        <v>0</v>
      </c>
      <c r="M571" s="395">
        <f t="shared" si="46"/>
        <v>0</v>
      </c>
      <c r="N571" s="614" t="str">
        <f>INDEX(tblSubjectToLoan[Date],ROW()-ROW(tblContractForDeed[#Headers]))</f>
        <v/>
      </c>
      <c r="O571" s="332">
        <f>IF(ROW()=ROW(tblContractForDeed[#Headers])+1,$O$6,IF(INDEX(tblContractForDeed[End Bal],ROW()-ROW(tblContractForDeed[#Headers])-1)&lt;0,0,INDEX(tblContractForDeed[End Bal],ROW()-ROW(tblContractForDeed[#Headers])-1)))</f>
        <v>0</v>
      </c>
      <c r="P571" s="454"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1" s="332">
        <f>IF(INDEX(tblContractForDeed[End Bal],ROW()-ROW(tblBuyerOutputs[#Headers]))&lt;=0,0,($O$6+IF(ROW()=ROW(tblBuyerOutputs[#Headers])+1,0,INDEX(tblBuyerOutputs[Cumul Appr],ROW()-ROW(tblBuyerOutputs[#Headers])-1)))*$O$2/12)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13" t="str">
        <f>IF(ROW()=ROW(tblSubjectToLoan[#Headers])+1,subjectKnownBalanceDate,IF(OR(INDEX(tblSubjectToLoan[Date],ROW()-ROW(tblSubjectToLoan[#Headers])-1)="",INDEX(tblSubjectToLoan[Date],ROW()-ROW(tblSubjectToLoan[#Headers])-1)&gt;=subjectMortgageEndDate),"",EDATE(INDEX(tblSubjectToLoan[Date],ROW()-ROW(tblSubjectToLoan[#Headers])-1),1)))</f>
        <v/>
      </c>
      <c r="B572" s="276">
        <f>IF(tblSubjectToLoan[[#This Row],[Date]]="",0,IF(ROW()=ROW(tblSubjectToLoan[#Headers])+1,subjectKnownBalance,MAX(0,INDEX(tblSubjectToLoan[Ending Balance],ROW()-ROW(tblSubjectToLoan[#Headers])-1))))</f>
        <v>0</v>
      </c>
      <c r="C5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2" s="14">
        <f>IF(tblSubjectToLoan[[#This Row],[Payment]]=0,0,MAX(0,MIN(tblSubjectToLoan[[#This Row],[Beginning Balance]],tblSubjectToLoan[[#This Row],[Payment]]-tblSubjectToLoan[[#This Row],[Int]])))</f>
        <v>0</v>
      </c>
      <c r="E572" s="14">
        <f>IF(tblSubjectToLoan[[#This Row],[Date]]="",0,ROUND(tblSubjectToLoan[[#This Row],[Beginning Balance]]*(subjectInterestRate/12),2))</f>
        <v>0</v>
      </c>
      <c r="H572" s="14">
        <f>SUM(tblSubjectToLoan[[#This Row],[Princ]],tblSubjectToLoan[[#This Row],[Int]],tblSubjectToLoan[[#This Row],[Ins]],tblSubjectToLoan[[#This Row],[Taxes]])</f>
        <v>0</v>
      </c>
      <c r="I5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2" s="276">
        <f>IF(tblSubjectToLoan[[#This Row],[Date]]="",IF(ROW()=ROW(tblSubjectToLoan[#Headers])+1,0,INDEX(tblSubjectToLoan[Interest],ROW()-ROW(tblSubjectToLoan[#Headers])-1)),tblSubjectToLoan[[#This Row],[Int]]+IF(ROW()=ROW(tblSubjectToLoan[#Headers])+1,0,INDEX(tblSubjectToLoan[Interest],ROW()-ROW(tblSubjectToLoan[#Headers])-1)))</f>
        <v>36068.259999999973</v>
      </c>
      <c r="K572" s="969">
        <f>IF(tblSubjectToLoan[[#This Row],[Date]]="",0,MAX(0,tblSubjectToLoan[[#This Row],[Beginning Balance]]-tblSubjectToLoan[[#This Row],[Princ]]))</f>
        <v>0</v>
      </c>
      <c r="L572" s="394">
        <f t="shared" si="47"/>
        <v>0</v>
      </c>
      <c r="M572" s="394">
        <f t="shared" si="46"/>
        <v>0</v>
      </c>
      <c r="N572" s="613" t="str">
        <f>INDEX(tblSubjectToLoan[Date],ROW()-ROW(tblContractForDeed[#Headers]))</f>
        <v/>
      </c>
      <c r="O572" s="276">
        <f>IF(ROW()=ROW(tblContractForDeed[#Headers])+1,$O$6,IF(INDEX(tblContractForDeed[End Bal],ROW()-ROW(tblContractForDeed[#Headers])-1)&lt;0,0,INDEX(tblContractForDeed[End Bal],ROW()-ROW(tblContractForDeed[#Headers])-1)))</f>
        <v>0</v>
      </c>
      <c r="P572" s="454"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2" s="276">
        <f>IF(INDEX(tblContractForDeed[End Bal],ROW()-ROW(tblBuyerOutputs[#Headers]))&lt;=0,0,($O$6+IF(ROW()=ROW(tblBuyerOutputs[#Headers])+1,0,INDEX(tblBuyerOutputs[Cumul Appr],ROW()-ROW(tblBuyerOutputs[#Headers])-1)))*$O$2/12)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13" t="str">
        <f>IF(ROW()=ROW(tblSubjectToLoan[#Headers])+1,subjectKnownBalanceDate,IF(OR(INDEX(tblSubjectToLoan[Date],ROW()-ROW(tblSubjectToLoan[#Headers])-1)="",INDEX(tblSubjectToLoan[Date],ROW()-ROW(tblSubjectToLoan[#Headers])-1)&gt;=subjectMortgageEndDate),"",EDATE(INDEX(tblSubjectToLoan[Date],ROW()-ROW(tblSubjectToLoan[#Headers])-1),1)))</f>
        <v/>
      </c>
      <c r="B573" s="276">
        <f>IF(tblSubjectToLoan[[#This Row],[Date]]="",0,IF(ROW()=ROW(tblSubjectToLoan[#Headers])+1,subjectKnownBalance,MAX(0,INDEX(tblSubjectToLoan[Ending Balance],ROW()-ROW(tblSubjectToLoan[#Headers])-1))))</f>
        <v>0</v>
      </c>
      <c r="C5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3" s="14">
        <f>IF(tblSubjectToLoan[[#This Row],[Payment]]=0,0,MAX(0,MIN(tblSubjectToLoan[[#This Row],[Beginning Balance]],tblSubjectToLoan[[#This Row],[Payment]]-tblSubjectToLoan[[#This Row],[Int]])))</f>
        <v>0</v>
      </c>
      <c r="E573" s="14">
        <f>IF(tblSubjectToLoan[[#This Row],[Date]]="",0,ROUND(tblSubjectToLoan[[#This Row],[Beginning Balance]]*(subjectInterestRate/12),2))</f>
        <v>0</v>
      </c>
      <c r="H573" s="14">
        <f>SUM(tblSubjectToLoan[[#This Row],[Princ]],tblSubjectToLoan[[#This Row],[Int]],tblSubjectToLoan[[#This Row],[Ins]],tblSubjectToLoan[[#This Row],[Taxes]])</f>
        <v>0</v>
      </c>
      <c r="I5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3" s="276">
        <f>IF(tblSubjectToLoan[[#This Row],[Date]]="",IF(ROW()=ROW(tblSubjectToLoan[#Headers])+1,0,INDEX(tblSubjectToLoan[Interest],ROW()-ROW(tblSubjectToLoan[#Headers])-1)),tblSubjectToLoan[[#This Row],[Int]]+IF(ROW()=ROW(tblSubjectToLoan[#Headers])+1,0,INDEX(tblSubjectToLoan[Interest],ROW()-ROW(tblSubjectToLoan[#Headers])-1)))</f>
        <v>36068.259999999973</v>
      </c>
      <c r="K573" s="969">
        <f>IF(tblSubjectToLoan[[#This Row],[Date]]="",0,MAX(0,tblSubjectToLoan[[#This Row],[Beginning Balance]]-tblSubjectToLoan[[#This Row],[Princ]]))</f>
        <v>0</v>
      </c>
      <c r="L573" s="394">
        <f t="shared" si="47"/>
        <v>0</v>
      </c>
      <c r="M573" s="394">
        <f t="shared" si="46"/>
        <v>0</v>
      </c>
      <c r="N573" s="613" t="str">
        <f>INDEX(tblSubjectToLoan[Date],ROW()-ROW(tblContractForDeed[#Headers]))</f>
        <v/>
      </c>
      <c r="O573" s="276">
        <f>IF(ROW()=ROW(tblContractForDeed[#Headers])+1,$O$6,IF(INDEX(tblContractForDeed[End Bal],ROW()-ROW(tblContractForDeed[#Headers])-1)&lt;0,0,INDEX(tblContractForDeed[End Bal],ROW()-ROW(tblContractForDeed[#Headers])-1)))</f>
        <v>0</v>
      </c>
      <c r="P573" s="454"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3" s="276">
        <f>IF(INDEX(tblContractForDeed[End Bal],ROW()-ROW(tblBuyerOutputs[#Headers]))&lt;=0,0,($O$6+IF(ROW()=ROW(tblBuyerOutputs[#Headers])+1,0,INDEX(tblBuyerOutputs[Cumul Appr],ROW()-ROW(tblBuyerOutputs[#Headers])-1)))*$O$2/12)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13" t="str">
        <f>IF(ROW()=ROW(tblSubjectToLoan[#Headers])+1,subjectKnownBalanceDate,IF(OR(INDEX(tblSubjectToLoan[Date],ROW()-ROW(tblSubjectToLoan[#Headers])-1)="",INDEX(tblSubjectToLoan[Date],ROW()-ROW(tblSubjectToLoan[#Headers])-1)&gt;=subjectMortgageEndDate),"",EDATE(INDEX(tblSubjectToLoan[Date],ROW()-ROW(tblSubjectToLoan[#Headers])-1),1)))</f>
        <v/>
      </c>
      <c r="B574" s="276">
        <f>IF(tblSubjectToLoan[[#This Row],[Date]]="",0,IF(ROW()=ROW(tblSubjectToLoan[#Headers])+1,subjectKnownBalance,MAX(0,INDEX(tblSubjectToLoan[Ending Balance],ROW()-ROW(tblSubjectToLoan[#Headers])-1))))</f>
        <v>0</v>
      </c>
      <c r="C5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4" s="14">
        <f>IF(tblSubjectToLoan[[#This Row],[Payment]]=0,0,MAX(0,MIN(tblSubjectToLoan[[#This Row],[Beginning Balance]],tblSubjectToLoan[[#This Row],[Payment]]-tblSubjectToLoan[[#This Row],[Int]])))</f>
        <v>0</v>
      </c>
      <c r="E574" s="14">
        <f>IF(tblSubjectToLoan[[#This Row],[Date]]="",0,ROUND(tblSubjectToLoan[[#This Row],[Beginning Balance]]*(subjectInterestRate/12),2))</f>
        <v>0</v>
      </c>
      <c r="H574" s="14">
        <f>SUM(tblSubjectToLoan[[#This Row],[Princ]],tblSubjectToLoan[[#This Row],[Int]],tblSubjectToLoan[[#This Row],[Ins]],tblSubjectToLoan[[#This Row],[Taxes]])</f>
        <v>0</v>
      </c>
      <c r="I5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4" s="276">
        <f>IF(tblSubjectToLoan[[#This Row],[Date]]="",IF(ROW()=ROW(tblSubjectToLoan[#Headers])+1,0,INDEX(tblSubjectToLoan[Interest],ROW()-ROW(tblSubjectToLoan[#Headers])-1)),tblSubjectToLoan[[#This Row],[Int]]+IF(ROW()=ROW(tblSubjectToLoan[#Headers])+1,0,INDEX(tblSubjectToLoan[Interest],ROW()-ROW(tblSubjectToLoan[#Headers])-1)))</f>
        <v>36068.259999999973</v>
      </c>
      <c r="K574" s="969">
        <f>IF(tblSubjectToLoan[[#This Row],[Date]]="",0,MAX(0,tblSubjectToLoan[[#This Row],[Beginning Balance]]-tblSubjectToLoan[[#This Row],[Princ]]))</f>
        <v>0</v>
      </c>
      <c r="L574" s="394">
        <f t="shared" si="47"/>
        <v>0</v>
      </c>
      <c r="M574" s="394">
        <f t="shared" si="46"/>
        <v>0</v>
      </c>
      <c r="N574" s="613" t="str">
        <f>INDEX(tblSubjectToLoan[Date],ROW()-ROW(tblContractForDeed[#Headers]))</f>
        <v/>
      </c>
      <c r="O574" s="276">
        <f>IF(ROW()=ROW(tblContractForDeed[#Headers])+1,$O$6,IF(INDEX(tblContractForDeed[End Bal],ROW()-ROW(tblContractForDeed[#Headers])-1)&lt;0,0,INDEX(tblContractForDeed[End Bal],ROW()-ROW(tblContractForDeed[#Headers])-1)))</f>
        <v>0</v>
      </c>
      <c r="P574" s="454"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4" s="276">
        <f>IF(INDEX(tblContractForDeed[End Bal],ROW()-ROW(tblBuyerOutputs[#Headers]))&lt;=0,0,($O$6+IF(ROW()=ROW(tblBuyerOutputs[#Headers])+1,0,INDEX(tblBuyerOutputs[Cumul Appr],ROW()-ROW(tblBuyerOutputs[#Headers])-1)))*$O$2/12)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13" t="str">
        <f>IF(ROW()=ROW(tblSubjectToLoan[#Headers])+1,subjectKnownBalanceDate,IF(OR(INDEX(tblSubjectToLoan[Date],ROW()-ROW(tblSubjectToLoan[#Headers])-1)="",INDEX(tblSubjectToLoan[Date],ROW()-ROW(tblSubjectToLoan[#Headers])-1)&gt;=subjectMortgageEndDate),"",EDATE(INDEX(tblSubjectToLoan[Date],ROW()-ROW(tblSubjectToLoan[#Headers])-1),1)))</f>
        <v/>
      </c>
      <c r="B575" s="276">
        <f>IF(tblSubjectToLoan[[#This Row],[Date]]="",0,IF(ROW()=ROW(tblSubjectToLoan[#Headers])+1,subjectKnownBalance,MAX(0,INDEX(tblSubjectToLoan[Ending Balance],ROW()-ROW(tblSubjectToLoan[#Headers])-1))))</f>
        <v>0</v>
      </c>
      <c r="C5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5" s="14">
        <f>IF(tblSubjectToLoan[[#This Row],[Payment]]=0,0,MAX(0,MIN(tblSubjectToLoan[[#This Row],[Beginning Balance]],tblSubjectToLoan[[#This Row],[Payment]]-tblSubjectToLoan[[#This Row],[Int]])))</f>
        <v>0</v>
      </c>
      <c r="E575" s="14">
        <f>IF(tblSubjectToLoan[[#This Row],[Date]]="",0,ROUND(tblSubjectToLoan[[#This Row],[Beginning Balance]]*(subjectInterestRate/12),2))</f>
        <v>0</v>
      </c>
      <c r="H575" s="14">
        <f>SUM(tblSubjectToLoan[[#This Row],[Princ]],tblSubjectToLoan[[#This Row],[Int]],tblSubjectToLoan[[#This Row],[Ins]],tblSubjectToLoan[[#This Row],[Taxes]])</f>
        <v>0</v>
      </c>
      <c r="I5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5" s="276">
        <f>IF(tblSubjectToLoan[[#This Row],[Date]]="",IF(ROW()=ROW(tblSubjectToLoan[#Headers])+1,0,INDEX(tblSubjectToLoan[Interest],ROW()-ROW(tblSubjectToLoan[#Headers])-1)),tblSubjectToLoan[[#This Row],[Int]]+IF(ROW()=ROW(tblSubjectToLoan[#Headers])+1,0,INDEX(tblSubjectToLoan[Interest],ROW()-ROW(tblSubjectToLoan[#Headers])-1)))</f>
        <v>36068.259999999973</v>
      </c>
      <c r="K575" s="969">
        <f>IF(tblSubjectToLoan[[#This Row],[Date]]="",0,MAX(0,tblSubjectToLoan[[#This Row],[Beginning Balance]]-tblSubjectToLoan[[#This Row],[Princ]]))</f>
        <v>0</v>
      </c>
      <c r="L575" s="394">
        <f t="shared" si="47"/>
        <v>0</v>
      </c>
      <c r="M575" s="394">
        <f t="shared" si="46"/>
        <v>0</v>
      </c>
      <c r="N575" s="613" t="str">
        <f>INDEX(tblSubjectToLoan[Date],ROW()-ROW(tblContractForDeed[#Headers]))</f>
        <v/>
      </c>
      <c r="O575" s="276">
        <f>IF(ROW()=ROW(tblContractForDeed[#Headers])+1,$O$6,IF(INDEX(tblContractForDeed[End Bal],ROW()-ROW(tblContractForDeed[#Headers])-1)&lt;0,0,INDEX(tblContractForDeed[End Bal],ROW()-ROW(tblContractForDeed[#Headers])-1)))</f>
        <v>0</v>
      </c>
      <c r="P575" s="454"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5" s="276">
        <f>IF(INDEX(tblContractForDeed[End Bal],ROW()-ROW(tblBuyerOutputs[#Headers]))&lt;=0,0,($O$6+IF(ROW()=ROW(tblBuyerOutputs[#Headers])+1,0,INDEX(tblBuyerOutputs[Cumul Appr],ROW()-ROW(tblBuyerOutputs[#Headers])-1)))*$O$2/12)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13" t="str">
        <f>IF(ROW()=ROW(tblSubjectToLoan[#Headers])+1,subjectKnownBalanceDate,IF(OR(INDEX(tblSubjectToLoan[Date],ROW()-ROW(tblSubjectToLoan[#Headers])-1)="",INDEX(tblSubjectToLoan[Date],ROW()-ROW(tblSubjectToLoan[#Headers])-1)&gt;=subjectMortgageEndDate),"",EDATE(INDEX(tblSubjectToLoan[Date],ROW()-ROW(tblSubjectToLoan[#Headers])-1),1)))</f>
        <v/>
      </c>
      <c r="B576" s="276">
        <f>IF(tblSubjectToLoan[[#This Row],[Date]]="",0,IF(ROW()=ROW(tblSubjectToLoan[#Headers])+1,subjectKnownBalance,MAX(0,INDEX(tblSubjectToLoan[Ending Balance],ROW()-ROW(tblSubjectToLoan[#Headers])-1))))</f>
        <v>0</v>
      </c>
      <c r="C5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6" s="14">
        <f>IF(tblSubjectToLoan[[#This Row],[Payment]]=0,0,MAX(0,MIN(tblSubjectToLoan[[#This Row],[Beginning Balance]],tblSubjectToLoan[[#This Row],[Payment]]-tblSubjectToLoan[[#This Row],[Int]])))</f>
        <v>0</v>
      </c>
      <c r="E576" s="14">
        <f>IF(tblSubjectToLoan[[#This Row],[Date]]="",0,ROUND(tblSubjectToLoan[[#This Row],[Beginning Balance]]*(subjectInterestRate/12),2))</f>
        <v>0</v>
      </c>
      <c r="H576" s="14">
        <f>SUM(tblSubjectToLoan[[#This Row],[Princ]],tblSubjectToLoan[[#This Row],[Int]],tblSubjectToLoan[[#This Row],[Ins]],tblSubjectToLoan[[#This Row],[Taxes]])</f>
        <v>0</v>
      </c>
      <c r="I5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6" s="276">
        <f>IF(tblSubjectToLoan[[#This Row],[Date]]="",IF(ROW()=ROW(tblSubjectToLoan[#Headers])+1,0,INDEX(tblSubjectToLoan[Interest],ROW()-ROW(tblSubjectToLoan[#Headers])-1)),tblSubjectToLoan[[#This Row],[Int]]+IF(ROW()=ROW(tblSubjectToLoan[#Headers])+1,0,INDEX(tblSubjectToLoan[Interest],ROW()-ROW(tblSubjectToLoan[#Headers])-1)))</f>
        <v>36068.259999999973</v>
      </c>
      <c r="K576" s="969">
        <f>IF(tblSubjectToLoan[[#This Row],[Date]]="",0,MAX(0,tblSubjectToLoan[[#This Row],[Beginning Balance]]-tblSubjectToLoan[[#This Row],[Princ]]))</f>
        <v>0</v>
      </c>
      <c r="L576" s="394">
        <f t="shared" si="47"/>
        <v>0</v>
      </c>
      <c r="M576" s="394">
        <f t="shared" si="46"/>
        <v>0</v>
      </c>
      <c r="N576" s="613" t="str">
        <f>INDEX(tblSubjectToLoan[Date],ROW()-ROW(tblContractForDeed[#Headers]))</f>
        <v/>
      </c>
      <c r="O576" s="276">
        <f>IF(ROW()=ROW(tblContractForDeed[#Headers])+1,$O$6,IF(INDEX(tblContractForDeed[End Bal],ROW()-ROW(tblContractForDeed[#Headers])-1)&lt;0,0,INDEX(tblContractForDeed[End Bal],ROW()-ROW(tblContractForDeed[#Headers])-1)))</f>
        <v>0</v>
      </c>
      <c r="P576" s="454"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6" s="276">
        <f>IF(INDEX(tblContractForDeed[End Bal],ROW()-ROW(tblBuyerOutputs[#Headers]))&lt;=0,0,($O$6+IF(ROW()=ROW(tblBuyerOutputs[#Headers])+1,0,INDEX(tblBuyerOutputs[Cumul Appr],ROW()-ROW(tblBuyerOutputs[#Headers])-1)))*$O$2/12)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13" t="str">
        <f>IF(ROW()=ROW(tblSubjectToLoan[#Headers])+1,subjectKnownBalanceDate,IF(OR(INDEX(tblSubjectToLoan[Date],ROW()-ROW(tblSubjectToLoan[#Headers])-1)="",INDEX(tblSubjectToLoan[Date],ROW()-ROW(tblSubjectToLoan[#Headers])-1)&gt;=subjectMortgageEndDate),"",EDATE(INDEX(tblSubjectToLoan[Date],ROW()-ROW(tblSubjectToLoan[#Headers])-1),1)))</f>
        <v/>
      </c>
      <c r="B577" s="276">
        <f>IF(tblSubjectToLoan[[#This Row],[Date]]="",0,IF(ROW()=ROW(tblSubjectToLoan[#Headers])+1,subjectKnownBalance,MAX(0,INDEX(tblSubjectToLoan[Ending Balance],ROW()-ROW(tblSubjectToLoan[#Headers])-1))))</f>
        <v>0</v>
      </c>
      <c r="C5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7" s="14">
        <f>IF(tblSubjectToLoan[[#This Row],[Payment]]=0,0,MAX(0,MIN(tblSubjectToLoan[[#This Row],[Beginning Balance]],tblSubjectToLoan[[#This Row],[Payment]]-tblSubjectToLoan[[#This Row],[Int]])))</f>
        <v>0</v>
      </c>
      <c r="E577" s="14">
        <f>IF(tblSubjectToLoan[[#This Row],[Date]]="",0,ROUND(tblSubjectToLoan[[#This Row],[Beginning Balance]]*(subjectInterestRate/12),2))</f>
        <v>0</v>
      </c>
      <c r="H577" s="14">
        <f>SUM(tblSubjectToLoan[[#This Row],[Princ]],tblSubjectToLoan[[#This Row],[Int]],tblSubjectToLoan[[#This Row],[Ins]],tblSubjectToLoan[[#This Row],[Taxes]])</f>
        <v>0</v>
      </c>
      <c r="I5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7" s="276">
        <f>IF(tblSubjectToLoan[[#This Row],[Date]]="",IF(ROW()=ROW(tblSubjectToLoan[#Headers])+1,0,INDEX(tblSubjectToLoan[Interest],ROW()-ROW(tblSubjectToLoan[#Headers])-1)),tblSubjectToLoan[[#This Row],[Int]]+IF(ROW()=ROW(tblSubjectToLoan[#Headers])+1,0,INDEX(tblSubjectToLoan[Interest],ROW()-ROW(tblSubjectToLoan[#Headers])-1)))</f>
        <v>36068.259999999973</v>
      </c>
      <c r="K577" s="969">
        <f>IF(tblSubjectToLoan[[#This Row],[Date]]="",0,MAX(0,tblSubjectToLoan[[#This Row],[Beginning Balance]]-tblSubjectToLoan[[#This Row],[Princ]]))</f>
        <v>0</v>
      </c>
      <c r="L577" s="394">
        <f t="shared" si="47"/>
        <v>0</v>
      </c>
      <c r="M577" s="394">
        <f t="shared" si="46"/>
        <v>0</v>
      </c>
      <c r="N577" s="613" t="str">
        <f>INDEX(tblSubjectToLoan[Date],ROW()-ROW(tblContractForDeed[#Headers]))</f>
        <v/>
      </c>
      <c r="O577" s="276">
        <f>IF(ROW()=ROW(tblContractForDeed[#Headers])+1,$O$6,IF(INDEX(tblContractForDeed[End Bal],ROW()-ROW(tblContractForDeed[#Headers])-1)&lt;0,0,INDEX(tblContractForDeed[End Bal],ROW()-ROW(tblContractForDeed[#Headers])-1)))</f>
        <v>0</v>
      </c>
      <c r="P577" s="454"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7" s="276">
        <f>IF(INDEX(tblContractForDeed[End Bal],ROW()-ROW(tblBuyerOutputs[#Headers]))&lt;=0,0,($O$6+IF(ROW()=ROW(tblBuyerOutputs[#Headers])+1,0,INDEX(tblBuyerOutputs[Cumul Appr],ROW()-ROW(tblBuyerOutputs[#Headers])-1)))*$O$2/12)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13" t="str">
        <f>IF(ROW()=ROW(tblSubjectToLoan[#Headers])+1,subjectKnownBalanceDate,IF(OR(INDEX(tblSubjectToLoan[Date],ROW()-ROW(tblSubjectToLoan[#Headers])-1)="",INDEX(tblSubjectToLoan[Date],ROW()-ROW(tblSubjectToLoan[#Headers])-1)&gt;=subjectMortgageEndDate),"",EDATE(INDEX(tblSubjectToLoan[Date],ROW()-ROW(tblSubjectToLoan[#Headers])-1),1)))</f>
        <v/>
      </c>
      <c r="B578" s="276">
        <f>IF(tblSubjectToLoan[[#This Row],[Date]]="",0,IF(ROW()=ROW(tblSubjectToLoan[#Headers])+1,subjectKnownBalance,MAX(0,INDEX(tblSubjectToLoan[Ending Balance],ROW()-ROW(tblSubjectToLoan[#Headers])-1))))</f>
        <v>0</v>
      </c>
      <c r="C5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8" s="14">
        <f>IF(tblSubjectToLoan[[#This Row],[Payment]]=0,0,MAX(0,MIN(tblSubjectToLoan[[#This Row],[Beginning Balance]],tblSubjectToLoan[[#This Row],[Payment]]-tblSubjectToLoan[[#This Row],[Int]])))</f>
        <v>0</v>
      </c>
      <c r="E578" s="14">
        <f>IF(tblSubjectToLoan[[#This Row],[Date]]="",0,ROUND(tblSubjectToLoan[[#This Row],[Beginning Balance]]*(subjectInterestRate/12),2))</f>
        <v>0</v>
      </c>
      <c r="H578" s="14">
        <f>SUM(tblSubjectToLoan[[#This Row],[Princ]],tblSubjectToLoan[[#This Row],[Int]],tblSubjectToLoan[[#This Row],[Ins]],tblSubjectToLoan[[#This Row],[Taxes]])</f>
        <v>0</v>
      </c>
      <c r="I5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8" s="276">
        <f>IF(tblSubjectToLoan[[#This Row],[Date]]="",IF(ROW()=ROW(tblSubjectToLoan[#Headers])+1,0,INDEX(tblSubjectToLoan[Interest],ROW()-ROW(tblSubjectToLoan[#Headers])-1)),tblSubjectToLoan[[#This Row],[Int]]+IF(ROW()=ROW(tblSubjectToLoan[#Headers])+1,0,INDEX(tblSubjectToLoan[Interest],ROW()-ROW(tblSubjectToLoan[#Headers])-1)))</f>
        <v>36068.259999999973</v>
      </c>
      <c r="K578" s="969">
        <f>IF(tblSubjectToLoan[[#This Row],[Date]]="",0,MAX(0,tblSubjectToLoan[[#This Row],[Beginning Balance]]-tblSubjectToLoan[[#This Row],[Princ]]))</f>
        <v>0</v>
      </c>
      <c r="L578" s="394">
        <f t="shared" si="47"/>
        <v>0</v>
      </c>
      <c r="M578" s="394">
        <f t="shared" si="46"/>
        <v>0</v>
      </c>
      <c r="N578" s="613" t="str">
        <f>INDEX(tblSubjectToLoan[Date],ROW()-ROW(tblContractForDeed[#Headers]))</f>
        <v/>
      </c>
      <c r="O578" s="276">
        <f>IF(ROW()=ROW(tblContractForDeed[#Headers])+1,$O$6,IF(INDEX(tblContractForDeed[End Bal],ROW()-ROW(tblContractForDeed[#Headers])-1)&lt;0,0,INDEX(tblContractForDeed[End Bal],ROW()-ROW(tblContractForDeed[#Headers])-1)))</f>
        <v>0</v>
      </c>
      <c r="P578" s="454"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8" s="276">
        <f>IF(INDEX(tblContractForDeed[End Bal],ROW()-ROW(tblBuyerOutputs[#Headers]))&lt;=0,0,($O$6+IF(ROW()=ROW(tblBuyerOutputs[#Headers])+1,0,INDEX(tblBuyerOutputs[Cumul Appr],ROW()-ROW(tblBuyerOutputs[#Headers])-1)))*$O$2/12)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13" t="str">
        <f>IF(ROW()=ROW(tblSubjectToLoan[#Headers])+1,subjectKnownBalanceDate,IF(OR(INDEX(tblSubjectToLoan[Date],ROW()-ROW(tblSubjectToLoan[#Headers])-1)="",INDEX(tblSubjectToLoan[Date],ROW()-ROW(tblSubjectToLoan[#Headers])-1)&gt;=subjectMortgageEndDate),"",EDATE(INDEX(tblSubjectToLoan[Date],ROW()-ROW(tblSubjectToLoan[#Headers])-1),1)))</f>
        <v/>
      </c>
      <c r="B579" s="276">
        <f>IF(tblSubjectToLoan[[#This Row],[Date]]="",0,IF(ROW()=ROW(tblSubjectToLoan[#Headers])+1,subjectKnownBalance,MAX(0,INDEX(tblSubjectToLoan[Ending Balance],ROW()-ROW(tblSubjectToLoan[#Headers])-1))))</f>
        <v>0</v>
      </c>
      <c r="C5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9" s="14">
        <f>IF(tblSubjectToLoan[[#This Row],[Payment]]=0,0,MAX(0,MIN(tblSubjectToLoan[[#This Row],[Beginning Balance]],tblSubjectToLoan[[#This Row],[Payment]]-tblSubjectToLoan[[#This Row],[Int]])))</f>
        <v>0</v>
      </c>
      <c r="E579" s="14">
        <f>IF(tblSubjectToLoan[[#This Row],[Date]]="",0,ROUND(tblSubjectToLoan[[#This Row],[Beginning Balance]]*(subjectInterestRate/12),2))</f>
        <v>0</v>
      </c>
      <c r="H579" s="14">
        <f>SUM(tblSubjectToLoan[[#This Row],[Princ]],tblSubjectToLoan[[#This Row],[Int]],tblSubjectToLoan[[#This Row],[Ins]],tblSubjectToLoan[[#This Row],[Taxes]])</f>
        <v>0</v>
      </c>
      <c r="I5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9" s="276">
        <f>IF(tblSubjectToLoan[[#This Row],[Date]]="",IF(ROW()=ROW(tblSubjectToLoan[#Headers])+1,0,INDEX(tblSubjectToLoan[Interest],ROW()-ROW(tblSubjectToLoan[#Headers])-1)),tblSubjectToLoan[[#This Row],[Int]]+IF(ROW()=ROW(tblSubjectToLoan[#Headers])+1,0,INDEX(tblSubjectToLoan[Interest],ROW()-ROW(tblSubjectToLoan[#Headers])-1)))</f>
        <v>36068.259999999973</v>
      </c>
      <c r="K579" s="969">
        <f>IF(tblSubjectToLoan[[#This Row],[Date]]="",0,MAX(0,tblSubjectToLoan[[#This Row],[Beginning Balance]]-tblSubjectToLoan[[#This Row],[Princ]]))</f>
        <v>0</v>
      </c>
      <c r="L579" s="394">
        <f t="shared" si="47"/>
        <v>0</v>
      </c>
      <c r="M579" s="394">
        <f t="shared" si="46"/>
        <v>0</v>
      </c>
      <c r="N579" s="613" t="str">
        <f>INDEX(tblSubjectToLoan[Date],ROW()-ROW(tblContractForDeed[#Headers]))</f>
        <v/>
      </c>
      <c r="O579" s="276">
        <f>IF(ROW()=ROW(tblContractForDeed[#Headers])+1,$O$6,IF(INDEX(tblContractForDeed[End Bal],ROW()-ROW(tblContractForDeed[#Headers])-1)&lt;0,0,INDEX(tblContractForDeed[End Bal],ROW()-ROW(tblContractForDeed[#Headers])-1)))</f>
        <v>0</v>
      </c>
      <c r="P579" s="454"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9" s="276">
        <f>IF(INDEX(tblContractForDeed[End Bal],ROW()-ROW(tblBuyerOutputs[#Headers]))&lt;=0,0,($O$6+IF(ROW()=ROW(tblBuyerOutputs[#Headers])+1,0,INDEX(tblBuyerOutputs[Cumul Appr],ROW()-ROW(tblBuyerOutputs[#Headers])-1)))*$O$2/12)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13" t="str">
        <f>IF(ROW()=ROW(tblSubjectToLoan[#Headers])+1,subjectKnownBalanceDate,IF(OR(INDEX(tblSubjectToLoan[Date],ROW()-ROW(tblSubjectToLoan[#Headers])-1)="",INDEX(tblSubjectToLoan[Date],ROW()-ROW(tblSubjectToLoan[#Headers])-1)&gt;=subjectMortgageEndDate),"",EDATE(INDEX(tblSubjectToLoan[Date],ROW()-ROW(tblSubjectToLoan[#Headers])-1),1)))</f>
        <v/>
      </c>
      <c r="B580" s="276">
        <f>IF(tblSubjectToLoan[[#This Row],[Date]]="",0,IF(ROW()=ROW(tblSubjectToLoan[#Headers])+1,subjectKnownBalance,MAX(0,INDEX(tblSubjectToLoan[Ending Balance],ROW()-ROW(tblSubjectToLoan[#Headers])-1))))</f>
        <v>0</v>
      </c>
      <c r="C5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0" s="14">
        <f>IF(tblSubjectToLoan[[#This Row],[Payment]]=0,0,MAX(0,MIN(tblSubjectToLoan[[#This Row],[Beginning Balance]],tblSubjectToLoan[[#This Row],[Payment]]-tblSubjectToLoan[[#This Row],[Int]])))</f>
        <v>0</v>
      </c>
      <c r="E580" s="14">
        <f>IF(tblSubjectToLoan[[#This Row],[Date]]="",0,ROUND(tblSubjectToLoan[[#This Row],[Beginning Balance]]*(subjectInterestRate/12),2))</f>
        <v>0</v>
      </c>
      <c r="H580" s="14">
        <f>SUM(tblSubjectToLoan[[#This Row],[Princ]],tblSubjectToLoan[[#This Row],[Int]],tblSubjectToLoan[[#This Row],[Ins]],tblSubjectToLoan[[#This Row],[Taxes]])</f>
        <v>0</v>
      </c>
      <c r="I5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0" s="276">
        <f>IF(tblSubjectToLoan[[#This Row],[Date]]="",IF(ROW()=ROW(tblSubjectToLoan[#Headers])+1,0,INDEX(tblSubjectToLoan[Interest],ROW()-ROW(tblSubjectToLoan[#Headers])-1)),tblSubjectToLoan[[#This Row],[Int]]+IF(ROW()=ROW(tblSubjectToLoan[#Headers])+1,0,INDEX(tblSubjectToLoan[Interest],ROW()-ROW(tblSubjectToLoan[#Headers])-1)))</f>
        <v>36068.259999999973</v>
      </c>
      <c r="K580" s="969">
        <f>IF(tblSubjectToLoan[[#This Row],[Date]]="",0,MAX(0,tblSubjectToLoan[[#This Row],[Beginning Balance]]-tblSubjectToLoan[[#This Row],[Princ]]))</f>
        <v>0</v>
      </c>
      <c r="L580" s="394">
        <f t="shared" si="47"/>
        <v>0</v>
      </c>
      <c r="M580" s="394">
        <f t="shared" si="46"/>
        <v>0</v>
      </c>
      <c r="N580" s="613" t="str">
        <f>INDEX(tblSubjectToLoan[Date],ROW()-ROW(tblContractForDeed[#Headers]))</f>
        <v/>
      </c>
      <c r="O580" s="276">
        <f>IF(ROW()=ROW(tblContractForDeed[#Headers])+1,$O$6,IF(INDEX(tblContractForDeed[End Bal],ROW()-ROW(tblContractForDeed[#Headers])-1)&lt;0,0,INDEX(tblContractForDeed[End Bal],ROW()-ROW(tblContractForDeed[#Headers])-1)))</f>
        <v>0</v>
      </c>
      <c r="P580" s="454"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0" s="276">
        <f>IF(INDEX(tblContractForDeed[End Bal],ROW()-ROW(tblBuyerOutputs[#Headers]))&lt;=0,0,($O$6+IF(ROW()=ROW(tblBuyerOutputs[#Headers])+1,0,INDEX(tblBuyerOutputs[Cumul Appr],ROW()-ROW(tblBuyerOutputs[#Headers])-1)))*$O$2/12)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13" t="str">
        <f>IF(ROW()=ROW(tblSubjectToLoan[#Headers])+1,subjectKnownBalanceDate,IF(OR(INDEX(tblSubjectToLoan[Date],ROW()-ROW(tblSubjectToLoan[#Headers])-1)="",INDEX(tblSubjectToLoan[Date],ROW()-ROW(tblSubjectToLoan[#Headers])-1)&gt;=subjectMortgageEndDate),"",EDATE(INDEX(tblSubjectToLoan[Date],ROW()-ROW(tblSubjectToLoan[#Headers])-1),1)))</f>
        <v/>
      </c>
      <c r="B581" s="276">
        <f>IF(tblSubjectToLoan[[#This Row],[Date]]="",0,IF(ROW()=ROW(tblSubjectToLoan[#Headers])+1,subjectKnownBalance,MAX(0,INDEX(tblSubjectToLoan[Ending Balance],ROW()-ROW(tblSubjectToLoan[#Headers])-1))))</f>
        <v>0</v>
      </c>
      <c r="C5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1" s="14">
        <f>IF(tblSubjectToLoan[[#This Row],[Payment]]=0,0,MAX(0,MIN(tblSubjectToLoan[[#This Row],[Beginning Balance]],tblSubjectToLoan[[#This Row],[Payment]]-tblSubjectToLoan[[#This Row],[Int]])))</f>
        <v>0</v>
      </c>
      <c r="E581" s="14">
        <f>IF(tblSubjectToLoan[[#This Row],[Date]]="",0,ROUND(tblSubjectToLoan[[#This Row],[Beginning Balance]]*(subjectInterestRate/12),2))</f>
        <v>0</v>
      </c>
      <c r="H581" s="14">
        <f>SUM(tblSubjectToLoan[[#This Row],[Princ]],tblSubjectToLoan[[#This Row],[Int]],tblSubjectToLoan[[#This Row],[Ins]],tblSubjectToLoan[[#This Row],[Taxes]])</f>
        <v>0</v>
      </c>
      <c r="I5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1" s="276">
        <f>IF(tblSubjectToLoan[[#This Row],[Date]]="",IF(ROW()=ROW(tblSubjectToLoan[#Headers])+1,0,INDEX(tblSubjectToLoan[Interest],ROW()-ROW(tblSubjectToLoan[#Headers])-1)),tblSubjectToLoan[[#This Row],[Int]]+IF(ROW()=ROW(tblSubjectToLoan[#Headers])+1,0,INDEX(tblSubjectToLoan[Interest],ROW()-ROW(tblSubjectToLoan[#Headers])-1)))</f>
        <v>36068.259999999973</v>
      </c>
      <c r="K581" s="969">
        <f>IF(tblSubjectToLoan[[#This Row],[Date]]="",0,MAX(0,tblSubjectToLoan[[#This Row],[Beginning Balance]]-tblSubjectToLoan[[#This Row],[Princ]]))</f>
        <v>0</v>
      </c>
      <c r="L581" s="394">
        <f t="shared" si="47"/>
        <v>0</v>
      </c>
      <c r="M581" s="394">
        <f t="shared" si="46"/>
        <v>0</v>
      </c>
      <c r="N581" s="613" t="str">
        <f>INDEX(tblSubjectToLoan[Date],ROW()-ROW(tblContractForDeed[#Headers]))</f>
        <v/>
      </c>
      <c r="O581" s="276">
        <f>IF(ROW()=ROW(tblContractForDeed[#Headers])+1,$O$6,IF(INDEX(tblContractForDeed[End Bal],ROW()-ROW(tblContractForDeed[#Headers])-1)&lt;0,0,INDEX(tblContractForDeed[End Bal],ROW()-ROW(tblContractForDeed[#Headers])-1)))</f>
        <v>0</v>
      </c>
      <c r="P581" s="454"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1" s="276">
        <f>IF(INDEX(tblContractForDeed[End Bal],ROW()-ROW(tblBuyerOutputs[#Headers]))&lt;=0,0,($O$6+IF(ROW()=ROW(tblBuyerOutputs[#Headers])+1,0,INDEX(tblBuyerOutputs[Cumul Appr],ROW()-ROW(tblBuyerOutputs[#Headers])-1)))*$O$2/12)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13" t="str">
        <f>IF(ROW()=ROW(tblSubjectToLoan[#Headers])+1,subjectKnownBalanceDate,IF(OR(INDEX(tblSubjectToLoan[Date],ROW()-ROW(tblSubjectToLoan[#Headers])-1)="",INDEX(tblSubjectToLoan[Date],ROW()-ROW(tblSubjectToLoan[#Headers])-1)&gt;=subjectMortgageEndDate),"",EDATE(INDEX(tblSubjectToLoan[Date],ROW()-ROW(tblSubjectToLoan[#Headers])-1),1)))</f>
        <v/>
      </c>
      <c r="B582" s="276">
        <f>IF(tblSubjectToLoan[[#This Row],[Date]]="",0,IF(ROW()=ROW(tblSubjectToLoan[#Headers])+1,subjectKnownBalance,MAX(0,INDEX(tblSubjectToLoan[Ending Balance],ROW()-ROW(tblSubjectToLoan[#Headers])-1))))</f>
        <v>0</v>
      </c>
      <c r="C5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2" s="14">
        <f>IF(tblSubjectToLoan[[#This Row],[Payment]]=0,0,MAX(0,MIN(tblSubjectToLoan[[#This Row],[Beginning Balance]],tblSubjectToLoan[[#This Row],[Payment]]-tblSubjectToLoan[[#This Row],[Int]])))</f>
        <v>0</v>
      </c>
      <c r="E582" s="14">
        <f>IF(tblSubjectToLoan[[#This Row],[Date]]="",0,ROUND(tblSubjectToLoan[[#This Row],[Beginning Balance]]*(subjectInterestRate/12),2))</f>
        <v>0</v>
      </c>
      <c r="H582" s="14">
        <f>SUM(tblSubjectToLoan[[#This Row],[Princ]],tblSubjectToLoan[[#This Row],[Int]],tblSubjectToLoan[[#This Row],[Ins]],tblSubjectToLoan[[#This Row],[Taxes]])</f>
        <v>0</v>
      </c>
      <c r="I5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2" s="276">
        <f>IF(tblSubjectToLoan[[#This Row],[Date]]="",IF(ROW()=ROW(tblSubjectToLoan[#Headers])+1,0,INDEX(tblSubjectToLoan[Interest],ROW()-ROW(tblSubjectToLoan[#Headers])-1)),tblSubjectToLoan[[#This Row],[Int]]+IF(ROW()=ROW(tblSubjectToLoan[#Headers])+1,0,INDEX(tblSubjectToLoan[Interest],ROW()-ROW(tblSubjectToLoan[#Headers])-1)))</f>
        <v>36068.259999999973</v>
      </c>
      <c r="K582" s="969">
        <f>IF(tblSubjectToLoan[[#This Row],[Date]]="",0,MAX(0,tblSubjectToLoan[[#This Row],[Beginning Balance]]-tblSubjectToLoan[[#This Row],[Princ]]))</f>
        <v>0</v>
      </c>
      <c r="L582" s="394">
        <f t="shared" si="47"/>
        <v>0</v>
      </c>
      <c r="M582" s="394">
        <f t="shared" si="46"/>
        <v>0</v>
      </c>
      <c r="N582" s="613" t="str">
        <f>INDEX(tblSubjectToLoan[Date],ROW()-ROW(tblContractForDeed[#Headers]))</f>
        <v/>
      </c>
      <c r="O582" s="276">
        <f>IF(ROW()=ROW(tblContractForDeed[#Headers])+1,$O$6,IF(INDEX(tblContractForDeed[End Bal],ROW()-ROW(tblContractForDeed[#Headers])-1)&lt;0,0,INDEX(tblContractForDeed[End Bal],ROW()-ROW(tblContractForDeed[#Headers])-1)))</f>
        <v>0</v>
      </c>
      <c r="P582" s="454"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2" s="276">
        <f>IF(INDEX(tblContractForDeed[End Bal],ROW()-ROW(tblBuyerOutputs[#Headers]))&lt;=0,0,($O$6+IF(ROW()=ROW(tblBuyerOutputs[#Headers])+1,0,INDEX(tblBuyerOutputs[Cumul Appr],ROW()-ROW(tblBuyerOutputs[#Headers])-1)))*$O$2/12)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14" t="str">
        <f>IF(ROW()=ROW(tblSubjectToLoan[#Headers])+1,subjectKnownBalanceDate,IF(OR(INDEX(tblSubjectToLoan[Date],ROW()-ROW(tblSubjectToLoan[#Headers])-1)="",INDEX(tblSubjectToLoan[Date],ROW()-ROW(tblSubjectToLoan[#Headers])-1)&gt;=subjectMortgageEndDate),"",EDATE(INDEX(tblSubjectToLoan[Date],ROW()-ROW(tblSubjectToLoan[#Headers])-1),1)))</f>
        <v/>
      </c>
      <c r="B583" s="332">
        <f>IF(tblSubjectToLoan[[#This Row],[Date]]="",0,IF(ROW()=ROW(tblSubjectToLoan[#Headers])+1,subjectKnownBalance,MAX(0,INDEX(tblSubjectToLoan[Ending Balance],ROW()-ROW(tblSubjectToLoan[#Headers])-1))))</f>
        <v>0</v>
      </c>
      <c r="C58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3" s="21">
        <f>IF(tblSubjectToLoan[[#This Row],[Payment]]=0,0,MAX(0,MIN(tblSubjectToLoan[[#This Row],[Beginning Balance]],tblSubjectToLoan[[#This Row],[Payment]]-tblSubjectToLoan[[#This Row],[Int]])))</f>
        <v>0</v>
      </c>
      <c r="E583" s="21">
        <f>IF(tblSubjectToLoan[[#This Row],[Date]]="",0,ROUND(tblSubjectToLoan[[#This Row],[Beginning Balance]]*(subjectInterestRate/12),2))</f>
        <v>0</v>
      </c>
      <c r="F583" s="21"/>
      <c r="G583" s="21"/>
      <c r="H583" s="21">
        <f>SUM(tblSubjectToLoan[[#This Row],[Princ]],tblSubjectToLoan[[#This Row],[Int]],tblSubjectToLoan[[#This Row],[Ins]],tblSubjectToLoan[[#This Row],[Taxes]])</f>
        <v>0</v>
      </c>
      <c r="I58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83" s="332">
        <f>IF(tblSubjectToLoan[[#This Row],[Date]]="",IF(ROW()=ROW(tblSubjectToLoan[#Headers])+1,0,INDEX(tblSubjectToLoan[Interest],ROW()-ROW(tblSubjectToLoan[#Headers])-1)),tblSubjectToLoan[[#This Row],[Int]]+IF(ROW()=ROW(tblSubjectToLoan[#Headers])+1,0,INDEX(tblSubjectToLoan[Interest],ROW()-ROW(tblSubjectToLoan[#Headers])-1)))</f>
        <v>36068.259999999973</v>
      </c>
      <c r="K583" s="970">
        <f>IF(tblSubjectToLoan[[#This Row],[Date]]="",0,MAX(0,tblSubjectToLoan[[#This Row],[Beginning Balance]]-tblSubjectToLoan[[#This Row],[Princ]]))</f>
        <v>0</v>
      </c>
      <c r="L583" s="395">
        <f t="shared" si="47"/>
        <v>0</v>
      </c>
      <c r="M583" s="395">
        <f t="shared" si="46"/>
        <v>0</v>
      </c>
      <c r="N583" s="614" t="str">
        <f>INDEX(tblSubjectToLoan[Date],ROW()-ROW(tblContractForDeed[#Headers]))</f>
        <v/>
      </c>
      <c r="O583" s="332">
        <f>IF(ROW()=ROW(tblContractForDeed[#Headers])+1,$O$6,IF(INDEX(tblContractForDeed[End Bal],ROW()-ROW(tblContractForDeed[#Headers])-1)&lt;0,0,INDEX(tblContractForDeed[End Bal],ROW()-ROW(tblContractForDeed[#Headers])-1)))</f>
        <v>0</v>
      </c>
      <c r="P583" s="454"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3" s="332">
        <f>IF(INDEX(tblContractForDeed[End Bal],ROW()-ROW(tblBuyerOutputs[#Headers]))&lt;=0,0,($O$6+IF(ROW()=ROW(tblBuyerOutputs[#Headers])+1,0,INDEX(tblBuyerOutputs[Cumul Appr],ROW()-ROW(tblBuyerOutputs[#Headers])-1)))*$O$2/12)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13" t="str">
        <f>IF(ROW()=ROW(tblSubjectToLoan[#Headers])+1,subjectKnownBalanceDate,IF(OR(INDEX(tblSubjectToLoan[Date],ROW()-ROW(tblSubjectToLoan[#Headers])-1)="",INDEX(tblSubjectToLoan[Date],ROW()-ROW(tblSubjectToLoan[#Headers])-1)&gt;=subjectMortgageEndDate),"",EDATE(INDEX(tblSubjectToLoan[Date],ROW()-ROW(tblSubjectToLoan[#Headers])-1),1)))</f>
        <v/>
      </c>
      <c r="B584" s="276">
        <f>IF(tblSubjectToLoan[[#This Row],[Date]]="",0,IF(ROW()=ROW(tblSubjectToLoan[#Headers])+1,subjectKnownBalance,MAX(0,INDEX(tblSubjectToLoan[Ending Balance],ROW()-ROW(tblSubjectToLoan[#Headers])-1))))</f>
        <v>0</v>
      </c>
      <c r="C5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4" s="14">
        <f>IF(tblSubjectToLoan[[#This Row],[Payment]]=0,0,MAX(0,MIN(tblSubjectToLoan[[#This Row],[Beginning Balance]],tblSubjectToLoan[[#This Row],[Payment]]-tblSubjectToLoan[[#This Row],[Int]])))</f>
        <v>0</v>
      </c>
      <c r="E584" s="14">
        <f>IF(tblSubjectToLoan[[#This Row],[Date]]="",0,ROUND(tblSubjectToLoan[[#This Row],[Beginning Balance]]*(subjectInterestRate/12),2))</f>
        <v>0</v>
      </c>
      <c r="H584" s="14">
        <f>SUM(tblSubjectToLoan[[#This Row],[Princ]],tblSubjectToLoan[[#This Row],[Int]],tblSubjectToLoan[[#This Row],[Ins]],tblSubjectToLoan[[#This Row],[Taxes]])</f>
        <v>0</v>
      </c>
      <c r="I5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4" s="276">
        <f>IF(tblSubjectToLoan[[#This Row],[Date]]="",IF(ROW()=ROW(tblSubjectToLoan[#Headers])+1,0,INDEX(tblSubjectToLoan[Interest],ROW()-ROW(tblSubjectToLoan[#Headers])-1)),tblSubjectToLoan[[#This Row],[Int]]+IF(ROW()=ROW(tblSubjectToLoan[#Headers])+1,0,INDEX(tblSubjectToLoan[Interest],ROW()-ROW(tblSubjectToLoan[#Headers])-1)))</f>
        <v>36068.259999999973</v>
      </c>
      <c r="K584" s="969">
        <f>IF(tblSubjectToLoan[[#This Row],[Date]]="",0,MAX(0,tblSubjectToLoan[[#This Row],[Beginning Balance]]-tblSubjectToLoan[[#This Row],[Princ]]))</f>
        <v>0</v>
      </c>
      <c r="L584" s="394">
        <f t="shared" si="47"/>
        <v>0</v>
      </c>
      <c r="M584" s="394">
        <f t="shared" si="46"/>
        <v>0</v>
      </c>
      <c r="N584" s="613" t="str">
        <f>INDEX(tblSubjectToLoan[Date],ROW()-ROW(tblContractForDeed[#Headers]))</f>
        <v/>
      </c>
      <c r="O584" s="276">
        <f>IF(ROW()=ROW(tblContractForDeed[#Headers])+1,$O$6,IF(INDEX(tblContractForDeed[End Bal],ROW()-ROW(tblContractForDeed[#Headers])-1)&lt;0,0,INDEX(tblContractForDeed[End Bal],ROW()-ROW(tblContractForDeed[#Headers])-1)))</f>
        <v>0</v>
      </c>
      <c r="P584" s="454"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4" s="276">
        <f>IF(INDEX(tblContractForDeed[End Bal],ROW()-ROW(tblBuyerOutputs[#Headers]))&lt;=0,0,($O$6+IF(ROW()=ROW(tblBuyerOutputs[#Headers])+1,0,INDEX(tblBuyerOutputs[Cumul Appr],ROW()-ROW(tblBuyerOutputs[#Headers])-1)))*$O$2/12)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13" t="str">
        <f>IF(ROW()=ROW(tblSubjectToLoan[#Headers])+1,subjectKnownBalanceDate,IF(OR(INDEX(tblSubjectToLoan[Date],ROW()-ROW(tblSubjectToLoan[#Headers])-1)="",INDEX(tblSubjectToLoan[Date],ROW()-ROW(tblSubjectToLoan[#Headers])-1)&gt;=subjectMortgageEndDate),"",EDATE(INDEX(tblSubjectToLoan[Date],ROW()-ROW(tblSubjectToLoan[#Headers])-1),1)))</f>
        <v/>
      </c>
      <c r="B585" s="276">
        <f>IF(tblSubjectToLoan[[#This Row],[Date]]="",0,IF(ROW()=ROW(tblSubjectToLoan[#Headers])+1,subjectKnownBalance,MAX(0,INDEX(tblSubjectToLoan[Ending Balance],ROW()-ROW(tblSubjectToLoan[#Headers])-1))))</f>
        <v>0</v>
      </c>
      <c r="C5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5" s="14">
        <f>IF(tblSubjectToLoan[[#This Row],[Payment]]=0,0,MAX(0,MIN(tblSubjectToLoan[[#This Row],[Beginning Balance]],tblSubjectToLoan[[#This Row],[Payment]]-tblSubjectToLoan[[#This Row],[Int]])))</f>
        <v>0</v>
      </c>
      <c r="E585" s="14">
        <f>IF(tblSubjectToLoan[[#This Row],[Date]]="",0,ROUND(tblSubjectToLoan[[#This Row],[Beginning Balance]]*(subjectInterestRate/12),2))</f>
        <v>0</v>
      </c>
      <c r="H585" s="14">
        <f>SUM(tblSubjectToLoan[[#This Row],[Princ]],tblSubjectToLoan[[#This Row],[Int]],tblSubjectToLoan[[#This Row],[Ins]],tblSubjectToLoan[[#This Row],[Taxes]])</f>
        <v>0</v>
      </c>
      <c r="I5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5" s="276">
        <f>IF(tblSubjectToLoan[[#This Row],[Date]]="",IF(ROW()=ROW(tblSubjectToLoan[#Headers])+1,0,INDEX(tblSubjectToLoan[Interest],ROW()-ROW(tblSubjectToLoan[#Headers])-1)),tblSubjectToLoan[[#This Row],[Int]]+IF(ROW()=ROW(tblSubjectToLoan[#Headers])+1,0,INDEX(tblSubjectToLoan[Interest],ROW()-ROW(tblSubjectToLoan[#Headers])-1)))</f>
        <v>36068.259999999973</v>
      </c>
      <c r="K585" s="969">
        <f>IF(tblSubjectToLoan[[#This Row],[Date]]="",0,MAX(0,tblSubjectToLoan[[#This Row],[Beginning Balance]]-tblSubjectToLoan[[#This Row],[Princ]]))</f>
        <v>0</v>
      </c>
      <c r="L585" s="394">
        <f t="shared" si="47"/>
        <v>0</v>
      </c>
      <c r="M585" s="394">
        <f t="shared" si="46"/>
        <v>0</v>
      </c>
      <c r="N585" s="613" t="str">
        <f>INDEX(tblSubjectToLoan[Date],ROW()-ROW(tblContractForDeed[#Headers]))</f>
        <v/>
      </c>
      <c r="O585" s="276">
        <f>IF(ROW()=ROW(tblContractForDeed[#Headers])+1,$O$6,IF(INDEX(tblContractForDeed[End Bal],ROW()-ROW(tblContractForDeed[#Headers])-1)&lt;0,0,INDEX(tblContractForDeed[End Bal],ROW()-ROW(tblContractForDeed[#Headers])-1)))</f>
        <v>0</v>
      </c>
      <c r="P585" s="454"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5" s="276">
        <f>IF(INDEX(tblContractForDeed[End Bal],ROW()-ROW(tblBuyerOutputs[#Headers]))&lt;=0,0,($O$6+IF(ROW()=ROW(tblBuyerOutputs[#Headers])+1,0,INDEX(tblBuyerOutputs[Cumul Appr],ROW()-ROW(tblBuyerOutputs[#Headers])-1)))*$O$2/12)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13" t="str">
        <f>IF(ROW()=ROW(tblSubjectToLoan[#Headers])+1,subjectKnownBalanceDate,IF(OR(INDEX(tblSubjectToLoan[Date],ROW()-ROW(tblSubjectToLoan[#Headers])-1)="",INDEX(tblSubjectToLoan[Date],ROW()-ROW(tblSubjectToLoan[#Headers])-1)&gt;=subjectMortgageEndDate),"",EDATE(INDEX(tblSubjectToLoan[Date],ROW()-ROW(tblSubjectToLoan[#Headers])-1),1)))</f>
        <v/>
      </c>
      <c r="B586" s="276">
        <f>IF(tblSubjectToLoan[[#This Row],[Date]]="",0,IF(ROW()=ROW(tblSubjectToLoan[#Headers])+1,subjectKnownBalance,MAX(0,INDEX(tblSubjectToLoan[Ending Balance],ROW()-ROW(tblSubjectToLoan[#Headers])-1))))</f>
        <v>0</v>
      </c>
      <c r="C5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6" s="14">
        <f>IF(tblSubjectToLoan[[#This Row],[Payment]]=0,0,MAX(0,MIN(tblSubjectToLoan[[#This Row],[Beginning Balance]],tblSubjectToLoan[[#This Row],[Payment]]-tblSubjectToLoan[[#This Row],[Int]])))</f>
        <v>0</v>
      </c>
      <c r="E586" s="14">
        <f>IF(tblSubjectToLoan[[#This Row],[Date]]="",0,ROUND(tblSubjectToLoan[[#This Row],[Beginning Balance]]*(subjectInterestRate/12),2))</f>
        <v>0</v>
      </c>
      <c r="H586" s="14">
        <f>SUM(tblSubjectToLoan[[#This Row],[Princ]],tblSubjectToLoan[[#This Row],[Int]],tblSubjectToLoan[[#This Row],[Ins]],tblSubjectToLoan[[#This Row],[Taxes]])</f>
        <v>0</v>
      </c>
      <c r="I5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6" s="276">
        <f>IF(tblSubjectToLoan[[#This Row],[Date]]="",IF(ROW()=ROW(tblSubjectToLoan[#Headers])+1,0,INDEX(tblSubjectToLoan[Interest],ROW()-ROW(tblSubjectToLoan[#Headers])-1)),tblSubjectToLoan[[#This Row],[Int]]+IF(ROW()=ROW(tblSubjectToLoan[#Headers])+1,0,INDEX(tblSubjectToLoan[Interest],ROW()-ROW(tblSubjectToLoan[#Headers])-1)))</f>
        <v>36068.259999999973</v>
      </c>
      <c r="K586" s="969">
        <f>IF(tblSubjectToLoan[[#This Row],[Date]]="",0,MAX(0,tblSubjectToLoan[[#This Row],[Beginning Balance]]-tblSubjectToLoan[[#This Row],[Princ]]))</f>
        <v>0</v>
      </c>
      <c r="L586" s="394">
        <f t="shared" si="47"/>
        <v>0</v>
      </c>
      <c r="M586" s="394">
        <f t="shared" si="46"/>
        <v>0</v>
      </c>
      <c r="N586" s="613" t="str">
        <f>INDEX(tblSubjectToLoan[Date],ROW()-ROW(tblContractForDeed[#Headers]))</f>
        <v/>
      </c>
      <c r="O586" s="276">
        <f>IF(ROW()=ROW(tblContractForDeed[#Headers])+1,$O$6,IF(INDEX(tblContractForDeed[End Bal],ROW()-ROW(tblContractForDeed[#Headers])-1)&lt;0,0,INDEX(tblContractForDeed[End Bal],ROW()-ROW(tblContractForDeed[#Headers])-1)))</f>
        <v>0</v>
      </c>
      <c r="P586" s="454"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6" s="276">
        <f>IF(INDEX(tblContractForDeed[End Bal],ROW()-ROW(tblBuyerOutputs[#Headers]))&lt;=0,0,($O$6+IF(ROW()=ROW(tblBuyerOutputs[#Headers])+1,0,INDEX(tblBuyerOutputs[Cumul Appr],ROW()-ROW(tblBuyerOutputs[#Headers])-1)))*$O$2/12)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13" t="str">
        <f>IF(ROW()=ROW(tblSubjectToLoan[#Headers])+1,subjectKnownBalanceDate,IF(OR(INDEX(tblSubjectToLoan[Date],ROW()-ROW(tblSubjectToLoan[#Headers])-1)="",INDEX(tblSubjectToLoan[Date],ROW()-ROW(tblSubjectToLoan[#Headers])-1)&gt;=subjectMortgageEndDate),"",EDATE(INDEX(tblSubjectToLoan[Date],ROW()-ROW(tblSubjectToLoan[#Headers])-1),1)))</f>
        <v/>
      </c>
      <c r="B587" s="276">
        <f>IF(tblSubjectToLoan[[#This Row],[Date]]="",0,IF(ROW()=ROW(tblSubjectToLoan[#Headers])+1,subjectKnownBalance,MAX(0,INDEX(tblSubjectToLoan[Ending Balance],ROW()-ROW(tblSubjectToLoan[#Headers])-1))))</f>
        <v>0</v>
      </c>
      <c r="C5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7" s="14">
        <f>IF(tblSubjectToLoan[[#This Row],[Payment]]=0,0,MAX(0,MIN(tblSubjectToLoan[[#This Row],[Beginning Balance]],tblSubjectToLoan[[#This Row],[Payment]]-tblSubjectToLoan[[#This Row],[Int]])))</f>
        <v>0</v>
      </c>
      <c r="E587" s="14">
        <f>IF(tblSubjectToLoan[[#This Row],[Date]]="",0,ROUND(tblSubjectToLoan[[#This Row],[Beginning Balance]]*(subjectInterestRate/12),2))</f>
        <v>0</v>
      </c>
      <c r="H587" s="14">
        <f>SUM(tblSubjectToLoan[[#This Row],[Princ]],tblSubjectToLoan[[#This Row],[Int]],tblSubjectToLoan[[#This Row],[Ins]],tblSubjectToLoan[[#This Row],[Taxes]])</f>
        <v>0</v>
      </c>
      <c r="I5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7" s="276">
        <f>IF(tblSubjectToLoan[[#This Row],[Date]]="",IF(ROW()=ROW(tblSubjectToLoan[#Headers])+1,0,INDEX(tblSubjectToLoan[Interest],ROW()-ROW(tblSubjectToLoan[#Headers])-1)),tblSubjectToLoan[[#This Row],[Int]]+IF(ROW()=ROW(tblSubjectToLoan[#Headers])+1,0,INDEX(tblSubjectToLoan[Interest],ROW()-ROW(tblSubjectToLoan[#Headers])-1)))</f>
        <v>36068.259999999973</v>
      </c>
      <c r="K587" s="969">
        <f>IF(tblSubjectToLoan[[#This Row],[Date]]="",0,MAX(0,tblSubjectToLoan[[#This Row],[Beginning Balance]]-tblSubjectToLoan[[#This Row],[Princ]]))</f>
        <v>0</v>
      </c>
      <c r="L587" s="394">
        <f t="shared" si="47"/>
        <v>0</v>
      </c>
      <c r="M587" s="394">
        <f t="shared" si="46"/>
        <v>0</v>
      </c>
      <c r="N587" s="613" t="str">
        <f>INDEX(tblSubjectToLoan[Date],ROW()-ROW(tblContractForDeed[#Headers]))</f>
        <v/>
      </c>
      <c r="O587" s="276">
        <f>IF(ROW()=ROW(tblContractForDeed[#Headers])+1,$O$6,IF(INDEX(tblContractForDeed[End Bal],ROW()-ROW(tblContractForDeed[#Headers])-1)&lt;0,0,INDEX(tblContractForDeed[End Bal],ROW()-ROW(tblContractForDeed[#Headers])-1)))</f>
        <v>0</v>
      </c>
      <c r="P587" s="454"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7" s="276">
        <f>IF(INDEX(tblContractForDeed[End Bal],ROW()-ROW(tblBuyerOutputs[#Headers]))&lt;=0,0,($O$6+IF(ROW()=ROW(tblBuyerOutputs[#Headers])+1,0,INDEX(tblBuyerOutputs[Cumul Appr],ROW()-ROW(tblBuyerOutputs[#Headers])-1)))*$O$2/12)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13" t="str">
        <f>IF(ROW()=ROW(tblSubjectToLoan[#Headers])+1,subjectKnownBalanceDate,IF(OR(INDEX(tblSubjectToLoan[Date],ROW()-ROW(tblSubjectToLoan[#Headers])-1)="",INDEX(tblSubjectToLoan[Date],ROW()-ROW(tblSubjectToLoan[#Headers])-1)&gt;=subjectMortgageEndDate),"",EDATE(INDEX(tblSubjectToLoan[Date],ROW()-ROW(tblSubjectToLoan[#Headers])-1),1)))</f>
        <v/>
      </c>
      <c r="B588" s="276">
        <f>IF(tblSubjectToLoan[[#This Row],[Date]]="",0,IF(ROW()=ROW(tblSubjectToLoan[#Headers])+1,subjectKnownBalance,MAX(0,INDEX(tblSubjectToLoan[Ending Balance],ROW()-ROW(tblSubjectToLoan[#Headers])-1))))</f>
        <v>0</v>
      </c>
      <c r="C5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8" s="14">
        <f>IF(tblSubjectToLoan[[#This Row],[Payment]]=0,0,MAX(0,MIN(tblSubjectToLoan[[#This Row],[Beginning Balance]],tblSubjectToLoan[[#This Row],[Payment]]-tblSubjectToLoan[[#This Row],[Int]])))</f>
        <v>0</v>
      </c>
      <c r="E588" s="14">
        <f>IF(tblSubjectToLoan[[#This Row],[Date]]="",0,ROUND(tblSubjectToLoan[[#This Row],[Beginning Balance]]*(subjectInterestRate/12),2))</f>
        <v>0</v>
      </c>
      <c r="H588" s="14">
        <f>SUM(tblSubjectToLoan[[#This Row],[Princ]],tblSubjectToLoan[[#This Row],[Int]],tblSubjectToLoan[[#This Row],[Ins]],tblSubjectToLoan[[#This Row],[Taxes]])</f>
        <v>0</v>
      </c>
      <c r="I5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8" s="276">
        <f>IF(tblSubjectToLoan[[#This Row],[Date]]="",IF(ROW()=ROW(tblSubjectToLoan[#Headers])+1,0,INDEX(tblSubjectToLoan[Interest],ROW()-ROW(tblSubjectToLoan[#Headers])-1)),tblSubjectToLoan[[#This Row],[Int]]+IF(ROW()=ROW(tblSubjectToLoan[#Headers])+1,0,INDEX(tblSubjectToLoan[Interest],ROW()-ROW(tblSubjectToLoan[#Headers])-1)))</f>
        <v>36068.259999999973</v>
      </c>
      <c r="K588" s="969">
        <f>IF(tblSubjectToLoan[[#This Row],[Date]]="",0,MAX(0,tblSubjectToLoan[[#This Row],[Beginning Balance]]-tblSubjectToLoan[[#This Row],[Princ]]))</f>
        <v>0</v>
      </c>
      <c r="L588" s="394">
        <f t="shared" si="47"/>
        <v>0</v>
      </c>
      <c r="M588" s="394">
        <f t="shared" si="46"/>
        <v>0</v>
      </c>
      <c r="N588" s="613" t="str">
        <f>INDEX(tblSubjectToLoan[Date],ROW()-ROW(tblContractForDeed[#Headers]))</f>
        <v/>
      </c>
      <c r="O588" s="276">
        <f>IF(ROW()=ROW(tblContractForDeed[#Headers])+1,$O$6,IF(INDEX(tblContractForDeed[End Bal],ROW()-ROW(tblContractForDeed[#Headers])-1)&lt;0,0,INDEX(tblContractForDeed[End Bal],ROW()-ROW(tblContractForDeed[#Headers])-1)))</f>
        <v>0</v>
      </c>
      <c r="P588" s="454"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8" s="276">
        <f>IF(INDEX(tblContractForDeed[End Bal],ROW()-ROW(tblBuyerOutputs[#Headers]))&lt;=0,0,($O$6+IF(ROW()=ROW(tblBuyerOutputs[#Headers])+1,0,INDEX(tblBuyerOutputs[Cumul Appr],ROW()-ROW(tblBuyerOutputs[#Headers])-1)))*$O$2/12)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13" t="str">
        <f>IF(ROW()=ROW(tblSubjectToLoan[#Headers])+1,subjectKnownBalanceDate,IF(OR(INDEX(tblSubjectToLoan[Date],ROW()-ROW(tblSubjectToLoan[#Headers])-1)="",INDEX(tblSubjectToLoan[Date],ROW()-ROW(tblSubjectToLoan[#Headers])-1)&gt;=subjectMortgageEndDate),"",EDATE(INDEX(tblSubjectToLoan[Date],ROW()-ROW(tblSubjectToLoan[#Headers])-1),1)))</f>
        <v/>
      </c>
      <c r="B589" s="276">
        <f>IF(tblSubjectToLoan[[#This Row],[Date]]="",0,IF(ROW()=ROW(tblSubjectToLoan[#Headers])+1,subjectKnownBalance,MAX(0,INDEX(tblSubjectToLoan[Ending Balance],ROW()-ROW(tblSubjectToLoan[#Headers])-1))))</f>
        <v>0</v>
      </c>
      <c r="C5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9" s="14">
        <f>IF(tblSubjectToLoan[[#This Row],[Payment]]=0,0,MAX(0,MIN(tblSubjectToLoan[[#This Row],[Beginning Balance]],tblSubjectToLoan[[#This Row],[Payment]]-tblSubjectToLoan[[#This Row],[Int]])))</f>
        <v>0</v>
      </c>
      <c r="E589" s="14">
        <f>IF(tblSubjectToLoan[[#This Row],[Date]]="",0,ROUND(tblSubjectToLoan[[#This Row],[Beginning Balance]]*(subjectInterestRate/12),2))</f>
        <v>0</v>
      </c>
      <c r="H589" s="14">
        <f>SUM(tblSubjectToLoan[[#This Row],[Princ]],tblSubjectToLoan[[#This Row],[Int]],tblSubjectToLoan[[#This Row],[Ins]],tblSubjectToLoan[[#This Row],[Taxes]])</f>
        <v>0</v>
      </c>
      <c r="I5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9" s="276">
        <f>IF(tblSubjectToLoan[[#This Row],[Date]]="",IF(ROW()=ROW(tblSubjectToLoan[#Headers])+1,0,INDEX(tblSubjectToLoan[Interest],ROW()-ROW(tblSubjectToLoan[#Headers])-1)),tblSubjectToLoan[[#This Row],[Int]]+IF(ROW()=ROW(tblSubjectToLoan[#Headers])+1,0,INDEX(tblSubjectToLoan[Interest],ROW()-ROW(tblSubjectToLoan[#Headers])-1)))</f>
        <v>36068.259999999973</v>
      </c>
      <c r="K589" s="969">
        <f>IF(tblSubjectToLoan[[#This Row],[Date]]="",0,MAX(0,tblSubjectToLoan[[#This Row],[Beginning Balance]]-tblSubjectToLoan[[#This Row],[Princ]]))</f>
        <v>0</v>
      </c>
      <c r="L589" s="394">
        <f t="shared" si="47"/>
        <v>0</v>
      </c>
      <c r="M589" s="394">
        <f t="shared" si="46"/>
        <v>0</v>
      </c>
      <c r="N589" s="613" t="str">
        <f>INDEX(tblSubjectToLoan[Date],ROW()-ROW(tblContractForDeed[#Headers]))</f>
        <v/>
      </c>
      <c r="O589" s="276">
        <f>IF(ROW()=ROW(tblContractForDeed[#Headers])+1,$O$6,IF(INDEX(tblContractForDeed[End Bal],ROW()-ROW(tblContractForDeed[#Headers])-1)&lt;0,0,INDEX(tblContractForDeed[End Bal],ROW()-ROW(tblContractForDeed[#Headers])-1)))</f>
        <v>0</v>
      </c>
      <c r="P589" s="454"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9" s="276">
        <f>IF(INDEX(tblContractForDeed[End Bal],ROW()-ROW(tblBuyerOutputs[#Headers]))&lt;=0,0,($O$6+IF(ROW()=ROW(tblBuyerOutputs[#Headers])+1,0,INDEX(tblBuyerOutputs[Cumul Appr],ROW()-ROW(tblBuyerOutputs[#Headers])-1)))*$O$2/12)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13" t="str">
        <f>IF(ROW()=ROW(tblSubjectToLoan[#Headers])+1,subjectKnownBalanceDate,IF(OR(INDEX(tblSubjectToLoan[Date],ROW()-ROW(tblSubjectToLoan[#Headers])-1)="",INDEX(tblSubjectToLoan[Date],ROW()-ROW(tblSubjectToLoan[#Headers])-1)&gt;=subjectMortgageEndDate),"",EDATE(INDEX(tblSubjectToLoan[Date],ROW()-ROW(tblSubjectToLoan[#Headers])-1),1)))</f>
        <v/>
      </c>
      <c r="B590" s="276">
        <f>IF(tblSubjectToLoan[[#This Row],[Date]]="",0,IF(ROW()=ROW(tblSubjectToLoan[#Headers])+1,subjectKnownBalance,MAX(0,INDEX(tblSubjectToLoan[Ending Balance],ROW()-ROW(tblSubjectToLoan[#Headers])-1))))</f>
        <v>0</v>
      </c>
      <c r="C5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0" s="14">
        <f>IF(tblSubjectToLoan[[#This Row],[Payment]]=0,0,MAX(0,MIN(tblSubjectToLoan[[#This Row],[Beginning Balance]],tblSubjectToLoan[[#This Row],[Payment]]-tblSubjectToLoan[[#This Row],[Int]])))</f>
        <v>0</v>
      </c>
      <c r="E590" s="14">
        <f>IF(tblSubjectToLoan[[#This Row],[Date]]="",0,ROUND(tblSubjectToLoan[[#This Row],[Beginning Balance]]*(subjectInterestRate/12),2))</f>
        <v>0</v>
      </c>
      <c r="H590" s="14">
        <f>SUM(tblSubjectToLoan[[#This Row],[Princ]],tblSubjectToLoan[[#This Row],[Int]],tblSubjectToLoan[[#This Row],[Ins]],tblSubjectToLoan[[#This Row],[Taxes]])</f>
        <v>0</v>
      </c>
      <c r="I5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0" s="276">
        <f>IF(tblSubjectToLoan[[#This Row],[Date]]="",IF(ROW()=ROW(tblSubjectToLoan[#Headers])+1,0,INDEX(tblSubjectToLoan[Interest],ROW()-ROW(tblSubjectToLoan[#Headers])-1)),tblSubjectToLoan[[#This Row],[Int]]+IF(ROW()=ROW(tblSubjectToLoan[#Headers])+1,0,INDEX(tblSubjectToLoan[Interest],ROW()-ROW(tblSubjectToLoan[#Headers])-1)))</f>
        <v>36068.259999999973</v>
      </c>
      <c r="K590" s="969">
        <f>IF(tblSubjectToLoan[[#This Row],[Date]]="",0,MAX(0,tblSubjectToLoan[[#This Row],[Beginning Balance]]-tblSubjectToLoan[[#This Row],[Princ]]))</f>
        <v>0</v>
      </c>
      <c r="L590" s="394">
        <f t="shared" si="47"/>
        <v>0</v>
      </c>
      <c r="M590" s="394">
        <f t="shared" si="46"/>
        <v>0</v>
      </c>
      <c r="N590" s="613" t="str">
        <f>INDEX(tblSubjectToLoan[Date],ROW()-ROW(tblContractForDeed[#Headers]))</f>
        <v/>
      </c>
      <c r="O590" s="276">
        <f>IF(ROW()=ROW(tblContractForDeed[#Headers])+1,$O$6,IF(INDEX(tblContractForDeed[End Bal],ROW()-ROW(tblContractForDeed[#Headers])-1)&lt;0,0,INDEX(tblContractForDeed[End Bal],ROW()-ROW(tblContractForDeed[#Headers])-1)))</f>
        <v>0</v>
      </c>
      <c r="P590" s="454"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0" s="276">
        <f>IF(INDEX(tblContractForDeed[End Bal],ROW()-ROW(tblBuyerOutputs[#Headers]))&lt;=0,0,($O$6+IF(ROW()=ROW(tblBuyerOutputs[#Headers])+1,0,INDEX(tblBuyerOutputs[Cumul Appr],ROW()-ROW(tblBuyerOutputs[#Headers])-1)))*$O$2/12)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13" t="str">
        <f>IF(ROW()=ROW(tblSubjectToLoan[#Headers])+1,subjectKnownBalanceDate,IF(OR(INDEX(tblSubjectToLoan[Date],ROW()-ROW(tblSubjectToLoan[#Headers])-1)="",INDEX(tblSubjectToLoan[Date],ROW()-ROW(tblSubjectToLoan[#Headers])-1)&gt;=subjectMortgageEndDate),"",EDATE(INDEX(tblSubjectToLoan[Date],ROW()-ROW(tblSubjectToLoan[#Headers])-1),1)))</f>
        <v/>
      </c>
      <c r="B591" s="276">
        <f>IF(tblSubjectToLoan[[#This Row],[Date]]="",0,IF(ROW()=ROW(tblSubjectToLoan[#Headers])+1,subjectKnownBalance,MAX(0,INDEX(tblSubjectToLoan[Ending Balance],ROW()-ROW(tblSubjectToLoan[#Headers])-1))))</f>
        <v>0</v>
      </c>
      <c r="C5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1" s="14">
        <f>IF(tblSubjectToLoan[[#This Row],[Payment]]=0,0,MAX(0,MIN(tblSubjectToLoan[[#This Row],[Beginning Balance]],tblSubjectToLoan[[#This Row],[Payment]]-tblSubjectToLoan[[#This Row],[Int]])))</f>
        <v>0</v>
      </c>
      <c r="E591" s="14">
        <f>IF(tblSubjectToLoan[[#This Row],[Date]]="",0,ROUND(tblSubjectToLoan[[#This Row],[Beginning Balance]]*(subjectInterestRate/12),2))</f>
        <v>0</v>
      </c>
      <c r="H591" s="14">
        <f>SUM(tblSubjectToLoan[[#This Row],[Princ]],tblSubjectToLoan[[#This Row],[Int]],tblSubjectToLoan[[#This Row],[Ins]],tblSubjectToLoan[[#This Row],[Taxes]])</f>
        <v>0</v>
      </c>
      <c r="I5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1" s="276">
        <f>IF(tblSubjectToLoan[[#This Row],[Date]]="",IF(ROW()=ROW(tblSubjectToLoan[#Headers])+1,0,INDEX(tblSubjectToLoan[Interest],ROW()-ROW(tblSubjectToLoan[#Headers])-1)),tblSubjectToLoan[[#This Row],[Int]]+IF(ROW()=ROW(tblSubjectToLoan[#Headers])+1,0,INDEX(tblSubjectToLoan[Interest],ROW()-ROW(tblSubjectToLoan[#Headers])-1)))</f>
        <v>36068.259999999973</v>
      </c>
      <c r="K591" s="969">
        <f>IF(tblSubjectToLoan[[#This Row],[Date]]="",0,MAX(0,tblSubjectToLoan[[#This Row],[Beginning Balance]]-tblSubjectToLoan[[#This Row],[Princ]]))</f>
        <v>0</v>
      </c>
      <c r="L591" s="394">
        <f t="shared" si="47"/>
        <v>0</v>
      </c>
      <c r="M591" s="394">
        <f t="shared" si="46"/>
        <v>0</v>
      </c>
      <c r="N591" s="613" t="str">
        <f>INDEX(tblSubjectToLoan[Date],ROW()-ROW(tblContractForDeed[#Headers]))</f>
        <v/>
      </c>
      <c r="O591" s="276">
        <f>IF(ROW()=ROW(tblContractForDeed[#Headers])+1,$O$6,IF(INDEX(tblContractForDeed[End Bal],ROW()-ROW(tblContractForDeed[#Headers])-1)&lt;0,0,INDEX(tblContractForDeed[End Bal],ROW()-ROW(tblContractForDeed[#Headers])-1)))</f>
        <v>0</v>
      </c>
      <c r="P591" s="454"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1" s="276">
        <f>IF(INDEX(tblContractForDeed[End Bal],ROW()-ROW(tblBuyerOutputs[#Headers]))&lt;=0,0,($O$6+IF(ROW()=ROW(tblBuyerOutputs[#Headers])+1,0,INDEX(tblBuyerOutputs[Cumul Appr],ROW()-ROW(tblBuyerOutputs[#Headers])-1)))*$O$2/12)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13" t="str">
        <f>IF(ROW()=ROW(tblSubjectToLoan[#Headers])+1,subjectKnownBalanceDate,IF(OR(INDEX(tblSubjectToLoan[Date],ROW()-ROW(tblSubjectToLoan[#Headers])-1)="",INDEX(tblSubjectToLoan[Date],ROW()-ROW(tblSubjectToLoan[#Headers])-1)&gt;=subjectMortgageEndDate),"",EDATE(INDEX(tblSubjectToLoan[Date],ROW()-ROW(tblSubjectToLoan[#Headers])-1),1)))</f>
        <v/>
      </c>
      <c r="B592" s="276">
        <f>IF(tblSubjectToLoan[[#This Row],[Date]]="",0,IF(ROW()=ROW(tblSubjectToLoan[#Headers])+1,subjectKnownBalance,MAX(0,INDEX(tblSubjectToLoan[Ending Balance],ROW()-ROW(tblSubjectToLoan[#Headers])-1))))</f>
        <v>0</v>
      </c>
      <c r="C5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2" s="14">
        <f>IF(tblSubjectToLoan[[#This Row],[Payment]]=0,0,MAX(0,MIN(tblSubjectToLoan[[#This Row],[Beginning Balance]],tblSubjectToLoan[[#This Row],[Payment]]-tblSubjectToLoan[[#This Row],[Int]])))</f>
        <v>0</v>
      </c>
      <c r="E592" s="14">
        <f>IF(tblSubjectToLoan[[#This Row],[Date]]="",0,ROUND(tblSubjectToLoan[[#This Row],[Beginning Balance]]*(subjectInterestRate/12),2))</f>
        <v>0</v>
      </c>
      <c r="H592" s="14">
        <f>SUM(tblSubjectToLoan[[#This Row],[Princ]],tblSubjectToLoan[[#This Row],[Int]],tblSubjectToLoan[[#This Row],[Ins]],tblSubjectToLoan[[#This Row],[Taxes]])</f>
        <v>0</v>
      </c>
      <c r="I5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2" s="276">
        <f>IF(tblSubjectToLoan[[#This Row],[Date]]="",IF(ROW()=ROW(tblSubjectToLoan[#Headers])+1,0,INDEX(tblSubjectToLoan[Interest],ROW()-ROW(tblSubjectToLoan[#Headers])-1)),tblSubjectToLoan[[#This Row],[Int]]+IF(ROW()=ROW(tblSubjectToLoan[#Headers])+1,0,INDEX(tblSubjectToLoan[Interest],ROW()-ROW(tblSubjectToLoan[#Headers])-1)))</f>
        <v>36068.259999999973</v>
      </c>
      <c r="K592" s="969">
        <f>IF(tblSubjectToLoan[[#This Row],[Date]]="",0,MAX(0,tblSubjectToLoan[[#This Row],[Beginning Balance]]-tblSubjectToLoan[[#This Row],[Princ]]))</f>
        <v>0</v>
      </c>
      <c r="L592" s="394">
        <f t="shared" si="47"/>
        <v>0</v>
      </c>
      <c r="M592" s="394">
        <f t="shared" si="46"/>
        <v>0</v>
      </c>
      <c r="N592" s="613" t="str">
        <f>INDEX(tblSubjectToLoan[Date],ROW()-ROW(tblContractForDeed[#Headers]))</f>
        <v/>
      </c>
      <c r="O592" s="276">
        <f>IF(ROW()=ROW(tblContractForDeed[#Headers])+1,$O$6,IF(INDEX(tblContractForDeed[End Bal],ROW()-ROW(tblContractForDeed[#Headers])-1)&lt;0,0,INDEX(tblContractForDeed[End Bal],ROW()-ROW(tblContractForDeed[#Headers])-1)))</f>
        <v>0</v>
      </c>
      <c r="P592" s="454"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2" s="276">
        <f>IF(INDEX(tblContractForDeed[End Bal],ROW()-ROW(tblBuyerOutputs[#Headers]))&lt;=0,0,($O$6+IF(ROW()=ROW(tblBuyerOutputs[#Headers])+1,0,INDEX(tblBuyerOutputs[Cumul Appr],ROW()-ROW(tblBuyerOutputs[#Headers])-1)))*$O$2/12)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13" t="str">
        <f>IF(ROW()=ROW(tblSubjectToLoan[#Headers])+1,subjectKnownBalanceDate,IF(OR(INDEX(tblSubjectToLoan[Date],ROW()-ROW(tblSubjectToLoan[#Headers])-1)="",INDEX(tblSubjectToLoan[Date],ROW()-ROW(tblSubjectToLoan[#Headers])-1)&gt;=subjectMortgageEndDate),"",EDATE(INDEX(tblSubjectToLoan[Date],ROW()-ROW(tblSubjectToLoan[#Headers])-1),1)))</f>
        <v/>
      </c>
      <c r="B593" s="276">
        <f>IF(tblSubjectToLoan[[#This Row],[Date]]="",0,IF(ROW()=ROW(tblSubjectToLoan[#Headers])+1,subjectKnownBalance,MAX(0,INDEX(tblSubjectToLoan[Ending Balance],ROW()-ROW(tblSubjectToLoan[#Headers])-1))))</f>
        <v>0</v>
      </c>
      <c r="C5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3" s="14">
        <f>IF(tblSubjectToLoan[[#This Row],[Payment]]=0,0,MAX(0,MIN(tblSubjectToLoan[[#This Row],[Beginning Balance]],tblSubjectToLoan[[#This Row],[Payment]]-tblSubjectToLoan[[#This Row],[Int]])))</f>
        <v>0</v>
      </c>
      <c r="E593" s="14">
        <f>IF(tblSubjectToLoan[[#This Row],[Date]]="",0,ROUND(tblSubjectToLoan[[#This Row],[Beginning Balance]]*(subjectInterestRate/12),2))</f>
        <v>0</v>
      </c>
      <c r="H593" s="14">
        <f>SUM(tblSubjectToLoan[[#This Row],[Princ]],tblSubjectToLoan[[#This Row],[Int]],tblSubjectToLoan[[#This Row],[Ins]],tblSubjectToLoan[[#This Row],[Taxes]])</f>
        <v>0</v>
      </c>
      <c r="I5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3" s="276">
        <f>IF(tblSubjectToLoan[[#This Row],[Date]]="",IF(ROW()=ROW(tblSubjectToLoan[#Headers])+1,0,INDEX(tblSubjectToLoan[Interest],ROW()-ROW(tblSubjectToLoan[#Headers])-1)),tblSubjectToLoan[[#This Row],[Int]]+IF(ROW()=ROW(tblSubjectToLoan[#Headers])+1,0,INDEX(tblSubjectToLoan[Interest],ROW()-ROW(tblSubjectToLoan[#Headers])-1)))</f>
        <v>36068.259999999973</v>
      </c>
      <c r="K593" s="969">
        <f>IF(tblSubjectToLoan[[#This Row],[Date]]="",0,MAX(0,tblSubjectToLoan[[#This Row],[Beginning Balance]]-tblSubjectToLoan[[#This Row],[Princ]]))</f>
        <v>0</v>
      </c>
      <c r="L593" s="394">
        <f t="shared" si="47"/>
        <v>0</v>
      </c>
      <c r="M593" s="394">
        <f t="shared" si="46"/>
        <v>0</v>
      </c>
      <c r="N593" s="613" t="str">
        <f>INDEX(tblSubjectToLoan[Date],ROW()-ROW(tblContractForDeed[#Headers]))</f>
        <v/>
      </c>
      <c r="O593" s="276">
        <f>IF(ROW()=ROW(tblContractForDeed[#Headers])+1,$O$6,IF(INDEX(tblContractForDeed[End Bal],ROW()-ROW(tblContractForDeed[#Headers])-1)&lt;0,0,INDEX(tblContractForDeed[End Bal],ROW()-ROW(tblContractForDeed[#Headers])-1)))</f>
        <v>0</v>
      </c>
      <c r="P593" s="454"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3" s="276">
        <f>IF(INDEX(tblContractForDeed[End Bal],ROW()-ROW(tblBuyerOutputs[#Headers]))&lt;=0,0,($O$6+IF(ROW()=ROW(tblBuyerOutputs[#Headers])+1,0,INDEX(tblBuyerOutputs[Cumul Appr],ROW()-ROW(tblBuyerOutputs[#Headers])-1)))*$O$2/12)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13" t="str">
        <f>IF(ROW()=ROW(tblSubjectToLoan[#Headers])+1,subjectKnownBalanceDate,IF(OR(INDEX(tblSubjectToLoan[Date],ROW()-ROW(tblSubjectToLoan[#Headers])-1)="",INDEX(tblSubjectToLoan[Date],ROW()-ROW(tblSubjectToLoan[#Headers])-1)&gt;=subjectMortgageEndDate),"",EDATE(INDEX(tblSubjectToLoan[Date],ROW()-ROW(tblSubjectToLoan[#Headers])-1),1)))</f>
        <v/>
      </c>
      <c r="B594" s="276">
        <f>IF(tblSubjectToLoan[[#This Row],[Date]]="",0,IF(ROW()=ROW(tblSubjectToLoan[#Headers])+1,subjectKnownBalance,MAX(0,INDEX(tblSubjectToLoan[Ending Balance],ROW()-ROW(tblSubjectToLoan[#Headers])-1))))</f>
        <v>0</v>
      </c>
      <c r="C5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4" s="14">
        <f>IF(tblSubjectToLoan[[#This Row],[Payment]]=0,0,MAX(0,MIN(tblSubjectToLoan[[#This Row],[Beginning Balance]],tblSubjectToLoan[[#This Row],[Payment]]-tblSubjectToLoan[[#This Row],[Int]])))</f>
        <v>0</v>
      </c>
      <c r="E594" s="14">
        <f>IF(tblSubjectToLoan[[#This Row],[Date]]="",0,ROUND(tblSubjectToLoan[[#This Row],[Beginning Balance]]*(subjectInterestRate/12),2))</f>
        <v>0</v>
      </c>
      <c r="H594" s="14">
        <f>SUM(tblSubjectToLoan[[#This Row],[Princ]],tblSubjectToLoan[[#This Row],[Int]],tblSubjectToLoan[[#This Row],[Ins]],tblSubjectToLoan[[#This Row],[Taxes]])</f>
        <v>0</v>
      </c>
      <c r="I5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4" s="276">
        <f>IF(tblSubjectToLoan[[#This Row],[Date]]="",IF(ROW()=ROW(tblSubjectToLoan[#Headers])+1,0,INDEX(tblSubjectToLoan[Interest],ROW()-ROW(tblSubjectToLoan[#Headers])-1)),tblSubjectToLoan[[#This Row],[Int]]+IF(ROW()=ROW(tblSubjectToLoan[#Headers])+1,0,INDEX(tblSubjectToLoan[Interest],ROW()-ROW(tblSubjectToLoan[#Headers])-1)))</f>
        <v>36068.259999999973</v>
      </c>
      <c r="K594" s="969">
        <f>IF(tblSubjectToLoan[[#This Row],[Date]]="",0,MAX(0,tblSubjectToLoan[[#This Row],[Beginning Balance]]-tblSubjectToLoan[[#This Row],[Princ]]))</f>
        <v>0</v>
      </c>
      <c r="L594" s="394">
        <f t="shared" si="47"/>
        <v>0</v>
      </c>
      <c r="M594" s="394">
        <f t="shared" si="46"/>
        <v>0</v>
      </c>
      <c r="N594" s="613" t="str">
        <f>INDEX(tblSubjectToLoan[Date],ROW()-ROW(tblContractForDeed[#Headers]))</f>
        <v/>
      </c>
      <c r="O594" s="276">
        <f>IF(ROW()=ROW(tblContractForDeed[#Headers])+1,$O$6,IF(INDEX(tblContractForDeed[End Bal],ROW()-ROW(tblContractForDeed[#Headers])-1)&lt;0,0,INDEX(tblContractForDeed[End Bal],ROW()-ROW(tblContractForDeed[#Headers])-1)))</f>
        <v>0</v>
      </c>
      <c r="P594" s="454"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4" s="276">
        <f>IF(INDEX(tblContractForDeed[End Bal],ROW()-ROW(tblBuyerOutputs[#Headers]))&lt;=0,0,($O$6+IF(ROW()=ROW(tblBuyerOutputs[#Headers])+1,0,INDEX(tblBuyerOutputs[Cumul Appr],ROW()-ROW(tblBuyerOutputs[#Headers])-1)))*$O$2/12)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14" t="str">
        <f>IF(ROW()=ROW(tblSubjectToLoan[#Headers])+1,subjectKnownBalanceDate,IF(OR(INDEX(tblSubjectToLoan[Date],ROW()-ROW(tblSubjectToLoan[#Headers])-1)="",INDEX(tblSubjectToLoan[Date],ROW()-ROW(tblSubjectToLoan[#Headers])-1)&gt;=subjectMortgageEndDate),"",EDATE(INDEX(tblSubjectToLoan[Date],ROW()-ROW(tblSubjectToLoan[#Headers])-1),1)))</f>
        <v/>
      </c>
      <c r="B595" s="332">
        <f>IF(tblSubjectToLoan[[#This Row],[Date]]="",0,IF(ROW()=ROW(tblSubjectToLoan[#Headers])+1,subjectKnownBalance,MAX(0,INDEX(tblSubjectToLoan[Ending Balance],ROW()-ROW(tblSubjectToLoan[#Headers])-1))))</f>
        <v>0</v>
      </c>
      <c r="C59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5" s="21">
        <f>IF(tblSubjectToLoan[[#This Row],[Payment]]=0,0,MAX(0,MIN(tblSubjectToLoan[[#This Row],[Beginning Balance]],tblSubjectToLoan[[#This Row],[Payment]]-tblSubjectToLoan[[#This Row],[Int]])))</f>
        <v>0</v>
      </c>
      <c r="E595" s="21">
        <f>IF(tblSubjectToLoan[[#This Row],[Date]]="",0,ROUND(tblSubjectToLoan[[#This Row],[Beginning Balance]]*(subjectInterestRate/12),2))</f>
        <v>0</v>
      </c>
      <c r="F595" s="21"/>
      <c r="G595" s="21"/>
      <c r="H595" s="21">
        <f>SUM(tblSubjectToLoan[[#This Row],[Princ]],tblSubjectToLoan[[#This Row],[Int]],tblSubjectToLoan[[#This Row],[Ins]],tblSubjectToLoan[[#This Row],[Taxes]])</f>
        <v>0</v>
      </c>
      <c r="I59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95" s="332">
        <f>IF(tblSubjectToLoan[[#This Row],[Date]]="",IF(ROW()=ROW(tblSubjectToLoan[#Headers])+1,0,INDEX(tblSubjectToLoan[Interest],ROW()-ROW(tblSubjectToLoan[#Headers])-1)),tblSubjectToLoan[[#This Row],[Int]]+IF(ROW()=ROW(tblSubjectToLoan[#Headers])+1,0,INDEX(tblSubjectToLoan[Interest],ROW()-ROW(tblSubjectToLoan[#Headers])-1)))</f>
        <v>36068.259999999973</v>
      </c>
      <c r="K595" s="970">
        <f>IF(tblSubjectToLoan[[#This Row],[Date]]="",0,MAX(0,tblSubjectToLoan[[#This Row],[Beginning Balance]]-tblSubjectToLoan[[#This Row],[Princ]]))</f>
        <v>0</v>
      </c>
      <c r="L595" s="395">
        <f t="shared" si="47"/>
        <v>0</v>
      </c>
      <c r="M595" s="395">
        <f t="shared" si="46"/>
        <v>0</v>
      </c>
      <c r="N595" s="614" t="str">
        <f>INDEX(tblSubjectToLoan[Date],ROW()-ROW(tblContractForDeed[#Headers]))</f>
        <v/>
      </c>
      <c r="O595" s="332">
        <f>IF(ROW()=ROW(tblContractForDeed[#Headers])+1,$O$6,IF(INDEX(tblContractForDeed[End Bal],ROW()-ROW(tblContractForDeed[#Headers])-1)&lt;0,0,INDEX(tblContractForDeed[End Bal],ROW()-ROW(tblContractForDeed[#Headers])-1)))</f>
        <v>0</v>
      </c>
      <c r="P595" s="454"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5" s="332">
        <f>IF(INDEX(tblContractForDeed[End Bal],ROW()-ROW(tblBuyerOutputs[#Headers]))&lt;=0,0,($O$6+IF(ROW()=ROW(tblBuyerOutputs[#Headers])+1,0,INDEX(tblBuyerOutputs[Cumul Appr],ROW()-ROW(tblBuyerOutputs[#Headers])-1)))*$O$2/12)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13" t="str">
        <f>IF(ROW()=ROW(tblSubjectToLoan[#Headers])+1,subjectKnownBalanceDate,IF(OR(INDEX(tblSubjectToLoan[Date],ROW()-ROW(tblSubjectToLoan[#Headers])-1)="",INDEX(tblSubjectToLoan[Date],ROW()-ROW(tblSubjectToLoan[#Headers])-1)&gt;=subjectMortgageEndDate),"",EDATE(INDEX(tblSubjectToLoan[Date],ROW()-ROW(tblSubjectToLoan[#Headers])-1),1)))</f>
        <v/>
      </c>
      <c r="B596" s="276">
        <f>IF(tblSubjectToLoan[[#This Row],[Date]]="",0,IF(ROW()=ROW(tblSubjectToLoan[#Headers])+1,subjectKnownBalance,MAX(0,INDEX(tblSubjectToLoan[Ending Balance],ROW()-ROW(tblSubjectToLoan[#Headers])-1))))</f>
        <v>0</v>
      </c>
      <c r="C5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6" s="14">
        <f>IF(tblSubjectToLoan[[#This Row],[Payment]]=0,0,MAX(0,MIN(tblSubjectToLoan[[#This Row],[Beginning Balance]],tblSubjectToLoan[[#This Row],[Payment]]-tblSubjectToLoan[[#This Row],[Int]])))</f>
        <v>0</v>
      </c>
      <c r="E596" s="14">
        <f>IF(tblSubjectToLoan[[#This Row],[Date]]="",0,ROUND(tblSubjectToLoan[[#This Row],[Beginning Balance]]*(subjectInterestRate/12),2))</f>
        <v>0</v>
      </c>
      <c r="H596" s="14">
        <f>SUM(tblSubjectToLoan[[#This Row],[Princ]],tblSubjectToLoan[[#This Row],[Int]],tblSubjectToLoan[[#This Row],[Ins]],tblSubjectToLoan[[#This Row],[Taxes]])</f>
        <v>0</v>
      </c>
      <c r="I5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6" s="276">
        <f>IF(tblSubjectToLoan[[#This Row],[Date]]="",IF(ROW()=ROW(tblSubjectToLoan[#Headers])+1,0,INDEX(tblSubjectToLoan[Interest],ROW()-ROW(tblSubjectToLoan[#Headers])-1)),tblSubjectToLoan[[#This Row],[Int]]+IF(ROW()=ROW(tblSubjectToLoan[#Headers])+1,0,INDEX(tblSubjectToLoan[Interest],ROW()-ROW(tblSubjectToLoan[#Headers])-1)))</f>
        <v>36068.259999999973</v>
      </c>
      <c r="K596" s="969">
        <f>IF(tblSubjectToLoan[[#This Row],[Date]]="",0,MAX(0,tblSubjectToLoan[[#This Row],[Beginning Balance]]-tblSubjectToLoan[[#This Row],[Princ]]))</f>
        <v>0</v>
      </c>
      <c r="L596" s="394">
        <f t="shared" si="47"/>
        <v>0</v>
      </c>
      <c r="M596" s="394">
        <f t="shared" si="46"/>
        <v>0</v>
      </c>
      <c r="N596" s="613" t="str">
        <f>INDEX(tblSubjectToLoan[Date],ROW()-ROW(tblContractForDeed[#Headers]))</f>
        <v/>
      </c>
      <c r="O596" s="276">
        <f>IF(ROW()=ROW(tblContractForDeed[#Headers])+1,$O$6,IF(INDEX(tblContractForDeed[End Bal],ROW()-ROW(tblContractForDeed[#Headers])-1)&lt;0,0,INDEX(tblContractForDeed[End Bal],ROW()-ROW(tblContractForDeed[#Headers])-1)))</f>
        <v>0</v>
      </c>
      <c r="P596" s="454"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6" s="276">
        <f>IF(INDEX(tblContractForDeed[End Bal],ROW()-ROW(tblBuyerOutputs[#Headers]))&lt;=0,0,($O$6+IF(ROW()=ROW(tblBuyerOutputs[#Headers])+1,0,INDEX(tblBuyerOutputs[Cumul Appr],ROW()-ROW(tblBuyerOutputs[#Headers])-1)))*$O$2/12)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13" t="str">
        <f>IF(ROW()=ROW(tblSubjectToLoan[#Headers])+1,subjectKnownBalanceDate,IF(OR(INDEX(tblSubjectToLoan[Date],ROW()-ROW(tblSubjectToLoan[#Headers])-1)="",INDEX(tblSubjectToLoan[Date],ROW()-ROW(tblSubjectToLoan[#Headers])-1)&gt;=subjectMortgageEndDate),"",EDATE(INDEX(tblSubjectToLoan[Date],ROW()-ROW(tblSubjectToLoan[#Headers])-1),1)))</f>
        <v/>
      </c>
      <c r="B597" s="276">
        <f>IF(tblSubjectToLoan[[#This Row],[Date]]="",0,IF(ROW()=ROW(tblSubjectToLoan[#Headers])+1,subjectKnownBalance,MAX(0,INDEX(tblSubjectToLoan[Ending Balance],ROW()-ROW(tblSubjectToLoan[#Headers])-1))))</f>
        <v>0</v>
      </c>
      <c r="C5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7" s="14">
        <f>IF(tblSubjectToLoan[[#This Row],[Payment]]=0,0,MAX(0,MIN(tblSubjectToLoan[[#This Row],[Beginning Balance]],tblSubjectToLoan[[#This Row],[Payment]]-tblSubjectToLoan[[#This Row],[Int]])))</f>
        <v>0</v>
      </c>
      <c r="E597" s="14">
        <f>IF(tblSubjectToLoan[[#This Row],[Date]]="",0,ROUND(tblSubjectToLoan[[#This Row],[Beginning Balance]]*(subjectInterestRate/12),2))</f>
        <v>0</v>
      </c>
      <c r="H597" s="14">
        <f>SUM(tblSubjectToLoan[[#This Row],[Princ]],tblSubjectToLoan[[#This Row],[Int]],tblSubjectToLoan[[#This Row],[Ins]],tblSubjectToLoan[[#This Row],[Taxes]])</f>
        <v>0</v>
      </c>
      <c r="I5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7" s="276">
        <f>IF(tblSubjectToLoan[[#This Row],[Date]]="",IF(ROW()=ROW(tblSubjectToLoan[#Headers])+1,0,INDEX(tblSubjectToLoan[Interest],ROW()-ROW(tblSubjectToLoan[#Headers])-1)),tblSubjectToLoan[[#This Row],[Int]]+IF(ROW()=ROW(tblSubjectToLoan[#Headers])+1,0,INDEX(tblSubjectToLoan[Interest],ROW()-ROW(tblSubjectToLoan[#Headers])-1)))</f>
        <v>36068.259999999973</v>
      </c>
      <c r="K597" s="969">
        <f>IF(tblSubjectToLoan[[#This Row],[Date]]="",0,MAX(0,tblSubjectToLoan[[#This Row],[Beginning Balance]]-tblSubjectToLoan[[#This Row],[Princ]]))</f>
        <v>0</v>
      </c>
      <c r="L597" s="394">
        <f t="shared" si="47"/>
        <v>0</v>
      </c>
      <c r="M597" s="394">
        <f t="shared" ref="M597:M660" si="48">IF($A597&lt;&gt;"",M596+1,0)</f>
        <v>0</v>
      </c>
      <c r="N597" s="613" t="str">
        <f>INDEX(tblSubjectToLoan[Date],ROW()-ROW(tblContractForDeed[#Headers]))</f>
        <v/>
      </c>
      <c r="O597" s="276">
        <f>IF(ROW()=ROW(tblContractForDeed[#Headers])+1,$O$6,IF(INDEX(tblContractForDeed[End Bal],ROW()-ROW(tblContractForDeed[#Headers])-1)&lt;0,0,INDEX(tblContractForDeed[End Bal],ROW()-ROW(tblContractForDeed[#Headers])-1)))</f>
        <v>0</v>
      </c>
      <c r="P597" s="454"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7" s="276">
        <f>IF(INDEX(tblContractForDeed[End Bal],ROW()-ROW(tblBuyerOutputs[#Headers]))&lt;=0,0,($O$6+IF(ROW()=ROW(tblBuyerOutputs[#Headers])+1,0,INDEX(tblBuyerOutputs[Cumul Appr],ROW()-ROW(tblBuyerOutputs[#Headers])-1)))*$O$2/12)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13" t="str">
        <f>IF(ROW()=ROW(tblSubjectToLoan[#Headers])+1,subjectKnownBalanceDate,IF(OR(INDEX(tblSubjectToLoan[Date],ROW()-ROW(tblSubjectToLoan[#Headers])-1)="",INDEX(tblSubjectToLoan[Date],ROW()-ROW(tblSubjectToLoan[#Headers])-1)&gt;=subjectMortgageEndDate),"",EDATE(INDEX(tblSubjectToLoan[Date],ROW()-ROW(tblSubjectToLoan[#Headers])-1),1)))</f>
        <v/>
      </c>
      <c r="B598" s="276">
        <f>IF(tblSubjectToLoan[[#This Row],[Date]]="",0,IF(ROW()=ROW(tblSubjectToLoan[#Headers])+1,subjectKnownBalance,MAX(0,INDEX(tblSubjectToLoan[Ending Balance],ROW()-ROW(tblSubjectToLoan[#Headers])-1))))</f>
        <v>0</v>
      </c>
      <c r="C5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8" s="14">
        <f>IF(tblSubjectToLoan[[#This Row],[Payment]]=0,0,MAX(0,MIN(tblSubjectToLoan[[#This Row],[Beginning Balance]],tblSubjectToLoan[[#This Row],[Payment]]-tblSubjectToLoan[[#This Row],[Int]])))</f>
        <v>0</v>
      </c>
      <c r="E598" s="14">
        <f>IF(tblSubjectToLoan[[#This Row],[Date]]="",0,ROUND(tblSubjectToLoan[[#This Row],[Beginning Balance]]*(subjectInterestRate/12),2))</f>
        <v>0</v>
      </c>
      <c r="H598" s="14">
        <f>SUM(tblSubjectToLoan[[#This Row],[Princ]],tblSubjectToLoan[[#This Row],[Int]],tblSubjectToLoan[[#This Row],[Ins]],tblSubjectToLoan[[#This Row],[Taxes]])</f>
        <v>0</v>
      </c>
      <c r="I5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8" s="276">
        <f>IF(tblSubjectToLoan[[#This Row],[Date]]="",IF(ROW()=ROW(tblSubjectToLoan[#Headers])+1,0,INDEX(tblSubjectToLoan[Interest],ROW()-ROW(tblSubjectToLoan[#Headers])-1)),tblSubjectToLoan[[#This Row],[Int]]+IF(ROW()=ROW(tblSubjectToLoan[#Headers])+1,0,INDEX(tblSubjectToLoan[Interest],ROW()-ROW(tblSubjectToLoan[#Headers])-1)))</f>
        <v>36068.259999999973</v>
      </c>
      <c r="K598" s="969">
        <f>IF(tblSubjectToLoan[[#This Row],[Date]]="",0,MAX(0,tblSubjectToLoan[[#This Row],[Beginning Balance]]-tblSubjectToLoan[[#This Row],[Princ]]))</f>
        <v>0</v>
      </c>
      <c r="L598" s="394">
        <f t="shared" si="47"/>
        <v>0</v>
      </c>
      <c r="M598" s="394">
        <f t="shared" si="48"/>
        <v>0</v>
      </c>
      <c r="N598" s="613" t="str">
        <f>INDEX(tblSubjectToLoan[Date],ROW()-ROW(tblContractForDeed[#Headers]))</f>
        <v/>
      </c>
      <c r="O598" s="276">
        <f>IF(ROW()=ROW(tblContractForDeed[#Headers])+1,$O$6,IF(INDEX(tblContractForDeed[End Bal],ROW()-ROW(tblContractForDeed[#Headers])-1)&lt;0,0,INDEX(tblContractForDeed[End Bal],ROW()-ROW(tblContractForDeed[#Headers])-1)))</f>
        <v>0</v>
      </c>
      <c r="P598" s="454"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8" s="276">
        <f>IF(INDEX(tblContractForDeed[End Bal],ROW()-ROW(tblBuyerOutputs[#Headers]))&lt;=0,0,($O$6+IF(ROW()=ROW(tblBuyerOutputs[#Headers])+1,0,INDEX(tblBuyerOutputs[Cumul Appr],ROW()-ROW(tblBuyerOutputs[#Headers])-1)))*$O$2/12)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13" t="str">
        <f>IF(ROW()=ROW(tblSubjectToLoan[#Headers])+1,subjectKnownBalanceDate,IF(OR(INDEX(tblSubjectToLoan[Date],ROW()-ROW(tblSubjectToLoan[#Headers])-1)="",INDEX(tblSubjectToLoan[Date],ROW()-ROW(tblSubjectToLoan[#Headers])-1)&gt;=subjectMortgageEndDate),"",EDATE(INDEX(tblSubjectToLoan[Date],ROW()-ROW(tblSubjectToLoan[#Headers])-1),1)))</f>
        <v/>
      </c>
      <c r="B599" s="276">
        <f>IF(tblSubjectToLoan[[#This Row],[Date]]="",0,IF(ROW()=ROW(tblSubjectToLoan[#Headers])+1,subjectKnownBalance,MAX(0,INDEX(tblSubjectToLoan[Ending Balance],ROW()-ROW(tblSubjectToLoan[#Headers])-1))))</f>
        <v>0</v>
      </c>
      <c r="C5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9" s="14">
        <f>IF(tblSubjectToLoan[[#This Row],[Payment]]=0,0,MAX(0,MIN(tblSubjectToLoan[[#This Row],[Beginning Balance]],tblSubjectToLoan[[#This Row],[Payment]]-tblSubjectToLoan[[#This Row],[Int]])))</f>
        <v>0</v>
      </c>
      <c r="E599" s="14">
        <f>IF(tblSubjectToLoan[[#This Row],[Date]]="",0,ROUND(tblSubjectToLoan[[#This Row],[Beginning Balance]]*(subjectInterestRate/12),2))</f>
        <v>0</v>
      </c>
      <c r="H599" s="14">
        <f>SUM(tblSubjectToLoan[[#This Row],[Princ]],tblSubjectToLoan[[#This Row],[Int]],tblSubjectToLoan[[#This Row],[Ins]],tblSubjectToLoan[[#This Row],[Taxes]])</f>
        <v>0</v>
      </c>
      <c r="I5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9" s="276">
        <f>IF(tblSubjectToLoan[[#This Row],[Date]]="",IF(ROW()=ROW(tblSubjectToLoan[#Headers])+1,0,INDEX(tblSubjectToLoan[Interest],ROW()-ROW(tblSubjectToLoan[#Headers])-1)),tblSubjectToLoan[[#This Row],[Int]]+IF(ROW()=ROW(tblSubjectToLoan[#Headers])+1,0,INDEX(tblSubjectToLoan[Interest],ROW()-ROW(tblSubjectToLoan[#Headers])-1)))</f>
        <v>36068.259999999973</v>
      </c>
      <c r="K599" s="969">
        <f>IF(tblSubjectToLoan[[#This Row],[Date]]="",0,MAX(0,tblSubjectToLoan[[#This Row],[Beginning Balance]]-tblSubjectToLoan[[#This Row],[Princ]]))</f>
        <v>0</v>
      </c>
      <c r="L599" s="394">
        <f t="shared" si="47"/>
        <v>0</v>
      </c>
      <c r="M599" s="394">
        <f t="shared" si="48"/>
        <v>0</v>
      </c>
      <c r="N599" s="613" t="str">
        <f>INDEX(tblSubjectToLoan[Date],ROW()-ROW(tblContractForDeed[#Headers]))</f>
        <v/>
      </c>
      <c r="O599" s="276">
        <f>IF(ROW()=ROW(tblContractForDeed[#Headers])+1,$O$6,IF(INDEX(tblContractForDeed[End Bal],ROW()-ROW(tblContractForDeed[#Headers])-1)&lt;0,0,INDEX(tblContractForDeed[End Bal],ROW()-ROW(tblContractForDeed[#Headers])-1)))</f>
        <v>0</v>
      </c>
      <c r="P599" s="454"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9" s="276">
        <f>IF(INDEX(tblContractForDeed[End Bal],ROW()-ROW(tblBuyerOutputs[#Headers]))&lt;=0,0,($O$6+IF(ROW()=ROW(tblBuyerOutputs[#Headers])+1,0,INDEX(tblBuyerOutputs[Cumul Appr],ROW()-ROW(tblBuyerOutputs[#Headers])-1)))*$O$2/12)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13" t="str">
        <f>IF(ROW()=ROW(tblSubjectToLoan[#Headers])+1,subjectKnownBalanceDate,IF(OR(INDEX(tblSubjectToLoan[Date],ROW()-ROW(tblSubjectToLoan[#Headers])-1)="",INDEX(tblSubjectToLoan[Date],ROW()-ROW(tblSubjectToLoan[#Headers])-1)&gt;=subjectMortgageEndDate),"",EDATE(INDEX(tblSubjectToLoan[Date],ROW()-ROW(tblSubjectToLoan[#Headers])-1),1)))</f>
        <v/>
      </c>
      <c r="B600" s="276">
        <f>IF(tblSubjectToLoan[[#This Row],[Date]]="",0,IF(ROW()=ROW(tblSubjectToLoan[#Headers])+1,subjectKnownBalance,MAX(0,INDEX(tblSubjectToLoan[Ending Balance],ROW()-ROW(tblSubjectToLoan[#Headers])-1))))</f>
        <v>0</v>
      </c>
      <c r="C6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0" s="14">
        <f>IF(tblSubjectToLoan[[#This Row],[Payment]]=0,0,MAX(0,MIN(tblSubjectToLoan[[#This Row],[Beginning Balance]],tblSubjectToLoan[[#This Row],[Payment]]-tblSubjectToLoan[[#This Row],[Int]])))</f>
        <v>0</v>
      </c>
      <c r="E600" s="14">
        <f>IF(tblSubjectToLoan[[#This Row],[Date]]="",0,ROUND(tblSubjectToLoan[[#This Row],[Beginning Balance]]*(subjectInterestRate/12),2))</f>
        <v>0</v>
      </c>
      <c r="H600" s="14">
        <f>SUM(tblSubjectToLoan[[#This Row],[Princ]],tblSubjectToLoan[[#This Row],[Int]],tblSubjectToLoan[[#This Row],[Ins]],tblSubjectToLoan[[#This Row],[Taxes]])</f>
        <v>0</v>
      </c>
      <c r="I6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0" s="276">
        <f>IF(tblSubjectToLoan[[#This Row],[Date]]="",IF(ROW()=ROW(tblSubjectToLoan[#Headers])+1,0,INDEX(tblSubjectToLoan[Interest],ROW()-ROW(tblSubjectToLoan[#Headers])-1)),tblSubjectToLoan[[#This Row],[Int]]+IF(ROW()=ROW(tblSubjectToLoan[#Headers])+1,0,INDEX(tblSubjectToLoan[Interest],ROW()-ROW(tblSubjectToLoan[#Headers])-1)))</f>
        <v>36068.259999999973</v>
      </c>
      <c r="K600" s="969">
        <f>IF(tblSubjectToLoan[[#This Row],[Date]]="",0,MAX(0,tblSubjectToLoan[[#This Row],[Beginning Balance]]-tblSubjectToLoan[[#This Row],[Princ]]))</f>
        <v>0</v>
      </c>
      <c r="L600" s="394">
        <f t="shared" si="47"/>
        <v>0</v>
      </c>
      <c r="M600" s="394">
        <f t="shared" si="48"/>
        <v>0</v>
      </c>
      <c r="N600" s="613" t="str">
        <f>INDEX(tblSubjectToLoan[Date],ROW()-ROW(tblContractForDeed[#Headers]))</f>
        <v/>
      </c>
      <c r="O600" s="276">
        <f>IF(ROW()=ROW(tblContractForDeed[#Headers])+1,$O$6,IF(INDEX(tblContractForDeed[End Bal],ROW()-ROW(tblContractForDeed[#Headers])-1)&lt;0,0,INDEX(tblContractForDeed[End Bal],ROW()-ROW(tblContractForDeed[#Headers])-1)))</f>
        <v>0</v>
      </c>
      <c r="P600" s="454"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0" s="276">
        <f>IF(INDEX(tblContractForDeed[End Bal],ROW()-ROW(tblBuyerOutputs[#Headers]))&lt;=0,0,($O$6+IF(ROW()=ROW(tblBuyerOutputs[#Headers])+1,0,INDEX(tblBuyerOutputs[Cumul Appr],ROW()-ROW(tblBuyerOutputs[#Headers])-1)))*$O$2/12)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13" t="str">
        <f>IF(ROW()=ROW(tblSubjectToLoan[#Headers])+1,subjectKnownBalanceDate,IF(OR(INDEX(tblSubjectToLoan[Date],ROW()-ROW(tblSubjectToLoan[#Headers])-1)="",INDEX(tblSubjectToLoan[Date],ROW()-ROW(tblSubjectToLoan[#Headers])-1)&gt;=subjectMortgageEndDate),"",EDATE(INDEX(tblSubjectToLoan[Date],ROW()-ROW(tblSubjectToLoan[#Headers])-1),1)))</f>
        <v/>
      </c>
      <c r="B601" s="276">
        <f>IF(tblSubjectToLoan[[#This Row],[Date]]="",0,IF(ROW()=ROW(tblSubjectToLoan[#Headers])+1,subjectKnownBalance,MAX(0,INDEX(tblSubjectToLoan[Ending Balance],ROW()-ROW(tblSubjectToLoan[#Headers])-1))))</f>
        <v>0</v>
      </c>
      <c r="C6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1" s="14">
        <f>IF(tblSubjectToLoan[[#This Row],[Payment]]=0,0,MAX(0,MIN(tblSubjectToLoan[[#This Row],[Beginning Balance]],tblSubjectToLoan[[#This Row],[Payment]]-tblSubjectToLoan[[#This Row],[Int]])))</f>
        <v>0</v>
      </c>
      <c r="E601" s="14">
        <f>IF(tblSubjectToLoan[[#This Row],[Date]]="",0,ROUND(tblSubjectToLoan[[#This Row],[Beginning Balance]]*(subjectInterestRate/12),2))</f>
        <v>0</v>
      </c>
      <c r="H601" s="14">
        <f>SUM(tblSubjectToLoan[[#This Row],[Princ]],tblSubjectToLoan[[#This Row],[Int]],tblSubjectToLoan[[#This Row],[Ins]],tblSubjectToLoan[[#This Row],[Taxes]])</f>
        <v>0</v>
      </c>
      <c r="I6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1" s="276">
        <f>IF(tblSubjectToLoan[[#This Row],[Date]]="",IF(ROW()=ROW(tblSubjectToLoan[#Headers])+1,0,INDEX(tblSubjectToLoan[Interest],ROW()-ROW(tblSubjectToLoan[#Headers])-1)),tblSubjectToLoan[[#This Row],[Int]]+IF(ROW()=ROW(tblSubjectToLoan[#Headers])+1,0,INDEX(tblSubjectToLoan[Interest],ROW()-ROW(tblSubjectToLoan[#Headers])-1)))</f>
        <v>36068.259999999973</v>
      </c>
      <c r="K601" s="969">
        <f>IF(tblSubjectToLoan[[#This Row],[Date]]="",0,MAX(0,tblSubjectToLoan[[#This Row],[Beginning Balance]]-tblSubjectToLoan[[#This Row],[Princ]]))</f>
        <v>0</v>
      </c>
      <c r="L601" s="394">
        <f t="shared" si="47"/>
        <v>0</v>
      </c>
      <c r="M601" s="394">
        <f t="shared" si="48"/>
        <v>0</v>
      </c>
      <c r="N601" s="613" t="str">
        <f>INDEX(tblSubjectToLoan[Date],ROW()-ROW(tblContractForDeed[#Headers]))</f>
        <v/>
      </c>
      <c r="O601" s="276">
        <f>IF(ROW()=ROW(tblContractForDeed[#Headers])+1,$O$6,IF(INDEX(tblContractForDeed[End Bal],ROW()-ROW(tblContractForDeed[#Headers])-1)&lt;0,0,INDEX(tblContractForDeed[End Bal],ROW()-ROW(tblContractForDeed[#Headers])-1)))</f>
        <v>0</v>
      </c>
      <c r="P601" s="454"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1" s="276">
        <f>IF(INDEX(tblContractForDeed[End Bal],ROW()-ROW(tblBuyerOutputs[#Headers]))&lt;=0,0,($O$6+IF(ROW()=ROW(tblBuyerOutputs[#Headers])+1,0,INDEX(tblBuyerOutputs[Cumul Appr],ROW()-ROW(tblBuyerOutputs[#Headers])-1)))*$O$2/12)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13" t="str">
        <f>IF(ROW()=ROW(tblSubjectToLoan[#Headers])+1,subjectKnownBalanceDate,IF(OR(INDEX(tblSubjectToLoan[Date],ROW()-ROW(tblSubjectToLoan[#Headers])-1)="",INDEX(tblSubjectToLoan[Date],ROW()-ROW(tblSubjectToLoan[#Headers])-1)&gt;=subjectMortgageEndDate),"",EDATE(INDEX(tblSubjectToLoan[Date],ROW()-ROW(tblSubjectToLoan[#Headers])-1),1)))</f>
        <v/>
      </c>
      <c r="B602" s="276">
        <f>IF(tblSubjectToLoan[[#This Row],[Date]]="",0,IF(ROW()=ROW(tblSubjectToLoan[#Headers])+1,subjectKnownBalance,MAX(0,INDEX(tblSubjectToLoan[Ending Balance],ROW()-ROW(tblSubjectToLoan[#Headers])-1))))</f>
        <v>0</v>
      </c>
      <c r="C6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2" s="14">
        <f>IF(tblSubjectToLoan[[#This Row],[Payment]]=0,0,MAX(0,MIN(tblSubjectToLoan[[#This Row],[Beginning Balance]],tblSubjectToLoan[[#This Row],[Payment]]-tblSubjectToLoan[[#This Row],[Int]])))</f>
        <v>0</v>
      </c>
      <c r="E602" s="14">
        <f>IF(tblSubjectToLoan[[#This Row],[Date]]="",0,ROUND(tblSubjectToLoan[[#This Row],[Beginning Balance]]*(subjectInterestRate/12),2))</f>
        <v>0</v>
      </c>
      <c r="H602" s="14">
        <f>SUM(tblSubjectToLoan[[#This Row],[Princ]],tblSubjectToLoan[[#This Row],[Int]],tblSubjectToLoan[[#This Row],[Ins]],tblSubjectToLoan[[#This Row],[Taxes]])</f>
        <v>0</v>
      </c>
      <c r="I6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2" s="276">
        <f>IF(tblSubjectToLoan[[#This Row],[Date]]="",IF(ROW()=ROW(tblSubjectToLoan[#Headers])+1,0,INDEX(tblSubjectToLoan[Interest],ROW()-ROW(tblSubjectToLoan[#Headers])-1)),tblSubjectToLoan[[#This Row],[Int]]+IF(ROW()=ROW(tblSubjectToLoan[#Headers])+1,0,INDEX(tblSubjectToLoan[Interest],ROW()-ROW(tblSubjectToLoan[#Headers])-1)))</f>
        <v>36068.259999999973</v>
      </c>
      <c r="K602" s="969">
        <f>IF(tblSubjectToLoan[[#This Row],[Date]]="",0,MAX(0,tblSubjectToLoan[[#This Row],[Beginning Balance]]-tblSubjectToLoan[[#This Row],[Princ]]))</f>
        <v>0</v>
      </c>
      <c r="L602" s="394">
        <f t="shared" si="47"/>
        <v>0</v>
      </c>
      <c r="M602" s="394">
        <f t="shared" si="48"/>
        <v>0</v>
      </c>
      <c r="N602" s="613" t="str">
        <f>INDEX(tblSubjectToLoan[Date],ROW()-ROW(tblContractForDeed[#Headers]))</f>
        <v/>
      </c>
      <c r="O602" s="276">
        <f>IF(ROW()=ROW(tblContractForDeed[#Headers])+1,$O$6,IF(INDEX(tblContractForDeed[End Bal],ROW()-ROW(tblContractForDeed[#Headers])-1)&lt;0,0,INDEX(tblContractForDeed[End Bal],ROW()-ROW(tblContractForDeed[#Headers])-1)))</f>
        <v>0</v>
      </c>
      <c r="P602" s="454"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2" s="276">
        <f>IF(INDEX(tblContractForDeed[End Bal],ROW()-ROW(tblBuyerOutputs[#Headers]))&lt;=0,0,($O$6+IF(ROW()=ROW(tblBuyerOutputs[#Headers])+1,0,INDEX(tblBuyerOutputs[Cumul Appr],ROW()-ROW(tblBuyerOutputs[#Headers])-1)))*$O$2/12)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13" t="str">
        <f>IF(ROW()=ROW(tblSubjectToLoan[#Headers])+1,subjectKnownBalanceDate,IF(OR(INDEX(tblSubjectToLoan[Date],ROW()-ROW(tblSubjectToLoan[#Headers])-1)="",INDEX(tblSubjectToLoan[Date],ROW()-ROW(tblSubjectToLoan[#Headers])-1)&gt;=subjectMortgageEndDate),"",EDATE(INDEX(tblSubjectToLoan[Date],ROW()-ROW(tblSubjectToLoan[#Headers])-1),1)))</f>
        <v/>
      </c>
      <c r="B603" s="276">
        <f>IF(tblSubjectToLoan[[#This Row],[Date]]="",0,IF(ROW()=ROW(tblSubjectToLoan[#Headers])+1,subjectKnownBalance,MAX(0,INDEX(tblSubjectToLoan[Ending Balance],ROW()-ROW(tblSubjectToLoan[#Headers])-1))))</f>
        <v>0</v>
      </c>
      <c r="C6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3" s="14">
        <f>IF(tblSubjectToLoan[[#This Row],[Payment]]=0,0,MAX(0,MIN(tblSubjectToLoan[[#This Row],[Beginning Balance]],tblSubjectToLoan[[#This Row],[Payment]]-tblSubjectToLoan[[#This Row],[Int]])))</f>
        <v>0</v>
      </c>
      <c r="E603" s="14">
        <f>IF(tblSubjectToLoan[[#This Row],[Date]]="",0,ROUND(tblSubjectToLoan[[#This Row],[Beginning Balance]]*(subjectInterestRate/12),2))</f>
        <v>0</v>
      </c>
      <c r="H603" s="14">
        <f>SUM(tblSubjectToLoan[[#This Row],[Princ]],tblSubjectToLoan[[#This Row],[Int]],tblSubjectToLoan[[#This Row],[Ins]],tblSubjectToLoan[[#This Row],[Taxes]])</f>
        <v>0</v>
      </c>
      <c r="I6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3" s="276">
        <f>IF(tblSubjectToLoan[[#This Row],[Date]]="",IF(ROW()=ROW(tblSubjectToLoan[#Headers])+1,0,INDEX(tblSubjectToLoan[Interest],ROW()-ROW(tblSubjectToLoan[#Headers])-1)),tblSubjectToLoan[[#This Row],[Int]]+IF(ROW()=ROW(tblSubjectToLoan[#Headers])+1,0,INDEX(tblSubjectToLoan[Interest],ROW()-ROW(tblSubjectToLoan[#Headers])-1)))</f>
        <v>36068.259999999973</v>
      </c>
      <c r="K603" s="969">
        <f>IF(tblSubjectToLoan[[#This Row],[Date]]="",0,MAX(0,tblSubjectToLoan[[#This Row],[Beginning Balance]]-tblSubjectToLoan[[#This Row],[Princ]]))</f>
        <v>0</v>
      </c>
      <c r="L603" s="394">
        <f t="shared" si="47"/>
        <v>0</v>
      </c>
      <c r="M603" s="394">
        <f t="shared" si="48"/>
        <v>0</v>
      </c>
      <c r="N603" s="613" t="str">
        <f>INDEX(tblSubjectToLoan[Date],ROW()-ROW(tblContractForDeed[#Headers]))</f>
        <v/>
      </c>
      <c r="O603" s="276">
        <f>IF(ROW()=ROW(tblContractForDeed[#Headers])+1,$O$6,IF(INDEX(tblContractForDeed[End Bal],ROW()-ROW(tblContractForDeed[#Headers])-1)&lt;0,0,INDEX(tblContractForDeed[End Bal],ROW()-ROW(tblContractForDeed[#Headers])-1)))</f>
        <v>0</v>
      </c>
      <c r="P603" s="454"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3" s="276">
        <f>IF(INDEX(tblContractForDeed[End Bal],ROW()-ROW(tblBuyerOutputs[#Headers]))&lt;=0,0,($O$6+IF(ROW()=ROW(tblBuyerOutputs[#Headers])+1,0,INDEX(tblBuyerOutputs[Cumul Appr],ROW()-ROW(tblBuyerOutputs[#Headers])-1)))*$O$2/12)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13" t="str">
        <f>IF(ROW()=ROW(tblSubjectToLoan[#Headers])+1,subjectKnownBalanceDate,IF(OR(INDEX(tblSubjectToLoan[Date],ROW()-ROW(tblSubjectToLoan[#Headers])-1)="",INDEX(tblSubjectToLoan[Date],ROW()-ROW(tblSubjectToLoan[#Headers])-1)&gt;=subjectMortgageEndDate),"",EDATE(INDEX(tblSubjectToLoan[Date],ROW()-ROW(tblSubjectToLoan[#Headers])-1),1)))</f>
        <v/>
      </c>
      <c r="B604" s="276">
        <f>IF(tblSubjectToLoan[[#This Row],[Date]]="",0,IF(ROW()=ROW(tblSubjectToLoan[#Headers])+1,subjectKnownBalance,MAX(0,INDEX(tblSubjectToLoan[Ending Balance],ROW()-ROW(tblSubjectToLoan[#Headers])-1))))</f>
        <v>0</v>
      </c>
      <c r="C6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4" s="14">
        <f>IF(tblSubjectToLoan[[#This Row],[Payment]]=0,0,MAX(0,MIN(tblSubjectToLoan[[#This Row],[Beginning Balance]],tblSubjectToLoan[[#This Row],[Payment]]-tblSubjectToLoan[[#This Row],[Int]])))</f>
        <v>0</v>
      </c>
      <c r="E604" s="14">
        <f>IF(tblSubjectToLoan[[#This Row],[Date]]="",0,ROUND(tblSubjectToLoan[[#This Row],[Beginning Balance]]*(subjectInterestRate/12),2))</f>
        <v>0</v>
      </c>
      <c r="H604" s="14">
        <f>SUM(tblSubjectToLoan[[#This Row],[Princ]],tblSubjectToLoan[[#This Row],[Int]],tblSubjectToLoan[[#This Row],[Ins]],tblSubjectToLoan[[#This Row],[Taxes]])</f>
        <v>0</v>
      </c>
      <c r="I6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4" s="276">
        <f>IF(tblSubjectToLoan[[#This Row],[Date]]="",IF(ROW()=ROW(tblSubjectToLoan[#Headers])+1,0,INDEX(tblSubjectToLoan[Interest],ROW()-ROW(tblSubjectToLoan[#Headers])-1)),tblSubjectToLoan[[#This Row],[Int]]+IF(ROW()=ROW(tblSubjectToLoan[#Headers])+1,0,INDEX(tblSubjectToLoan[Interest],ROW()-ROW(tblSubjectToLoan[#Headers])-1)))</f>
        <v>36068.259999999973</v>
      </c>
      <c r="K604" s="969">
        <f>IF(tblSubjectToLoan[[#This Row],[Date]]="",0,MAX(0,tblSubjectToLoan[[#This Row],[Beginning Balance]]-tblSubjectToLoan[[#This Row],[Princ]]))</f>
        <v>0</v>
      </c>
      <c r="L604" s="394">
        <f t="shared" si="47"/>
        <v>0</v>
      </c>
      <c r="M604" s="394">
        <f t="shared" si="48"/>
        <v>0</v>
      </c>
      <c r="N604" s="613" t="str">
        <f>INDEX(tblSubjectToLoan[Date],ROW()-ROW(tblContractForDeed[#Headers]))</f>
        <v/>
      </c>
      <c r="O604" s="276">
        <f>IF(ROW()=ROW(tblContractForDeed[#Headers])+1,$O$6,IF(INDEX(tblContractForDeed[End Bal],ROW()-ROW(tblContractForDeed[#Headers])-1)&lt;0,0,INDEX(tblContractForDeed[End Bal],ROW()-ROW(tblContractForDeed[#Headers])-1)))</f>
        <v>0</v>
      </c>
      <c r="P604" s="454"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4" s="276">
        <f>IF(INDEX(tblContractForDeed[End Bal],ROW()-ROW(tblBuyerOutputs[#Headers]))&lt;=0,0,($O$6+IF(ROW()=ROW(tblBuyerOutputs[#Headers])+1,0,INDEX(tblBuyerOutputs[Cumul Appr],ROW()-ROW(tblBuyerOutputs[#Headers])-1)))*$O$2/12)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13" t="str">
        <f>IF(ROW()=ROW(tblSubjectToLoan[#Headers])+1,subjectKnownBalanceDate,IF(OR(INDEX(tblSubjectToLoan[Date],ROW()-ROW(tblSubjectToLoan[#Headers])-1)="",INDEX(tblSubjectToLoan[Date],ROW()-ROW(tblSubjectToLoan[#Headers])-1)&gt;=subjectMortgageEndDate),"",EDATE(INDEX(tblSubjectToLoan[Date],ROW()-ROW(tblSubjectToLoan[#Headers])-1),1)))</f>
        <v/>
      </c>
      <c r="B605" s="276">
        <f>IF(tblSubjectToLoan[[#This Row],[Date]]="",0,IF(ROW()=ROW(tblSubjectToLoan[#Headers])+1,subjectKnownBalance,MAX(0,INDEX(tblSubjectToLoan[Ending Balance],ROW()-ROW(tblSubjectToLoan[#Headers])-1))))</f>
        <v>0</v>
      </c>
      <c r="C6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5" s="14">
        <f>IF(tblSubjectToLoan[[#This Row],[Payment]]=0,0,MAX(0,MIN(tblSubjectToLoan[[#This Row],[Beginning Balance]],tblSubjectToLoan[[#This Row],[Payment]]-tblSubjectToLoan[[#This Row],[Int]])))</f>
        <v>0</v>
      </c>
      <c r="E605" s="14">
        <f>IF(tblSubjectToLoan[[#This Row],[Date]]="",0,ROUND(tblSubjectToLoan[[#This Row],[Beginning Balance]]*(subjectInterestRate/12),2))</f>
        <v>0</v>
      </c>
      <c r="H605" s="14">
        <f>SUM(tblSubjectToLoan[[#This Row],[Princ]],tblSubjectToLoan[[#This Row],[Int]],tblSubjectToLoan[[#This Row],[Ins]],tblSubjectToLoan[[#This Row],[Taxes]])</f>
        <v>0</v>
      </c>
      <c r="I6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5" s="276">
        <f>IF(tblSubjectToLoan[[#This Row],[Date]]="",IF(ROW()=ROW(tblSubjectToLoan[#Headers])+1,0,INDEX(tblSubjectToLoan[Interest],ROW()-ROW(tblSubjectToLoan[#Headers])-1)),tblSubjectToLoan[[#This Row],[Int]]+IF(ROW()=ROW(tblSubjectToLoan[#Headers])+1,0,INDEX(tblSubjectToLoan[Interest],ROW()-ROW(tblSubjectToLoan[#Headers])-1)))</f>
        <v>36068.259999999973</v>
      </c>
      <c r="K605" s="969">
        <f>IF(tblSubjectToLoan[[#This Row],[Date]]="",0,MAX(0,tblSubjectToLoan[[#This Row],[Beginning Balance]]-tblSubjectToLoan[[#This Row],[Princ]]))</f>
        <v>0</v>
      </c>
      <c r="L605" s="394">
        <f t="shared" si="47"/>
        <v>0</v>
      </c>
      <c r="M605" s="394">
        <f t="shared" si="48"/>
        <v>0</v>
      </c>
      <c r="N605" s="613" t="str">
        <f>INDEX(tblSubjectToLoan[Date],ROW()-ROW(tblContractForDeed[#Headers]))</f>
        <v/>
      </c>
      <c r="O605" s="276">
        <f>IF(ROW()=ROW(tblContractForDeed[#Headers])+1,$O$6,IF(INDEX(tblContractForDeed[End Bal],ROW()-ROW(tblContractForDeed[#Headers])-1)&lt;0,0,INDEX(tblContractForDeed[End Bal],ROW()-ROW(tblContractForDeed[#Headers])-1)))</f>
        <v>0</v>
      </c>
      <c r="P605" s="454"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5" s="276">
        <f>IF(INDEX(tblContractForDeed[End Bal],ROW()-ROW(tblBuyerOutputs[#Headers]))&lt;=0,0,($O$6+IF(ROW()=ROW(tblBuyerOutputs[#Headers])+1,0,INDEX(tblBuyerOutputs[Cumul Appr],ROW()-ROW(tblBuyerOutputs[#Headers])-1)))*$O$2/12)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13" t="str">
        <f>IF(ROW()=ROW(tblSubjectToLoan[#Headers])+1,subjectKnownBalanceDate,IF(OR(INDEX(tblSubjectToLoan[Date],ROW()-ROW(tblSubjectToLoan[#Headers])-1)="",INDEX(tblSubjectToLoan[Date],ROW()-ROW(tblSubjectToLoan[#Headers])-1)&gt;=subjectMortgageEndDate),"",EDATE(INDEX(tblSubjectToLoan[Date],ROW()-ROW(tblSubjectToLoan[#Headers])-1),1)))</f>
        <v/>
      </c>
      <c r="B606" s="276">
        <f>IF(tblSubjectToLoan[[#This Row],[Date]]="",0,IF(ROW()=ROW(tblSubjectToLoan[#Headers])+1,subjectKnownBalance,MAX(0,INDEX(tblSubjectToLoan[Ending Balance],ROW()-ROW(tblSubjectToLoan[#Headers])-1))))</f>
        <v>0</v>
      </c>
      <c r="C6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6" s="14">
        <f>IF(tblSubjectToLoan[[#This Row],[Payment]]=0,0,MAX(0,MIN(tblSubjectToLoan[[#This Row],[Beginning Balance]],tblSubjectToLoan[[#This Row],[Payment]]-tblSubjectToLoan[[#This Row],[Int]])))</f>
        <v>0</v>
      </c>
      <c r="E606" s="14">
        <f>IF(tblSubjectToLoan[[#This Row],[Date]]="",0,ROUND(tblSubjectToLoan[[#This Row],[Beginning Balance]]*(subjectInterestRate/12),2))</f>
        <v>0</v>
      </c>
      <c r="H606" s="14">
        <f>SUM(tblSubjectToLoan[[#This Row],[Princ]],tblSubjectToLoan[[#This Row],[Int]],tblSubjectToLoan[[#This Row],[Ins]],tblSubjectToLoan[[#This Row],[Taxes]])</f>
        <v>0</v>
      </c>
      <c r="I6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6" s="276">
        <f>IF(tblSubjectToLoan[[#This Row],[Date]]="",IF(ROW()=ROW(tblSubjectToLoan[#Headers])+1,0,INDEX(tblSubjectToLoan[Interest],ROW()-ROW(tblSubjectToLoan[#Headers])-1)),tblSubjectToLoan[[#This Row],[Int]]+IF(ROW()=ROW(tblSubjectToLoan[#Headers])+1,0,INDEX(tblSubjectToLoan[Interest],ROW()-ROW(tblSubjectToLoan[#Headers])-1)))</f>
        <v>36068.259999999973</v>
      </c>
      <c r="K606" s="969">
        <f>IF(tblSubjectToLoan[[#This Row],[Date]]="",0,MAX(0,tblSubjectToLoan[[#This Row],[Beginning Balance]]-tblSubjectToLoan[[#This Row],[Princ]]))</f>
        <v>0</v>
      </c>
      <c r="L606" s="394">
        <f t="shared" si="47"/>
        <v>0</v>
      </c>
      <c r="M606" s="394">
        <f t="shared" si="48"/>
        <v>0</v>
      </c>
      <c r="N606" s="613" t="str">
        <f>INDEX(tblSubjectToLoan[Date],ROW()-ROW(tblContractForDeed[#Headers]))</f>
        <v/>
      </c>
      <c r="O606" s="276">
        <f>IF(ROW()=ROW(tblContractForDeed[#Headers])+1,$O$6,IF(INDEX(tblContractForDeed[End Bal],ROW()-ROW(tblContractForDeed[#Headers])-1)&lt;0,0,INDEX(tblContractForDeed[End Bal],ROW()-ROW(tblContractForDeed[#Headers])-1)))</f>
        <v>0</v>
      </c>
      <c r="P606" s="454"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6" s="276">
        <f>IF(INDEX(tblContractForDeed[End Bal],ROW()-ROW(tblBuyerOutputs[#Headers]))&lt;=0,0,($O$6+IF(ROW()=ROW(tblBuyerOutputs[#Headers])+1,0,INDEX(tblBuyerOutputs[Cumul Appr],ROW()-ROW(tblBuyerOutputs[#Headers])-1)))*$O$2/12)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14" t="str">
        <f>IF(ROW()=ROW(tblSubjectToLoan[#Headers])+1,subjectKnownBalanceDate,IF(OR(INDEX(tblSubjectToLoan[Date],ROW()-ROW(tblSubjectToLoan[#Headers])-1)="",INDEX(tblSubjectToLoan[Date],ROW()-ROW(tblSubjectToLoan[#Headers])-1)&gt;=subjectMortgageEndDate),"",EDATE(INDEX(tblSubjectToLoan[Date],ROW()-ROW(tblSubjectToLoan[#Headers])-1),1)))</f>
        <v/>
      </c>
      <c r="B607" s="332">
        <f>IF(tblSubjectToLoan[[#This Row],[Date]]="",0,IF(ROW()=ROW(tblSubjectToLoan[#Headers])+1,subjectKnownBalance,MAX(0,INDEX(tblSubjectToLoan[Ending Balance],ROW()-ROW(tblSubjectToLoan[#Headers])-1))))</f>
        <v>0</v>
      </c>
      <c r="C60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7" s="21">
        <f>IF(tblSubjectToLoan[[#This Row],[Payment]]=0,0,MAX(0,MIN(tblSubjectToLoan[[#This Row],[Beginning Balance]],tblSubjectToLoan[[#This Row],[Payment]]-tblSubjectToLoan[[#This Row],[Int]])))</f>
        <v>0</v>
      </c>
      <c r="E607" s="21">
        <f>IF(tblSubjectToLoan[[#This Row],[Date]]="",0,ROUND(tblSubjectToLoan[[#This Row],[Beginning Balance]]*(subjectInterestRate/12),2))</f>
        <v>0</v>
      </c>
      <c r="F607" s="21"/>
      <c r="G607" s="21"/>
      <c r="H607" s="21">
        <f>SUM(tblSubjectToLoan[[#This Row],[Princ]],tblSubjectToLoan[[#This Row],[Int]],tblSubjectToLoan[[#This Row],[Ins]],tblSubjectToLoan[[#This Row],[Taxes]])</f>
        <v>0</v>
      </c>
      <c r="I60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07" s="332">
        <f>IF(tblSubjectToLoan[[#This Row],[Date]]="",IF(ROW()=ROW(tblSubjectToLoan[#Headers])+1,0,INDEX(tblSubjectToLoan[Interest],ROW()-ROW(tblSubjectToLoan[#Headers])-1)),tblSubjectToLoan[[#This Row],[Int]]+IF(ROW()=ROW(tblSubjectToLoan[#Headers])+1,0,INDEX(tblSubjectToLoan[Interest],ROW()-ROW(tblSubjectToLoan[#Headers])-1)))</f>
        <v>36068.259999999973</v>
      </c>
      <c r="K607" s="970">
        <f>IF(tblSubjectToLoan[[#This Row],[Date]]="",0,MAX(0,tblSubjectToLoan[[#This Row],[Beginning Balance]]-tblSubjectToLoan[[#This Row],[Princ]]))</f>
        <v>0</v>
      </c>
      <c r="L607" s="395">
        <f t="shared" si="47"/>
        <v>0</v>
      </c>
      <c r="M607" s="395">
        <f t="shared" si="48"/>
        <v>0</v>
      </c>
      <c r="N607" s="614" t="str">
        <f>INDEX(tblSubjectToLoan[Date],ROW()-ROW(tblContractForDeed[#Headers]))</f>
        <v/>
      </c>
      <c r="O607" s="332">
        <f>IF(ROW()=ROW(tblContractForDeed[#Headers])+1,$O$6,IF(INDEX(tblContractForDeed[End Bal],ROW()-ROW(tblContractForDeed[#Headers])-1)&lt;0,0,INDEX(tblContractForDeed[End Bal],ROW()-ROW(tblContractForDeed[#Headers])-1)))</f>
        <v>0</v>
      </c>
      <c r="P607" s="454"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7" s="332">
        <f>IF(INDEX(tblContractForDeed[End Bal],ROW()-ROW(tblBuyerOutputs[#Headers]))&lt;=0,0,($O$6+IF(ROW()=ROW(tblBuyerOutputs[#Headers])+1,0,INDEX(tblBuyerOutputs[Cumul Appr],ROW()-ROW(tblBuyerOutputs[#Headers])-1)))*$O$2/12)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13" t="str">
        <f>IF(ROW()=ROW(tblSubjectToLoan[#Headers])+1,subjectKnownBalanceDate,IF(OR(INDEX(tblSubjectToLoan[Date],ROW()-ROW(tblSubjectToLoan[#Headers])-1)="",INDEX(tblSubjectToLoan[Date],ROW()-ROW(tblSubjectToLoan[#Headers])-1)&gt;=subjectMortgageEndDate),"",EDATE(INDEX(tblSubjectToLoan[Date],ROW()-ROW(tblSubjectToLoan[#Headers])-1),1)))</f>
        <v/>
      </c>
      <c r="B608" s="276">
        <f>IF(tblSubjectToLoan[[#This Row],[Date]]="",0,IF(ROW()=ROW(tblSubjectToLoan[#Headers])+1,subjectKnownBalance,MAX(0,INDEX(tblSubjectToLoan[Ending Balance],ROW()-ROW(tblSubjectToLoan[#Headers])-1))))</f>
        <v>0</v>
      </c>
      <c r="C6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8" s="14">
        <f>IF(tblSubjectToLoan[[#This Row],[Payment]]=0,0,MAX(0,MIN(tblSubjectToLoan[[#This Row],[Beginning Balance]],tblSubjectToLoan[[#This Row],[Payment]]-tblSubjectToLoan[[#This Row],[Int]])))</f>
        <v>0</v>
      </c>
      <c r="E608" s="14">
        <f>IF(tblSubjectToLoan[[#This Row],[Date]]="",0,ROUND(tblSubjectToLoan[[#This Row],[Beginning Balance]]*(subjectInterestRate/12),2))</f>
        <v>0</v>
      </c>
      <c r="H608" s="14">
        <f>SUM(tblSubjectToLoan[[#This Row],[Princ]],tblSubjectToLoan[[#This Row],[Int]],tblSubjectToLoan[[#This Row],[Ins]],tblSubjectToLoan[[#This Row],[Taxes]])</f>
        <v>0</v>
      </c>
      <c r="I6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8" s="276">
        <f>IF(tblSubjectToLoan[[#This Row],[Date]]="",IF(ROW()=ROW(tblSubjectToLoan[#Headers])+1,0,INDEX(tblSubjectToLoan[Interest],ROW()-ROW(tblSubjectToLoan[#Headers])-1)),tblSubjectToLoan[[#This Row],[Int]]+IF(ROW()=ROW(tblSubjectToLoan[#Headers])+1,0,INDEX(tblSubjectToLoan[Interest],ROW()-ROW(tblSubjectToLoan[#Headers])-1)))</f>
        <v>36068.259999999973</v>
      </c>
      <c r="K608" s="969">
        <f>IF(tblSubjectToLoan[[#This Row],[Date]]="",0,MAX(0,tblSubjectToLoan[[#This Row],[Beginning Balance]]-tblSubjectToLoan[[#This Row],[Princ]]))</f>
        <v>0</v>
      </c>
      <c r="L608" s="394">
        <f t="shared" si="47"/>
        <v>0</v>
      </c>
      <c r="M608" s="394">
        <f t="shared" si="48"/>
        <v>0</v>
      </c>
      <c r="N608" s="613" t="str">
        <f>INDEX(tblSubjectToLoan[Date],ROW()-ROW(tblContractForDeed[#Headers]))</f>
        <v/>
      </c>
      <c r="O608" s="276">
        <f>IF(ROW()=ROW(tblContractForDeed[#Headers])+1,$O$6,IF(INDEX(tblContractForDeed[End Bal],ROW()-ROW(tblContractForDeed[#Headers])-1)&lt;0,0,INDEX(tblContractForDeed[End Bal],ROW()-ROW(tblContractForDeed[#Headers])-1)))</f>
        <v>0</v>
      </c>
      <c r="P608" s="454"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8" s="276">
        <f>IF(INDEX(tblContractForDeed[End Bal],ROW()-ROW(tblBuyerOutputs[#Headers]))&lt;=0,0,($O$6+IF(ROW()=ROW(tblBuyerOutputs[#Headers])+1,0,INDEX(tblBuyerOutputs[Cumul Appr],ROW()-ROW(tblBuyerOutputs[#Headers])-1)))*$O$2/12)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13" t="str">
        <f>IF(ROW()=ROW(tblSubjectToLoan[#Headers])+1,subjectKnownBalanceDate,IF(OR(INDEX(tblSubjectToLoan[Date],ROW()-ROW(tblSubjectToLoan[#Headers])-1)="",INDEX(tblSubjectToLoan[Date],ROW()-ROW(tblSubjectToLoan[#Headers])-1)&gt;=subjectMortgageEndDate),"",EDATE(INDEX(tblSubjectToLoan[Date],ROW()-ROW(tblSubjectToLoan[#Headers])-1),1)))</f>
        <v/>
      </c>
      <c r="B609" s="276">
        <f>IF(tblSubjectToLoan[[#This Row],[Date]]="",0,IF(ROW()=ROW(tblSubjectToLoan[#Headers])+1,subjectKnownBalance,MAX(0,INDEX(tblSubjectToLoan[Ending Balance],ROW()-ROW(tblSubjectToLoan[#Headers])-1))))</f>
        <v>0</v>
      </c>
      <c r="C6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9" s="14">
        <f>IF(tblSubjectToLoan[[#This Row],[Payment]]=0,0,MAX(0,MIN(tblSubjectToLoan[[#This Row],[Beginning Balance]],tblSubjectToLoan[[#This Row],[Payment]]-tblSubjectToLoan[[#This Row],[Int]])))</f>
        <v>0</v>
      </c>
      <c r="E609" s="14">
        <f>IF(tblSubjectToLoan[[#This Row],[Date]]="",0,ROUND(tblSubjectToLoan[[#This Row],[Beginning Balance]]*(subjectInterestRate/12),2))</f>
        <v>0</v>
      </c>
      <c r="H609" s="14">
        <f>SUM(tblSubjectToLoan[[#This Row],[Princ]],tblSubjectToLoan[[#This Row],[Int]],tblSubjectToLoan[[#This Row],[Ins]],tblSubjectToLoan[[#This Row],[Taxes]])</f>
        <v>0</v>
      </c>
      <c r="I6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9" s="276">
        <f>IF(tblSubjectToLoan[[#This Row],[Date]]="",IF(ROW()=ROW(tblSubjectToLoan[#Headers])+1,0,INDEX(tblSubjectToLoan[Interest],ROW()-ROW(tblSubjectToLoan[#Headers])-1)),tblSubjectToLoan[[#This Row],[Int]]+IF(ROW()=ROW(tblSubjectToLoan[#Headers])+1,0,INDEX(tblSubjectToLoan[Interest],ROW()-ROW(tblSubjectToLoan[#Headers])-1)))</f>
        <v>36068.259999999973</v>
      </c>
      <c r="K609" s="969">
        <f>IF(tblSubjectToLoan[[#This Row],[Date]]="",0,MAX(0,tblSubjectToLoan[[#This Row],[Beginning Balance]]-tblSubjectToLoan[[#This Row],[Princ]]))</f>
        <v>0</v>
      </c>
      <c r="L609" s="394">
        <f t="shared" si="47"/>
        <v>0</v>
      </c>
      <c r="M609" s="394">
        <f t="shared" si="48"/>
        <v>0</v>
      </c>
      <c r="N609" s="613" t="str">
        <f>INDEX(tblSubjectToLoan[Date],ROW()-ROW(tblContractForDeed[#Headers]))</f>
        <v/>
      </c>
      <c r="O609" s="276">
        <f>IF(ROW()=ROW(tblContractForDeed[#Headers])+1,$O$6,IF(INDEX(tblContractForDeed[End Bal],ROW()-ROW(tblContractForDeed[#Headers])-1)&lt;0,0,INDEX(tblContractForDeed[End Bal],ROW()-ROW(tblContractForDeed[#Headers])-1)))</f>
        <v>0</v>
      </c>
      <c r="P609" s="454"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9" s="276">
        <f>IF(INDEX(tblContractForDeed[End Bal],ROW()-ROW(tblBuyerOutputs[#Headers]))&lt;=0,0,($O$6+IF(ROW()=ROW(tblBuyerOutputs[#Headers])+1,0,INDEX(tblBuyerOutputs[Cumul Appr],ROW()-ROW(tblBuyerOutputs[#Headers])-1)))*$O$2/12)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13" t="str">
        <f>IF(ROW()=ROW(tblSubjectToLoan[#Headers])+1,subjectKnownBalanceDate,IF(OR(INDEX(tblSubjectToLoan[Date],ROW()-ROW(tblSubjectToLoan[#Headers])-1)="",INDEX(tblSubjectToLoan[Date],ROW()-ROW(tblSubjectToLoan[#Headers])-1)&gt;=subjectMortgageEndDate),"",EDATE(INDEX(tblSubjectToLoan[Date],ROW()-ROW(tblSubjectToLoan[#Headers])-1),1)))</f>
        <v/>
      </c>
      <c r="B610" s="276">
        <f>IF(tblSubjectToLoan[[#This Row],[Date]]="",0,IF(ROW()=ROW(tblSubjectToLoan[#Headers])+1,subjectKnownBalance,MAX(0,INDEX(tblSubjectToLoan[Ending Balance],ROW()-ROW(tblSubjectToLoan[#Headers])-1))))</f>
        <v>0</v>
      </c>
      <c r="C6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0" s="14">
        <f>IF(tblSubjectToLoan[[#This Row],[Payment]]=0,0,MAX(0,MIN(tblSubjectToLoan[[#This Row],[Beginning Balance]],tblSubjectToLoan[[#This Row],[Payment]]-tblSubjectToLoan[[#This Row],[Int]])))</f>
        <v>0</v>
      </c>
      <c r="E610" s="14">
        <f>IF(tblSubjectToLoan[[#This Row],[Date]]="",0,ROUND(tblSubjectToLoan[[#This Row],[Beginning Balance]]*(subjectInterestRate/12),2))</f>
        <v>0</v>
      </c>
      <c r="H610" s="14">
        <f>SUM(tblSubjectToLoan[[#This Row],[Princ]],tblSubjectToLoan[[#This Row],[Int]],tblSubjectToLoan[[#This Row],[Ins]],tblSubjectToLoan[[#This Row],[Taxes]])</f>
        <v>0</v>
      </c>
      <c r="I6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0" s="276">
        <f>IF(tblSubjectToLoan[[#This Row],[Date]]="",IF(ROW()=ROW(tblSubjectToLoan[#Headers])+1,0,INDEX(tblSubjectToLoan[Interest],ROW()-ROW(tblSubjectToLoan[#Headers])-1)),tblSubjectToLoan[[#This Row],[Int]]+IF(ROW()=ROW(tblSubjectToLoan[#Headers])+1,0,INDEX(tblSubjectToLoan[Interest],ROW()-ROW(tblSubjectToLoan[#Headers])-1)))</f>
        <v>36068.259999999973</v>
      </c>
      <c r="K610" s="969">
        <f>IF(tblSubjectToLoan[[#This Row],[Date]]="",0,MAX(0,tblSubjectToLoan[[#This Row],[Beginning Balance]]-tblSubjectToLoan[[#This Row],[Princ]]))</f>
        <v>0</v>
      </c>
      <c r="L610" s="394">
        <f t="shared" si="47"/>
        <v>0</v>
      </c>
      <c r="M610" s="394">
        <f t="shared" si="48"/>
        <v>0</v>
      </c>
      <c r="N610" s="613" t="str">
        <f>INDEX(tblSubjectToLoan[Date],ROW()-ROW(tblContractForDeed[#Headers]))</f>
        <v/>
      </c>
      <c r="O610" s="276">
        <f>IF(ROW()=ROW(tblContractForDeed[#Headers])+1,$O$6,IF(INDEX(tblContractForDeed[End Bal],ROW()-ROW(tblContractForDeed[#Headers])-1)&lt;0,0,INDEX(tblContractForDeed[End Bal],ROW()-ROW(tblContractForDeed[#Headers])-1)))</f>
        <v>0</v>
      </c>
      <c r="P610" s="454"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0" s="276">
        <f>IF(INDEX(tblContractForDeed[End Bal],ROW()-ROW(tblBuyerOutputs[#Headers]))&lt;=0,0,($O$6+IF(ROW()=ROW(tblBuyerOutputs[#Headers])+1,0,INDEX(tblBuyerOutputs[Cumul Appr],ROW()-ROW(tblBuyerOutputs[#Headers])-1)))*$O$2/12)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13" t="str">
        <f>IF(ROW()=ROW(tblSubjectToLoan[#Headers])+1,subjectKnownBalanceDate,IF(OR(INDEX(tblSubjectToLoan[Date],ROW()-ROW(tblSubjectToLoan[#Headers])-1)="",INDEX(tblSubjectToLoan[Date],ROW()-ROW(tblSubjectToLoan[#Headers])-1)&gt;=subjectMortgageEndDate),"",EDATE(INDEX(tblSubjectToLoan[Date],ROW()-ROW(tblSubjectToLoan[#Headers])-1),1)))</f>
        <v/>
      </c>
      <c r="B611" s="276">
        <f>IF(tblSubjectToLoan[[#This Row],[Date]]="",0,IF(ROW()=ROW(tblSubjectToLoan[#Headers])+1,subjectKnownBalance,MAX(0,INDEX(tblSubjectToLoan[Ending Balance],ROW()-ROW(tblSubjectToLoan[#Headers])-1))))</f>
        <v>0</v>
      </c>
      <c r="C6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1" s="14">
        <f>IF(tblSubjectToLoan[[#This Row],[Payment]]=0,0,MAX(0,MIN(tblSubjectToLoan[[#This Row],[Beginning Balance]],tblSubjectToLoan[[#This Row],[Payment]]-tblSubjectToLoan[[#This Row],[Int]])))</f>
        <v>0</v>
      </c>
      <c r="E611" s="14">
        <f>IF(tblSubjectToLoan[[#This Row],[Date]]="",0,ROUND(tblSubjectToLoan[[#This Row],[Beginning Balance]]*(subjectInterestRate/12),2))</f>
        <v>0</v>
      </c>
      <c r="H611" s="14">
        <f>SUM(tblSubjectToLoan[[#This Row],[Princ]],tblSubjectToLoan[[#This Row],[Int]],tblSubjectToLoan[[#This Row],[Ins]],tblSubjectToLoan[[#This Row],[Taxes]])</f>
        <v>0</v>
      </c>
      <c r="I6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1" s="276">
        <f>IF(tblSubjectToLoan[[#This Row],[Date]]="",IF(ROW()=ROW(tblSubjectToLoan[#Headers])+1,0,INDEX(tblSubjectToLoan[Interest],ROW()-ROW(tblSubjectToLoan[#Headers])-1)),tblSubjectToLoan[[#This Row],[Int]]+IF(ROW()=ROW(tblSubjectToLoan[#Headers])+1,0,INDEX(tblSubjectToLoan[Interest],ROW()-ROW(tblSubjectToLoan[#Headers])-1)))</f>
        <v>36068.259999999973</v>
      </c>
      <c r="K611" s="969">
        <f>IF(tblSubjectToLoan[[#This Row],[Date]]="",0,MAX(0,tblSubjectToLoan[[#This Row],[Beginning Balance]]-tblSubjectToLoan[[#This Row],[Princ]]))</f>
        <v>0</v>
      </c>
      <c r="L611" s="394">
        <f t="shared" si="47"/>
        <v>0</v>
      </c>
      <c r="M611" s="394">
        <f t="shared" si="48"/>
        <v>0</v>
      </c>
      <c r="N611" s="613" t="str">
        <f>INDEX(tblSubjectToLoan[Date],ROW()-ROW(tblContractForDeed[#Headers]))</f>
        <v/>
      </c>
      <c r="O611" s="276">
        <f>IF(ROW()=ROW(tblContractForDeed[#Headers])+1,$O$6,IF(INDEX(tblContractForDeed[End Bal],ROW()-ROW(tblContractForDeed[#Headers])-1)&lt;0,0,INDEX(tblContractForDeed[End Bal],ROW()-ROW(tblContractForDeed[#Headers])-1)))</f>
        <v>0</v>
      </c>
      <c r="P611" s="454"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1" s="276">
        <f>IF(INDEX(tblContractForDeed[End Bal],ROW()-ROW(tblBuyerOutputs[#Headers]))&lt;=0,0,($O$6+IF(ROW()=ROW(tblBuyerOutputs[#Headers])+1,0,INDEX(tblBuyerOutputs[Cumul Appr],ROW()-ROW(tblBuyerOutputs[#Headers])-1)))*$O$2/12)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13" t="str">
        <f>IF(ROW()=ROW(tblSubjectToLoan[#Headers])+1,subjectKnownBalanceDate,IF(OR(INDEX(tblSubjectToLoan[Date],ROW()-ROW(tblSubjectToLoan[#Headers])-1)="",INDEX(tblSubjectToLoan[Date],ROW()-ROW(tblSubjectToLoan[#Headers])-1)&gt;=subjectMortgageEndDate),"",EDATE(INDEX(tblSubjectToLoan[Date],ROW()-ROW(tblSubjectToLoan[#Headers])-1),1)))</f>
        <v/>
      </c>
      <c r="B612" s="276">
        <f>IF(tblSubjectToLoan[[#This Row],[Date]]="",0,IF(ROW()=ROW(tblSubjectToLoan[#Headers])+1,subjectKnownBalance,MAX(0,INDEX(tblSubjectToLoan[Ending Balance],ROW()-ROW(tblSubjectToLoan[#Headers])-1))))</f>
        <v>0</v>
      </c>
      <c r="C6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2" s="14">
        <f>IF(tblSubjectToLoan[[#This Row],[Payment]]=0,0,MAX(0,MIN(tblSubjectToLoan[[#This Row],[Beginning Balance]],tblSubjectToLoan[[#This Row],[Payment]]-tblSubjectToLoan[[#This Row],[Int]])))</f>
        <v>0</v>
      </c>
      <c r="E612" s="14">
        <f>IF(tblSubjectToLoan[[#This Row],[Date]]="",0,ROUND(tblSubjectToLoan[[#This Row],[Beginning Balance]]*(subjectInterestRate/12),2))</f>
        <v>0</v>
      </c>
      <c r="H612" s="14">
        <f>SUM(tblSubjectToLoan[[#This Row],[Princ]],tblSubjectToLoan[[#This Row],[Int]],tblSubjectToLoan[[#This Row],[Ins]],tblSubjectToLoan[[#This Row],[Taxes]])</f>
        <v>0</v>
      </c>
      <c r="I6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2" s="276">
        <f>IF(tblSubjectToLoan[[#This Row],[Date]]="",IF(ROW()=ROW(tblSubjectToLoan[#Headers])+1,0,INDEX(tblSubjectToLoan[Interest],ROW()-ROW(tblSubjectToLoan[#Headers])-1)),tblSubjectToLoan[[#This Row],[Int]]+IF(ROW()=ROW(tblSubjectToLoan[#Headers])+1,0,INDEX(tblSubjectToLoan[Interest],ROW()-ROW(tblSubjectToLoan[#Headers])-1)))</f>
        <v>36068.259999999973</v>
      </c>
      <c r="K612" s="969">
        <f>IF(tblSubjectToLoan[[#This Row],[Date]]="",0,MAX(0,tblSubjectToLoan[[#This Row],[Beginning Balance]]-tblSubjectToLoan[[#This Row],[Princ]]))</f>
        <v>0</v>
      </c>
      <c r="L612" s="394">
        <f t="shared" si="47"/>
        <v>0</v>
      </c>
      <c r="M612" s="394">
        <f t="shared" si="48"/>
        <v>0</v>
      </c>
      <c r="N612" s="613" t="str">
        <f>INDEX(tblSubjectToLoan[Date],ROW()-ROW(tblContractForDeed[#Headers]))</f>
        <v/>
      </c>
      <c r="O612" s="276">
        <f>IF(ROW()=ROW(tblContractForDeed[#Headers])+1,$O$6,IF(INDEX(tblContractForDeed[End Bal],ROW()-ROW(tblContractForDeed[#Headers])-1)&lt;0,0,INDEX(tblContractForDeed[End Bal],ROW()-ROW(tblContractForDeed[#Headers])-1)))</f>
        <v>0</v>
      </c>
      <c r="P612" s="454"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2" s="276">
        <f>IF(INDEX(tblContractForDeed[End Bal],ROW()-ROW(tblBuyerOutputs[#Headers]))&lt;=0,0,($O$6+IF(ROW()=ROW(tblBuyerOutputs[#Headers])+1,0,INDEX(tblBuyerOutputs[Cumul Appr],ROW()-ROW(tblBuyerOutputs[#Headers])-1)))*$O$2/12)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13" t="str">
        <f>IF(ROW()=ROW(tblSubjectToLoan[#Headers])+1,subjectKnownBalanceDate,IF(OR(INDEX(tblSubjectToLoan[Date],ROW()-ROW(tblSubjectToLoan[#Headers])-1)="",INDEX(tblSubjectToLoan[Date],ROW()-ROW(tblSubjectToLoan[#Headers])-1)&gt;=subjectMortgageEndDate),"",EDATE(INDEX(tblSubjectToLoan[Date],ROW()-ROW(tblSubjectToLoan[#Headers])-1),1)))</f>
        <v/>
      </c>
      <c r="B613" s="276">
        <f>IF(tblSubjectToLoan[[#This Row],[Date]]="",0,IF(ROW()=ROW(tblSubjectToLoan[#Headers])+1,subjectKnownBalance,MAX(0,INDEX(tblSubjectToLoan[Ending Balance],ROW()-ROW(tblSubjectToLoan[#Headers])-1))))</f>
        <v>0</v>
      </c>
      <c r="C6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3" s="14">
        <f>IF(tblSubjectToLoan[[#This Row],[Payment]]=0,0,MAX(0,MIN(tblSubjectToLoan[[#This Row],[Beginning Balance]],tblSubjectToLoan[[#This Row],[Payment]]-tblSubjectToLoan[[#This Row],[Int]])))</f>
        <v>0</v>
      </c>
      <c r="E613" s="14">
        <f>IF(tblSubjectToLoan[[#This Row],[Date]]="",0,ROUND(tblSubjectToLoan[[#This Row],[Beginning Balance]]*(subjectInterestRate/12),2))</f>
        <v>0</v>
      </c>
      <c r="H613" s="14">
        <f>SUM(tblSubjectToLoan[[#This Row],[Princ]],tblSubjectToLoan[[#This Row],[Int]],tblSubjectToLoan[[#This Row],[Ins]],tblSubjectToLoan[[#This Row],[Taxes]])</f>
        <v>0</v>
      </c>
      <c r="I6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3" s="276">
        <f>IF(tblSubjectToLoan[[#This Row],[Date]]="",IF(ROW()=ROW(tblSubjectToLoan[#Headers])+1,0,INDEX(tblSubjectToLoan[Interest],ROW()-ROW(tblSubjectToLoan[#Headers])-1)),tblSubjectToLoan[[#This Row],[Int]]+IF(ROW()=ROW(tblSubjectToLoan[#Headers])+1,0,INDEX(tblSubjectToLoan[Interest],ROW()-ROW(tblSubjectToLoan[#Headers])-1)))</f>
        <v>36068.259999999973</v>
      </c>
      <c r="K613" s="969">
        <f>IF(tblSubjectToLoan[[#This Row],[Date]]="",0,MAX(0,tblSubjectToLoan[[#This Row],[Beginning Balance]]-tblSubjectToLoan[[#This Row],[Princ]]))</f>
        <v>0</v>
      </c>
      <c r="L613" s="394">
        <f t="shared" si="47"/>
        <v>0</v>
      </c>
      <c r="M613" s="394">
        <f t="shared" si="48"/>
        <v>0</v>
      </c>
      <c r="N613" s="613" t="str">
        <f>INDEX(tblSubjectToLoan[Date],ROW()-ROW(tblContractForDeed[#Headers]))</f>
        <v/>
      </c>
      <c r="O613" s="276">
        <f>IF(ROW()=ROW(tblContractForDeed[#Headers])+1,$O$6,IF(INDEX(tblContractForDeed[End Bal],ROW()-ROW(tblContractForDeed[#Headers])-1)&lt;0,0,INDEX(tblContractForDeed[End Bal],ROW()-ROW(tblContractForDeed[#Headers])-1)))</f>
        <v>0</v>
      </c>
      <c r="P613" s="454"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3" s="276">
        <f>IF(INDEX(tblContractForDeed[End Bal],ROW()-ROW(tblBuyerOutputs[#Headers]))&lt;=0,0,($O$6+IF(ROW()=ROW(tblBuyerOutputs[#Headers])+1,0,INDEX(tblBuyerOutputs[Cumul Appr],ROW()-ROW(tblBuyerOutputs[#Headers])-1)))*$O$2/12)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13" t="str">
        <f>IF(ROW()=ROW(tblSubjectToLoan[#Headers])+1,subjectKnownBalanceDate,IF(OR(INDEX(tblSubjectToLoan[Date],ROW()-ROW(tblSubjectToLoan[#Headers])-1)="",INDEX(tblSubjectToLoan[Date],ROW()-ROW(tblSubjectToLoan[#Headers])-1)&gt;=subjectMortgageEndDate),"",EDATE(INDEX(tblSubjectToLoan[Date],ROW()-ROW(tblSubjectToLoan[#Headers])-1),1)))</f>
        <v/>
      </c>
      <c r="B614" s="276">
        <f>IF(tblSubjectToLoan[[#This Row],[Date]]="",0,IF(ROW()=ROW(tblSubjectToLoan[#Headers])+1,subjectKnownBalance,MAX(0,INDEX(tblSubjectToLoan[Ending Balance],ROW()-ROW(tblSubjectToLoan[#Headers])-1))))</f>
        <v>0</v>
      </c>
      <c r="C6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4" s="14">
        <f>IF(tblSubjectToLoan[[#This Row],[Payment]]=0,0,MAX(0,MIN(tblSubjectToLoan[[#This Row],[Beginning Balance]],tblSubjectToLoan[[#This Row],[Payment]]-tblSubjectToLoan[[#This Row],[Int]])))</f>
        <v>0</v>
      </c>
      <c r="E614" s="14">
        <f>IF(tblSubjectToLoan[[#This Row],[Date]]="",0,ROUND(tblSubjectToLoan[[#This Row],[Beginning Balance]]*(subjectInterestRate/12),2))</f>
        <v>0</v>
      </c>
      <c r="H614" s="14">
        <f>SUM(tblSubjectToLoan[[#This Row],[Princ]],tblSubjectToLoan[[#This Row],[Int]],tblSubjectToLoan[[#This Row],[Ins]],tblSubjectToLoan[[#This Row],[Taxes]])</f>
        <v>0</v>
      </c>
      <c r="I6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4" s="276">
        <f>IF(tblSubjectToLoan[[#This Row],[Date]]="",IF(ROW()=ROW(tblSubjectToLoan[#Headers])+1,0,INDEX(tblSubjectToLoan[Interest],ROW()-ROW(tblSubjectToLoan[#Headers])-1)),tblSubjectToLoan[[#This Row],[Int]]+IF(ROW()=ROW(tblSubjectToLoan[#Headers])+1,0,INDEX(tblSubjectToLoan[Interest],ROW()-ROW(tblSubjectToLoan[#Headers])-1)))</f>
        <v>36068.259999999973</v>
      </c>
      <c r="K614" s="969">
        <f>IF(tblSubjectToLoan[[#This Row],[Date]]="",0,MAX(0,tblSubjectToLoan[[#This Row],[Beginning Balance]]-tblSubjectToLoan[[#This Row],[Princ]]))</f>
        <v>0</v>
      </c>
      <c r="L614" s="394">
        <f t="shared" si="47"/>
        <v>0</v>
      </c>
      <c r="M614" s="394">
        <f t="shared" si="48"/>
        <v>0</v>
      </c>
      <c r="N614" s="613" t="str">
        <f>INDEX(tblSubjectToLoan[Date],ROW()-ROW(tblContractForDeed[#Headers]))</f>
        <v/>
      </c>
      <c r="O614" s="276">
        <f>IF(ROW()=ROW(tblContractForDeed[#Headers])+1,$O$6,IF(INDEX(tblContractForDeed[End Bal],ROW()-ROW(tblContractForDeed[#Headers])-1)&lt;0,0,INDEX(tblContractForDeed[End Bal],ROW()-ROW(tblContractForDeed[#Headers])-1)))</f>
        <v>0</v>
      </c>
      <c r="P614" s="454"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4" s="276">
        <f>IF(INDEX(tblContractForDeed[End Bal],ROW()-ROW(tblBuyerOutputs[#Headers]))&lt;=0,0,($O$6+IF(ROW()=ROW(tblBuyerOutputs[#Headers])+1,0,INDEX(tblBuyerOutputs[Cumul Appr],ROW()-ROW(tblBuyerOutputs[#Headers])-1)))*$O$2/12)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13" t="str">
        <f>IF(ROW()=ROW(tblSubjectToLoan[#Headers])+1,subjectKnownBalanceDate,IF(OR(INDEX(tblSubjectToLoan[Date],ROW()-ROW(tblSubjectToLoan[#Headers])-1)="",INDEX(tblSubjectToLoan[Date],ROW()-ROW(tblSubjectToLoan[#Headers])-1)&gt;=subjectMortgageEndDate),"",EDATE(INDEX(tblSubjectToLoan[Date],ROW()-ROW(tblSubjectToLoan[#Headers])-1),1)))</f>
        <v/>
      </c>
      <c r="B615" s="276">
        <f>IF(tblSubjectToLoan[[#This Row],[Date]]="",0,IF(ROW()=ROW(tblSubjectToLoan[#Headers])+1,subjectKnownBalance,MAX(0,INDEX(tblSubjectToLoan[Ending Balance],ROW()-ROW(tblSubjectToLoan[#Headers])-1))))</f>
        <v>0</v>
      </c>
      <c r="C6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5" s="14">
        <f>IF(tblSubjectToLoan[[#This Row],[Payment]]=0,0,MAX(0,MIN(tblSubjectToLoan[[#This Row],[Beginning Balance]],tblSubjectToLoan[[#This Row],[Payment]]-tblSubjectToLoan[[#This Row],[Int]])))</f>
        <v>0</v>
      </c>
      <c r="E615" s="14">
        <f>IF(tblSubjectToLoan[[#This Row],[Date]]="",0,ROUND(tblSubjectToLoan[[#This Row],[Beginning Balance]]*(subjectInterestRate/12),2))</f>
        <v>0</v>
      </c>
      <c r="H615" s="14">
        <f>SUM(tblSubjectToLoan[[#This Row],[Princ]],tblSubjectToLoan[[#This Row],[Int]],tblSubjectToLoan[[#This Row],[Ins]],tblSubjectToLoan[[#This Row],[Taxes]])</f>
        <v>0</v>
      </c>
      <c r="I6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5" s="276">
        <f>IF(tblSubjectToLoan[[#This Row],[Date]]="",IF(ROW()=ROW(tblSubjectToLoan[#Headers])+1,0,INDEX(tblSubjectToLoan[Interest],ROW()-ROW(tblSubjectToLoan[#Headers])-1)),tblSubjectToLoan[[#This Row],[Int]]+IF(ROW()=ROW(tblSubjectToLoan[#Headers])+1,0,INDEX(tblSubjectToLoan[Interest],ROW()-ROW(tblSubjectToLoan[#Headers])-1)))</f>
        <v>36068.259999999973</v>
      </c>
      <c r="K615" s="969">
        <f>IF(tblSubjectToLoan[[#This Row],[Date]]="",0,MAX(0,tblSubjectToLoan[[#This Row],[Beginning Balance]]-tblSubjectToLoan[[#This Row],[Princ]]))</f>
        <v>0</v>
      </c>
      <c r="L615" s="394">
        <f t="shared" si="47"/>
        <v>0</v>
      </c>
      <c r="M615" s="394">
        <f t="shared" si="48"/>
        <v>0</v>
      </c>
      <c r="N615" s="613" t="str">
        <f>INDEX(tblSubjectToLoan[Date],ROW()-ROW(tblContractForDeed[#Headers]))</f>
        <v/>
      </c>
      <c r="O615" s="276">
        <f>IF(ROW()=ROW(tblContractForDeed[#Headers])+1,$O$6,IF(INDEX(tblContractForDeed[End Bal],ROW()-ROW(tblContractForDeed[#Headers])-1)&lt;0,0,INDEX(tblContractForDeed[End Bal],ROW()-ROW(tblContractForDeed[#Headers])-1)))</f>
        <v>0</v>
      </c>
      <c r="P615" s="454"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5" s="276">
        <f>IF(INDEX(tblContractForDeed[End Bal],ROW()-ROW(tblBuyerOutputs[#Headers]))&lt;=0,0,($O$6+IF(ROW()=ROW(tblBuyerOutputs[#Headers])+1,0,INDEX(tblBuyerOutputs[Cumul Appr],ROW()-ROW(tblBuyerOutputs[#Headers])-1)))*$O$2/12)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13" t="str">
        <f>IF(ROW()=ROW(tblSubjectToLoan[#Headers])+1,subjectKnownBalanceDate,IF(OR(INDEX(tblSubjectToLoan[Date],ROW()-ROW(tblSubjectToLoan[#Headers])-1)="",INDEX(tblSubjectToLoan[Date],ROW()-ROW(tblSubjectToLoan[#Headers])-1)&gt;=subjectMortgageEndDate),"",EDATE(INDEX(tblSubjectToLoan[Date],ROW()-ROW(tblSubjectToLoan[#Headers])-1),1)))</f>
        <v/>
      </c>
      <c r="B616" s="276">
        <f>IF(tblSubjectToLoan[[#This Row],[Date]]="",0,IF(ROW()=ROW(tblSubjectToLoan[#Headers])+1,subjectKnownBalance,MAX(0,INDEX(tblSubjectToLoan[Ending Balance],ROW()-ROW(tblSubjectToLoan[#Headers])-1))))</f>
        <v>0</v>
      </c>
      <c r="C6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6" s="14">
        <f>IF(tblSubjectToLoan[[#This Row],[Payment]]=0,0,MAX(0,MIN(tblSubjectToLoan[[#This Row],[Beginning Balance]],tblSubjectToLoan[[#This Row],[Payment]]-tblSubjectToLoan[[#This Row],[Int]])))</f>
        <v>0</v>
      </c>
      <c r="E616" s="14">
        <f>IF(tblSubjectToLoan[[#This Row],[Date]]="",0,ROUND(tblSubjectToLoan[[#This Row],[Beginning Balance]]*(subjectInterestRate/12),2))</f>
        <v>0</v>
      </c>
      <c r="H616" s="14">
        <f>SUM(tblSubjectToLoan[[#This Row],[Princ]],tblSubjectToLoan[[#This Row],[Int]],tblSubjectToLoan[[#This Row],[Ins]],tblSubjectToLoan[[#This Row],[Taxes]])</f>
        <v>0</v>
      </c>
      <c r="I6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6" s="276">
        <f>IF(tblSubjectToLoan[[#This Row],[Date]]="",IF(ROW()=ROW(tblSubjectToLoan[#Headers])+1,0,INDEX(tblSubjectToLoan[Interest],ROW()-ROW(tblSubjectToLoan[#Headers])-1)),tblSubjectToLoan[[#This Row],[Int]]+IF(ROW()=ROW(tblSubjectToLoan[#Headers])+1,0,INDEX(tblSubjectToLoan[Interest],ROW()-ROW(tblSubjectToLoan[#Headers])-1)))</f>
        <v>36068.259999999973</v>
      </c>
      <c r="K616" s="969">
        <f>IF(tblSubjectToLoan[[#This Row],[Date]]="",0,MAX(0,tblSubjectToLoan[[#This Row],[Beginning Balance]]-tblSubjectToLoan[[#This Row],[Princ]]))</f>
        <v>0</v>
      </c>
      <c r="L616" s="394">
        <f t="shared" si="47"/>
        <v>0</v>
      </c>
      <c r="M616" s="394">
        <f t="shared" si="48"/>
        <v>0</v>
      </c>
      <c r="N616" s="613" t="str">
        <f>INDEX(tblSubjectToLoan[Date],ROW()-ROW(tblContractForDeed[#Headers]))</f>
        <v/>
      </c>
      <c r="O616" s="276">
        <f>IF(ROW()=ROW(tblContractForDeed[#Headers])+1,$O$6,IF(INDEX(tblContractForDeed[End Bal],ROW()-ROW(tblContractForDeed[#Headers])-1)&lt;0,0,INDEX(tblContractForDeed[End Bal],ROW()-ROW(tblContractForDeed[#Headers])-1)))</f>
        <v>0</v>
      </c>
      <c r="P616" s="454"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6" s="276">
        <f>IF(INDEX(tblContractForDeed[End Bal],ROW()-ROW(tblBuyerOutputs[#Headers]))&lt;=0,0,($O$6+IF(ROW()=ROW(tblBuyerOutputs[#Headers])+1,0,INDEX(tblBuyerOutputs[Cumul Appr],ROW()-ROW(tblBuyerOutputs[#Headers])-1)))*$O$2/12)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13" t="str">
        <f>IF(ROW()=ROW(tblSubjectToLoan[#Headers])+1,subjectKnownBalanceDate,IF(OR(INDEX(tblSubjectToLoan[Date],ROW()-ROW(tblSubjectToLoan[#Headers])-1)="",INDEX(tblSubjectToLoan[Date],ROW()-ROW(tblSubjectToLoan[#Headers])-1)&gt;=subjectMortgageEndDate),"",EDATE(INDEX(tblSubjectToLoan[Date],ROW()-ROW(tblSubjectToLoan[#Headers])-1),1)))</f>
        <v/>
      </c>
      <c r="B617" s="276">
        <f>IF(tblSubjectToLoan[[#This Row],[Date]]="",0,IF(ROW()=ROW(tblSubjectToLoan[#Headers])+1,subjectKnownBalance,MAX(0,INDEX(tblSubjectToLoan[Ending Balance],ROW()-ROW(tblSubjectToLoan[#Headers])-1))))</f>
        <v>0</v>
      </c>
      <c r="C6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7" s="14">
        <f>IF(tblSubjectToLoan[[#This Row],[Payment]]=0,0,MAX(0,MIN(tblSubjectToLoan[[#This Row],[Beginning Balance]],tblSubjectToLoan[[#This Row],[Payment]]-tblSubjectToLoan[[#This Row],[Int]])))</f>
        <v>0</v>
      </c>
      <c r="E617" s="14">
        <f>IF(tblSubjectToLoan[[#This Row],[Date]]="",0,ROUND(tblSubjectToLoan[[#This Row],[Beginning Balance]]*(subjectInterestRate/12),2))</f>
        <v>0</v>
      </c>
      <c r="H617" s="14">
        <f>SUM(tblSubjectToLoan[[#This Row],[Princ]],tblSubjectToLoan[[#This Row],[Int]],tblSubjectToLoan[[#This Row],[Ins]],tblSubjectToLoan[[#This Row],[Taxes]])</f>
        <v>0</v>
      </c>
      <c r="I6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7" s="276">
        <f>IF(tblSubjectToLoan[[#This Row],[Date]]="",IF(ROW()=ROW(tblSubjectToLoan[#Headers])+1,0,INDEX(tblSubjectToLoan[Interest],ROW()-ROW(tblSubjectToLoan[#Headers])-1)),tblSubjectToLoan[[#This Row],[Int]]+IF(ROW()=ROW(tblSubjectToLoan[#Headers])+1,0,INDEX(tblSubjectToLoan[Interest],ROW()-ROW(tblSubjectToLoan[#Headers])-1)))</f>
        <v>36068.259999999973</v>
      </c>
      <c r="K617" s="969">
        <f>IF(tblSubjectToLoan[[#This Row],[Date]]="",0,MAX(0,tblSubjectToLoan[[#This Row],[Beginning Balance]]-tblSubjectToLoan[[#This Row],[Princ]]))</f>
        <v>0</v>
      </c>
      <c r="L617" s="394">
        <f t="shared" si="47"/>
        <v>0</v>
      </c>
      <c r="M617" s="394">
        <f t="shared" si="48"/>
        <v>0</v>
      </c>
      <c r="N617" s="613" t="str">
        <f>INDEX(tblSubjectToLoan[Date],ROW()-ROW(tblContractForDeed[#Headers]))</f>
        <v/>
      </c>
      <c r="O617" s="276">
        <f>IF(ROW()=ROW(tblContractForDeed[#Headers])+1,$O$6,IF(INDEX(tblContractForDeed[End Bal],ROW()-ROW(tblContractForDeed[#Headers])-1)&lt;0,0,INDEX(tblContractForDeed[End Bal],ROW()-ROW(tblContractForDeed[#Headers])-1)))</f>
        <v>0</v>
      </c>
      <c r="P617" s="454"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7" s="276">
        <f>IF(INDEX(tblContractForDeed[End Bal],ROW()-ROW(tblBuyerOutputs[#Headers]))&lt;=0,0,($O$6+IF(ROW()=ROW(tblBuyerOutputs[#Headers])+1,0,INDEX(tblBuyerOutputs[Cumul Appr],ROW()-ROW(tblBuyerOutputs[#Headers])-1)))*$O$2/12)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13" t="str">
        <f>IF(ROW()=ROW(tblSubjectToLoan[#Headers])+1,subjectKnownBalanceDate,IF(OR(INDEX(tblSubjectToLoan[Date],ROW()-ROW(tblSubjectToLoan[#Headers])-1)="",INDEX(tblSubjectToLoan[Date],ROW()-ROW(tblSubjectToLoan[#Headers])-1)&gt;=subjectMortgageEndDate),"",EDATE(INDEX(tblSubjectToLoan[Date],ROW()-ROW(tblSubjectToLoan[#Headers])-1),1)))</f>
        <v/>
      </c>
      <c r="B618" s="276">
        <f>IF(tblSubjectToLoan[[#This Row],[Date]]="",0,IF(ROW()=ROW(tblSubjectToLoan[#Headers])+1,subjectKnownBalance,MAX(0,INDEX(tblSubjectToLoan[Ending Balance],ROW()-ROW(tblSubjectToLoan[#Headers])-1))))</f>
        <v>0</v>
      </c>
      <c r="C6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8" s="14">
        <f>IF(tblSubjectToLoan[[#This Row],[Payment]]=0,0,MAX(0,MIN(tblSubjectToLoan[[#This Row],[Beginning Balance]],tblSubjectToLoan[[#This Row],[Payment]]-tblSubjectToLoan[[#This Row],[Int]])))</f>
        <v>0</v>
      </c>
      <c r="E618" s="14">
        <f>IF(tblSubjectToLoan[[#This Row],[Date]]="",0,ROUND(tblSubjectToLoan[[#This Row],[Beginning Balance]]*(subjectInterestRate/12),2))</f>
        <v>0</v>
      </c>
      <c r="H618" s="14">
        <f>SUM(tblSubjectToLoan[[#This Row],[Princ]],tblSubjectToLoan[[#This Row],[Int]],tblSubjectToLoan[[#This Row],[Ins]],tblSubjectToLoan[[#This Row],[Taxes]])</f>
        <v>0</v>
      </c>
      <c r="I6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8" s="276">
        <f>IF(tblSubjectToLoan[[#This Row],[Date]]="",IF(ROW()=ROW(tblSubjectToLoan[#Headers])+1,0,INDEX(tblSubjectToLoan[Interest],ROW()-ROW(tblSubjectToLoan[#Headers])-1)),tblSubjectToLoan[[#This Row],[Int]]+IF(ROW()=ROW(tblSubjectToLoan[#Headers])+1,0,INDEX(tblSubjectToLoan[Interest],ROW()-ROW(tblSubjectToLoan[#Headers])-1)))</f>
        <v>36068.259999999973</v>
      </c>
      <c r="K618" s="969">
        <f>IF(tblSubjectToLoan[[#This Row],[Date]]="",0,MAX(0,tblSubjectToLoan[[#This Row],[Beginning Balance]]-tblSubjectToLoan[[#This Row],[Princ]]))</f>
        <v>0</v>
      </c>
      <c r="L618" s="394">
        <f t="shared" si="47"/>
        <v>0</v>
      </c>
      <c r="M618" s="394">
        <f t="shared" si="48"/>
        <v>0</v>
      </c>
      <c r="N618" s="613" t="str">
        <f>INDEX(tblSubjectToLoan[Date],ROW()-ROW(tblContractForDeed[#Headers]))</f>
        <v/>
      </c>
      <c r="O618" s="276">
        <f>IF(ROW()=ROW(tblContractForDeed[#Headers])+1,$O$6,IF(INDEX(tblContractForDeed[End Bal],ROW()-ROW(tblContractForDeed[#Headers])-1)&lt;0,0,INDEX(tblContractForDeed[End Bal],ROW()-ROW(tblContractForDeed[#Headers])-1)))</f>
        <v>0</v>
      </c>
      <c r="P618" s="454"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8" s="276">
        <f>IF(INDEX(tblContractForDeed[End Bal],ROW()-ROW(tblBuyerOutputs[#Headers]))&lt;=0,0,($O$6+IF(ROW()=ROW(tblBuyerOutputs[#Headers])+1,0,INDEX(tblBuyerOutputs[Cumul Appr],ROW()-ROW(tblBuyerOutputs[#Headers])-1)))*$O$2/12)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14" t="str">
        <f>IF(ROW()=ROW(tblSubjectToLoan[#Headers])+1,subjectKnownBalanceDate,IF(OR(INDEX(tblSubjectToLoan[Date],ROW()-ROW(tblSubjectToLoan[#Headers])-1)="",INDEX(tblSubjectToLoan[Date],ROW()-ROW(tblSubjectToLoan[#Headers])-1)&gt;=subjectMortgageEndDate),"",EDATE(INDEX(tblSubjectToLoan[Date],ROW()-ROW(tblSubjectToLoan[#Headers])-1),1)))</f>
        <v/>
      </c>
      <c r="B619" s="332">
        <f>IF(tblSubjectToLoan[[#This Row],[Date]]="",0,IF(ROW()=ROW(tblSubjectToLoan[#Headers])+1,subjectKnownBalance,MAX(0,INDEX(tblSubjectToLoan[Ending Balance],ROW()-ROW(tblSubjectToLoan[#Headers])-1))))</f>
        <v>0</v>
      </c>
      <c r="C61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9" s="21">
        <f>IF(tblSubjectToLoan[[#This Row],[Payment]]=0,0,MAX(0,MIN(tblSubjectToLoan[[#This Row],[Beginning Balance]],tblSubjectToLoan[[#This Row],[Payment]]-tblSubjectToLoan[[#This Row],[Int]])))</f>
        <v>0</v>
      </c>
      <c r="E619" s="21">
        <f>IF(tblSubjectToLoan[[#This Row],[Date]]="",0,ROUND(tblSubjectToLoan[[#This Row],[Beginning Balance]]*(subjectInterestRate/12),2))</f>
        <v>0</v>
      </c>
      <c r="F619" s="21"/>
      <c r="G619" s="21"/>
      <c r="H619" s="21">
        <f>SUM(tblSubjectToLoan[[#This Row],[Princ]],tblSubjectToLoan[[#This Row],[Int]],tblSubjectToLoan[[#This Row],[Ins]],tblSubjectToLoan[[#This Row],[Taxes]])</f>
        <v>0</v>
      </c>
      <c r="I61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19" s="332">
        <f>IF(tblSubjectToLoan[[#This Row],[Date]]="",IF(ROW()=ROW(tblSubjectToLoan[#Headers])+1,0,INDEX(tblSubjectToLoan[Interest],ROW()-ROW(tblSubjectToLoan[#Headers])-1)),tblSubjectToLoan[[#This Row],[Int]]+IF(ROW()=ROW(tblSubjectToLoan[#Headers])+1,0,INDEX(tblSubjectToLoan[Interest],ROW()-ROW(tblSubjectToLoan[#Headers])-1)))</f>
        <v>36068.259999999973</v>
      </c>
      <c r="K619" s="970">
        <f>IF(tblSubjectToLoan[[#This Row],[Date]]="",0,MAX(0,tblSubjectToLoan[[#This Row],[Beginning Balance]]-tblSubjectToLoan[[#This Row],[Princ]]))</f>
        <v>0</v>
      </c>
      <c r="L619" s="395">
        <f t="shared" si="47"/>
        <v>0</v>
      </c>
      <c r="M619" s="395">
        <f t="shared" si="48"/>
        <v>0</v>
      </c>
      <c r="N619" s="614" t="str">
        <f>INDEX(tblSubjectToLoan[Date],ROW()-ROW(tblContractForDeed[#Headers]))</f>
        <v/>
      </c>
      <c r="O619" s="332">
        <f>IF(ROW()=ROW(tblContractForDeed[#Headers])+1,$O$6,IF(INDEX(tblContractForDeed[End Bal],ROW()-ROW(tblContractForDeed[#Headers])-1)&lt;0,0,INDEX(tblContractForDeed[End Bal],ROW()-ROW(tblContractForDeed[#Headers])-1)))</f>
        <v>0</v>
      </c>
      <c r="P619" s="454"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9" s="332">
        <f>IF(INDEX(tblContractForDeed[End Bal],ROW()-ROW(tblBuyerOutputs[#Headers]))&lt;=0,0,($O$6+IF(ROW()=ROW(tblBuyerOutputs[#Headers])+1,0,INDEX(tblBuyerOutputs[Cumul Appr],ROW()-ROW(tblBuyerOutputs[#Headers])-1)))*$O$2/12)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13" t="str">
        <f>IF(ROW()=ROW(tblSubjectToLoan[#Headers])+1,subjectKnownBalanceDate,IF(OR(INDEX(tblSubjectToLoan[Date],ROW()-ROW(tblSubjectToLoan[#Headers])-1)="",INDEX(tblSubjectToLoan[Date],ROW()-ROW(tblSubjectToLoan[#Headers])-1)&gt;=subjectMortgageEndDate),"",EDATE(INDEX(tblSubjectToLoan[Date],ROW()-ROW(tblSubjectToLoan[#Headers])-1),1)))</f>
        <v/>
      </c>
      <c r="B620" s="276">
        <f>IF(tblSubjectToLoan[[#This Row],[Date]]="",0,IF(ROW()=ROW(tblSubjectToLoan[#Headers])+1,subjectKnownBalance,MAX(0,INDEX(tblSubjectToLoan[Ending Balance],ROW()-ROW(tblSubjectToLoan[#Headers])-1))))</f>
        <v>0</v>
      </c>
      <c r="C6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0" s="14">
        <f>IF(tblSubjectToLoan[[#This Row],[Payment]]=0,0,MAX(0,MIN(tblSubjectToLoan[[#This Row],[Beginning Balance]],tblSubjectToLoan[[#This Row],[Payment]]-tblSubjectToLoan[[#This Row],[Int]])))</f>
        <v>0</v>
      </c>
      <c r="E620" s="14">
        <f>IF(tblSubjectToLoan[[#This Row],[Date]]="",0,ROUND(tblSubjectToLoan[[#This Row],[Beginning Balance]]*(subjectInterestRate/12),2))</f>
        <v>0</v>
      </c>
      <c r="H620" s="14">
        <f>SUM(tblSubjectToLoan[[#This Row],[Princ]],tblSubjectToLoan[[#This Row],[Int]],tblSubjectToLoan[[#This Row],[Ins]],tblSubjectToLoan[[#This Row],[Taxes]])</f>
        <v>0</v>
      </c>
      <c r="I6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0" s="276">
        <f>IF(tblSubjectToLoan[[#This Row],[Date]]="",IF(ROW()=ROW(tblSubjectToLoan[#Headers])+1,0,INDEX(tblSubjectToLoan[Interest],ROW()-ROW(tblSubjectToLoan[#Headers])-1)),tblSubjectToLoan[[#This Row],[Int]]+IF(ROW()=ROW(tblSubjectToLoan[#Headers])+1,0,INDEX(tblSubjectToLoan[Interest],ROW()-ROW(tblSubjectToLoan[#Headers])-1)))</f>
        <v>36068.259999999973</v>
      </c>
      <c r="K620" s="969">
        <f>IF(tblSubjectToLoan[[#This Row],[Date]]="",0,MAX(0,tblSubjectToLoan[[#This Row],[Beginning Balance]]-tblSubjectToLoan[[#This Row],[Princ]]))</f>
        <v>0</v>
      </c>
      <c r="L620" s="394">
        <f t="shared" si="47"/>
        <v>0</v>
      </c>
      <c r="M620" s="394">
        <f t="shared" si="48"/>
        <v>0</v>
      </c>
      <c r="N620" s="613" t="str">
        <f>INDEX(tblSubjectToLoan[Date],ROW()-ROW(tblContractForDeed[#Headers]))</f>
        <v/>
      </c>
      <c r="O620" s="276">
        <f>IF(ROW()=ROW(tblContractForDeed[#Headers])+1,$O$6,IF(INDEX(tblContractForDeed[End Bal],ROW()-ROW(tblContractForDeed[#Headers])-1)&lt;0,0,INDEX(tblContractForDeed[End Bal],ROW()-ROW(tblContractForDeed[#Headers])-1)))</f>
        <v>0</v>
      </c>
      <c r="P620" s="454"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0" s="276">
        <f>IF(INDEX(tblContractForDeed[End Bal],ROW()-ROW(tblBuyerOutputs[#Headers]))&lt;=0,0,($O$6+IF(ROW()=ROW(tblBuyerOutputs[#Headers])+1,0,INDEX(tblBuyerOutputs[Cumul Appr],ROW()-ROW(tblBuyerOutputs[#Headers])-1)))*$O$2/12)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13" t="str">
        <f>IF(ROW()=ROW(tblSubjectToLoan[#Headers])+1,subjectKnownBalanceDate,IF(OR(INDEX(tblSubjectToLoan[Date],ROW()-ROW(tblSubjectToLoan[#Headers])-1)="",INDEX(tblSubjectToLoan[Date],ROW()-ROW(tblSubjectToLoan[#Headers])-1)&gt;=subjectMortgageEndDate),"",EDATE(INDEX(tblSubjectToLoan[Date],ROW()-ROW(tblSubjectToLoan[#Headers])-1),1)))</f>
        <v/>
      </c>
      <c r="B621" s="276">
        <f>IF(tblSubjectToLoan[[#This Row],[Date]]="",0,IF(ROW()=ROW(tblSubjectToLoan[#Headers])+1,subjectKnownBalance,MAX(0,INDEX(tblSubjectToLoan[Ending Balance],ROW()-ROW(tblSubjectToLoan[#Headers])-1))))</f>
        <v>0</v>
      </c>
      <c r="C6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1" s="14">
        <f>IF(tblSubjectToLoan[[#This Row],[Payment]]=0,0,MAX(0,MIN(tblSubjectToLoan[[#This Row],[Beginning Balance]],tblSubjectToLoan[[#This Row],[Payment]]-tblSubjectToLoan[[#This Row],[Int]])))</f>
        <v>0</v>
      </c>
      <c r="E621" s="14">
        <f>IF(tblSubjectToLoan[[#This Row],[Date]]="",0,ROUND(tblSubjectToLoan[[#This Row],[Beginning Balance]]*(subjectInterestRate/12),2))</f>
        <v>0</v>
      </c>
      <c r="H621" s="14">
        <f>SUM(tblSubjectToLoan[[#This Row],[Princ]],tblSubjectToLoan[[#This Row],[Int]],tblSubjectToLoan[[#This Row],[Ins]],tblSubjectToLoan[[#This Row],[Taxes]])</f>
        <v>0</v>
      </c>
      <c r="I6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1" s="276">
        <f>IF(tblSubjectToLoan[[#This Row],[Date]]="",IF(ROW()=ROW(tblSubjectToLoan[#Headers])+1,0,INDEX(tblSubjectToLoan[Interest],ROW()-ROW(tblSubjectToLoan[#Headers])-1)),tblSubjectToLoan[[#This Row],[Int]]+IF(ROW()=ROW(tblSubjectToLoan[#Headers])+1,0,INDEX(tblSubjectToLoan[Interest],ROW()-ROW(tblSubjectToLoan[#Headers])-1)))</f>
        <v>36068.259999999973</v>
      </c>
      <c r="K621" s="969">
        <f>IF(tblSubjectToLoan[[#This Row],[Date]]="",0,MAX(0,tblSubjectToLoan[[#This Row],[Beginning Balance]]-tblSubjectToLoan[[#This Row],[Princ]]))</f>
        <v>0</v>
      </c>
      <c r="L621" s="394">
        <f t="shared" si="47"/>
        <v>0</v>
      </c>
      <c r="M621" s="394">
        <f t="shared" si="48"/>
        <v>0</v>
      </c>
      <c r="N621" s="613" t="str">
        <f>INDEX(tblSubjectToLoan[Date],ROW()-ROW(tblContractForDeed[#Headers]))</f>
        <v/>
      </c>
      <c r="O621" s="276">
        <f>IF(ROW()=ROW(tblContractForDeed[#Headers])+1,$O$6,IF(INDEX(tblContractForDeed[End Bal],ROW()-ROW(tblContractForDeed[#Headers])-1)&lt;0,0,INDEX(tblContractForDeed[End Bal],ROW()-ROW(tblContractForDeed[#Headers])-1)))</f>
        <v>0</v>
      </c>
      <c r="P621" s="454"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1" s="276">
        <f>IF(INDEX(tblContractForDeed[End Bal],ROW()-ROW(tblBuyerOutputs[#Headers]))&lt;=0,0,($O$6+IF(ROW()=ROW(tblBuyerOutputs[#Headers])+1,0,INDEX(tblBuyerOutputs[Cumul Appr],ROW()-ROW(tblBuyerOutputs[#Headers])-1)))*$O$2/12)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13" t="str">
        <f>IF(ROW()=ROW(tblSubjectToLoan[#Headers])+1,subjectKnownBalanceDate,IF(OR(INDEX(tblSubjectToLoan[Date],ROW()-ROW(tblSubjectToLoan[#Headers])-1)="",INDEX(tblSubjectToLoan[Date],ROW()-ROW(tblSubjectToLoan[#Headers])-1)&gt;=subjectMortgageEndDate),"",EDATE(INDEX(tblSubjectToLoan[Date],ROW()-ROW(tblSubjectToLoan[#Headers])-1),1)))</f>
        <v/>
      </c>
      <c r="B622" s="276">
        <f>IF(tblSubjectToLoan[[#This Row],[Date]]="",0,IF(ROW()=ROW(tblSubjectToLoan[#Headers])+1,subjectKnownBalance,MAX(0,INDEX(tblSubjectToLoan[Ending Balance],ROW()-ROW(tblSubjectToLoan[#Headers])-1))))</f>
        <v>0</v>
      </c>
      <c r="C6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2" s="14">
        <f>IF(tblSubjectToLoan[[#This Row],[Payment]]=0,0,MAX(0,MIN(tblSubjectToLoan[[#This Row],[Beginning Balance]],tblSubjectToLoan[[#This Row],[Payment]]-tblSubjectToLoan[[#This Row],[Int]])))</f>
        <v>0</v>
      </c>
      <c r="E622" s="14">
        <f>IF(tblSubjectToLoan[[#This Row],[Date]]="",0,ROUND(tblSubjectToLoan[[#This Row],[Beginning Balance]]*(subjectInterestRate/12),2))</f>
        <v>0</v>
      </c>
      <c r="H622" s="14">
        <f>SUM(tblSubjectToLoan[[#This Row],[Princ]],tblSubjectToLoan[[#This Row],[Int]],tblSubjectToLoan[[#This Row],[Ins]],tblSubjectToLoan[[#This Row],[Taxes]])</f>
        <v>0</v>
      </c>
      <c r="I6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2" s="276">
        <f>IF(tblSubjectToLoan[[#This Row],[Date]]="",IF(ROW()=ROW(tblSubjectToLoan[#Headers])+1,0,INDEX(tblSubjectToLoan[Interest],ROW()-ROW(tblSubjectToLoan[#Headers])-1)),tblSubjectToLoan[[#This Row],[Int]]+IF(ROW()=ROW(tblSubjectToLoan[#Headers])+1,0,INDEX(tblSubjectToLoan[Interest],ROW()-ROW(tblSubjectToLoan[#Headers])-1)))</f>
        <v>36068.259999999973</v>
      </c>
      <c r="K622" s="969">
        <f>IF(tblSubjectToLoan[[#This Row],[Date]]="",0,MAX(0,tblSubjectToLoan[[#This Row],[Beginning Balance]]-tblSubjectToLoan[[#This Row],[Princ]]))</f>
        <v>0</v>
      </c>
      <c r="L622" s="394">
        <f t="shared" si="47"/>
        <v>0</v>
      </c>
      <c r="M622" s="394">
        <f t="shared" si="48"/>
        <v>0</v>
      </c>
      <c r="N622" s="613" t="str">
        <f>INDEX(tblSubjectToLoan[Date],ROW()-ROW(tblContractForDeed[#Headers]))</f>
        <v/>
      </c>
      <c r="O622" s="276">
        <f>IF(ROW()=ROW(tblContractForDeed[#Headers])+1,$O$6,IF(INDEX(tblContractForDeed[End Bal],ROW()-ROW(tblContractForDeed[#Headers])-1)&lt;0,0,INDEX(tblContractForDeed[End Bal],ROW()-ROW(tblContractForDeed[#Headers])-1)))</f>
        <v>0</v>
      </c>
      <c r="P622" s="454"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2" s="276">
        <f>IF(INDEX(tblContractForDeed[End Bal],ROW()-ROW(tblBuyerOutputs[#Headers]))&lt;=0,0,($O$6+IF(ROW()=ROW(tblBuyerOutputs[#Headers])+1,0,INDEX(tblBuyerOutputs[Cumul Appr],ROW()-ROW(tblBuyerOutputs[#Headers])-1)))*$O$2/12)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13" t="str">
        <f>IF(ROW()=ROW(tblSubjectToLoan[#Headers])+1,subjectKnownBalanceDate,IF(OR(INDEX(tblSubjectToLoan[Date],ROW()-ROW(tblSubjectToLoan[#Headers])-1)="",INDEX(tblSubjectToLoan[Date],ROW()-ROW(tblSubjectToLoan[#Headers])-1)&gt;=subjectMortgageEndDate),"",EDATE(INDEX(tblSubjectToLoan[Date],ROW()-ROW(tblSubjectToLoan[#Headers])-1),1)))</f>
        <v/>
      </c>
      <c r="B623" s="276">
        <f>IF(tblSubjectToLoan[[#This Row],[Date]]="",0,IF(ROW()=ROW(tblSubjectToLoan[#Headers])+1,subjectKnownBalance,MAX(0,INDEX(tblSubjectToLoan[Ending Balance],ROW()-ROW(tblSubjectToLoan[#Headers])-1))))</f>
        <v>0</v>
      </c>
      <c r="C6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3" s="14">
        <f>IF(tblSubjectToLoan[[#This Row],[Payment]]=0,0,MAX(0,MIN(tblSubjectToLoan[[#This Row],[Beginning Balance]],tblSubjectToLoan[[#This Row],[Payment]]-tblSubjectToLoan[[#This Row],[Int]])))</f>
        <v>0</v>
      </c>
      <c r="E623" s="14">
        <f>IF(tblSubjectToLoan[[#This Row],[Date]]="",0,ROUND(tblSubjectToLoan[[#This Row],[Beginning Balance]]*(subjectInterestRate/12),2))</f>
        <v>0</v>
      </c>
      <c r="H623" s="14">
        <f>SUM(tblSubjectToLoan[[#This Row],[Princ]],tblSubjectToLoan[[#This Row],[Int]],tblSubjectToLoan[[#This Row],[Ins]],tblSubjectToLoan[[#This Row],[Taxes]])</f>
        <v>0</v>
      </c>
      <c r="I6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3" s="276">
        <f>IF(tblSubjectToLoan[[#This Row],[Date]]="",IF(ROW()=ROW(tblSubjectToLoan[#Headers])+1,0,INDEX(tblSubjectToLoan[Interest],ROW()-ROW(tblSubjectToLoan[#Headers])-1)),tblSubjectToLoan[[#This Row],[Int]]+IF(ROW()=ROW(tblSubjectToLoan[#Headers])+1,0,INDEX(tblSubjectToLoan[Interest],ROW()-ROW(tblSubjectToLoan[#Headers])-1)))</f>
        <v>36068.259999999973</v>
      </c>
      <c r="K623" s="969">
        <f>IF(tblSubjectToLoan[[#This Row],[Date]]="",0,MAX(0,tblSubjectToLoan[[#This Row],[Beginning Balance]]-tblSubjectToLoan[[#This Row],[Princ]]))</f>
        <v>0</v>
      </c>
      <c r="L623" s="394">
        <f t="shared" si="47"/>
        <v>0</v>
      </c>
      <c r="M623" s="394">
        <f t="shared" si="48"/>
        <v>0</v>
      </c>
      <c r="N623" s="613" t="str">
        <f>INDEX(tblSubjectToLoan[Date],ROW()-ROW(tblContractForDeed[#Headers]))</f>
        <v/>
      </c>
      <c r="O623" s="276">
        <f>IF(ROW()=ROW(tblContractForDeed[#Headers])+1,$O$6,IF(INDEX(tblContractForDeed[End Bal],ROW()-ROW(tblContractForDeed[#Headers])-1)&lt;0,0,INDEX(tblContractForDeed[End Bal],ROW()-ROW(tblContractForDeed[#Headers])-1)))</f>
        <v>0</v>
      </c>
      <c r="P623" s="454"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3" s="276">
        <f>IF(INDEX(tblContractForDeed[End Bal],ROW()-ROW(tblBuyerOutputs[#Headers]))&lt;=0,0,($O$6+IF(ROW()=ROW(tblBuyerOutputs[#Headers])+1,0,INDEX(tblBuyerOutputs[Cumul Appr],ROW()-ROW(tblBuyerOutputs[#Headers])-1)))*$O$2/12)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13" t="str">
        <f>IF(ROW()=ROW(tblSubjectToLoan[#Headers])+1,subjectKnownBalanceDate,IF(OR(INDEX(tblSubjectToLoan[Date],ROW()-ROW(tblSubjectToLoan[#Headers])-1)="",INDEX(tblSubjectToLoan[Date],ROW()-ROW(tblSubjectToLoan[#Headers])-1)&gt;=subjectMortgageEndDate),"",EDATE(INDEX(tblSubjectToLoan[Date],ROW()-ROW(tblSubjectToLoan[#Headers])-1),1)))</f>
        <v/>
      </c>
      <c r="B624" s="276">
        <f>IF(tblSubjectToLoan[[#This Row],[Date]]="",0,IF(ROW()=ROW(tblSubjectToLoan[#Headers])+1,subjectKnownBalance,MAX(0,INDEX(tblSubjectToLoan[Ending Balance],ROW()-ROW(tblSubjectToLoan[#Headers])-1))))</f>
        <v>0</v>
      </c>
      <c r="C6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4" s="14">
        <f>IF(tblSubjectToLoan[[#This Row],[Payment]]=0,0,MAX(0,MIN(tblSubjectToLoan[[#This Row],[Beginning Balance]],tblSubjectToLoan[[#This Row],[Payment]]-tblSubjectToLoan[[#This Row],[Int]])))</f>
        <v>0</v>
      </c>
      <c r="E624" s="14">
        <f>IF(tblSubjectToLoan[[#This Row],[Date]]="",0,ROUND(tblSubjectToLoan[[#This Row],[Beginning Balance]]*(subjectInterestRate/12),2))</f>
        <v>0</v>
      </c>
      <c r="H624" s="14">
        <f>SUM(tblSubjectToLoan[[#This Row],[Princ]],tblSubjectToLoan[[#This Row],[Int]],tblSubjectToLoan[[#This Row],[Ins]],tblSubjectToLoan[[#This Row],[Taxes]])</f>
        <v>0</v>
      </c>
      <c r="I6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4" s="276">
        <f>IF(tblSubjectToLoan[[#This Row],[Date]]="",IF(ROW()=ROW(tblSubjectToLoan[#Headers])+1,0,INDEX(tblSubjectToLoan[Interest],ROW()-ROW(tblSubjectToLoan[#Headers])-1)),tblSubjectToLoan[[#This Row],[Int]]+IF(ROW()=ROW(tblSubjectToLoan[#Headers])+1,0,INDEX(tblSubjectToLoan[Interest],ROW()-ROW(tblSubjectToLoan[#Headers])-1)))</f>
        <v>36068.259999999973</v>
      </c>
      <c r="K624" s="969">
        <f>IF(tblSubjectToLoan[[#This Row],[Date]]="",0,MAX(0,tblSubjectToLoan[[#This Row],[Beginning Balance]]-tblSubjectToLoan[[#This Row],[Princ]]))</f>
        <v>0</v>
      </c>
      <c r="L624" s="394">
        <f t="shared" si="47"/>
        <v>0</v>
      </c>
      <c r="M624" s="394">
        <f t="shared" si="48"/>
        <v>0</v>
      </c>
      <c r="N624" s="613" t="str">
        <f>INDEX(tblSubjectToLoan[Date],ROW()-ROW(tblContractForDeed[#Headers]))</f>
        <v/>
      </c>
      <c r="O624" s="276">
        <f>IF(ROW()=ROW(tblContractForDeed[#Headers])+1,$O$6,IF(INDEX(tblContractForDeed[End Bal],ROW()-ROW(tblContractForDeed[#Headers])-1)&lt;0,0,INDEX(tblContractForDeed[End Bal],ROW()-ROW(tblContractForDeed[#Headers])-1)))</f>
        <v>0</v>
      </c>
      <c r="P624" s="454"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4" s="276">
        <f>IF(INDEX(tblContractForDeed[End Bal],ROW()-ROW(tblBuyerOutputs[#Headers]))&lt;=0,0,($O$6+IF(ROW()=ROW(tblBuyerOutputs[#Headers])+1,0,INDEX(tblBuyerOutputs[Cumul Appr],ROW()-ROW(tblBuyerOutputs[#Headers])-1)))*$O$2/12)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13" t="str">
        <f>IF(ROW()=ROW(tblSubjectToLoan[#Headers])+1,subjectKnownBalanceDate,IF(OR(INDEX(tblSubjectToLoan[Date],ROW()-ROW(tblSubjectToLoan[#Headers])-1)="",INDEX(tblSubjectToLoan[Date],ROW()-ROW(tblSubjectToLoan[#Headers])-1)&gt;=subjectMortgageEndDate),"",EDATE(INDEX(tblSubjectToLoan[Date],ROW()-ROW(tblSubjectToLoan[#Headers])-1),1)))</f>
        <v/>
      </c>
      <c r="B625" s="276">
        <f>IF(tblSubjectToLoan[[#This Row],[Date]]="",0,IF(ROW()=ROW(tblSubjectToLoan[#Headers])+1,subjectKnownBalance,MAX(0,INDEX(tblSubjectToLoan[Ending Balance],ROW()-ROW(tblSubjectToLoan[#Headers])-1))))</f>
        <v>0</v>
      </c>
      <c r="C6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5" s="14">
        <f>IF(tblSubjectToLoan[[#This Row],[Payment]]=0,0,MAX(0,MIN(tblSubjectToLoan[[#This Row],[Beginning Balance]],tblSubjectToLoan[[#This Row],[Payment]]-tblSubjectToLoan[[#This Row],[Int]])))</f>
        <v>0</v>
      </c>
      <c r="E625" s="14">
        <f>IF(tblSubjectToLoan[[#This Row],[Date]]="",0,ROUND(tblSubjectToLoan[[#This Row],[Beginning Balance]]*(subjectInterestRate/12),2))</f>
        <v>0</v>
      </c>
      <c r="H625" s="14">
        <f>SUM(tblSubjectToLoan[[#This Row],[Princ]],tblSubjectToLoan[[#This Row],[Int]],tblSubjectToLoan[[#This Row],[Ins]],tblSubjectToLoan[[#This Row],[Taxes]])</f>
        <v>0</v>
      </c>
      <c r="I6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5" s="276">
        <f>IF(tblSubjectToLoan[[#This Row],[Date]]="",IF(ROW()=ROW(tblSubjectToLoan[#Headers])+1,0,INDEX(tblSubjectToLoan[Interest],ROW()-ROW(tblSubjectToLoan[#Headers])-1)),tblSubjectToLoan[[#This Row],[Int]]+IF(ROW()=ROW(tblSubjectToLoan[#Headers])+1,0,INDEX(tblSubjectToLoan[Interest],ROW()-ROW(tblSubjectToLoan[#Headers])-1)))</f>
        <v>36068.259999999973</v>
      </c>
      <c r="K625" s="969">
        <f>IF(tblSubjectToLoan[[#This Row],[Date]]="",0,MAX(0,tblSubjectToLoan[[#This Row],[Beginning Balance]]-tblSubjectToLoan[[#This Row],[Princ]]))</f>
        <v>0</v>
      </c>
      <c r="L625" s="394">
        <f t="shared" si="47"/>
        <v>0</v>
      </c>
      <c r="M625" s="394">
        <f t="shared" si="48"/>
        <v>0</v>
      </c>
      <c r="N625" s="613" t="str">
        <f>INDEX(tblSubjectToLoan[Date],ROW()-ROW(tblContractForDeed[#Headers]))</f>
        <v/>
      </c>
      <c r="O625" s="276">
        <f>IF(ROW()=ROW(tblContractForDeed[#Headers])+1,$O$6,IF(INDEX(tblContractForDeed[End Bal],ROW()-ROW(tblContractForDeed[#Headers])-1)&lt;0,0,INDEX(tblContractForDeed[End Bal],ROW()-ROW(tblContractForDeed[#Headers])-1)))</f>
        <v>0</v>
      </c>
      <c r="P625" s="454"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5" s="276">
        <f>IF(INDEX(tblContractForDeed[End Bal],ROW()-ROW(tblBuyerOutputs[#Headers]))&lt;=0,0,($O$6+IF(ROW()=ROW(tblBuyerOutputs[#Headers])+1,0,INDEX(tblBuyerOutputs[Cumul Appr],ROW()-ROW(tblBuyerOutputs[#Headers])-1)))*$O$2/12)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13" t="str">
        <f>IF(ROW()=ROW(tblSubjectToLoan[#Headers])+1,subjectKnownBalanceDate,IF(OR(INDEX(tblSubjectToLoan[Date],ROW()-ROW(tblSubjectToLoan[#Headers])-1)="",INDEX(tblSubjectToLoan[Date],ROW()-ROW(tblSubjectToLoan[#Headers])-1)&gt;=subjectMortgageEndDate),"",EDATE(INDEX(tblSubjectToLoan[Date],ROW()-ROW(tblSubjectToLoan[#Headers])-1),1)))</f>
        <v/>
      </c>
      <c r="B626" s="276">
        <f>IF(tblSubjectToLoan[[#This Row],[Date]]="",0,IF(ROW()=ROW(tblSubjectToLoan[#Headers])+1,subjectKnownBalance,MAX(0,INDEX(tblSubjectToLoan[Ending Balance],ROW()-ROW(tblSubjectToLoan[#Headers])-1))))</f>
        <v>0</v>
      </c>
      <c r="C6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6" s="14">
        <f>IF(tblSubjectToLoan[[#This Row],[Payment]]=0,0,MAX(0,MIN(tblSubjectToLoan[[#This Row],[Beginning Balance]],tblSubjectToLoan[[#This Row],[Payment]]-tblSubjectToLoan[[#This Row],[Int]])))</f>
        <v>0</v>
      </c>
      <c r="E626" s="14">
        <f>IF(tblSubjectToLoan[[#This Row],[Date]]="",0,ROUND(tblSubjectToLoan[[#This Row],[Beginning Balance]]*(subjectInterestRate/12),2))</f>
        <v>0</v>
      </c>
      <c r="H626" s="14">
        <f>SUM(tblSubjectToLoan[[#This Row],[Princ]],tblSubjectToLoan[[#This Row],[Int]],tblSubjectToLoan[[#This Row],[Ins]],tblSubjectToLoan[[#This Row],[Taxes]])</f>
        <v>0</v>
      </c>
      <c r="I6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6" s="276">
        <f>IF(tblSubjectToLoan[[#This Row],[Date]]="",IF(ROW()=ROW(tblSubjectToLoan[#Headers])+1,0,INDEX(tblSubjectToLoan[Interest],ROW()-ROW(tblSubjectToLoan[#Headers])-1)),tblSubjectToLoan[[#This Row],[Int]]+IF(ROW()=ROW(tblSubjectToLoan[#Headers])+1,0,INDEX(tblSubjectToLoan[Interest],ROW()-ROW(tblSubjectToLoan[#Headers])-1)))</f>
        <v>36068.259999999973</v>
      </c>
      <c r="K626" s="969">
        <f>IF(tblSubjectToLoan[[#This Row],[Date]]="",0,MAX(0,tblSubjectToLoan[[#This Row],[Beginning Balance]]-tblSubjectToLoan[[#This Row],[Princ]]))</f>
        <v>0</v>
      </c>
      <c r="L626" s="394">
        <f t="shared" si="47"/>
        <v>0</v>
      </c>
      <c r="M626" s="394">
        <f t="shared" si="48"/>
        <v>0</v>
      </c>
      <c r="N626" s="613" t="str">
        <f>INDEX(tblSubjectToLoan[Date],ROW()-ROW(tblContractForDeed[#Headers]))</f>
        <v/>
      </c>
      <c r="O626" s="276">
        <f>IF(ROW()=ROW(tblContractForDeed[#Headers])+1,$O$6,IF(INDEX(tblContractForDeed[End Bal],ROW()-ROW(tblContractForDeed[#Headers])-1)&lt;0,0,INDEX(tblContractForDeed[End Bal],ROW()-ROW(tblContractForDeed[#Headers])-1)))</f>
        <v>0</v>
      </c>
      <c r="P626" s="454"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6" s="276">
        <f>IF(INDEX(tblContractForDeed[End Bal],ROW()-ROW(tblBuyerOutputs[#Headers]))&lt;=0,0,($O$6+IF(ROW()=ROW(tblBuyerOutputs[#Headers])+1,0,INDEX(tblBuyerOutputs[Cumul Appr],ROW()-ROW(tblBuyerOutputs[#Headers])-1)))*$O$2/12)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13" t="str">
        <f>IF(ROW()=ROW(tblSubjectToLoan[#Headers])+1,subjectKnownBalanceDate,IF(OR(INDEX(tblSubjectToLoan[Date],ROW()-ROW(tblSubjectToLoan[#Headers])-1)="",INDEX(tblSubjectToLoan[Date],ROW()-ROW(tblSubjectToLoan[#Headers])-1)&gt;=subjectMortgageEndDate),"",EDATE(INDEX(tblSubjectToLoan[Date],ROW()-ROW(tblSubjectToLoan[#Headers])-1),1)))</f>
        <v/>
      </c>
      <c r="B627" s="276">
        <f>IF(tblSubjectToLoan[[#This Row],[Date]]="",0,IF(ROW()=ROW(tblSubjectToLoan[#Headers])+1,subjectKnownBalance,MAX(0,INDEX(tblSubjectToLoan[Ending Balance],ROW()-ROW(tblSubjectToLoan[#Headers])-1))))</f>
        <v>0</v>
      </c>
      <c r="C6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7" s="14">
        <f>IF(tblSubjectToLoan[[#This Row],[Payment]]=0,0,MAX(0,MIN(tblSubjectToLoan[[#This Row],[Beginning Balance]],tblSubjectToLoan[[#This Row],[Payment]]-tblSubjectToLoan[[#This Row],[Int]])))</f>
        <v>0</v>
      </c>
      <c r="E627" s="14">
        <f>IF(tblSubjectToLoan[[#This Row],[Date]]="",0,ROUND(tblSubjectToLoan[[#This Row],[Beginning Balance]]*(subjectInterestRate/12),2))</f>
        <v>0</v>
      </c>
      <c r="H627" s="14">
        <f>SUM(tblSubjectToLoan[[#This Row],[Princ]],tblSubjectToLoan[[#This Row],[Int]],tblSubjectToLoan[[#This Row],[Ins]],tblSubjectToLoan[[#This Row],[Taxes]])</f>
        <v>0</v>
      </c>
      <c r="I6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7" s="276">
        <f>IF(tblSubjectToLoan[[#This Row],[Date]]="",IF(ROW()=ROW(tblSubjectToLoan[#Headers])+1,0,INDEX(tblSubjectToLoan[Interest],ROW()-ROW(tblSubjectToLoan[#Headers])-1)),tblSubjectToLoan[[#This Row],[Int]]+IF(ROW()=ROW(tblSubjectToLoan[#Headers])+1,0,INDEX(tblSubjectToLoan[Interest],ROW()-ROW(tblSubjectToLoan[#Headers])-1)))</f>
        <v>36068.259999999973</v>
      </c>
      <c r="K627" s="969">
        <f>IF(tblSubjectToLoan[[#This Row],[Date]]="",0,MAX(0,tblSubjectToLoan[[#This Row],[Beginning Balance]]-tblSubjectToLoan[[#This Row],[Princ]]))</f>
        <v>0</v>
      </c>
      <c r="L627" s="394">
        <f t="shared" si="47"/>
        <v>0</v>
      </c>
      <c r="M627" s="394">
        <f t="shared" si="48"/>
        <v>0</v>
      </c>
      <c r="N627" s="613" t="str">
        <f>INDEX(tblSubjectToLoan[Date],ROW()-ROW(tblContractForDeed[#Headers]))</f>
        <v/>
      </c>
      <c r="O627" s="276">
        <f>IF(ROW()=ROW(tblContractForDeed[#Headers])+1,$O$6,IF(INDEX(tblContractForDeed[End Bal],ROW()-ROW(tblContractForDeed[#Headers])-1)&lt;0,0,INDEX(tblContractForDeed[End Bal],ROW()-ROW(tblContractForDeed[#Headers])-1)))</f>
        <v>0</v>
      </c>
      <c r="P627" s="454"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7" s="276">
        <f>IF(INDEX(tblContractForDeed[End Bal],ROW()-ROW(tblBuyerOutputs[#Headers]))&lt;=0,0,($O$6+IF(ROW()=ROW(tblBuyerOutputs[#Headers])+1,0,INDEX(tblBuyerOutputs[Cumul Appr],ROW()-ROW(tblBuyerOutputs[#Headers])-1)))*$O$2/12)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13" t="str">
        <f>IF(ROW()=ROW(tblSubjectToLoan[#Headers])+1,subjectKnownBalanceDate,IF(OR(INDEX(tblSubjectToLoan[Date],ROW()-ROW(tblSubjectToLoan[#Headers])-1)="",INDEX(tblSubjectToLoan[Date],ROW()-ROW(tblSubjectToLoan[#Headers])-1)&gt;=subjectMortgageEndDate),"",EDATE(INDEX(tblSubjectToLoan[Date],ROW()-ROW(tblSubjectToLoan[#Headers])-1),1)))</f>
        <v/>
      </c>
      <c r="B628" s="276">
        <f>IF(tblSubjectToLoan[[#This Row],[Date]]="",0,IF(ROW()=ROW(tblSubjectToLoan[#Headers])+1,subjectKnownBalance,MAX(0,INDEX(tblSubjectToLoan[Ending Balance],ROW()-ROW(tblSubjectToLoan[#Headers])-1))))</f>
        <v>0</v>
      </c>
      <c r="C6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8" s="14">
        <f>IF(tblSubjectToLoan[[#This Row],[Payment]]=0,0,MAX(0,MIN(tblSubjectToLoan[[#This Row],[Beginning Balance]],tblSubjectToLoan[[#This Row],[Payment]]-tblSubjectToLoan[[#This Row],[Int]])))</f>
        <v>0</v>
      </c>
      <c r="E628" s="14">
        <f>IF(tblSubjectToLoan[[#This Row],[Date]]="",0,ROUND(tblSubjectToLoan[[#This Row],[Beginning Balance]]*(subjectInterestRate/12),2))</f>
        <v>0</v>
      </c>
      <c r="H628" s="14">
        <f>SUM(tblSubjectToLoan[[#This Row],[Princ]],tblSubjectToLoan[[#This Row],[Int]],tblSubjectToLoan[[#This Row],[Ins]],tblSubjectToLoan[[#This Row],[Taxes]])</f>
        <v>0</v>
      </c>
      <c r="I6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8" s="276">
        <f>IF(tblSubjectToLoan[[#This Row],[Date]]="",IF(ROW()=ROW(tblSubjectToLoan[#Headers])+1,0,INDEX(tblSubjectToLoan[Interest],ROW()-ROW(tblSubjectToLoan[#Headers])-1)),tblSubjectToLoan[[#This Row],[Int]]+IF(ROW()=ROW(tblSubjectToLoan[#Headers])+1,0,INDEX(tblSubjectToLoan[Interest],ROW()-ROW(tblSubjectToLoan[#Headers])-1)))</f>
        <v>36068.259999999973</v>
      </c>
      <c r="K628" s="969">
        <f>IF(tblSubjectToLoan[[#This Row],[Date]]="",0,MAX(0,tblSubjectToLoan[[#This Row],[Beginning Balance]]-tblSubjectToLoan[[#This Row],[Princ]]))</f>
        <v>0</v>
      </c>
      <c r="L628" s="394">
        <f t="shared" ref="L628:L691" si="49">IF(MOD(M628,12)=0,M628/12,L627)</f>
        <v>0</v>
      </c>
      <c r="M628" s="394">
        <f t="shared" si="48"/>
        <v>0</v>
      </c>
      <c r="N628" s="613" t="str">
        <f>INDEX(tblSubjectToLoan[Date],ROW()-ROW(tblContractForDeed[#Headers]))</f>
        <v/>
      </c>
      <c r="O628" s="276">
        <f>IF(ROW()=ROW(tblContractForDeed[#Headers])+1,$O$6,IF(INDEX(tblContractForDeed[End Bal],ROW()-ROW(tblContractForDeed[#Headers])-1)&lt;0,0,INDEX(tblContractForDeed[End Bal],ROW()-ROW(tblContractForDeed[#Headers])-1)))</f>
        <v>0</v>
      </c>
      <c r="P628" s="454"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8" s="276">
        <f>IF(INDEX(tblContractForDeed[End Bal],ROW()-ROW(tblBuyerOutputs[#Headers]))&lt;=0,0,($O$6+IF(ROW()=ROW(tblBuyerOutputs[#Headers])+1,0,INDEX(tblBuyerOutputs[Cumul Appr],ROW()-ROW(tblBuyerOutputs[#Headers])-1)))*$O$2/12)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13" t="str">
        <f>IF(ROW()=ROW(tblSubjectToLoan[#Headers])+1,subjectKnownBalanceDate,IF(OR(INDEX(tblSubjectToLoan[Date],ROW()-ROW(tblSubjectToLoan[#Headers])-1)="",INDEX(tblSubjectToLoan[Date],ROW()-ROW(tblSubjectToLoan[#Headers])-1)&gt;=subjectMortgageEndDate),"",EDATE(INDEX(tblSubjectToLoan[Date],ROW()-ROW(tblSubjectToLoan[#Headers])-1),1)))</f>
        <v/>
      </c>
      <c r="B629" s="276">
        <f>IF(tblSubjectToLoan[[#This Row],[Date]]="",0,IF(ROW()=ROW(tblSubjectToLoan[#Headers])+1,subjectKnownBalance,MAX(0,INDEX(tblSubjectToLoan[Ending Balance],ROW()-ROW(tblSubjectToLoan[#Headers])-1))))</f>
        <v>0</v>
      </c>
      <c r="C6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9" s="14">
        <f>IF(tblSubjectToLoan[[#This Row],[Payment]]=0,0,MAX(0,MIN(tblSubjectToLoan[[#This Row],[Beginning Balance]],tblSubjectToLoan[[#This Row],[Payment]]-tblSubjectToLoan[[#This Row],[Int]])))</f>
        <v>0</v>
      </c>
      <c r="E629" s="14">
        <f>IF(tblSubjectToLoan[[#This Row],[Date]]="",0,ROUND(tblSubjectToLoan[[#This Row],[Beginning Balance]]*(subjectInterestRate/12),2))</f>
        <v>0</v>
      </c>
      <c r="H629" s="14">
        <f>SUM(tblSubjectToLoan[[#This Row],[Princ]],tblSubjectToLoan[[#This Row],[Int]],tblSubjectToLoan[[#This Row],[Ins]],tblSubjectToLoan[[#This Row],[Taxes]])</f>
        <v>0</v>
      </c>
      <c r="I6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9" s="276">
        <f>IF(tblSubjectToLoan[[#This Row],[Date]]="",IF(ROW()=ROW(tblSubjectToLoan[#Headers])+1,0,INDEX(tblSubjectToLoan[Interest],ROW()-ROW(tblSubjectToLoan[#Headers])-1)),tblSubjectToLoan[[#This Row],[Int]]+IF(ROW()=ROW(tblSubjectToLoan[#Headers])+1,0,INDEX(tblSubjectToLoan[Interest],ROW()-ROW(tblSubjectToLoan[#Headers])-1)))</f>
        <v>36068.259999999973</v>
      </c>
      <c r="K629" s="969">
        <f>IF(tblSubjectToLoan[[#This Row],[Date]]="",0,MAX(0,tblSubjectToLoan[[#This Row],[Beginning Balance]]-tblSubjectToLoan[[#This Row],[Princ]]))</f>
        <v>0</v>
      </c>
      <c r="L629" s="394">
        <f t="shared" si="49"/>
        <v>0</v>
      </c>
      <c r="M629" s="394">
        <f t="shared" si="48"/>
        <v>0</v>
      </c>
      <c r="N629" s="613" t="str">
        <f>INDEX(tblSubjectToLoan[Date],ROW()-ROW(tblContractForDeed[#Headers]))</f>
        <v/>
      </c>
      <c r="O629" s="276">
        <f>IF(ROW()=ROW(tblContractForDeed[#Headers])+1,$O$6,IF(INDEX(tblContractForDeed[End Bal],ROW()-ROW(tblContractForDeed[#Headers])-1)&lt;0,0,INDEX(tblContractForDeed[End Bal],ROW()-ROW(tblContractForDeed[#Headers])-1)))</f>
        <v>0</v>
      </c>
      <c r="P629" s="454"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9" s="276">
        <f>IF(INDEX(tblContractForDeed[End Bal],ROW()-ROW(tblBuyerOutputs[#Headers]))&lt;=0,0,($O$6+IF(ROW()=ROW(tblBuyerOutputs[#Headers])+1,0,INDEX(tblBuyerOutputs[Cumul Appr],ROW()-ROW(tblBuyerOutputs[#Headers])-1)))*$O$2/12)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13" t="str">
        <f>IF(ROW()=ROW(tblSubjectToLoan[#Headers])+1,subjectKnownBalanceDate,IF(OR(INDEX(tblSubjectToLoan[Date],ROW()-ROW(tblSubjectToLoan[#Headers])-1)="",INDEX(tblSubjectToLoan[Date],ROW()-ROW(tblSubjectToLoan[#Headers])-1)&gt;=subjectMortgageEndDate),"",EDATE(INDEX(tblSubjectToLoan[Date],ROW()-ROW(tblSubjectToLoan[#Headers])-1),1)))</f>
        <v/>
      </c>
      <c r="B630" s="276">
        <f>IF(tblSubjectToLoan[[#This Row],[Date]]="",0,IF(ROW()=ROW(tblSubjectToLoan[#Headers])+1,subjectKnownBalance,MAX(0,INDEX(tblSubjectToLoan[Ending Balance],ROW()-ROW(tblSubjectToLoan[#Headers])-1))))</f>
        <v>0</v>
      </c>
      <c r="C6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0" s="14">
        <f>IF(tblSubjectToLoan[[#This Row],[Payment]]=0,0,MAX(0,MIN(tblSubjectToLoan[[#This Row],[Beginning Balance]],tblSubjectToLoan[[#This Row],[Payment]]-tblSubjectToLoan[[#This Row],[Int]])))</f>
        <v>0</v>
      </c>
      <c r="E630" s="14">
        <f>IF(tblSubjectToLoan[[#This Row],[Date]]="",0,ROUND(tblSubjectToLoan[[#This Row],[Beginning Balance]]*(subjectInterestRate/12),2))</f>
        <v>0</v>
      </c>
      <c r="H630" s="14">
        <f>SUM(tblSubjectToLoan[[#This Row],[Princ]],tblSubjectToLoan[[#This Row],[Int]],tblSubjectToLoan[[#This Row],[Ins]],tblSubjectToLoan[[#This Row],[Taxes]])</f>
        <v>0</v>
      </c>
      <c r="I6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0" s="276">
        <f>IF(tblSubjectToLoan[[#This Row],[Date]]="",IF(ROW()=ROW(tblSubjectToLoan[#Headers])+1,0,INDEX(tblSubjectToLoan[Interest],ROW()-ROW(tblSubjectToLoan[#Headers])-1)),tblSubjectToLoan[[#This Row],[Int]]+IF(ROW()=ROW(tblSubjectToLoan[#Headers])+1,0,INDEX(tblSubjectToLoan[Interest],ROW()-ROW(tblSubjectToLoan[#Headers])-1)))</f>
        <v>36068.259999999973</v>
      </c>
      <c r="K630" s="969">
        <f>IF(tblSubjectToLoan[[#This Row],[Date]]="",0,MAX(0,tblSubjectToLoan[[#This Row],[Beginning Balance]]-tblSubjectToLoan[[#This Row],[Princ]]))</f>
        <v>0</v>
      </c>
      <c r="L630" s="394">
        <f t="shared" si="49"/>
        <v>0</v>
      </c>
      <c r="M630" s="394">
        <f t="shared" si="48"/>
        <v>0</v>
      </c>
      <c r="N630" s="613" t="str">
        <f>INDEX(tblSubjectToLoan[Date],ROW()-ROW(tblContractForDeed[#Headers]))</f>
        <v/>
      </c>
      <c r="O630" s="276">
        <f>IF(ROW()=ROW(tblContractForDeed[#Headers])+1,$O$6,IF(INDEX(tblContractForDeed[End Bal],ROW()-ROW(tblContractForDeed[#Headers])-1)&lt;0,0,INDEX(tblContractForDeed[End Bal],ROW()-ROW(tblContractForDeed[#Headers])-1)))</f>
        <v>0</v>
      </c>
      <c r="P630" s="454"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0" s="276">
        <f>IF(INDEX(tblContractForDeed[End Bal],ROW()-ROW(tblBuyerOutputs[#Headers]))&lt;=0,0,($O$6+IF(ROW()=ROW(tblBuyerOutputs[#Headers])+1,0,INDEX(tblBuyerOutputs[Cumul Appr],ROW()-ROW(tblBuyerOutputs[#Headers])-1)))*$O$2/12)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14" t="str">
        <f>IF(ROW()=ROW(tblSubjectToLoan[#Headers])+1,subjectKnownBalanceDate,IF(OR(INDEX(tblSubjectToLoan[Date],ROW()-ROW(tblSubjectToLoan[#Headers])-1)="",INDEX(tblSubjectToLoan[Date],ROW()-ROW(tblSubjectToLoan[#Headers])-1)&gt;=subjectMortgageEndDate),"",EDATE(INDEX(tblSubjectToLoan[Date],ROW()-ROW(tblSubjectToLoan[#Headers])-1),1)))</f>
        <v/>
      </c>
      <c r="B631" s="332">
        <f>IF(tblSubjectToLoan[[#This Row],[Date]]="",0,IF(ROW()=ROW(tblSubjectToLoan[#Headers])+1,subjectKnownBalance,MAX(0,INDEX(tblSubjectToLoan[Ending Balance],ROW()-ROW(tblSubjectToLoan[#Headers])-1))))</f>
        <v>0</v>
      </c>
      <c r="C63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1" s="21">
        <f>IF(tblSubjectToLoan[[#This Row],[Payment]]=0,0,MAX(0,MIN(tblSubjectToLoan[[#This Row],[Beginning Balance]],tblSubjectToLoan[[#This Row],[Payment]]-tblSubjectToLoan[[#This Row],[Int]])))</f>
        <v>0</v>
      </c>
      <c r="E631" s="21">
        <f>IF(tblSubjectToLoan[[#This Row],[Date]]="",0,ROUND(tblSubjectToLoan[[#This Row],[Beginning Balance]]*(subjectInterestRate/12),2))</f>
        <v>0</v>
      </c>
      <c r="F631" s="21"/>
      <c r="G631" s="21"/>
      <c r="H631" s="21">
        <f>SUM(tblSubjectToLoan[[#This Row],[Princ]],tblSubjectToLoan[[#This Row],[Int]],tblSubjectToLoan[[#This Row],[Ins]],tblSubjectToLoan[[#This Row],[Taxes]])</f>
        <v>0</v>
      </c>
      <c r="I63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31" s="332">
        <f>IF(tblSubjectToLoan[[#This Row],[Date]]="",IF(ROW()=ROW(tblSubjectToLoan[#Headers])+1,0,INDEX(tblSubjectToLoan[Interest],ROW()-ROW(tblSubjectToLoan[#Headers])-1)),tblSubjectToLoan[[#This Row],[Int]]+IF(ROW()=ROW(tblSubjectToLoan[#Headers])+1,0,INDEX(tblSubjectToLoan[Interest],ROW()-ROW(tblSubjectToLoan[#Headers])-1)))</f>
        <v>36068.259999999973</v>
      </c>
      <c r="K631" s="970">
        <f>IF(tblSubjectToLoan[[#This Row],[Date]]="",0,MAX(0,tblSubjectToLoan[[#This Row],[Beginning Balance]]-tblSubjectToLoan[[#This Row],[Princ]]))</f>
        <v>0</v>
      </c>
      <c r="L631" s="395">
        <f t="shared" si="49"/>
        <v>0</v>
      </c>
      <c r="M631" s="395">
        <f t="shared" si="48"/>
        <v>0</v>
      </c>
      <c r="N631" s="614" t="str">
        <f>INDEX(tblSubjectToLoan[Date],ROW()-ROW(tblContractForDeed[#Headers]))</f>
        <v/>
      </c>
      <c r="O631" s="332">
        <f>IF(ROW()=ROW(tblContractForDeed[#Headers])+1,$O$6,IF(INDEX(tblContractForDeed[End Bal],ROW()-ROW(tblContractForDeed[#Headers])-1)&lt;0,0,INDEX(tblContractForDeed[End Bal],ROW()-ROW(tblContractForDeed[#Headers])-1)))</f>
        <v>0</v>
      </c>
      <c r="P631" s="454"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1" s="332">
        <f>IF(INDEX(tblContractForDeed[End Bal],ROW()-ROW(tblBuyerOutputs[#Headers]))&lt;=0,0,($O$6+IF(ROW()=ROW(tblBuyerOutputs[#Headers])+1,0,INDEX(tblBuyerOutputs[Cumul Appr],ROW()-ROW(tblBuyerOutputs[#Headers])-1)))*$O$2/12)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13" t="str">
        <f>IF(ROW()=ROW(tblSubjectToLoan[#Headers])+1,subjectKnownBalanceDate,IF(OR(INDEX(tblSubjectToLoan[Date],ROW()-ROW(tblSubjectToLoan[#Headers])-1)="",INDEX(tblSubjectToLoan[Date],ROW()-ROW(tblSubjectToLoan[#Headers])-1)&gt;=subjectMortgageEndDate),"",EDATE(INDEX(tblSubjectToLoan[Date],ROW()-ROW(tblSubjectToLoan[#Headers])-1),1)))</f>
        <v/>
      </c>
      <c r="B632" s="276">
        <f>IF(tblSubjectToLoan[[#This Row],[Date]]="",0,IF(ROW()=ROW(tblSubjectToLoan[#Headers])+1,subjectKnownBalance,MAX(0,INDEX(tblSubjectToLoan[Ending Balance],ROW()-ROW(tblSubjectToLoan[#Headers])-1))))</f>
        <v>0</v>
      </c>
      <c r="C6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2" s="14">
        <f>IF(tblSubjectToLoan[[#This Row],[Payment]]=0,0,MAX(0,MIN(tblSubjectToLoan[[#This Row],[Beginning Balance]],tblSubjectToLoan[[#This Row],[Payment]]-tblSubjectToLoan[[#This Row],[Int]])))</f>
        <v>0</v>
      </c>
      <c r="E632" s="14">
        <f>IF(tblSubjectToLoan[[#This Row],[Date]]="",0,ROUND(tblSubjectToLoan[[#This Row],[Beginning Balance]]*(subjectInterestRate/12),2))</f>
        <v>0</v>
      </c>
      <c r="H632" s="14">
        <f>SUM(tblSubjectToLoan[[#This Row],[Princ]],tblSubjectToLoan[[#This Row],[Int]],tblSubjectToLoan[[#This Row],[Ins]],tblSubjectToLoan[[#This Row],[Taxes]])</f>
        <v>0</v>
      </c>
      <c r="I6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2" s="276">
        <f>IF(tblSubjectToLoan[[#This Row],[Date]]="",IF(ROW()=ROW(tblSubjectToLoan[#Headers])+1,0,INDEX(tblSubjectToLoan[Interest],ROW()-ROW(tblSubjectToLoan[#Headers])-1)),tblSubjectToLoan[[#This Row],[Int]]+IF(ROW()=ROW(tblSubjectToLoan[#Headers])+1,0,INDEX(tblSubjectToLoan[Interest],ROW()-ROW(tblSubjectToLoan[#Headers])-1)))</f>
        <v>36068.259999999973</v>
      </c>
      <c r="K632" s="969">
        <f>IF(tblSubjectToLoan[[#This Row],[Date]]="",0,MAX(0,tblSubjectToLoan[[#This Row],[Beginning Balance]]-tblSubjectToLoan[[#This Row],[Princ]]))</f>
        <v>0</v>
      </c>
      <c r="L632" s="394">
        <f t="shared" si="49"/>
        <v>0</v>
      </c>
      <c r="M632" s="394">
        <f t="shared" si="48"/>
        <v>0</v>
      </c>
      <c r="N632" s="613" t="str">
        <f>INDEX(tblSubjectToLoan[Date],ROW()-ROW(tblContractForDeed[#Headers]))</f>
        <v/>
      </c>
      <c r="O632" s="276">
        <f>IF(ROW()=ROW(tblContractForDeed[#Headers])+1,$O$6,IF(INDEX(tblContractForDeed[End Bal],ROW()-ROW(tblContractForDeed[#Headers])-1)&lt;0,0,INDEX(tblContractForDeed[End Bal],ROW()-ROW(tblContractForDeed[#Headers])-1)))</f>
        <v>0</v>
      </c>
      <c r="P632" s="454"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2" s="276">
        <f>IF(INDEX(tblContractForDeed[End Bal],ROW()-ROW(tblBuyerOutputs[#Headers]))&lt;=0,0,($O$6+IF(ROW()=ROW(tblBuyerOutputs[#Headers])+1,0,INDEX(tblBuyerOutputs[Cumul Appr],ROW()-ROW(tblBuyerOutputs[#Headers])-1)))*$O$2/12)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13" t="str">
        <f>IF(ROW()=ROW(tblSubjectToLoan[#Headers])+1,subjectKnownBalanceDate,IF(OR(INDEX(tblSubjectToLoan[Date],ROW()-ROW(tblSubjectToLoan[#Headers])-1)="",INDEX(tblSubjectToLoan[Date],ROW()-ROW(tblSubjectToLoan[#Headers])-1)&gt;=subjectMortgageEndDate),"",EDATE(INDEX(tblSubjectToLoan[Date],ROW()-ROW(tblSubjectToLoan[#Headers])-1),1)))</f>
        <v/>
      </c>
      <c r="B633" s="276">
        <f>IF(tblSubjectToLoan[[#This Row],[Date]]="",0,IF(ROW()=ROW(tblSubjectToLoan[#Headers])+1,subjectKnownBalance,MAX(0,INDEX(tblSubjectToLoan[Ending Balance],ROW()-ROW(tblSubjectToLoan[#Headers])-1))))</f>
        <v>0</v>
      </c>
      <c r="C6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3" s="14">
        <f>IF(tblSubjectToLoan[[#This Row],[Payment]]=0,0,MAX(0,MIN(tblSubjectToLoan[[#This Row],[Beginning Balance]],tblSubjectToLoan[[#This Row],[Payment]]-tblSubjectToLoan[[#This Row],[Int]])))</f>
        <v>0</v>
      </c>
      <c r="E633" s="14">
        <f>IF(tblSubjectToLoan[[#This Row],[Date]]="",0,ROUND(tblSubjectToLoan[[#This Row],[Beginning Balance]]*(subjectInterestRate/12),2))</f>
        <v>0</v>
      </c>
      <c r="H633" s="14">
        <f>SUM(tblSubjectToLoan[[#This Row],[Princ]],tblSubjectToLoan[[#This Row],[Int]],tblSubjectToLoan[[#This Row],[Ins]],tblSubjectToLoan[[#This Row],[Taxes]])</f>
        <v>0</v>
      </c>
      <c r="I6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3" s="276">
        <f>IF(tblSubjectToLoan[[#This Row],[Date]]="",IF(ROW()=ROW(tblSubjectToLoan[#Headers])+1,0,INDEX(tblSubjectToLoan[Interest],ROW()-ROW(tblSubjectToLoan[#Headers])-1)),tblSubjectToLoan[[#This Row],[Int]]+IF(ROW()=ROW(tblSubjectToLoan[#Headers])+1,0,INDEX(tblSubjectToLoan[Interest],ROW()-ROW(tblSubjectToLoan[#Headers])-1)))</f>
        <v>36068.259999999973</v>
      </c>
      <c r="K633" s="969">
        <f>IF(tblSubjectToLoan[[#This Row],[Date]]="",0,MAX(0,tblSubjectToLoan[[#This Row],[Beginning Balance]]-tblSubjectToLoan[[#This Row],[Princ]]))</f>
        <v>0</v>
      </c>
      <c r="L633" s="394">
        <f t="shared" si="49"/>
        <v>0</v>
      </c>
      <c r="M633" s="394">
        <f t="shared" si="48"/>
        <v>0</v>
      </c>
      <c r="N633" s="613" t="str">
        <f>INDEX(tblSubjectToLoan[Date],ROW()-ROW(tblContractForDeed[#Headers]))</f>
        <v/>
      </c>
      <c r="O633" s="276">
        <f>IF(ROW()=ROW(tblContractForDeed[#Headers])+1,$O$6,IF(INDEX(tblContractForDeed[End Bal],ROW()-ROW(tblContractForDeed[#Headers])-1)&lt;0,0,INDEX(tblContractForDeed[End Bal],ROW()-ROW(tblContractForDeed[#Headers])-1)))</f>
        <v>0</v>
      </c>
      <c r="P633" s="454"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3" s="276">
        <f>IF(INDEX(tblContractForDeed[End Bal],ROW()-ROW(tblBuyerOutputs[#Headers]))&lt;=0,0,($O$6+IF(ROW()=ROW(tblBuyerOutputs[#Headers])+1,0,INDEX(tblBuyerOutputs[Cumul Appr],ROW()-ROW(tblBuyerOutputs[#Headers])-1)))*$O$2/12)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13" t="str">
        <f>IF(ROW()=ROW(tblSubjectToLoan[#Headers])+1,subjectKnownBalanceDate,IF(OR(INDEX(tblSubjectToLoan[Date],ROW()-ROW(tblSubjectToLoan[#Headers])-1)="",INDEX(tblSubjectToLoan[Date],ROW()-ROW(tblSubjectToLoan[#Headers])-1)&gt;=subjectMortgageEndDate),"",EDATE(INDEX(tblSubjectToLoan[Date],ROW()-ROW(tblSubjectToLoan[#Headers])-1),1)))</f>
        <v/>
      </c>
      <c r="B634" s="276">
        <f>IF(tblSubjectToLoan[[#This Row],[Date]]="",0,IF(ROW()=ROW(tblSubjectToLoan[#Headers])+1,subjectKnownBalance,MAX(0,INDEX(tblSubjectToLoan[Ending Balance],ROW()-ROW(tblSubjectToLoan[#Headers])-1))))</f>
        <v>0</v>
      </c>
      <c r="C6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4" s="14">
        <f>IF(tblSubjectToLoan[[#This Row],[Payment]]=0,0,MAX(0,MIN(tblSubjectToLoan[[#This Row],[Beginning Balance]],tblSubjectToLoan[[#This Row],[Payment]]-tblSubjectToLoan[[#This Row],[Int]])))</f>
        <v>0</v>
      </c>
      <c r="E634" s="14">
        <f>IF(tblSubjectToLoan[[#This Row],[Date]]="",0,ROUND(tblSubjectToLoan[[#This Row],[Beginning Balance]]*(subjectInterestRate/12),2))</f>
        <v>0</v>
      </c>
      <c r="H634" s="14">
        <f>SUM(tblSubjectToLoan[[#This Row],[Princ]],tblSubjectToLoan[[#This Row],[Int]],tblSubjectToLoan[[#This Row],[Ins]],tblSubjectToLoan[[#This Row],[Taxes]])</f>
        <v>0</v>
      </c>
      <c r="I6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4" s="276">
        <f>IF(tblSubjectToLoan[[#This Row],[Date]]="",IF(ROW()=ROW(tblSubjectToLoan[#Headers])+1,0,INDEX(tblSubjectToLoan[Interest],ROW()-ROW(tblSubjectToLoan[#Headers])-1)),tblSubjectToLoan[[#This Row],[Int]]+IF(ROW()=ROW(tblSubjectToLoan[#Headers])+1,0,INDEX(tblSubjectToLoan[Interest],ROW()-ROW(tblSubjectToLoan[#Headers])-1)))</f>
        <v>36068.259999999973</v>
      </c>
      <c r="K634" s="969">
        <f>IF(tblSubjectToLoan[[#This Row],[Date]]="",0,MAX(0,tblSubjectToLoan[[#This Row],[Beginning Balance]]-tblSubjectToLoan[[#This Row],[Princ]]))</f>
        <v>0</v>
      </c>
      <c r="L634" s="394">
        <f t="shared" si="49"/>
        <v>0</v>
      </c>
      <c r="M634" s="394">
        <f t="shared" si="48"/>
        <v>0</v>
      </c>
      <c r="N634" s="613" t="str">
        <f>INDEX(tblSubjectToLoan[Date],ROW()-ROW(tblContractForDeed[#Headers]))</f>
        <v/>
      </c>
      <c r="O634" s="276">
        <f>IF(ROW()=ROW(tblContractForDeed[#Headers])+1,$O$6,IF(INDEX(tblContractForDeed[End Bal],ROW()-ROW(tblContractForDeed[#Headers])-1)&lt;0,0,INDEX(tblContractForDeed[End Bal],ROW()-ROW(tblContractForDeed[#Headers])-1)))</f>
        <v>0</v>
      </c>
      <c r="P634" s="454"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4" s="276">
        <f>IF(INDEX(tblContractForDeed[End Bal],ROW()-ROW(tblBuyerOutputs[#Headers]))&lt;=0,0,($O$6+IF(ROW()=ROW(tblBuyerOutputs[#Headers])+1,0,INDEX(tblBuyerOutputs[Cumul Appr],ROW()-ROW(tblBuyerOutputs[#Headers])-1)))*$O$2/12)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13" t="str">
        <f>IF(ROW()=ROW(tblSubjectToLoan[#Headers])+1,subjectKnownBalanceDate,IF(OR(INDEX(tblSubjectToLoan[Date],ROW()-ROW(tblSubjectToLoan[#Headers])-1)="",INDEX(tblSubjectToLoan[Date],ROW()-ROW(tblSubjectToLoan[#Headers])-1)&gt;=subjectMortgageEndDate),"",EDATE(INDEX(tblSubjectToLoan[Date],ROW()-ROW(tblSubjectToLoan[#Headers])-1),1)))</f>
        <v/>
      </c>
      <c r="B635" s="276">
        <f>IF(tblSubjectToLoan[[#This Row],[Date]]="",0,IF(ROW()=ROW(tblSubjectToLoan[#Headers])+1,subjectKnownBalance,MAX(0,INDEX(tblSubjectToLoan[Ending Balance],ROW()-ROW(tblSubjectToLoan[#Headers])-1))))</f>
        <v>0</v>
      </c>
      <c r="C6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5" s="14">
        <f>IF(tblSubjectToLoan[[#This Row],[Payment]]=0,0,MAX(0,MIN(tblSubjectToLoan[[#This Row],[Beginning Balance]],tblSubjectToLoan[[#This Row],[Payment]]-tblSubjectToLoan[[#This Row],[Int]])))</f>
        <v>0</v>
      </c>
      <c r="E635" s="14">
        <f>IF(tblSubjectToLoan[[#This Row],[Date]]="",0,ROUND(tblSubjectToLoan[[#This Row],[Beginning Balance]]*(subjectInterestRate/12),2))</f>
        <v>0</v>
      </c>
      <c r="H635" s="14">
        <f>SUM(tblSubjectToLoan[[#This Row],[Princ]],tblSubjectToLoan[[#This Row],[Int]],tblSubjectToLoan[[#This Row],[Ins]],tblSubjectToLoan[[#This Row],[Taxes]])</f>
        <v>0</v>
      </c>
      <c r="I6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5" s="276">
        <f>IF(tblSubjectToLoan[[#This Row],[Date]]="",IF(ROW()=ROW(tblSubjectToLoan[#Headers])+1,0,INDEX(tblSubjectToLoan[Interest],ROW()-ROW(tblSubjectToLoan[#Headers])-1)),tblSubjectToLoan[[#This Row],[Int]]+IF(ROW()=ROW(tblSubjectToLoan[#Headers])+1,0,INDEX(tblSubjectToLoan[Interest],ROW()-ROW(tblSubjectToLoan[#Headers])-1)))</f>
        <v>36068.259999999973</v>
      </c>
      <c r="K635" s="969">
        <f>IF(tblSubjectToLoan[[#This Row],[Date]]="",0,MAX(0,tblSubjectToLoan[[#This Row],[Beginning Balance]]-tblSubjectToLoan[[#This Row],[Princ]]))</f>
        <v>0</v>
      </c>
      <c r="L635" s="394">
        <f t="shared" si="49"/>
        <v>0</v>
      </c>
      <c r="M635" s="394">
        <f t="shared" si="48"/>
        <v>0</v>
      </c>
      <c r="N635" s="613" t="str">
        <f>INDEX(tblSubjectToLoan[Date],ROW()-ROW(tblContractForDeed[#Headers]))</f>
        <v/>
      </c>
      <c r="O635" s="276">
        <f>IF(ROW()=ROW(tblContractForDeed[#Headers])+1,$O$6,IF(INDEX(tblContractForDeed[End Bal],ROW()-ROW(tblContractForDeed[#Headers])-1)&lt;0,0,INDEX(tblContractForDeed[End Bal],ROW()-ROW(tblContractForDeed[#Headers])-1)))</f>
        <v>0</v>
      </c>
      <c r="P635" s="454"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5" s="276">
        <f>IF(INDEX(tblContractForDeed[End Bal],ROW()-ROW(tblBuyerOutputs[#Headers]))&lt;=0,0,($O$6+IF(ROW()=ROW(tblBuyerOutputs[#Headers])+1,0,INDEX(tblBuyerOutputs[Cumul Appr],ROW()-ROW(tblBuyerOutputs[#Headers])-1)))*$O$2/12)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13" t="str">
        <f>IF(ROW()=ROW(tblSubjectToLoan[#Headers])+1,subjectKnownBalanceDate,IF(OR(INDEX(tblSubjectToLoan[Date],ROW()-ROW(tblSubjectToLoan[#Headers])-1)="",INDEX(tblSubjectToLoan[Date],ROW()-ROW(tblSubjectToLoan[#Headers])-1)&gt;=subjectMortgageEndDate),"",EDATE(INDEX(tblSubjectToLoan[Date],ROW()-ROW(tblSubjectToLoan[#Headers])-1),1)))</f>
        <v/>
      </c>
      <c r="B636" s="276">
        <f>IF(tblSubjectToLoan[[#This Row],[Date]]="",0,IF(ROW()=ROW(tblSubjectToLoan[#Headers])+1,subjectKnownBalance,MAX(0,INDEX(tblSubjectToLoan[Ending Balance],ROW()-ROW(tblSubjectToLoan[#Headers])-1))))</f>
        <v>0</v>
      </c>
      <c r="C6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6" s="14">
        <f>IF(tblSubjectToLoan[[#This Row],[Payment]]=0,0,MAX(0,MIN(tblSubjectToLoan[[#This Row],[Beginning Balance]],tblSubjectToLoan[[#This Row],[Payment]]-tblSubjectToLoan[[#This Row],[Int]])))</f>
        <v>0</v>
      </c>
      <c r="E636" s="14">
        <f>IF(tblSubjectToLoan[[#This Row],[Date]]="",0,ROUND(tblSubjectToLoan[[#This Row],[Beginning Balance]]*(subjectInterestRate/12),2))</f>
        <v>0</v>
      </c>
      <c r="H636" s="14">
        <f>SUM(tblSubjectToLoan[[#This Row],[Princ]],tblSubjectToLoan[[#This Row],[Int]],tblSubjectToLoan[[#This Row],[Ins]],tblSubjectToLoan[[#This Row],[Taxes]])</f>
        <v>0</v>
      </c>
      <c r="I6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6" s="276">
        <f>IF(tblSubjectToLoan[[#This Row],[Date]]="",IF(ROW()=ROW(tblSubjectToLoan[#Headers])+1,0,INDEX(tblSubjectToLoan[Interest],ROW()-ROW(tblSubjectToLoan[#Headers])-1)),tblSubjectToLoan[[#This Row],[Int]]+IF(ROW()=ROW(tblSubjectToLoan[#Headers])+1,0,INDEX(tblSubjectToLoan[Interest],ROW()-ROW(tblSubjectToLoan[#Headers])-1)))</f>
        <v>36068.259999999973</v>
      </c>
      <c r="K636" s="969">
        <f>IF(tblSubjectToLoan[[#This Row],[Date]]="",0,MAX(0,tblSubjectToLoan[[#This Row],[Beginning Balance]]-tblSubjectToLoan[[#This Row],[Princ]]))</f>
        <v>0</v>
      </c>
      <c r="L636" s="394">
        <f t="shared" si="49"/>
        <v>0</v>
      </c>
      <c r="M636" s="394">
        <f t="shared" si="48"/>
        <v>0</v>
      </c>
      <c r="N636" s="613" t="str">
        <f>INDEX(tblSubjectToLoan[Date],ROW()-ROW(tblContractForDeed[#Headers]))</f>
        <v/>
      </c>
      <c r="O636" s="276">
        <f>IF(ROW()=ROW(tblContractForDeed[#Headers])+1,$O$6,IF(INDEX(tblContractForDeed[End Bal],ROW()-ROW(tblContractForDeed[#Headers])-1)&lt;0,0,INDEX(tblContractForDeed[End Bal],ROW()-ROW(tblContractForDeed[#Headers])-1)))</f>
        <v>0</v>
      </c>
      <c r="P636" s="454"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6" s="276">
        <f>IF(INDEX(tblContractForDeed[End Bal],ROW()-ROW(tblBuyerOutputs[#Headers]))&lt;=0,0,($O$6+IF(ROW()=ROW(tblBuyerOutputs[#Headers])+1,0,INDEX(tblBuyerOutputs[Cumul Appr],ROW()-ROW(tblBuyerOutputs[#Headers])-1)))*$O$2/12)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13" t="str">
        <f>IF(ROW()=ROW(tblSubjectToLoan[#Headers])+1,subjectKnownBalanceDate,IF(OR(INDEX(tblSubjectToLoan[Date],ROW()-ROW(tblSubjectToLoan[#Headers])-1)="",INDEX(tblSubjectToLoan[Date],ROW()-ROW(tblSubjectToLoan[#Headers])-1)&gt;=subjectMortgageEndDate),"",EDATE(INDEX(tblSubjectToLoan[Date],ROW()-ROW(tblSubjectToLoan[#Headers])-1),1)))</f>
        <v/>
      </c>
      <c r="B637" s="276">
        <f>IF(tblSubjectToLoan[[#This Row],[Date]]="",0,IF(ROW()=ROW(tblSubjectToLoan[#Headers])+1,subjectKnownBalance,MAX(0,INDEX(tblSubjectToLoan[Ending Balance],ROW()-ROW(tblSubjectToLoan[#Headers])-1))))</f>
        <v>0</v>
      </c>
      <c r="C6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7" s="14">
        <f>IF(tblSubjectToLoan[[#This Row],[Payment]]=0,0,MAX(0,MIN(tblSubjectToLoan[[#This Row],[Beginning Balance]],tblSubjectToLoan[[#This Row],[Payment]]-tblSubjectToLoan[[#This Row],[Int]])))</f>
        <v>0</v>
      </c>
      <c r="E637" s="14">
        <f>IF(tblSubjectToLoan[[#This Row],[Date]]="",0,ROUND(tblSubjectToLoan[[#This Row],[Beginning Balance]]*(subjectInterestRate/12),2))</f>
        <v>0</v>
      </c>
      <c r="H637" s="14">
        <f>SUM(tblSubjectToLoan[[#This Row],[Princ]],tblSubjectToLoan[[#This Row],[Int]],tblSubjectToLoan[[#This Row],[Ins]],tblSubjectToLoan[[#This Row],[Taxes]])</f>
        <v>0</v>
      </c>
      <c r="I6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7" s="276">
        <f>IF(tblSubjectToLoan[[#This Row],[Date]]="",IF(ROW()=ROW(tblSubjectToLoan[#Headers])+1,0,INDEX(tblSubjectToLoan[Interest],ROW()-ROW(tblSubjectToLoan[#Headers])-1)),tblSubjectToLoan[[#This Row],[Int]]+IF(ROW()=ROW(tblSubjectToLoan[#Headers])+1,0,INDEX(tblSubjectToLoan[Interest],ROW()-ROW(tblSubjectToLoan[#Headers])-1)))</f>
        <v>36068.259999999973</v>
      </c>
      <c r="K637" s="969">
        <f>IF(tblSubjectToLoan[[#This Row],[Date]]="",0,MAX(0,tblSubjectToLoan[[#This Row],[Beginning Balance]]-tblSubjectToLoan[[#This Row],[Princ]]))</f>
        <v>0</v>
      </c>
      <c r="L637" s="394">
        <f t="shared" si="49"/>
        <v>0</v>
      </c>
      <c r="M637" s="394">
        <f t="shared" si="48"/>
        <v>0</v>
      </c>
      <c r="N637" s="613" t="str">
        <f>INDEX(tblSubjectToLoan[Date],ROW()-ROW(tblContractForDeed[#Headers]))</f>
        <v/>
      </c>
      <c r="O637" s="276">
        <f>IF(ROW()=ROW(tblContractForDeed[#Headers])+1,$O$6,IF(INDEX(tblContractForDeed[End Bal],ROW()-ROW(tblContractForDeed[#Headers])-1)&lt;0,0,INDEX(tblContractForDeed[End Bal],ROW()-ROW(tblContractForDeed[#Headers])-1)))</f>
        <v>0</v>
      </c>
      <c r="P637" s="454"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7" s="276">
        <f>IF(INDEX(tblContractForDeed[End Bal],ROW()-ROW(tblBuyerOutputs[#Headers]))&lt;=0,0,($O$6+IF(ROW()=ROW(tblBuyerOutputs[#Headers])+1,0,INDEX(tblBuyerOutputs[Cumul Appr],ROW()-ROW(tblBuyerOutputs[#Headers])-1)))*$O$2/12)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13" t="str">
        <f>IF(ROW()=ROW(tblSubjectToLoan[#Headers])+1,subjectKnownBalanceDate,IF(OR(INDEX(tblSubjectToLoan[Date],ROW()-ROW(tblSubjectToLoan[#Headers])-1)="",INDEX(tblSubjectToLoan[Date],ROW()-ROW(tblSubjectToLoan[#Headers])-1)&gt;=subjectMortgageEndDate),"",EDATE(INDEX(tblSubjectToLoan[Date],ROW()-ROW(tblSubjectToLoan[#Headers])-1),1)))</f>
        <v/>
      </c>
      <c r="B638" s="276">
        <f>IF(tblSubjectToLoan[[#This Row],[Date]]="",0,IF(ROW()=ROW(tblSubjectToLoan[#Headers])+1,subjectKnownBalance,MAX(0,INDEX(tblSubjectToLoan[Ending Balance],ROW()-ROW(tblSubjectToLoan[#Headers])-1))))</f>
        <v>0</v>
      </c>
      <c r="C6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8" s="14">
        <f>IF(tblSubjectToLoan[[#This Row],[Payment]]=0,0,MAX(0,MIN(tblSubjectToLoan[[#This Row],[Beginning Balance]],tblSubjectToLoan[[#This Row],[Payment]]-tblSubjectToLoan[[#This Row],[Int]])))</f>
        <v>0</v>
      </c>
      <c r="E638" s="14">
        <f>IF(tblSubjectToLoan[[#This Row],[Date]]="",0,ROUND(tblSubjectToLoan[[#This Row],[Beginning Balance]]*(subjectInterestRate/12),2))</f>
        <v>0</v>
      </c>
      <c r="H638" s="14">
        <f>SUM(tblSubjectToLoan[[#This Row],[Princ]],tblSubjectToLoan[[#This Row],[Int]],tblSubjectToLoan[[#This Row],[Ins]],tblSubjectToLoan[[#This Row],[Taxes]])</f>
        <v>0</v>
      </c>
      <c r="I6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8" s="276">
        <f>IF(tblSubjectToLoan[[#This Row],[Date]]="",IF(ROW()=ROW(tblSubjectToLoan[#Headers])+1,0,INDEX(tblSubjectToLoan[Interest],ROW()-ROW(tblSubjectToLoan[#Headers])-1)),tblSubjectToLoan[[#This Row],[Int]]+IF(ROW()=ROW(tblSubjectToLoan[#Headers])+1,0,INDEX(tblSubjectToLoan[Interest],ROW()-ROW(tblSubjectToLoan[#Headers])-1)))</f>
        <v>36068.259999999973</v>
      </c>
      <c r="K638" s="969">
        <f>IF(tblSubjectToLoan[[#This Row],[Date]]="",0,MAX(0,tblSubjectToLoan[[#This Row],[Beginning Balance]]-tblSubjectToLoan[[#This Row],[Princ]]))</f>
        <v>0</v>
      </c>
      <c r="L638" s="394">
        <f t="shared" si="49"/>
        <v>0</v>
      </c>
      <c r="M638" s="394">
        <f t="shared" si="48"/>
        <v>0</v>
      </c>
      <c r="N638" s="613" t="str">
        <f>INDEX(tblSubjectToLoan[Date],ROW()-ROW(tblContractForDeed[#Headers]))</f>
        <v/>
      </c>
      <c r="O638" s="276">
        <f>IF(ROW()=ROW(tblContractForDeed[#Headers])+1,$O$6,IF(INDEX(tblContractForDeed[End Bal],ROW()-ROW(tblContractForDeed[#Headers])-1)&lt;0,0,INDEX(tblContractForDeed[End Bal],ROW()-ROW(tblContractForDeed[#Headers])-1)))</f>
        <v>0</v>
      </c>
      <c r="P638" s="454"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8" s="276">
        <f>IF(INDEX(tblContractForDeed[End Bal],ROW()-ROW(tblBuyerOutputs[#Headers]))&lt;=0,0,($O$6+IF(ROW()=ROW(tblBuyerOutputs[#Headers])+1,0,INDEX(tblBuyerOutputs[Cumul Appr],ROW()-ROW(tblBuyerOutputs[#Headers])-1)))*$O$2/12)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13" t="str">
        <f>IF(ROW()=ROW(tblSubjectToLoan[#Headers])+1,subjectKnownBalanceDate,IF(OR(INDEX(tblSubjectToLoan[Date],ROW()-ROW(tblSubjectToLoan[#Headers])-1)="",INDEX(tblSubjectToLoan[Date],ROW()-ROW(tblSubjectToLoan[#Headers])-1)&gt;=subjectMortgageEndDate),"",EDATE(INDEX(tblSubjectToLoan[Date],ROW()-ROW(tblSubjectToLoan[#Headers])-1),1)))</f>
        <v/>
      </c>
      <c r="B639" s="276">
        <f>IF(tblSubjectToLoan[[#This Row],[Date]]="",0,IF(ROW()=ROW(tblSubjectToLoan[#Headers])+1,subjectKnownBalance,MAX(0,INDEX(tblSubjectToLoan[Ending Balance],ROW()-ROW(tblSubjectToLoan[#Headers])-1))))</f>
        <v>0</v>
      </c>
      <c r="C6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9" s="14">
        <f>IF(tblSubjectToLoan[[#This Row],[Payment]]=0,0,MAX(0,MIN(tblSubjectToLoan[[#This Row],[Beginning Balance]],tblSubjectToLoan[[#This Row],[Payment]]-tblSubjectToLoan[[#This Row],[Int]])))</f>
        <v>0</v>
      </c>
      <c r="E639" s="14">
        <f>IF(tblSubjectToLoan[[#This Row],[Date]]="",0,ROUND(tblSubjectToLoan[[#This Row],[Beginning Balance]]*(subjectInterestRate/12),2))</f>
        <v>0</v>
      </c>
      <c r="H639" s="14">
        <f>SUM(tblSubjectToLoan[[#This Row],[Princ]],tblSubjectToLoan[[#This Row],[Int]],tblSubjectToLoan[[#This Row],[Ins]],tblSubjectToLoan[[#This Row],[Taxes]])</f>
        <v>0</v>
      </c>
      <c r="I6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9" s="276">
        <f>IF(tblSubjectToLoan[[#This Row],[Date]]="",IF(ROW()=ROW(tblSubjectToLoan[#Headers])+1,0,INDEX(tblSubjectToLoan[Interest],ROW()-ROW(tblSubjectToLoan[#Headers])-1)),tblSubjectToLoan[[#This Row],[Int]]+IF(ROW()=ROW(tblSubjectToLoan[#Headers])+1,0,INDEX(tblSubjectToLoan[Interest],ROW()-ROW(tblSubjectToLoan[#Headers])-1)))</f>
        <v>36068.259999999973</v>
      </c>
      <c r="K639" s="969">
        <f>IF(tblSubjectToLoan[[#This Row],[Date]]="",0,MAX(0,tblSubjectToLoan[[#This Row],[Beginning Balance]]-tblSubjectToLoan[[#This Row],[Princ]]))</f>
        <v>0</v>
      </c>
      <c r="L639" s="394">
        <f t="shared" si="49"/>
        <v>0</v>
      </c>
      <c r="M639" s="394">
        <f t="shared" si="48"/>
        <v>0</v>
      </c>
      <c r="N639" s="613" t="str">
        <f>INDEX(tblSubjectToLoan[Date],ROW()-ROW(tblContractForDeed[#Headers]))</f>
        <v/>
      </c>
      <c r="O639" s="276">
        <f>IF(ROW()=ROW(tblContractForDeed[#Headers])+1,$O$6,IF(INDEX(tblContractForDeed[End Bal],ROW()-ROW(tblContractForDeed[#Headers])-1)&lt;0,0,INDEX(tblContractForDeed[End Bal],ROW()-ROW(tblContractForDeed[#Headers])-1)))</f>
        <v>0</v>
      </c>
      <c r="P639" s="454"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9" s="276">
        <f>IF(INDEX(tblContractForDeed[End Bal],ROW()-ROW(tblBuyerOutputs[#Headers]))&lt;=0,0,($O$6+IF(ROW()=ROW(tblBuyerOutputs[#Headers])+1,0,INDEX(tblBuyerOutputs[Cumul Appr],ROW()-ROW(tblBuyerOutputs[#Headers])-1)))*$O$2/12)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13" t="str">
        <f>IF(ROW()=ROW(tblSubjectToLoan[#Headers])+1,subjectKnownBalanceDate,IF(OR(INDEX(tblSubjectToLoan[Date],ROW()-ROW(tblSubjectToLoan[#Headers])-1)="",INDEX(tblSubjectToLoan[Date],ROW()-ROW(tblSubjectToLoan[#Headers])-1)&gt;=subjectMortgageEndDate),"",EDATE(INDEX(tblSubjectToLoan[Date],ROW()-ROW(tblSubjectToLoan[#Headers])-1),1)))</f>
        <v/>
      </c>
      <c r="B640" s="276">
        <f>IF(tblSubjectToLoan[[#This Row],[Date]]="",0,IF(ROW()=ROW(tblSubjectToLoan[#Headers])+1,subjectKnownBalance,MAX(0,INDEX(tblSubjectToLoan[Ending Balance],ROW()-ROW(tblSubjectToLoan[#Headers])-1))))</f>
        <v>0</v>
      </c>
      <c r="C6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0" s="14">
        <f>IF(tblSubjectToLoan[[#This Row],[Payment]]=0,0,MAX(0,MIN(tblSubjectToLoan[[#This Row],[Beginning Balance]],tblSubjectToLoan[[#This Row],[Payment]]-tblSubjectToLoan[[#This Row],[Int]])))</f>
        <v>0</v>
      </c>
      <c r="E640" s="14">
        <f>IF(tblSubjectToLoan[[#This Row],[Date]]="",0,ROUND(tblSubjectToLoan[[#This Row],[Beginning Balance]]*(subjectInterestRate/12),2))</f>
        <v>0</v>
      </c>
      <c r="H640" s="14">
        <f>SUM(tblSubjectToLoan[[#This Row],[Princ]],tblSubjectToLoan[[#This Row],[Int]],tblSubjectToLoan[[#This Row],[Ins]],tblSubjectToLoan[[#This Row],[Taxes]])</f>
        <v>0</v>
      </c>
      <c r="I6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0" s="276">
        <f>IF(tblSubjectToLoan[[#This Row],[Date]]="",IF(ROW()=ROW(tblSubjectToLoan[#Headers])+1,0,INDEX(tblSubjectToLoan[Interest],ROW()-ROW(tblSubjectToLoan[#Headers])-1)),tblSubjectToLoan[[#This Row],[Int]]+IF(ROW()=ROW(tblSubjectToLoan[#Headers])+1,0,INDEX(tblSubjectToLoan[Interest],ROW()-ROW(tblSubjectToLoan[#Headers])-1)))</f>
        <v>36068.259999999973</v>
      </c>
      <c r="K640" s="969">
        <f>IF(tblSubjectToLoan[[#This Row],[Date]]="",0,MAX(0,tblSubjectToLoan[[#This Row],[Beginning Balance]]-tblSubjectToLoan[[#This Row],[Princ]]))</f>
        <v>0</v>
      </c>
      <c r="L640" s="394">
        <f t="shared" si="49"/>
        <v>0</v>
      </c>
      <c r="M640" s="394">
        <f t="shared" si="48"/>
        <v>0</v>
      </c>
      <c r="N640" s="613" t="str">
        <f>INDEX(tblSubjectToLoan[Date],ROW()-ROW(tblContractForDeed[#Headers]))</f>
        <v/>
      </c>
      <c r="O640" s="276">
        <f>IF(ROW()=ROW(tblContractForDeed[#Headers])+1,$O$6,IF(INDEX(tblContractForDeed[End Bal],ROW()-ROW(tblContractForDeed[#Headers])-1)&lt;0,0,INDEX(tblContractForDeed[End Bal],ROW()-ROW(tblContractForDeed[#Headers])-1)))</f>
        <v>0</v>
      </c>
      <c r="P640" s="454"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0" s="276">
        <f>IF(INDEX(tblContractForDeed[End Bal],ROW()-ROW(tblBuyerOutputs[#Headers]))&lt;=0,0,($O$6+IF(ROW()=ROW(tblBuyerOutputs[#Headers])+1,0,INDEX(tblBuyerOutputs[Cumul Appr],ROW()-ROW(tblBuyerOutputs[#Headers])-1)))*$O$2/12)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13" t="str">
        <f>IF(ROW()=ROW(tblSubjectToLoan[#Headers])+1,subjectKnownBalanceDate,IF(OR(INDEX(tblSubjectToLoan[Date],ROW()-ROW(tblSubjectToLoan[#Headers])-1)="",INDEX(tblSubjectToLoan[Date],ROW()-ROW(tblSubjectToLoan[#Headers])-1)&gt;=subjectMortgageEndDate),"",EDATE(INDEX(tblSubjectToLoan[Date],ROW()-ROW(tblSubjectToLoan[#Headers])-1),1)))</f>
        <v/>
      </c>
      <c r="B641" s="276">
        <f>IF(tblSubjectToLoan[[#This Row],[Date]]="",0,IF(ROW()=ROW(tblSubjectToLoan[#Headers])+1,subjectKnownBalance,MAX(0,INDEX(tblSubjectToLoan[Ending Balance],ROW()-ROW(tblSubjectToLoan[#Headers])-1))))</f>
        <v>0</v>
      </c>
      <c r="C6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1" s="14">
        <f>IF(tblSubjectToLoan[[#This Row],[Payment]]=0,0,MAX(0,MIN(tblSubjectToLoan[[#This Row],[Beginning Balance]],tblSubjectToLoan[[#This Row],[Payment]]-tblSubjectToLoan[[#This Row],[Int]])))</f>
        <v>0</v>
      </c>
      <c r="E641" s="14">
        <f>IF(tblSubjectToLoan[[#This Row],[Date]]="",0,ROUND(tblSubjectToLoan[[#This Row],[Beginning Balance]]*(subjectInterestRate/12),2))</f>
        <v>0</v>
      </c>
      <c r="H641" s="14">
        <f>SUM(tblSubjectToLoan[[#This Row],[Princ]],tblSubjectToLoan[[#This Row],[Int]],tblSubjectToLoan[[#This Row],[Ins]],tblSubjectToLoan[[#This Row],[Taxes]])</f>
        <v>0</v>
      </c>
      <c r="I6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1" s="276">
        <f>IF(tblSubjectToLoan[[#This Row],[Date]]="",IF(ROW()=ROW(tblSubjectToLoan[#Headers])+1,0,INDEX(tblSubjectToLoan[Interest],ROW()-ROW(tblSubjectToLoan[#Headers])-1)),tblSubjectToLoan[[#This Row],[Int]]+IF(ROW()=ROW(tblSubjectToLoan[#Headers])+1,0,INDEX(tblSubjectToLoan[Interest],ROW()-ROW(tblSubjectToLoan[#Headers])-1)))</f>
        <v>36068.259999999973</v>
      </c>
      <c r="K641" s="969">
        <f>IF(tblSubjectToLoan[[#This Row],[Date]]="",0,MAX(0,tblSubjectToLoan[[#This Row],[Beginning Balance]]-tblSubjectToLoan[[#This Row],[Princ]]))</f>
        <v>0</v>
      </c>
      <c r="L641" s="394">
        <f t="shared" si="49"/>
        <v>0</v>
      </c>
      <c r="M641" s="394">
        <f t="shared" si="48"/>
        <v>0</v>
      </c>
      <c r="N641" s="613" t="str">
        <f>INDEX(tblSubjectToLoan[Date],ROW()-ROW(tblContractForDeed[#Headers]))</f>
        <v/>
      </c>
      <c r="O641" s="276">
        <f>IF(ROW()=ROW(tblContractForDeed[#Headers])+1,$O$6,IF(INDEX(tblContractForDeed[End Bal],ROW()-ROW(tblContractForDeed[#Headers])-1)&lt;0,0,INDEX(tblContractForDeed[End Bal],ROW()-ROW(tblContractForDeed[#Headers])-1)))</f>
        <v>0</v>
      </c>
      <c r="P641" s="454"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1" s="276">
        <f>IF(INDEX(tblContractForDeed[End Bal],ROW()-ROW(tblBuyerOutputs[#Headers]))&lt;=0,0,($O$6+IF(ROW()=ROW(tblBuyerOutputs[#Headers])+1,0,INDEX(tblBuyerOutputs[Cumul Appr],ROW()-ROW(tblBuyerOutputs[#Headers])-1)))*$O$2/12)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13" t="str">
        <f>IF(ROW()=ROW(tblSubjectToLoan[#Headers])+1,subjectKnownBalanceDate,IF(OR(INDEX(tblSubjectToLoan[Date],ROW()-ROW(tblSubjectToLoan[#Headers])-1)="",INDEX(tblSubjectToLoan[Date],ROW()-ROW(tblSubjectToLoan[#Headers])-1)&gt;=subjectMortgageEndDate),"",EDATE(INDEX(tblSubjectToLoan[Date],ROW()-ROW(tblSubjectToLoan[#Headers])-1),1)))</f>
        <v/>
      </c>
      <c r="B642" s="276">
        <f>IF(tblSubjectToLoan[[#This Row],[Date]]="",0,IF(ROW()=ROW(tblSubjectToLoan[#Headers])+1,subjectKnownBalance,MAX(0,INDEX(tblSubjectToLoan[Ending Balance],ROW()-ROW(tblSubjectToLoan[#Headers])-1))))</f>
        <v>0</v>
      </c>
      <c r="C6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2" s="14">
        <f>IF(tblSubjectToLoan[[#This Row],[Payment]]=0,0,MAX(0,MIN(tblSubjectToLoan[[#This Row],[Beginning Balance]],tblSubjectToLoan[[#This Row],[Payment]]-tblSubjectToLoan[[#This Row],[Int]])))</f>
        <v>0</v>
      </c>
      <c r="E642" s="14">
        <f>IF(tblSubjectToLoan[[#This Row],[Date]]="",0,ROUND(tblSubjectToLoan[[#This Row],[Beginning Balance]]*(subjectInterestRate/12),2))</f>
        <v>0</v>
      </c>
      <c r="H642" s="14">
        <f>SUM(tblSubjectToLoan[[#This Row],[Princ]],tblSubjectToLoan[[#This Row],[Int]],tblSubjectToLoan[[#This Row],[Ins]],tblSubjectToLoan[[#This Row],[Taxes]])</f>
        <v>0</v>
      </c>
      <c r="I6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2" s="276">
        <f>IF(tblSubjectToLoan[[#This Row],[Date]]="",IF(ROW()=ROW(tblSubjectToLoan[#Headers])+1,0,INDEX(tblSubjectToLoan[Interest],ROW()-ROW(tblSubjectToLoan[#Headers])-1)),tblSubjectToLoan[[#This Row],[Int]]+IF(ROW()=ROW(tblSubjectToLoan[#Headers])+1,0,INDEX(tblSubjectToLoan[Interest],ROW()-ROW(tblSubjectToLoan[#Headers])-1)))</f>
        <v>36068.259999999973</v>
      </c>
      <c r="K642" s="969">
        <f>IF(tblSubjectToLoan[[#This Row],[Date]]="",0,MAX(0,tblSubjectToLoan[[#This Row],[Beginning Balance]]-tblSubjectToLoan[[#This Row],[Princ]]))</f>
        <v>0</v>
      </c>
      <c r="L642" s="394">
        <f t="shared" si="49"/>
        <v>0</v>
      </c>
      <c r="M642" s="394">
        <f t="shared" si="48"/>
        <v>0</v>
      </c>
      <c r="N642" s="613" t="str">
        <f>INDEX(tblSubjectToLoan[Date],ROW()-ROW(tblContractForDeed[#Headers]))</f>
        <v/>
      </c>
      <c r="O642" s="276">
        <f>IF(ROW()=ROW(tblContractForDeed[#Headers])+1,$O$6,IF(INDEX(tblContractForDeed[End Bal],ROW()-ROW(tblContractForDeed[#Headers])-1)&lt;0,0,INDEX(tblContractForDeed[End Bal],ROW()-ROW(tblContractForDeed[#Headers])-1)))</f>
        <v>0</v>
      </c>
      <c r="P642" s="454"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2" s="276">
        <f>IF(INDEX(tblContractForDeed[End Bal],ROW()-ROW(tblBuyerOutputs[#Headers]))&lt;=0,0,($O$6+IF(ROW()=ROW(tblBuyerOutputs[#Headers])+1,0,INDEX(tblBuyerOutputs[Cumul Appr],ROW()-ROW(tblBuyerOutputs[#Headers])-1)))*$O$2/12)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14" t="str">
        <f>IF(ROW()=ROW(tblSubjectToLoan[#Headers])+1,subjectKnownBalanceDate,IF(OR(INDEX(tblSubjectToLoan[Date],ROW()-ROW(tblSubjectToLoan[#Headers])-1)="",INDEX(tblSubjectToLoan[Date],ROW()-ROW(tblSubjectToLoan[#Headers])-1)&gt;=subjectMortgageEndDate),"",EDATE(INDEX(tblSubjectToLoan[Date],ROW()-ROW(tblSubjectToLoan[#Headers])-1),1)))</f>
        <v/>
      </c>
      <c r="B643" s="332">
        <f>IF(tblSubjectToLoan[[#This Row],[Date]]="",0,IF(ROW()=ROW(tblSubjectToLoan[#Headers])+1,subjectKnownBalance,MAX(0,INDEX(tblSubjectToLoan[Ending Balance],ROW()-ROW(tblSubjectToLoan[#Headers])-1))))</f>
        <v>0</v>
      </c>
      <c r="C64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3" s="21">
        <f>IF(tblSubjectToLoan[[#This Row],[Payment]]=0,0,MAX(0,MIN(tblSubjectToLoan[[#This Row],[Beginning Balance]],tblSubjectToLoan[[#This Row],[Payment]]-tblSubjectToLoan[[#This Row],[Int]])))</f>
        <v>0</v>
      </c>
      <c r="E643" s="21">
        <f>IF(tblSubjectToLoan[[#This Row],[Date]]="",0,ROUND(tblSubjectToLoan[[#This Row],[Beginning Balance]]*(subjectInterestRate/12),2))</f>
        <v>0</v>
      </c>
      <c r="F643" s="21"/>
      <c r="G643" s="21"/>
      <c r="H643" s="21">
        <f>SUM(tblSubjectToLoan[[#This Row],[Princ]],tblSubjectToLoan[[#This Row],[Int]],tblSubjectToLoan[[#This Row],[Ins]],tblSubjectToLoan[[#This Row],[Taxes]])</f>
        <v>0</v>
      </c>
      <c r="I64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43" s="332">
        <f>IF(tblSubjectToLoan[[#This Row],[Date]]="",IF(ROW()=ROW(tblSubjectToLoan[#Headers])+1,0,INDEX(tblSubjectToLoan[Interest],ROW()-ROW(tblSubjectToLoan[#Headers])-1)),tblSubjectToLoan[[#This Row],[Int]]+IF(ROW()=ROW(tblSubjectToLoan[#Headers])+1,0,INDEX(tblSubjectToLoan[Interest],ROW()-ROW(tblSubjectToLoan[#Headers])-1)))</f>
        <v>36068.259999999973</v>
      </c>
      <c r="K643" s="970">
        <f>IF(tblSubjectToLoan[[#This Row],[Date]]="",0,MAX(0,tblSubjectToLoan[[#This Row],[Beginning Balance]]-tblSubjectToLoan[[#This Row],[Princ]]))</f>
        <v>0</v>
      </c>
      <c r="L643" s="395">
        <f t="shared" si="49"/>
        <v>0</v>
      </c>
      <c r="M643" s="395">
        <f t="shared" si="48"/>
        <v>0</v>
      </c>
      <c r="N643" s="614" t="str">
        <f>INDEX(tblSubjectToLoan[Date],ROW()-ROW(tblContractForDeed[#Headers]))</f>
        <v/>
      </c>
      <c r="O643" s="332">
        <f>IF(ROW()=ROW(tblContractForDeed[#Headers])+1,$O$6,IF(INDEX(tblContractForDeed[End Bal],ROW()-ROW(tblContractForDeed[#Headers])-1)&lt;0,0,INDEX(tblContractForDeed[End Bal],ROW()-ROW(tblContractForDeed[#Headers])-1)))</f>
        <v>0</v>
      </c>
      <c r="P643" s="454"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3" s="332">
        <f>IF(INDEX(tblContractForDeed[End Bal],ROW()-ROW(tblBuyerOutputs[#Headers]))&lt;=0,0,($O$6+IF(ROW()=ROW(tblBuyerOutputs[#Headers])+1,0,INDEX(tblBuyerOutputs[Cumul Appr],ROW()-ROW(tblBuyerOutputs[#Headers])-1)))*$O$2/12)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13" t="str">
        <f>IF(ROW()=ROW(tblSubjectToLoan[#Headers])+1,subjectKnownBalanceDate,IF(OR(INDEX(tblSubjectToLoan[Date],ROW()-ROW(tblSubjectToLoan[#Headers])-1)="",INDEX(tblSubjectToLoan[Date],ROW()-ROW(tblSubjectToLoan[#Headers])-1)&gt;=subjectMortgageEndDate),"",EDATE(INDEX(tblSubjectToLoan[Date],ROW()-ROW(tblSubjectToLoan[#Headers])-1),1)))</f>
        <v/>
      </c>
      <c r="B644" s="276">
        <f>IF(tblSubjectToLoan[[#This Row],[Date]]="",0,IF(ROW()=ROW(tblSubjectToLoan[#Headers])+1,subjectKnownBalance,MAX(0,INDEX(tblSubjectToLoan[Ending Balance],ROW()-ROW(tblSubjectToLoan[#Headers])-1))))</f>
        <v>0</v>
      </c>
      <c r="C6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4" s="14">
        <f>IF(tblSubjectToLoan[[#This Row],[Payment]]=0,0,MAX(0,MIN(tblSubjectToLoan[[#This Row],[Beginning Balance]],tblSubjectToLoan[[#This Row],[Payment]]-tblSubjectToLoan[[#This Row],[Int]])))</f>
        <v>0</v>
      </c>
      <c r="E644" s="14">
        <f>IF(tblSubjectToLoan[[#This Row],[Date]]="",0,ROUND(tblSubjectToLoan[[#This Row],[Beginning Balance]]*(subjectInterestRate/12),2))</f>
        <v>0</v>
      </c>
      <c r="H644" s="14">
        <f>SUM(tblSubjectToLoan[[#This Row],[Princ]],tblSubjectToLoan[[#This Row],[Int]],tblSubjectToLoan[[#This Row],[Ins]],tblSubjectToLoan[[#This Row],[Taxes]])</f>
        <v>0</v>
      </c>
      <c r="I6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4" s="276">
        <f>IF(tblSubjectToLoan[[#This Row],[Date]]="",IF(ROW()=ROW(tblSubjectToLoan[#Headers])+1,0,INDEX(tblSubjectToLoan[Interest],ROW()-ROW(tblSubjectToLoan[#Headers])-1)),tblSubjectToLoan[[#This Row],[Int]]+IF(ROW()=ROW(tblSubjectToLoan[#Headers])+1,0,INDEX(tblSubjectToLoan[Interest],ROW()-ROW(tblSubjectToLoan[#Headers])-1)))</f>
        <v>36068.259999999973</v>
      </c>
      <c r="K644" s="969">
        <f>IF(tblSubjectToLoan[[#This Row],[Date]]="",0,MAX(0,tblSubjectToLoan[[#This Row],[Beginning Balance]]-tblSubjectToLoan[[#This Row],[Princ]]))</f>
        <v>0</v>
      </c>
      <c r="L644" s="394">
        <f t="shared" si="49"/>
        <v>0</v>
      </c>
      <c r="M644" s="394">
        <f t="shared" si="48"/>
        <v>0</v>
      </c>
      <c r="N644" s="613" t="str">
        <f>INDEX(tblSubjectToLoan[Date],ROW()-ROW(tblContractForDeed[#Headers]))</f>
        <v/>
      </c>
      <c r="O644" s="276">
        <f>IF(ROW()=ROW(tblContractForDeed[#Headers])+1,$O$6,IF(INDEX(tblContractForDeed[End Bal],ROW()-ROW(tblContractForDeed[#Headers])-1)&lt;0,0,INDEX(tblContractForDeed[End Bal],ROW()-ROW(tblContractForDeed[#Headers])-1)))</f>
        <v>0</v>
      </c>
      <c r="P644" s="454"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4" s="276">
        <f>IF(INDEX(tblContractForDeed[End Bal],ROW()-ROW(tblBuyerOutputs[#Headers]))&lt;=0,0,($O$6+IF(ROW()=ROW(tblBuyerOutputs[#Headers])+1,0,INDEX(tblBuyerOutputs[Cumul Appr],ROW()-ROW(tblBuyerOutputs[#Headers])-1)))*$O$2/12)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13" t="str">
        <f>IF(ROW()=ROW(tblSubjectToLoan[#Headers])+1,subjectKnownBalanceDate,IF(OR(INDEX(tblSubjectToLoan[Date],ROW()-ROW(tblSubjectToLoan[#Headers])-1)="",INDEX(tblSubjectToLoan[Date],ROW()-ROW(tblSubjectToLoan[#Headers])-1)&gt;=subjectMortgageEndDate),"",EDATE(INDEX(tblSubjectToLoan[Date],ROW()-ROW(tblSubjectToLoan[#Headers])-1),1)))</f>
        <v/>
      </c>
      <c r="B645" s="276">
        <f>IF(tblSubjectToLoan[[#This Row],[Date]]="",0,IF(ROW()=ROW(tblSubjectToLoan[#Headers])+1,subjectKnownBalance,MAX(0,INDEX(tblSubjectToLoan[Ending Balance],ROW()-ROW(tblSubjectToLoan[#Headers])-1))))</f>
        <v>0</v>
      </c>
      <c r="C6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5" s="14">
        <f>IF(tblSubjectToLoan[[#This Row],[Payment]]=0,0,MAX(0,MIN(tblSubjectToLoan[[#This Row],[Beginning Balance]],tblSubjectToLoan[[#This Row],[Payment]]-tblSubjectToLoan[[#This Row],[Int]])))</f>
        <v>0</v>
      </c>
      <c r="E645" s="14">
        <f>IF(tblSubjectToLoan[[#This Row],[Date]]="",0,ROUND(tblSubjectToLoan[[#This Row],[Beginning Balance]]*(subjectInterestRate/12),2))</f>
        <v>0</v>
      </c>
      <c r="H645" s="14">
        <f>SUM(tblSubjectToLoan[[#This Row],[Princ]],tblSubjectToLoan[[#This Row],[Int]],tblSubjectToLoan[[#This Row],[Ins]],tblSubjectToLoan[[#This Row],[Taxes]])</f>
        <v>0</v>
      </c>
      <c r="I6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5" s="276">
        <f>IF(tblSubjectToLoan[[#This Row],[Date]]="",IF(ROW()=ROW(tblSubjectToLoan[#Headers])+1,0,INDEX(tblSubjectToLoan[Interest],ROW()-ROW(tblSubjectToLoan[#Headers])-1)),tblSubjectToLoan[[#This Row],[Int]]+IF(ROW()=ROW(tblSubjectToLoan[#Headers])+1,0,INDEX(tblSubjectToLoan[Interest],ROW()-ROW(tblSubjectToLoan[#Headers])-1)))</f>
        <v>36068.259999999973</v>
      </c>
      <c r="K645" s="969">
        <f>IF(tblSubjectToLoan[[#This Row],[Date]]="",0,MAX(0,tblSubjectToLoan[[#This Row],[Beginning Balance]]-tblSubjectToLoan[[#This Row],[Princ]]))</f>
        <v>0</v>
      </c>
      <c r="L645" s="394">
        <f t="shared" si="49"/>
        <v>0</v>
      </c>
      <c r="M645" s="394">
        <f t="shared" si="48"/>
        <v>0</v>
      </c>
      <c r="N645" s="613" t="str">
        <f>INDEX(tblSubjectToLoan[Date],ROW()-ROW(tblContractForDeed[#Headers]))</f>
        <v/>
      </c>
      <c r="O645" s="276">
        <f>IF(ROW()=ROW(tblContractForDeed[#Headers])+1,$O$6,IF(INDEX(tblContractForDeed[End Bal],ROW()-ROW(tblContractForDeed[#Headers])-1)&lt;0,0,INDEX(tblContractForDeed[End Bal],ROW()-ROW(tblContractForDeed[#Headers])-1)))</f>
        <v>0</v>
      </c>
      <c r="P645" s="454"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5" s="276">
        <f>IF(INDEX(tblContractForDeed[End Bal],ROW()-ROW(tblBuyerOutputs[#Headers]))&lt;=0,0,($O$6+IF(ROW()=ROW(tblBuyerOutputs[#Headers])+1,0,INDEX(tblBuyerOutputs[Cumul Appr],ROW()-ROW(tblBuyerOutputs[#Headers])-1)))*$O$2/12)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13" t="str">
        <f>IF(ROW()=ROW(tblSubjectToLoan[#Headers])+1,subjectKnownBalanceDate,IF(OR(INDEX(tblSubjectToLoan[Date],ROW()-ROW(tblSubjectToLoan[#Headers])-1)="",INDEX(tblSubjectToLoan[Date],ROW()-ROW(tblSubjectToLoan[#Headers])-1)&gt;=subjectMortgageEndDate),"",EDATE(INDEX(tblSubjectToLoan[Date],ROW()-ROW(tblSubjectToLoan[#Headers])-1),1)))</f>
        <v/>
      </c>
      <c r="B646" s="276">
        <f>IF(tblSubjectToLoan[[#This Row],[Date]]="",0,IF(ROW()=ROW(tblSubjectToLoan[#Headers])+1,subjectKnownBalance,MAX(0,INDEX(tblSubjectToLoan[Ending Balance],ROW()-ROW(tblSubjectToLoan[#Headers])-1))))</f>
        <v>0</v>
      </c>
      <c r="C6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6" s="14">
        <f>IF(tblSubjectToLoan[[#This Row],[Payment]]=0,0,MAX(0,MIN(tblSubjectToLoan[[#This Row],[Beginning Balance]],tblSubjectToLoan[[#This Row],[Payment]]-tblSubjectToLoan[[#This Row],[Int]])))</f>
        <v>0</v>
      </c>
      <c r="E646" s="14">
        <f>IF(tblSubjectToLoan[[#This Row],[Date]]="",0,ROUND(tblSubjectToLoan[[#This Row],[Beginning Balance]]*(subjectInterestRate/12),2))</f>
        <v>0</v>
      </c>
      <c r="H646" s="14">
        <f>SUM(tblSubjectToLoan[[#This Row],[Princ]],tblSubjectToLoan[[#This Row],[Int]],tblSubjectToLoan[[#This Row],[Ins]],tblSubjectToLoan[[#This Row],[Taxes]])</f>
        <v>0</v>
      </c>
      <c r="I6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6" s="276">
        <f>IF(tblSubjectToLoan[[#This Row],[Date]]="",IF(ROW()=ROW(tblSubjectToLoan[#Headers])+1,0,INDEX(tblSubjectToLoan[Interest],ROW()-ROW(tblSubjectToLoan[#Headers])-1)),tblSubjectToLoan[[#This Row],[Int]]+IF(ROW()=ROW(tblSubjectToLoan[#Headers])+1,0,INDEX(tblSubjectToLoan[Interest],ROW()-ROW(tblSubjectToLoan[#Headers])-1)))</f>
        <v>36068.259999999973</v>
      </c>
      <c r="K646" s="969">
        <f>IF(tblSubjectToLoan[[#This Row],[Date]]="",0,MAX(0,tblSubjectToLoan[[#This Row],[Beginning Balance]]-tblSubjectToLoan[[#This Row],[Princ]]))</f>
        <v>0</v>
      </c>
      <c r="L646" s="394">
        <f t="shared" si="49"/>
        <v>0</v>
      </c>
      <c r="M646" s="394">
        <f t="shared" si="48"/>
        <v>0</v>
      </c>
      <c r="N646" s="613" t="str">
        <f>INDEX(tblSubjectToLoan[Date],ROW()-ROW(tblContractForDeed[#Headers]))</f>
        <v/>
      </c>
      <c r="O646" s="276">
        <f>IF(ROW()=ROW(tblContractForDeed[#Headers])+1,$O$6,IF(INDEX(tblContractForDeed[End Bal],ROW()-ROW(tblContractForDeed[#Headers])-1)&lt;0,0,INDEX(tblContractForDeed[End Bal],ROW()-ROW(tblContractForDeed[#Headers])-1)))</f>
        <v>0</v>
      </c>
      <c r="P646" s="454"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6" s="276">
        <f>IF(INDEX(tblContractForDeed[End Bal],ROW()-ROW(tblBuyerOutputs[#Headers]))&lt;=0,0,($O$6+IF(ROW()=ROW(tblBuyerOutputs[#Headers])+1,0,INDEX(tblBuyerOutputs[Cumul Appr],ROW()-ROW(tblBuyerOutputs[#Headers])-1)))*$O$2/12)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13" t="str">
        <f>IF(ROW()=ROW(tblSubjectToLoan[#Headers])+1,subjectKnownBalanceDate,IF(OR(INDEX(tblSubjectToLoan[Date],ROW()-ROW(tblSubjectToLoan[#Headers])-1)="",INDEX(tblSubjectToLoan[Date],ROW()-ROW(tblSubjectToLoan[#Headers])-1)&gt;=subjectMortgageEndDate),"",EDATE(INDEX(tblSubjectToLoan[Date],ROW()-ROW(tblSubjectToLoan[#Headers])-1),1)))</f>
        <v/>
      </c>
      <c r="B647" s="276">
        <f>IF(tblSubjectToLoan[[#This Row],[Date]]="",0,IF(ROW()=ROW(tblSubjectToLoan[#Headers])+1,subjectKnownBalance,MAX(0,INDEX(tblSubjectToLoan[Ending Balance],ROW()-ROW(tblSubjectToLoan[#Headers])-1))))</f>
        <v>0</v>
      </c>
      <c r="C6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7" s="14">
        <f>IF(tblSubjectToLoan[[#This Row],[Payment]]=0,0,MAX(0,MIN(tblSubjectToLoan[[#This Row],[Beginning Balance]],tblSubjectToLoan[[#This Row],[Payment]]-tblSubjectToLoan[[#This Row],[Int]])))</f>
        <v>0</v>
      </c>
      <c r="E647" s="14">
        <f>IF(tblSubjectToLoan[[#This Row],[Date]]="",0,ROUND(tblSubjectToLoan[[#This Row],[Beginning Balance]]*(subjectInterestRate/12),2))</f>
        <v>0</v>
      </c>
      <c r="H647" s="14">
        <f>SUM(tblSubjectToLoan[[#This Row],[Princ]],tblSubjectToLoan[[#This Row],[Int]],tblSubjectToLoan[[#This Row],[Ins]],tblSubjectToLoan[[#This Row],[Taxes]])</f>
        <v>0</v>
      </c>
      <c r="I6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7" s="276">
        <f>IF(tblSubjectToLoan[[#This Row],[Date]]="",IF(ROW()=ROW(tblSubjectToLoan[#Headers])+1,0,INDEX(tblSubjectToLoan[Interest],ROW()-ROW(tblSubjectToLoan[#Headers])-1)),tblSubjectToLoan[[#This Row],[Int]]+IF(ROW()=ROW(tblSubjectToLoan[#Headers])+1,0,INDEX(tblSubjectToLoan[Interest],ROW()-ROW(tblSubjectToLoan[#Headers])-1)))</f>
        <v>36068.259999999973</v>
      </c>
      <c r="K647" s="969">
        <f>IF(tblSubjectToLoan[[#This Row],[Date]]="",0,MAX(0,tblSubjectToLoan[[#This Row],[Beginning Balance]]-tblSubjectToLoan[[#This Row],[Princ]]))</f>
        <v>0</v>
      </c>
      <c r="L647" s="394">
        <f t="shared" si="49"/>
        <v>0</v>
      </c>
      <c r="M647" s="394">
        <f t="shared" si="48"/>
        <v>0</v>
      </c>
      <c r="N647" s="613" t="str">
        <f>INDEX(tblSubjectToLoan[Date],ROW()-ROW(tblContractForDeed[#Headers]))</f>
        <v/>
      </c>
      <c r="O647" s="276">
        <f>IF(ROW()=ROW(tblContractForDeed[#Headers])+1,$O$6,IF(INDEX(tblContractForDeed[End Bal],ROW()-ROW(tblContractForDeed[#Headers])-1)&lt;0,0,INDEX(tblContractForDeed[End Bal],ROW()-ROW(tblContractForDeed[#Headers])-1)))</f>
        <v>0</v>
      </c>
      <c r="P647" s="454"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7" s="276">
        <f>IF(INDEX(tblContractForDeed[End Bal],ROW()-ROW(tblBuyerOutputs[#Headers]))&lt;=0,0,($O$6+IF(ROW()=ROW(tblBuyerOutputs[#Headers])+1,0,INDEX(tblBuyerOutputs[Cumul Appr],ROW()-ROW(tblBuyerOutputs[#Headers])-1)))*$O$2/12)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13" t="str">
        <f>IF(ROW()=ROW(tblSubjectToLoan[#Headers])+1,subjectKnownBalanceDate,IF(OR(INDEX(tblSubjectToLoan[Date],ROW()-ROW(tblSubjectToLoan[#Headers])-1)="",INDEX(tblSubjectToLoan[Date],ROW()-ROW(tblSubjectToLoan[#Headers])-1)&gt;=subjectMortgageEndDate),"",EDATE(INDEX(tblSubjectToLoan[Date],ROW()-ROW(tblSubjectToLoan[#Headers])-1),1)))</f>
        <v/>
      </c>
      <c r="B648" s="276">
        <f>IF(tblSubjectToLoan[[#This Row],[Date]]="",0,IF(ROW()=ROW(tblSubjectToLoan[#Headers])+1,subjectKnownBalance,MAX(0,INDEX(tblSubjectToLoan[Ending Balance],ROW()-ROW(tblSubjectToLoan[#Headers])-1))))</f>
        <v>0</v>
      </c>
      <c r="C6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8" s="14">
        <f>IF(tblSubjectToLoan[[#This Row],[Payment]]=0,0,MAX(0,MIN(tblSubjectToLoan[[#This Row],[Beginning Balance]],tblSubjectToLoan[[#This Row],[Payment]]-tblSubjectToLoan[[#This Row],[Int]])))</f>
        <v>0</v>
      </c>
      <c r="E648" s="14">
        <f>IF(tblSubjectToLoan[[#This Row],[Date]]="",0,ROUND(tblSubjectToLoan[[#This Row],[Beginning Balance]]*(subjectInterestRate/12),2))</f>
        <v>0</v>
      </c>
      <c r="H648" s="14">
        <f>SUM(tblSubjectToLoan[[#This Row],[Princ]],tblSubjectToLoan[[#This Row],[Int]],tblSubjectToLoan[[#This Row],[Ins]],tblSubjectToLoan[[#This Row],[Taxes]])</f>
        <v>0</v>
      </c>
      <c r="I6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8" s="276">
        <f>IF(tblSubjectToLoan[[#This Row],[Date]]="",IF(ROW()=ROW(tblSubjectToLoan[#Headers])+1,0,INDEX(tblSubjectToLoan[Interest],ROW()-ROW(tblSubjectToLoan[#Headers])-1)),tblSubjectToLoan[[#This Row],[Int]]+IF(ROW()=ROW(tblSubjectToLoan[#Headers])+1,0,INDEX(tblSubjectToLoan[Interest],ROW()-ROW(tblSubjectToLoan[#Headers])-1)))</f>
        <v>36068.259999999973</v>
      </c>
      <c r="K648" s="969">
        <f>IF(tblSubjectToLoan[[#This Row],[Date]]="",0,MAX(0,tblSubjectToLoan[[#This Row],[Beginning Balance]]-tblSubjectToLoan[[#This Row],[Princ]]))</f>
        <v>0</v>
      </c>
      <c r="L648" s="394">
        <f t="shared" si="49"/>
        <v>0</v>
      </c>
      <c r="M648" s="394">
        <f t="shared" si="48"/>
        <v>0</v>
      </c>
      <c r="N648" s="613" t="str">
        <f>INDEX(tblSubjectToLoan[Date],ROW()-ROW(tblContractForDeed[#Headers]))</f>
        <v/>
      </c>
      <c r="O648" s="276">
        <f>IF(ROW()=ROW(tblContractForDeed[#Headers])+1,$O$6,IF(INDEX(tblContractForDeed[End Bal],ROW()-ROW(tblContractForDeed[#Headers])-1)&lt;0,0,INDEX(tblContractForDeed[End Bal],ROW()-ROW(tblContractForDeed[#Headers])-1)))</f>
        <v>0</v>
      </c>
      <c r="P648" s="454"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8" s="276">
        <f>IF(INDEX(tblContractForDeed[End Bal],ROW()-ROW(tblBuyerOutputs[#Headers]))&lt;=0,0,($O$6+IF(ROW()=ROW(tblBuyerOutputs[#Headers])+1,0,INDEX(tblBuyerOutputs[Cumul Appr],ROW()-ROW(tblBuyerOutputs[#Headers])-1)))*$O$2/12)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13" t="str">
        <f>IF(ROW()=ROW(tblSubjectToLoan[#Headers])+1,subjectKnownBalanceDate,IF(OR(INDEX(tblSubjectToLoan[Date],ROW()-ROW(tblSubjectToLoan[#Headers])-1)="",INDEX(tblSubjectToLoan[Date],ROW()-ROW(tblSubjectToLoan[#Headers])-1)&gt;=subjectMortgageEndDate),"",EDATE(INDEX(tblSubjectToLoan[Date],ROW()-ROW(tblSubjectToLoan[#Headers])-1),1)))</f>
        <v/>
      </c>
      <c r="B649" s="276">
        <f>IF(tblSubjectToLoan[[#This Row],[Date]]="",0,IF(ROW()=ROW(tblSubjectToLoan[#Headers])+1,subjectKnownBalance,MAX(0,INDEX(tblSubjectToLoan[Ending Balance],ROW()-ROW(tblSubjectToLoan[#Headers])-1))))</f>
        <v>0</v>
      </c>
      <c r="C6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9" s="14">
        <f>IF(tblSubjectToLoan[[#This Row],[Payment]]=0,0,MAX(0,MIN(tblSubjectToLoan[[#This Row],[Beginning Balance]],tblSubjectToLoan[[#This Row],[Payment]]-tblSubjectToLoan[[#This Row],[Int]])))</f>
        <v>0</v>
      </c>
      <c r="E649" s="14">
        <f>IF(tblSubjectToLoan[[#This Row],[Date]]="",0,ROUND(tblSubjectToLoan[[#This Row],[Beginning Balance]]*(subjectInterestRate/12),2))</f>
        <v>0</v>
      </c>
      <c r="H649" s="14">
        <f>SUM(tblSubjectToLoan[[#This Row],[Princ]],tblSubjectToLoan[[#This Row],[Int]],tblSubjectToLoan[[#This Row],[Ins]],tblSubjectToLoan[[#This Row],[Taxes]])</f>
        <v>0</v>
      </c>
      <c r="I6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9" s="276">
        <f>IF(tblSubjectToLoan[[#This Row],[Date]]="",IF(ROW()=ROW(tblSubjectToLoan[#Headers])+1,0,INDEX(tblSubjectToLoan[Interest],ROW()-ROW(tblSubjectToLoan[#Headers])-1)),tblSubjectToLoan[[#This Row],[Int]]+IF(ROW()=ROW(tblSubjectToLoan[#Headers])+1,0,INDEX(tblSubjectToLoan[Interest],ROW()-ROW(tblSubjectToLoan[#Headers])-1)))</f>
        <v>36068.259999999973</v>
      </c>
      <c r="K649" s="969">
        <f>IF(tblSubjectToLoan[[#This Row],[Date]]="",0,MAX(0,tblSubjectToLoan[[#This Row],[Beginning Balance]]-tblSubjectToLoan[[#This Row],[Princ]]))</f>
        <v>0</v>
      </c>
      <c r="L649" s="394">
        <f t="shared" si="49"/>
        <v>0</v>
      </c>
      <c r="M649" s="394">
        <f t="shared" si="48"/>
        <v>0</v>
      </c>
      <c r="N649" s="613" t="str">
        <f>INDEX(tblSubjectToLoan[Date],ROW()-ROW(tblContractForDeed[#Headers]))</f>
        <v/>
      </c>
      <c r="O649" s="276">
        <f>IF(ROW()=ROW(tblContractForDeed[#Headers])+1,$O$6,IF(INDEX(tblContractForDeed[End Bal],ROW()-ROW(tblContractForDeed[#Headers])-1)&lt;0,0,INDEX(tblContractForDeed[End Bal],ROW()-ROW(tblContractForDeed[#Headers])-1)))</f>
        <v>0</v>
      </c>
      <c r="P649" s="454"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9" s="276">
        <f>IF(INDEX(tblContractForDeed[End Bal],ROW()-ROW(tblBuyerOutputs[#Headers]))&lt;=0,0,($O$6+IF(ROW()=ROW(tblBuyerOutputs[#Headers])+1,0,INDEX(tblBuyerOutputs[Cumul Appr],ROW()-ROW(tblBuyerOutputs[#Headers])-1)))*$O$2/12)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13" t="str">
        <f>IF(ROW()=ROW(tblSubjectToLoan[#Headers])+1,subjectKnownBalanceDate,IF(OR(INDEX(tblSubjectToLoan[Date],ROW()-ROW(tblSubjectToLoan[#Headers])-1)="",INDEX(tblSubjectToLoan[Date],ROW()-ROW(tblSubjectToLoan[#Headers])-1)&gt;=subjectMortgageEndDate),"",EDATE(INDEX(tblSubjectToLoan[Date],ROW()-ROW(tblSubjectToLoan[#Headers])-1),1)))</f>
        <v/>
      </c>
      <c r="B650" s="276">
        <f>IF(tblSubjectToLoan[[#This Row],[Date]]="",0,IF(ROW()=ROW(tblSubjectToLoan[#Headers])+1,subjectKnownBalance,MAX(0,INDEX(tblSubjectToLoan[Ending Balance],ROW()-ROW(tblSubjectToLoan[#Headers])-1))))</f>
        <v>0</v>
      </c>
      <c r="C6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0" s="14">
        <f>IF(tblSubjectToLoan[[#This Row],[Payment]]=0,0,MAX(0,MIN(tblSubjectToLoan[[#This Row],[Beginning Balance]],tblSubjectToLoan[[#This Row],[Payment]]-tblSubjectToLoan[[#This Row],[Int]])))</f>
        <v>0</v>
      </c>
      <c r="E650" s="14">
        <f>IF(tblSubjectToLoan[[#This Row],[Date]]="",0,ROUND(tblSubjectToLoan[[#This Row],[Beginning Balance]]*(subjectInterestRate/12),2))</f>
        <v>0</v>
      </c>
      <c r="H650" s="14">
        <f>SUM(tblSubjectToLoan[[#This Row],[Princ]],tblSubjectToLoan[[#This Row],[Int]],tblSubjectToLoan[[#This Row],[Ins]],tblSubjectToLoan[[#This Row],[Taxes]])</f>
        <v>0</v>
      </c>
      <c r="I6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0" s="276">
        <f>IF(tblSubjectToLoan[[#This Row],[Date]]="",IF(ROW()=ROW(tblSubjectToLoan[#Headers])+1,0,INDEX(tblSubjectToLoan[Interest],ROW()-ROW(tblSubjectToLoan[#Headers])-1)),tblSubjectToLoan[[#This Row],[Int]]+IF(ROW()=ROW(tblSubjectToLoan[#Headers])+1,0,INDEX(tblSubjectToLoan[Interest],ROW()-ROW(tblSubjectToLoan[#Headers])-1)))</f>
        <v>36068.259999999973</v>
      </c>
      <c r="K650" s="969">
        <f>IF(tblSubjectToLoan[[#This Row],[Date]]="",0,MAX(0,tblSubjectToLoan[[#This Row],[Beginning Balance]]-tblSubjectToLoan[[#This Row],[Princ]]))</f>
        <v>0</v>
      </c>
      <c r="L650" s="394">
        <f t="shared" si="49"/>
        <v>0</v>
      </c>
      <c r="M650" s="394">
        <f t="shared" si="48"/>
        <v>0</v>
      </c>
      <c r="N650" s="613" t="str">
        <f>INDEX(tblSubjectToLoan[Date],ROW()-ROW(tblContractForDeed[#Headers]))</f>
        <v/>
      </c>
      <c r="O650" s="276">
        <f>IF(ROW()=ROW(tblContractForDeed[#Headers])+1,$O$6,IF(INDEX(tblContractForDeed[End Bal],ROW()-ROW(tblContractForDeed[#Headers])-1)&lt;0,0,INDEX(tblContractForDeed[End Bal],ROW()-ROW(tblContractForDeed[#Headers])-1)))</f>
        <v>0</v>
      </c>
      <c r="P650" s="454"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0" s="276">
        <f>IF(INDEX(tblContractForDeed[End Bal],ROW()-ROW(tblBuyerOutputs[#Headers]))&lt;=0,0,($O$6+IF(ROW()=ROW(tblBuyerOutputs[#Headers])+1,0,INDEX(tblBuyerOutputs[Cumul Appr],ROW()-ROW(tblBuyerOutputs[#Headers])-1)))*$O$2/12)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13" t="str">
        <f>IF(ROW()=ROW(tblSubjectToLoan[#Headers])+1,subjectKnownBalanceDate,IF(OR(INDEX(tblSubjectToLoan[Date],ROW()-ROW(tblSubjectToLoan[#Headers])-1)="",INDEX(tblSubjectToLoan[Date],ROW()-ROW(tblSubjectToLoan[#Headers])-1)&gt;=subjectMortgageEndDate),"",EDATE(INDEX(tblSubjectToLoan[Date],ROW()-ROW(tblSubjectToLoan[#Headers])-1),1)))</f>
        <v/>
      </c>
      <c r="B651" s="276">
        <f>IF(tblSubjectToLoan[[#This Row],[Date]]="",0,IF(ROW()=ROW(tblSubjectToLoan[#Headers])+1,subjectKnownBalance,MAX(0,INDEX(tblSubjectToLoan[Ending Balance],ROW()-ROW(tblSubjectToLoan[#Headers])-1))))</f>
        <v>0</v>
      </c>
      <c r="C6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1" s="14">
        <f>IF(tblSubjectToLoan[[#This Row],[Payment]]=0,0,MAX(0,MIN(tblSubjectToLoan[[#This Row],[Beginning Balance]],tblSubjectToLoan[[#This Row],[Payment]]-tblSubjectToLoan[[#This Row],[Int]])))</f>
        <v>0</v>
      </c>
      <c r="E651" s="14">
        <f>IF(tblSubjectToLoan[[#This Row],[Date]]="",0,ROUND(tblSubjectToLoan[[#This Row],[Beginning Balance]]*(subjectInterestRate/12),2))</f>
        <v>0</v>
      </c>
      <c r="H651" s="14">
        <f>SUM(tblSubjectToLoan[[#This Row],[Princ]],tblSubjectToLoan[[#This Row],[Int]],tblSubjectToLoan[[#This Row],[Ins]],tblSubjectToLoan[[#This Row],[Taxes]])</f>
        <v>0</v>
      </c>
      <c r="I6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1" s="276">
        <f>IF(tblSubjectToLoan[[#This Row],[Date]]="",IF(ROW()=ROW(tblSubjectToLoan[#Headers])+1,0,INDEX(tblSubjectToLoan[Interest],ROW()-ROW(tblSubjectToLoan[#Headers])-1)),tblSubjectToLoan[[#This Row],[Int]]+IF(ROW()=ROW(tblSubjectToLoan[#Headers])+1,0,INDEX(tblSubjectToLoan[Interest],ROW()-ROW(tblSubjectToLoan[#Headers])-1)))</f>
        <v>36068.259999999973</v>
      </c>
      <c r="K651" s="969">
        <f>IF(tblSubjectToLoan[[#This Row],[Date]]="",0,MAX(0,tblSubjectToLoan[[#This Row],[Beginning Balance]]-tblSubjectToLoan[[#This Row],[Princ]]))</f>
        <v>0</v>
      </c>
      <c r="L651" s="394">
        <f t="shared" si="49"/>
        <v>0</v>
      </c>
      <c r="M651" s="394">
        <f t="shared" si="48"/>
        <v>0</v>
      </c>
      <c r="N651" s="613" t="str">
        <f>INDEX(tblSubjectToLoan[Date],ROW()-ROW(tblContractForDeed[#Headers]))</f>
        <v/>
      </c>
      <c r="O651" s="276">
        <f>IF(ROW()=ROW(tblContractForDeed[#Headers])+1,$O$6,IF(INDEX(tblContractForDeed[End Bal],ROW()-ROW(tblContractForDeed[#Headers])-1)&lt;0,0,INDEX(tblContractForDeed[End Bal],ROW()-ROW(tblContractForDeed[#Headers])-1)))</f>
        <v>0</v>
      </c>
      <c r="P651" s="454"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1" s="276">
        <f>IF(INDEX(tblContractForDeed[End Bal],ROW()-ROW(tblBuyerOutputs[#Headers]))&lt;=0,0,($O$6+IF(ROW()=ROW(tblBuyerOutputs[#Headers])+1,0,INDEX(tblBuyerOutputs[Cumul Appr],ROW()-ROW(tblBuyerOutputs[#Headers])-1)))*$O$2/12)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13" t="str">
        <f>IF(ROW()=ROW(tblSubjectToLoan[#Headers])+1,subjectKnownBalanceDate,IF(OR(INDEX(tblSubjectToLoan[Date],ROW()-ROW(tblSubjectToLoan[#Headers])-1)="",INDEX(tblSubjectToLoan[Date],ROW()-ROW(tblSubjectToLoan[#Headers])-1)&gt;=subjectMortgageEndDate),"",EDATE(INDEX(tblSubjectToLoan[Date],ROW()-ROW(tblSubjectToLoan[#Headers])-1),1)))</f>
        <v/>
      </c>
      <c r="B652" s="276">
        <f>IF(tblSubjectToLoan[[#This Row],[Date]]="",0,IF(ROW()=ROW(tblSubjectToLoan[#Headers])+1,subjectKnownBalance,MAX(0,INDEX(tblSubjectToLoan[Ending Balance],ROW()-ROW(tblSubjectToLoan[#Headers])-1))))</f>
        <v>0</v>
      </c>
      <c r="C6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2" s="14">
        <f>IF(tblSubjectToLoan[[#This Row],[Payment]]=0,0,MAX(0,MIN(tblSubjectToLoan[[#This Row],[Beginning Balance]],tblSubjectToLoan[[#This Row],[Payment]]-tblSubjectToLoan[[#This Row],[Int]])))</f>
        <v>0</v>
      </c>
      <c r="E652" s="14">
        <f>IF(tblSubjectToLoan[[#This Row],[Date]]="",0,ROUND(tblSubjectToLoan[[#This Row],[Beginning Balance]]*(subjectInterestRate/12),2))</f>
        <v>0</v>
      </c>
      <c r="H652" s="14">
        <f>SUM(tblSubjectToLoan[[#This Row],[Princ]],tblSubjectToLoan[[#This Row],[Int]],tblSubjectToLoan[[#This Row],[Ins]],tblSubjectToLoan[[#This Row],[Taxes]])</f>
        <v>0</v>
      </c>
      <c r="I6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2" s="276">
        <f>IF(tblSubjectToLoan[[#This Row],[Date]]="",IF(ROW()=ROW(tblSubjectToLoan[#Headers])+1,0,INDEX(tblSubjectToLoan[Interest],ROW()-ROW(tblSubjectToLoan[#Headers])-1)),tblSubjectToLoan[[#This Row],[Int]]+IF(ROW()=ROW(tblSubjectToLoan[#Headers])+1,0,INDEX(tblSubjectToLoan[Interest],ROW()-ROW(tblSubjectToLoan[#Headers])-1)))</f>
        <v>36068.259999999973</v>
      </c>
      <c r="K652" s="969">
        <f>IF(tblSubjectToLoan[[#This Row],[Date]]="",0,MAX(0,tblSubjectToLoan[[#This Row],[Beginning Balance]]-tblSubjectToLoan[[#This Row],[Princ]]))</f>
        <v>0</v>
      </c>
      <c r="L652" s="394">
        <f t="shared" si="49"/>
        <v>0</v>
      </c>
      <c r="M652" s="394">
        <f t="shared" si="48"/>
        <v>0</v>
      </c>
      <c r="N652" s="613" t="str">
        <f>INDEX(tblSubjectToLoan[Date],ROW()-ROW(tblContractForDeed[#Headers]))</f>
        <v/>
      </c>
      <c r="O652" s="276">
        <f>IF(ROW()=ROW(tblContractForDeed[#Headers])+1,$O$6,IF(INDEX(tblContractForDeed[End Bal],ROW()-ROW(tblContractForDeed[#Headers])-1)&lt;0,0,INDEX(tblContractForDeed[End Bal],ROW()-ROW(tblContractForDeed[#Headers])-1)))</f>
        <v>0</v>
      </c>
      <c r="P652" s="454"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2" s="276">
        <f>IF(INDEX(tblContractForDeed[End Bal],ROW()-ROW(tblBuyerOutputs[#Headers]))&lt;=0,0,($O$6+IF(ROW()=ROW(tblBuyerOutputs[#Headers])+1,0,INDEX(tblBuyerOutputs[Cumul Appr],ROW()-ROW(tblBuyerOutputs[#Headers])-1)))*$O$2/12)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13" t="str">
        <f>IF(ROW()=ROW(tblSubjectToLoan[#Headers])+1,subjectKnownBalanceDate,IF(OR(INDEX(tblSubjectToLoan[Date],ROW()-ROW(tblSubjectToLoan[#Headers])-1)="",INDEX(tblSubjectToLoan[Date],ROW()-ROW(tblSubjectToLoan[#Headers])-1)&gt;=subjectMortgageEndDate),"",EDATE(INDEX(tblSubjectToLoan[Date],ROW()-ROW(tblSubjectToLoan[#Headers])-1),1)))</f>
        <v/>
      </c>
      <c r="B653" s="276">
        <f>IF(tblSubjectToLoan[[#This Row],[Date]]="",0,IF(ROW()=ROW(tblSubjectToLoan[#Headers])+1,subjectKnownBalance,MAX(0,INDEX(tblSubjectToLoan[Ending Balance],ROW()-ROW(tblSubjectToLoan[#Headers])-1))))</f>
        <v>0</v>
      </c>
      <c r="C6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3" s="14">
        <f>IF(tblSubjectToLoan[[#This Row],[Payment]]=0,0,MAX(0,MIN(tblSubjectToLoan[[#This Row],[Beginning Balance]],tblSubjectToLoan[[#This Row],[Payment]]-tblSubjectToLoan[[#This Row],[Int]])))</f>
        <v>0</v>
      </c>
      <c r="E653" s="14">
        <f>IF(tblSubjectToLoan[[#This Row],[Date]]="",0,ROUND(tblSubjectToLoan[[#This Row],[Beginning Balance]]*(subjectInterestRate/12),2))</f>
        <v>0</v>
      </c>
      <c r="H653" s="14">
        <f>SUM(tblSubjectToLoan[[#This Row],[Princ]],tblSubjectToLoan[[#This Row],[Int]],tblSubjectToLoan[[#This Row],[Ins]],tblSubjectToLoan[[#This Row],[Taxes]])</f>
        <v>0</v>
      </c>
      <c r="I6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3" s="276">
        <f>IF(tblSubjectToLoan[[#This Row],[Date]]="",IF(ROW()=ROW(tblSubjectToLoan[#Headers])+1,0,INDEX(tblSubjectToLoan[Interest],ROW()-ROW(tblSubjectToLoan[#Headers])-1)),tblSubjectToLoan[[#This Row],[Int]]+IF(ROW()=ROW(tblSubjectToLoan[#Headers])+1,0,INDEX(tblSubjectToLoan[Interest],ROW()-ROW(tblSubjectToLoan[#Headers])-1)))</f>
        <v>36068.259999999973</v>
      </c>
      <c r="K653" s="969">
        <f>IF(tblSubjectToLoan[[#This Row],[Date]]="",0,MAX(0,tblSubjectToLoan[[#This Row],[Beginning Balance]]-tblSubjectToLoan[[#This Row],[Princ]]))</f>
        <v>0</v>
      </c>
      <c r="L653" s="394">
        <f t="shared" si="49"/>
        <v>0</v>
      </c>
      <c r="M653" s="394">
        <f t="shared" si="48"/>
        <v>0</v>
      </c>
      <c r="N653" s="613" t="str">
        <f>INDEX(tblSubjectToLoan[Date],ROW()-ROW(tblContractForDeed[#Headers]))</f>
        <v/>
      </c>
      <c r="O653" s="276">
        <f>IF(ROW()=ROW(tblContractForDeed[#Headers])+1,$O$6,IF(INDEX(tblContractForDeed[End Bal],ROW()-ROW(tblContractForDeed[#Headers])-1)&lt;0,0,INDEX(tblContractForDeed[End Bal],ROW()-ROW(tblContractForDeed[#Headers])-1)))</f>
        <v>0</v>
      </c>
      <c r="P653" s="454"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3" s="276">
        <f>IF(INDEX(tblContractForDeed[End Bal],ROW()-ROW(tblBuyerOutputs[#Headers]))&lt;=0,0,($O$6+IF(ROW()=ROW(tblBuyerOutputs[#Headers])+1,0,INDEX(tblBuyerOutputs[Cumul Appr],ROW()-ROW(tblBuyerOutputs[#Headers])-1)))*$O$2/12)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13" t="str">
        <f>IF(ROW()=ROW(tblSubjectToLoan[#Headers])+1,subjectKnownBalanceDate,IF(OR(INDEX(tblSubjectToLoan[Date],ROW()-ROW(tblSubjectToLoan[#Headers])-1)="",INDEX(tblSubjectToLoan[Date],ROW()-ROW(tblSubjectToLoan[#Headers])-1)&gt;=subjectMortgageEndDate),"",EDATE(INDEX(tblSubjectToLoan[Date],ROW()-ROW(tblSubjectToLoan[#Headers])-1),1)))</f>
        <v/>
      </c>
      <c r="B654" s="276">
        <f>IF(tblSubjectToLoan[[#This Row],[Date]]="",0,IF(ROW()=ROW(tblSubjectToLoan[#Headers])+1,subjectKnownBalance,MAX(0,INDEX(tblSubjectToLoan[Ending Balance],ROW()-ROW(tblSubjectToLoan[#Headers])-1))))</f>
        <v>0</v>
      </c>
      <c r="C6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4" s="14">
        <f>IF(tblSubjectToLoan[[#This Row],[Payment]]=0,0,MAX(0,MIN(tblSubjectToLoan[[#This Row],[Beginning Balance]],tblSubjectToLoan[[#This Row],[Payment]]-tblSubjectToLoan[[#This Row],[Int]])))</f>
        <v>0</v>
      </c>
      <c r="E654" s="14">
        <f>IF(tblSubjectToLoan[[#This Row],[Date]]="",0,ROUND(tblSubjectToLoan[[#This Row],[Beginning Balance]]*(subjectInterestRate/12),2))</f>
        <v>0</v>
      </c>
      <c r="H654" s="14">
        <f>SUM(tblSubjectToLoan[[#This Row],[Princ]],tblSubjectToLoan[[#This Row],[Int]],tblSubjectToLoan[[#This Row],[Ins]],tblSubjectToLoan[[#This Row],[Taxes]])</f>
        <v>0</v>
      </c>
      <c r="I6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4" s="276">
        <f>IF(tblSubjectToLoan[[#This Row],[Date]]="",IF(ROW()=ROW(tblSubjectToLoan[#Headers])+1,0,INDEX(tblSubjectToLoan[Interest],ROW()-ROW(tblSubjectToLoan[#Headers])-1)),tblSubjectToLoan[[#This Row],[Int]]+IF(ROW()=ROW(tblSubjectToLoan[#Headers])+1,0,INDEX(tblSubjectToLoan[Interest],ROW()-ROW(tblSubjectToLoan[#Headers])-1)))</f>
        <v>36068.259999999973</v>
      </c>
      <c r="K654" s="969">
        <f>IF(tblSubjectToLoan[[#This Row],[Date]]="",0,MAX(0,tblSubjectToLoan[[#This Row],[Beginning Balance]]-tblSubjectToLoan[[#This Row],[Princ]]))</f>
        <v>0</v>
      </c>
      <c r="L654" s="394">
        <f t="shared" si="49"/>
        <v>0</v>
      </c>
      <c r="M654" s="394">
        <f t="shared" si="48"/>
        <v>0</v>
      </c>
      <c r="N654" s="613" t="str">
        <f>INDEX(tblSubjectToLoan[Date],ROW()-ROW(tblContractForDeed[#Headers]))</f>
        <v/>
      </c>
      <c r="O654" s="276">
        <f>IF(ROW()=ROW(tblContractForDeed[#Headers])+1,$O$6,IF(INDEX(tblContractForDeed[End Bal],ROW()-ROW(tblContractForDeed[#Headers])-1)&lt;0,0,INDEX(tblContractForDeed[End Bal],ROW()-ROW(tblContractForDeed[#Headers])-1)))</f>
        <v>0</v>
      </c>
      <c r="P654" s="454"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4" s="276">
        <f>IF(INDEX(tblContractForDeed[End Bal],ROW()-ROW(tblBuyerOutputs[#Headers]))&lt;=0,0,($O$6+IF(ROW()=ROW(tblBuyerOutputs[#Headers])+1,0,INDEX(tblBuyerOutputs[Cumul Appr],ROW()-ROW(tblBuyerOutputs[#Headers])-1)))*$O$2/12)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14" t="str">
        <f>IF(ROW()=ROW(tblSubjectToLoan[#Headers])+1,subjectKnownBalanceDate,IF(OR(INDEX(tblSubjectToLoan[Date],ROW()-ROW(tblSubjectToLoan[#Headers])-1)="",INDEX(tblSubjectToLoan[Date],ROW()-ROW(tblSubjectToLoan[#Headers])-1)&gt;=subjectMortgageEndDate),"",EDATE(INDEX(tblSubjectToLoan[Date],ROW()-ROW(tblSubjectToLoan[#Headers])-1),1)))</f>
        <v/>
      </c>
      <c r="B655" s="332">
        <f>IF(tblSubjectToLoan[[#This Row],[Date]]="",0,IF(ROW()=ROW(tblSubjectToLoan[#Headers])+1,subjectKnownBalance,MAX(0,INDEX(tblSubjectToLoan[Ending Balance],ROW()-ROW(tblSubjectToLoan[#Headers])-1))))</f>
        <v>0</v>
      </c>
      <c r="C65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5" s="21">
        <f>IF(tblSubjectToLoan[[#This Row],[Payment]]=0,0,MAX(0,MIN(tblSubjectToLoan[[#This Row],[Beginning Balance]],tblSubjectToLoan[[#This Row],[Payment]]-tblSubjectToLoan[[#This Row],[Int]])))</f>
        <v>0</v>
      </c>
      <c r="E655" s="21">
        <f>IF(tblSubjectToLoan[[#This Row],[Date]]="",0,ROUND(tblSubjectToLoan[[#This Row],[Beginning Balance]]*(subjectInterestRate/12),2))</f>
        <v>0</v>
      </c>
      <c r="F655" s="21"/>
      <c r="G655" s="21"/>
      <c r="H655" s="21">
        <f>SUM(tblSubjectToLoan[[#This Row],[Princ]],tblSubjectToLoan[[#This Row],[Int]],tblSubjectToLoan[[#This Row],[Ins]],tblSubjectToLoan[[#This Row],[Taxes]])</f>
        <v>0</v>
      </c>
      <c r="I65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55" s="332">
        <f>IF(tblSubjectToLoan[[#This Row],[Date]]="",IF(ROW()=ROW(tblSubjectToLoan[#Headers])+1,0,INDEX(tblSubjectToLoan[Interest],ROW()-ROW(tblSubjectToLoan[#Headers])-1)),tblSubjectToLoan[[#This Row],[Int]]+IF(ROW()=ROW(tblSubjectToLoan[#Headers])+1,0,INDEX(tblSubjectToLoan[Interest],ROW()-ROW(tblSubjectToLoan[#Headers])-1)))</f>
        <v>36068.259999999973</v>
      </c>
      <c r="K655" s="970">
        <f>IF(tblSubjectToLoan[[#This Row],[Date]]="",0,MAX(0,tblSubjectToLoan[[#This Row],[Beginning Balance]]-tblSubjectToLoan[[#This Row],[Princ]]))</f>
        <v>0</v>
      </c>
      <c r="L655" s="395">
        <f t="shared" si="49"/>
        <v>0</v>
      </c>
      <c r="M655" s="395">
        <f t="shared" si="48"/>
        <v>0</v>
      </c>
      <c r="N655" s="614" t="str">
        <f>INDEX(tblSubjectToLoan[Date],ROW()-ROW(tblContractForDeed[#Headers]))</f>
        <v/>
      </c>
      <c r="O655" s="332">
        <f>IF(ROW()=ROW(tblContractForDeed[#Headers])+1,$O$6,IF(INDEX(tblContractForDeed[End Bal],ROW()-ROW(tblContractForDeed[#Headers])-1)&lt;0,0,INDEX(tblContractForDeed[End Bal],ROW()-ROW(tblContractForDeed[#Headers])-1)))</f>
        <v>0</v>
      </c>
      <c r="P655" s="454"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5" s="332">
        <f>IF(INDEX(tblContractForDeed[End Bal],ROW()-ROW(tblBuyerOutputs[#Headers]))&lt;=0,0,($O$6+IF(ROW()=ROW(tblBuyerOutputs[#Headers])+1,0,INDEX(tblBuyerOutputs[Cumul Appr],ROW()-ROW(tblBuyerOutputs[#Headers])-1)))*$O$2/12)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13" t="str">
        <f>IF(ROW()=ROW(tblSubjectToLoan[#Headers])+1,subjectKnownBalanceDate,IF(OR(INDEX(tblSubjectToLoan[Date],ROW()-ROW(tblSubjectToLoan[#Headers])-1)="",INDEX(tblSubjectToLoan[Date],ROW()-ROW(tblSubjectToLoan[#Headers])-1)&gt;=subjectMortgageEndDate),"",EDATE(INDEX(tblSubjectToLoan[Date],ROW()-ROW(tblSubjectToLoan[#Headers])-1),1)))</f>
        <v/>
      </c>
      <c r="B656" s="276">
        <f>IF(tblSubjectToLoan[[#This Row],[Date]]="",0,IF(ROW()=ROW(tblSubjectToLoan[#Headers])+1,subjectKnownBalance,MAX(0,INDEX(tblSubjectToLoan[Ending Balance],ROW()-ROW(tblSubjectToLoan[#Headers])-1))))</f>
        <v>0</v>
      </c>
      <c r="C6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6" s="14">
        <f>IF(tblSubjectToLoan[[#This Row],[Payment]]=0,0,MAX(0,MIN(tblSubjectToLoan[[#This Row],[Beginning Balance]],tblSubjectToLoan[[#This Row],[Payment]]-tblSubjectToLoan[[#This Row],[Int]])))</f>
        <v>0</v>
      </c>
      <c r="E656" s="14">
        <f>IF(tblSubjectToLoan[[#This Row],[Date]]="",0,ROUND(tblSubjectToLoan[[#This Row],[Beginning Balance]]*(subjectInterestRate/12),2))</f>
        <v>0</v>
      </c>
      <c r="H656" s="14">
        <f>SUM(tblSubjectToLoan[[#This Row],[Princ]],tblSubjectToLoan[[#This Row],[Int]],tblSubjectToLoan[[#This Row],[Ins]],tblSubjectToLoan[[#This Row],[Taxes]])</f>
        <v>0</v>
      </c>
      <c r="I6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6" s="276">
        <f>IF(tblSubjectToLoan[[#This Row],[Date]]="",IF(ROW()=ROW(tblSubjectToLoan[#Headers])+1,0,INDEX(tblSubjectToLoan[Interest],ROW()-ROW(tblSubjectToLoan[#Headers])-1)),tblSubjectToLoan[[#This Row],[Int]]+IF(ROW()=ROW(tblSubjectToLoan[#Headers])+1,0,INDEX(tblSubjectToLoan[Interest],ROW()-ROW(tblSubjectToLoan[#Headers])-1)))</f>
        <v>36068.259999999973</v>
      </c>
      <c r="K656" s="969">
        <f>IF(tblSubjectToLoan[[#This Row],[Date]]="",0,MAX(0,tblSubjectToLoan[[#This Row],[Beginning Balance]]-tblSubjectToLoan[[#This Row],[Princ]]))</f>
        <v>0</v>
      </c>
      <c r="L656" s="394">
        <f t="shared" si="49"/>
        <v>0</v>
      </c>
      <c r="M656" s="394">
        <f t="shared" si="48"/>
        <v>0</v>
      </c>
      <c r="N656" s="613" t="str">
        <f>INDEX(tblSubjectToLoan[Date],ROW()-ROW(tblContractForDeed[#Headers]))</f>
        <v/>
      </c>
      <c r="O656" s="276">
        <f>IF(ROW()=ROW(tblContractForDeed[#Headers])+1,$O$6,IF(INDEX(tblContractForDeed[End Bal],ROW()-ROW(tblContractForDeed[#Headers])-1)&lt;0,0,INDEX(tblContractForDeed[End Bal],ROW()-ROW(tblContractForDeed[#Headers])-1)))</f>
        <v>0</v>
      </c>
      <c r="P656" s="454"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6" s="276">
        <f>IF(INDEX(tblContractForDeed[End Bal],ROW()-ROW(tblBuyerOutputs[#Headers]))&lt;=0,0,($O$6+IF(ROW()=ROW(tblBuyerOutputs[#Headers])+1,0,INDEX(tblBuyerOutputs[Cumul Appr],ROW()-ROW(tblBuyerOutputs[#Headers])-1)))*$O$2/12)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13" t="str">
        <f>IF(ROW()=ROW(tblSubjectToLoan[#Headers])+1,subjectKnownBalanceDate,IF(OR(INDEX(tblSubjectToLoan[Date],ROW()-ROW(tblSubjectToLoan[#Headers])-1)="",INDEX(tblSubjectToLoan[Date],ROW()-ROW(tblSubjectToLoan[#Headers])-1)&gt;=subjectMortgageEndDate),"",EDATE(INDEX(tblSubjectToLoan[Date],ROW()-ROW(tblSubjectToLoan[#Headers])-1),1)))</f>
        <v/>
      </c>
      <c r="B657" s="276">
        <f>IF(tblSubjectToLoan[[#This Row],[Date]]="",0,IF(ROW()=ROW(tblSubjectToLoan[#Headers])+1,subjectKnownBalance,MAX(0,INDEX(tblSubjectToLoan[Ending Balance],ROW()-ROW(tblSubjectToLoan[#Headers])-1))))</f>
        <v>0</v>
      </c>
      <c r="C6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7" s="14">
        <f>IF(tblSubjectToLoan[[#This Row],[Payment]]=0,0,MAX(0,MIN(tblSubjectToLoan[[#This Row],[Beginning Balance]],tblSubjectToLoan[[#This Row],[Payment]]-tblSubjectToLoan[[#This Row],[Int]])))</f>
        <v>0</v>
      </c>
      <c r="E657" s="14">
        <f>IF(tblSubjectToLoan[[#This Row],[Date]]="",0,ROUND(tblSubjectToLoan[[#This Row],[Beginning Balance]]*(subjectInterestRate/12),2))</f>
        <v>0</v>
      </c>
      <c r="H657" s="14">
        <f>SUM(tblSubjectToLoan[[#This Row],[Princ]],tblSubjectToLoan[[#This Row],[Int]],tblSubjectToLoan[[#This Row],[Ins]],tblSubjectToLoan[[#This Row],[Taxes]])</f>
        <v>0</v>
      </c>
      <c r="I6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7" s="276">
        <f>IF(tblSubjectToLoan[[#This Row],[Date]]="",IF(ROW()=ROW(tblSubjectToLoan[#Headers])+1,0,INDEX(tblSubjectToLoan[Interest],ROW()-ROW(tblSubjectToLoan[#Headers])-1)),tblSubjectToLoan[[#This Row],[Int]]+IF(ROW()=ROW(tblSubjectToLoan[#Headers])+1,0,INDEX(tblSubjectToLoan[Interest],ROW()-ROW(tblSubjectToLoan[#Headers])-1)))</f>
        <v>36068.259999999973</v>
      </c>
      <c r="K657" s="969">
        <f>IF(tblSubjectToLoan[[#This Row],[Date]]="",0,MAX(0,tblSubjectToLoan[[#This Row],[Beginning Balance]]-tblSubjectToLoan[[#This Row],[Princ]]))</f>
        <v>0</v>
      </c>
      <c r="L657" s="394">
        <f t="shared" si="49"/>
        <v>0</v>
      </c>
      <c r="M657" s="394">
        <f t="shared" si="48"/>
        <v>0</v>
      </c>
      <c r="N657" s="613" t="str">
        <f>INDEX(tblSubjectToLoan[Date],ROW()-ROW(tblContractForDeed[#Headers]))</f>
        <v/>
      </c>
      <c r="O657" s="276">
        <f>IF(ROW()=ROW(tblContractForDeed[#Headers])+1,$O$6,IF(INDEX(tblContractForDeed[End Bal],ROW()-ROW(tblContractForDeed[#Headers])-1)&lt;0,0,INDEX(tblContractForDeed[End Bal],ROW()-ROW(tblContractForDeed[#Headers])-1)))</f>
        <v>0</v>
      </c>
      <c r="P657" s="454"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7" s="276">
        <f>IF(INDEX(tblContractForDeed[End Bal],ROW()-ROW(tblBuyerOutputs[#Headers]))&lt;=0,0,($O$6+IF(ROW()=ROW(tblBuyerOutputs[#Headers])+1,0,INDEX(tblBuyerOutputs[Cumul Appr],ROW()-ROW(tblBuyerOutputs[#Headers])-1)))*$O$2/12)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13" t="str">
        <f>IF(ROW()=ROW(tblSubjectToLoan[#Headers])+1,subjectKnownBalanceDate,IF(OR(INDEX(tblSubjectToLoan[Date],ROW()-ROW(tblSubjectToLoan[#Headers])-1)="",INDEX(tblSubjectToLoan[Date],ROW()-ROW(tblSubjectToLoan[#Headers])-1)&gt;=subjectMortgageEndDate),"",EDATE(INDEX(tblSubjectToLoan[Date],ROW()-ROW(tblSubjectToLoan[#Headers])-1),1)))</f>
        <v/>
      </c>
      <c r="B658" s="276">
        <f>IF(tblSubjectToLoan[[#This Row],[Date]]="",0,IF(ROW()=ROW(tblSubjectToLoan[#Headers])+1,subjectKnownBalance,MAX(0,INDEX(tblSubjectToLoan[Ending Balance],ROW()-ROW(tblSubjectToLoan[#Headers])-1))))</f>
        <v>0</v>
      </c>
      <c r="C6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8" s="14">
        <f>IF(tblSubjectToLoan[[#This Row],[Payment]]=0,0,MAX(0,MIN(tblSubjectToLoan[[#This Row],[Beginning Balance]],tblSubjectToLoan[[#This Row],[Payment]]-tblSubjectToLoan[[#This Row],[Int]])))</f>
        <v>0</v>
      </c>
      <c r="E658" s="14">
        <f>IF(tblSubjectToLoan[[#This Row],[Date]]="",0,ROUND(tblSubjectToLoan[[#This Row],[Beginning Balance]]*(subjectInterestRate/12),2))</f>
        <v>0</v>
      </c>
      <c r="H658" s="14">
        <f>SUM(tblSubjectToLoan[[#This Row],[Princ]],tblSubjectToLoan[[#This Row],[Int]],tblSubjectToLoan[[#This Row],[Ins]],tblSubjectToLoan[[#This Row],[Taxes]])</f>
        <v>0</v>
      </c>
      <c r="I6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8" s="276">
        <f>IF(tblSubjectToLoan[[#This Row],[Date]]="",IF(ROW()=ROW(tblSubjectToLoan[#Headers])+1,0,INDEX(tblSubjectToLoan[Interest],ROW()-ROW(tblSubjectToLoan[#Headers])-1)),tblSubjectToLoan[[#This Row],[Int]]+IF(ROW()=ROW(tblSubjectToLoan[#Headers])+1,0,INDEX(tblSubjectToLoan[Interest],ROW()-ROW(tblSubjectToLoan[#Headers])-1)))</f>
        <v>36068.259999999973</v>
      </c>
      <c r="K658" s="969">
        <f>IF(tblSubjectToLoan[[#This Row],[Date]]="",0,MAX(0,tblSubjectToLoan[[#This Row],[Beginning Balance]]-tblSubjectToLoan[[#This Row],[Princ]]))</f>
        <v>0</v>
      </c>
      <c r="L658" s="394">
        <f t="shared" si="49"/>
        <v>0</v>
      </c>
      <c r="M658" s="394">
        <f t="shared" si="48"/>
        <v>0</v>
      </c>
      <c r="N658" s="613" t="str">
        <f>INDEX(tblSubjectToLoan[Date],ROW()-ROW(tblContractForDeed[#Headers]))</f>
        <v/>
      </c>
      <c r="O658" s="276">
        <f>IF(ROW()=ROW(tblContractForDeed[#Headers])+1,$O$6,IF(INDEX(tblContractForDeed[End Bal],ROW()-ROW(tblContractForDeed[#Headers])-1)&lt;0,0,INDEX(tblContractForDeed[End Bal],ROW()-ROW(tblContractForDeed[#Headers])-1)))</f>
        <v>0</v>
      </c>
      <c r="P658" s="454"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8" s="276">
        <f>IF(INDEX(tblContractForDeed[End Bal],ROW()-ROW(tblBuyerOutputs[#Headers]))&lt;=0,0,($O$6+IF(ROW()=ROW(tblBuyerOutputs[#Headers])+1,0,INDEX(tblBuyerOutputs[Cumul Appr],ROW()-ROW(tblBuyerOutputs[#Headers])-1)))*$O$2/12)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13" t="str">
        <f>IF(ROW()=ROW(tblSubjectToLoan[#Headers])+1,subjectKnownBalanceDate,IF(OR(INDEX(tblSubjectToLoan[Date],ROW()-ROW(tblSubjectToLoan[#Headers])-1)="",INDEX(tblSubjectToLoan[Date],ROW()-ROW(tblSubjectToLoan[#Headers])-1)&gt;=subjectMortgageEndDate),"",EDATE(INDEX(tblSubjectToLoan[Date],ROW()-ROW(tblSubjectToLoan[#Headers])-1),1)))</f>
        <v/>
      </c>
      <c r="B659" s="276">
        <f>IF(tblSubjectToLoan[[#This Row],[Date]]="",0,IF(ROW()=ROW(tblSubjectToLoan[#Headers])+1,subjectKnownBalance,MAX(0,INDEX(tblSubjectToLoan[Ending Balance],ROW()-ROW(tblSubjectToLoan[#Headers])-1))))</f>
        <v>0</v>
      </c>
      <c r="C6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9" s="14">
        <f>IF(tblSubjectToLoan[[#This Row],[Payment]]=0,0,MAX(0,MIN(tblSubjectToLoan[[#This Row],[Beginning Balance]],tblSubjectToLoan[[#This Row],[Payment]]-tblSubjectToLoan[[#This Row],[Int]])))</f>
        <v>0</v>
      </c>
      <c r="E659" s="14">
        <f>IF(tblSubjectToLoan[[#This Row],[Date]]="",0,ROUND(tblSubjectToLoan[[#This Row],[Beginning Balance]]*(subjectInterestRate/12),2))</f>
        <v>0</v>
      </c>
      <c r="H659" s="14">
        <f>SUM(tblSubjectToLoan[[#This Row],[Princ]],tblSubjectToLoan[[#This Row],[Int]],tblSubjectToLoan[[#This Row],[Ins]],tblSubjectToLoan[[#This Row],[Taxes]])</f>
        <v>0</v>
      </c>
      <c r="I6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9" s="276">
        <f>IF(tblSubjectToLoan[[#This Row],[Date]]="",IF(ROW()=ROW(tblSubjectToLoan[#Headers])+1,0,INDEX(tblSubjectToLoan[Interest],ROW()-ROW(tblSubjectToLoan[#Headers])-1)),tblSubjectToLoan[[#This Row],[Int]]+IF(ROW()=ROW(tblSubjectToLoan[#Headers])+1,0,INDEX(tblSubjectToLoan[Interest],ROW()-ROW(tblSubjectToLoan[#Headers])-1)))</f>
        <v>36068.259999999973</v>
      </c>
      <c r="K659" s="969">
        <f>IF(tblSubjectToLoan[[#This Row],[Date]]="",0,MAX(0,tblSubjectToLoan[[#This Row],[Beginning Balance]]-tblSubjectToLoan[[#This Row],[Princ]]))</f>
        <v>0</v>
      </c>
      <c r="L659" s="394">
        <f t="shared" si="49"/>
        <v>0</v>
      </c>
      <c r="M659" s="394">
        <f t="shared" si="48"/>
        <v>0</v>
      </c>
      <c r="N659" s="613" t="str">
        <f>INDEX(tblSubjectToLoan[Date],ROW()-ROW(tblContractForDeed[#Headers]))</f>
        <v/>
      </c>
      <c r="O659" s="276">
        <f>IF(ROW()=ROW(tblContractForDeed[#Headers])+1,$O$6,IF(INDEX(tblContractForDeed[End Bal],ROW()-ROW(tblContractForDeed[#Headers])-1)&lt;0,0,INDEX(tblContractForDeed[End Bal],ROW()-ROW(tblContractForDeed[#Headers])-1)))</f>
        <v>0</v>
      </c>
      <c r="P659" s="454"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9" s="276">
        <f>IF(INDEX(tblContractForDeed[End Bal],ROW()-ROW(tblBuyerOutputs[#Headers]))&lt;=0,0,($O$6+IF(ROW()=ROW(tblBuyerOutputs[#Headers])+1,0,INDEX(tblBuyerOutputs[Cumul Appr],ROW()-ROW(tblBuyerOutputs[#Headers])-1)))*$O$2/12)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13" t="str">
        <f>IF(ROW()=ROW(tblSubjectToLoan[#Headers])+1,subjectKnownBalanceDate,IF(OR(INDEX(tblSubjectToLoan[Date],ROW()-ROW(tblSubjectToLoan[#Headers])-1)="",INDEX(tblSubjectToLoan[Date],ROW()-ROW(tblSubjectToLoan[#Headers])-1)&gt;=subjectMortgageEndDate),"",EDATE(INDEX(tblSubjectToLoan[Date],ROW()-ROW(tblSubjectToLoan[#Headers])-1),1)))</f>
        <v/>
      </c>
      <c r="B660" s="276">
        <f>IF(tblSubjectToLoan[[#This Row],[Date]]="",0,IF(ROW()=ROW(tblSubjectToLoan[#Headers])+1,subjectKnownBalance,MAX(0,INDEX(tblSubjectToLoan[Ending Balance],ROW()-ROW(tblSubjectToLoan[#Headers])-1))))</f>
        <v>0</v>
      </c>
      <c r="C6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0" s="14">
        <f>IF(tblSubjectToLoan[[#This Row],[Payment]]=0,0,MAX(0,MIN(tblSubjectToLoan[[#This Row],[Beginning Balance]],tblSubjectToLoan[[#This Row],[Payment]]-tblSubjectToLoan[[#This Row],[Int]])))</f>
        <v>0</v>
      </c>
      <c r="E660" s="14">
        <f>IF(tblSubjectToLoan[[#This Row],[Date]]="",0,ROUND(tblSubjectToLoan[[#This Row],[Beginning Balance]]*(subjectInterestRate/12),2))</f>
        <v>0</v>
      </c>
      <c r="H660" s="14">
        <f>SUM(tblSubjectToLoan[[#This Row],[Princ]],tblSubjectToLoan[[#This Row],[Int]],tblSubjectToLoan[[#This Row],[Ins]],tblSubjectToLoan[[#This Row],[Taxes]])</f>
        <v>0</v>
      </c>
      <c r="I6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0" s="276">
        <f>IF(tblSubjectToLoan[[#This Row],[Date]]="",IF(ROW()=ROW(tblSubjectToLoan[#Headers])+1,0,INDEX(tblSubjectToLoan[Interest],ROW()-ROW(tblSubjectToLoan[#Headers])-1)),tblSubjectToLoan[[#This Row],[Int]]+IF(ROW()=ROW(tblSubjectToLoan[#Headers])+1,0,INDEX(tblSubjectToLoan[Interest],ROW()-ROW(tblSubjectToLoan[#Headers])-1)))</f>
        <v>36068.259999999973</v>
      </c>
      <c r="K660" s="969">
        <f>IF(tblSubjectToLoan[[#This Row],[Date]]="",0,MAX(0,tblSubjectToLoan[[#This Row],[Beginning Balance]]-tblSubjectToLoan[[#This Row],[Princ]]))</f>
        <v>0</v>
      </c>
      <c r="L660" s="394">
        <f t="shared" si="49"/>
        <v>0</v>
      </c>
      <c r="M660" s="394">
        <f t="shared" si="48"/>
        <v>0</v>
      </c>
      <c r="N660" s="613" t="str">
        <f>INDEX(tblSubjectToLoan[Date],ROW()-ROW(tblContractForDeed[#Headers]))</f>
        <v/>
      </c>
      <c r="O660" s="276">
        <f>IF(ROW()=ROW(tblContractForDeed[#Headers])+1,$O$6,IF(INDEX(tblContractForDeed[End Bal],ROW()-ROW(tblContractForDeed[#Headers])-1)&lt;0,0,INDEX(tblContractForDeed[End Bal],ROW()-ROW(tblContractForDeed[#Headers])-1)))</f>
        <v>0</v>
      </c>
      <c r="P660" s="454"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0" s="276">
        <f>IF(INDEX(tblContractForDeed[End Bal],ROW()-ROW(tblBuyerOutputs[#Headers]))&lt;=0,0,($O$6+IF(ROW()=ROW(tblBuyerOutputs[#Headers])+1,0,INDEX(tblBuyerOutputs[Cumul Appr],ROW()-ROW(tblBuyerOutputs[#Headers])-1)))*$O$2/12)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13" t="str">
        <f>IF(ROW()=ROW(tblSubjectToLoan[#Headers])+1,subjectKnownBalanceDate,IF(OR(INDEX(tblSubjectToLoan[Date],ROW()-ROW(tblSubjectToLoan[#Headers])-1)="",INDEX(tblSubjectToLoan[Date],ROW()-ROW(tblSubjectToLoan[#Headers])-1)&gt;=subjectMortgageEndDate),"",EDATE(INDEX(tblSubjectToLoan[Date],ROW()-ROW(tblSubjectToLoan[#Headers])-1),1)))</f>
        <v/>
      </c>
      <c r="B661" s="276">
        <f>IF(tblSubjectToLoan[[#This Row],[Date]]="",0,IF(ROW()=ROW(tblSubjectToLoan[#Headers])+1,subjectKnownBalance,MAX(0,INDEX(tblSubjectToLoan[Ending Balance],ROW()-ROW(tblSubjectToLoan[#Headers])-1))))</f>
        <v>0</v>
      </c>
      <c r="C6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1" s="14">
        <f>IF(tblSubjectToLoan[[#This Row],[Payment]]=0,0,MAX(0,MIN(tblSubjectToLoan[[#This Row],[Beginning Balance]],tblSubjectToLoan[[#This Row],[Payment]]-tblSubjectToLoan[[#This Row],[Int]])))</f>
        <v>0</v>
      </c>
      <c r="E661" s="14">
        <f>IF(tblSubjectToLoan[[#This Row],[Date]]="",0,ROUND(tblSubjectToLoan[[#This Row],[Beginning Balance]]*(subjectInterestRate/12),2))</f>
        <v>0</v>
      </c>
      <c r="H661" s="14">
        <f>SUM(tblSubjectToLoan[[#This Row],[Princ]],tblSubjectToLoan[[#This Row],[Int]],tblSubjectToLoan[[#This Row],[Ins]],tblSubjectToLoan[[#This Row],[Taxes]])</f>
        <v>0</v>
      </c>
      <c r="I6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1" s="276">
        <f>IF(tblSubjectToLoan[[#This Row],[Date]]="",IF(ROW()=ROW(tblSubjectToLoan[#Headers])+1,0,INDEX(tblSubjectToLoan[Interest],ROW()-ROW(tblSubjectToLoan[#Headers])-1)),tblSubjectToLoan[[#This Row],[Int]]+IF(ROW()=ROW(tblSubjectToLoan[#Headers])+1,0,INDEX(tblSubjectToLoan[Interest],ROW()-ROW(tblSubjectToLoan[#Headers])-1)))</f>
        <v>36068.259999999973</v>
      </c>
      <c r="K661" s="969">
        <f>IF(tblSubjectToLoan[[#This Row],[Date]]="",0,MAX(0,tblSubjectToLoan[[#This Row],[Beginning Balance]]-tblSubjectToLoan[[#This Row],[Princ]]))</f>
        <v>0</v>
      </c>
      <c r="L661" s="394">
        <f t="shared" si="49"/>
        <v>0</v>
      </c>
      <c r="M661" s="394">
        <f t="shared" ref="M661:M724" si="50">IF($A661&lt;&gt;"",M660+1,0)</f>
        <v>0</v>
      </c>
      <c r="N661" s="613" t="str">
        <f>INDEX(tblSubjectToLoan[Date],ROW()-ROW(tblContractForDeed[#Headers]))</f>
        <v/>
      </c>
      <c r="O661" s="276">
        <f>IF(ROW()=ROW(tblContractForDeed[#Headers])+1,$O$6,IF(INDEX(tblContractForDeed[End Bal],ROW()-ROW(tblContractForDeed[#Headers])-1)&lt;0,0,INDEX(tblContractForDeed[End Bal],ROW()-ROW(tblContractForDeed[#Headers])-1)))</f>
        <v>0</v>
      </c>
      <c r="P661" s="454"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1" s="276">
        <f>IF(INDEX(tblContractForDeed[End Bal],ROW()-ROW(tblBuyerOutputs[#Headers]))&lt;=0,0,($O$6+IF(ROW()=ROW(tblBuyerOutputs[#Headers])+1,0,INDEX(tblBuyerOutputs[Cumul Appr],ROW()-ROW(tblBuyerOutputs[#Headers])-1)))*$O$2/12)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13" t="str">
        <f>IF(ROW()=ROW(tblSubjectToLoan[#Headers])+1,subjectKnownBalanceDate,IF(OR(INDEX(tblSubjectToLoan[Date],ROW()-ROW(tblSubjectToLoan[#Headers])-1)="",INDEX(tblSubjectToLoan[Date],ROW()-ROW(tblSubjectToLoan[#Headers])-1)&gt;=subjectMortgageEndDate),"",EDATE(INDEX(tblSubjectToLoan[Date],ROW()-ROW(tblSubjectToLoan[#Headers])-1),1)))</f>
        <v/>
      </c>
      <c r="B662" s="276">
        <f>IF(tblSubjectToLoan[[#This Row],[Date]]="",0,IF(ROW()=ROW(tblSubjectToLoan[#Headers])+1,subjectKnownBalance,MAX(0,INDEX(tblSubjectToLoan[Ending Balance],ROW()-ROW(tblSubjectToLoan[#Headers])-1))))</f>
        <v>0</v>
      </c>
      <c r="C6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2" s="14">
        <f>IF(tblSubjectToLoan[[#This Row],[Payment]]=0,0,MAX(0,MIN(tblSubjectToLoan[[#This Row],[Beginning Balance]],tblSubjectToLoan[[#This Row],[Payment]]-tblSubjectToLoan[[#This Row],[Int]])))</f>
        <v>0</v>
      </c>
      <c r="E662" s="14">
        <f>IF(tblSubjectToLoan[[#This Row],[Date]]="",0,ROUND(tblSubjectToLoan[[#This Row],[Beginning Balance]]*(subjectInterestRate/12),2))</f>
        <v>0</v>
      </c>
      <c r="H662" s="14">
        <f>SUM(tblSubjectToLoan[[#This Row],[Princ]],tblSubjectToLoan[[#This Row],[Int]],tblSubjectToLoan[[#This Row],[Ins]],tblSubjectToLoan[[#This Row],[Taxes]])</f>
        <v>0</v>
      </c>
      <c r="I6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2" s="276">
        <f>IF(tblSubjectToLoan[[#This Row],[Date]]="",IF(ROW()=ROW(tblSubjectToLoan[#Headers])+1,0,INDEX(tblSubjectToLoan[Interest],ROW()-ROW(tblSubjectToLoan[#Headers])-1)),tblSubjectToLoan[[#This Row],[Int]]+IF(ROW()=ROW(tblSubjectToLoan[#Headers])+1,0,INDEX(tblSubjectToLoan[Interest],ROW()-ROW(tblSubjectToLoan[#Headers])-1)))</f>
        <v>36068.259999999973</v>
      </c>
      <c r="K662" s="969">
        <f>IF(tblSubjectToLoan[[#This Row],[Date]]="",0,MAX(0,tblSubjectToLoan[[#This Row],[Beginning Balance]]-tblSubjectToLoan[[#This Row],[Princ]]))</f>
        <v>0</v>
      </c>
      <c r="L662" s="394">
        <f t="shared" si="49"/>
        <v>0</v>
      </c>
      <c r="M662" s="394">
        <f t="shared" si="50"/>
        <v>0</v>
      </c>
      <c r="N662" s="613" t="str">
        <f>INDEX(tblSubjectToLoan[Date],ROW()-ROW(tblContractForDeed[#Headers]))</f>
        <v/>
      </c>
      <c r="O662" s="276">
        <f>IF(ROW()=ROW(tblContractForDeed[#Headers])+1,$O$6,IF(INDEX(tblContractForDeed[End Bal],ROW()-ROW(tblContractForDeed[#Headers])-1)&lt;0,0,INDEX(tblContractForDeed[End Bal],ROW()-ROW(tblContractForDeed[#Headers])-1)))</f>
        <v>0</v>
      </c>
      <c r="P662" s="454"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2" s="276">
        <f>IF(INDEX(tblContractForDeed[End Bal],ROW()-ROW(tblBuyerOutputs[#Headers]))&lt;=0,0,($O$6+IF(ROW()=ROW(tblBuyerOutputs[#Headers])+1,0,INDEX(tblBuyerOutputs[Cumul Appr],ROW()-ROW(tblBuyerOutputs[#Headers])-1)))*$O$2/12)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13" t="str">
        <f>IF(ROW()=ROW(tblSubjectToLoan[#Headers])+1,subjectKnownBalanceDate,IF(OR(INDEX(tblSubjectToLoan[Date],ROW()-ROW(tblSubjectToLoan[#Headers])-1)="",INDEX(tblSubjectToLoan[Date],ROW()-ROW(tblSubjectToLoan[#Headers])-1)&gt;=subjectMortgageEndDate),"",EDATE(INDEX(tblSubjectToLoan[Date],ROW()-ROW(tblSubjectToLoan[#Headers])-1),1)))</f>
        <v/>
      </c>
      <c r="B663" s="276">
        <f>IF(tblSubjectToLoan[[#This Row],[Date]]="",0,IF(ROW()=ROW(tblSubjectToLoan[#Headers])+1,subjectKnownBalance,MAX(0,INDEX(tblSubjectToLoan[Ending Balance],ROW()-ROW(tblSubjectToLoan[#Headers])-1))))</f>
        <v>0</v>
      </c>
      <c r="C6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3" s="14">
        <f>IF(tblSubjectToLoan[[#This Row],[Payment]]=0,0,MAX(0,MIN(tblSubjectToLoan[[#This Row],[Beginning Balance]],tblSubjectToLoan[[#This Row],[Payment]]-tblSubjectToLoan[[#This Row],[Int]])))</f>
        <v>0</v>
      </c>
      <c r="E663" s="14">
        <f>IF(tblSubjectToLoan[[#This Row],[Date]]="",0,ROUND(tblSubjectToLoan[[#This Row],[Beginning Balance]]*(subjectInterestRate/12),2))</f>
        <v>0</v>
      </c>
      <c r="H663" s="14">
        <f>SUM(tblSubjectToLoan[[#This Row],[Princ]],tblSubjectToLoan[[#This Row],[Int]],tblSubjectToLoan[[#This Row],[Ins]],tblSubjectToLoan[[#This Row],[Taxes]])</f>
        <v>0</v>
      </c>
      <c r="I6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3" s="276">
        <f>IF(tblSubjectToLoan[[#This Row],[Date]]="",IF(ROW()=ROW(tblSubjectToLoan[#Headers])+1,0,INDEX(tblSubjectToLoan[Interest],ROW()-ROW(tblSubjectToLoan[#Headers])-1)),tblSubjectToLoan[[#This Row],[Int]]+IF(ROW()=ROW(tblSubjectToLoan[#Headers])+1,0,INDEX(tblSubjectToLoan[Interest],ROW()-ROW(tblSubjectToLoan[#Headers])-1)))</f>
        <v>36068.259999999973</v>
      </c>
      <c r="K663" s="969">
        <f>IF(tblSubjectToLoan[[#This Row],[Date]]="",0,MAX(0,tblSubjectToLoan[[#This Row],[Beginning Balance]]-tblSubjectToLoan[[#This Row],[Princ]]))</f>
        <v>0</v>
      </c>
      <c r="L663" s="394">
        <f t="shared" si="49"/>
        <v>0</v>
      </c>
      <c r="M663" s="394">
        <f t="shared" si="50"/>
        <v>0</v>
      </c>
      <c r="N663" s="613" t="str">
        <f>INDEX(tblSubjectToLoan[Date],ROW()-ROW(tblContractForDeed[#Headers]))</f>
        <v/>
      </c>
      <c r="O663" s="276">
        <f>IF(ROW()=ROW(tblContractForDeed[#Headers])+1,$O$6,IF(INDEX(tblContractForDeed[End Bal],ROW()-ROW(tblContractForDeed[#Headers])-1)&lt;0,0,INDEX(tblContractForDeed[End Bal],ROW()-ROW(tblContractForDeed[#Headers])-1)))</f>
        <v>0</v>
      </c>
      <c r="P663" s="454"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3" s="276">
        <f>IF(INDEX(tblContractForDeed[End Bal],ROW()-ROW(tblBuyerOutputs[#Headers]))&lt;=0,0,($O$6+IF(ROW()=ROW(tblBuyerOutputs[#Headers])+1,0,INDEX(tblBuyerOutputs[Cumul Appr],ROW()-ROW(tblBuyerOutputs[#Headers])-1)))*$O$2/12)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13" t="str">
        <f>IF(ROW()=ROW(tblSubjectToLoan[#Headers])+1,subjectKnownBalanceDate,IF(OR(INDEX(tblSubjectToLoan[Date],ROW()-ROW(tblSubjectToLoan[#Headers])-1)="",INDEX(tblSubjectToLoan[Date],ROW()-ROW(tblSubjectToLoan[#Headers])-1)&gt;=subjectMortgageEndDate),"",EDATE(INDEX(tblSubjectToLoan[Date],ROW()-ROW(tblSubjectToLoan[#Headers])-1),1)))</f>
        <v/>
      </c>
      <c r="B664" s="276">
        <f>IF(tblSubjectToLoan[[#This Row],[Date]]="",0,IF(ROW()=ROW(tblSubjectToLoan[#Headers])+1,subjectKnownBalance,MAX(0,INDEX(tblSubjectToLoan[Ending Balance],ROW()-ROW(tblSubjectToLoan[#Headers])-1))))</f>
        <v>0</v>
      </c>
      <c r="C6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4" s="14">
        <f>IF(tblSubjectToLoan[[#This Row],[Payment]]=0,0,MAX(0,MIN(tblSubjectToLoan[[#This Row],[Beginning Balance]],tblSubjectToLoan[[#This Row],[Payment]]-tblSubjectToLoan[[#This Row],[Int]])))</f>
        <v>0</v>
      </c>
      <c r="E664" s="14">
        <f>IF(tblSubjectToLoan[[#This Row],[Date]]="",0,ROUND(tblSubjectToLoan[[#This Row],[Beginning Balance]]*(subjectInterestRate/12),2))</f>
        <v>0</v>
      </c>
      <c r="H664" s="14">
        <f>SUM(tblSubjectToLoan[[#This Row],[Princ]],tblSubjectToLoan[[#This Row],[Int]],tblSubjectToLoan[[#This Row],[Ins]],tblSubjectToLoan[[#This Row],[Taxes]])</f>
        <v>0</v>
      </c>
      <c r="I6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4" s="276">
        <f>IF(tblSubjectToLoan[[#This Row],[Date]]="",IF(ROW()=ROW(tblSubjectToLoan[#Headers])+1,0,INDEX(tblSubjectToLoan[Interest],ROW()-ROW(tblSubjectToLoan[#Headers])-1)),tblSubjectToLoan[[#This Row],[Int]]+IF(ROW()=ROW(tblSubjectToLoan[#Headers])+1,0,INDEX(tblSubjectToLoan[Interest],ROW()-ROW(tblSubjectToLoan[#Headers])-1)))</f>
        <v>36068.259999999973</v>
      </c>
      <c r="K664" s="969">
        <f>IF(tblSubjectToLoan[[#This Row],[Date]]="",0,MAX(0,tblSubjectToLoan[[#This Row],[Beginning Balance]]-tblSubjectToLoan[[#This Row],[Princ]]))</f>
        <v>0</v>
      </c>
      <c r="L664" s="394">
        <f t="shared" si="49"/>
        <v>0</v>
      </c>
      <c r="M664" s="394">
        <f t="shared" si="50"/>
        <v>0</v>
      </c>
      <c r="N664" s="613" t="str">
        <f>INDEX(tblSubjectToLoan[Date],ROW()-ROW(tblContractForDeed[#Headers]))</f>
        <v/>
      </c>
      <c r="O664" s="276">
        <f>IF(ROW()=ROW(tblContractForDeed[#Headers])+1,$O$6,IF(INDEX(tblContractForDeed[End Bal],ROW()-ROW(tblContractForDeed[#Headers])-1)&lt;0,0,INDEX(tblContractForDeed[End Bal],ROW()-ROW(tblContractForDeed[#Headers])-1)))</f>
        <v>0</v>
      </c>
      <c r="P664" s="454"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4" s="276">
        <f>IF(INDEX(tblContractForDeed[End Bal],ROW()-ROW(tblBuyerOutputs[#Headers]))&lt;=0,0,($O$6+IF(ROW()=ROW(tblBuyerOutputs[#Headers])+1,0,INDEX(tblBuyerOutputs[Cumul Appr],ROW()-ROW(tblBuyerOutputs[#Headers])-1)))*$O$2/12)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13" t="str">
        <f>IF(ROW()=ROW(tblSubjectToLoan[#Headers])+1,subjectKnownBalanceDate,IF(OR(INDEX(tblSubjectToLoan[Date],ROW()-ROW(tblSubjectToLoan[#Headers])-1)="",INDEX(tblSubjectToLoan[Date],ROW()-ROW(tblSubjectToLoan[#Headers])-1)&gt;=subjectMortgageEndDate),"",EDATE(INDEX(tblSubjectToLoan[Date],ROW()-ROW(tblSubjectToLoan[#Headers])-1),1)))</f>
        <v/>
      </c>
      <c r="B665" s="276">
        <f>IF(tblSubjectToLoan[[#This Row],[Date]]="",0,IF(ROW()=ROW(tblSubjectToLoan[#Headers])+1,subjectKnownBalance,MAX(0,INDEX(tblSubjectToLoan[Ending Balance],ROW()-ROW(tblSubjectToLoan[#Headers])-1))))</f>
        <v>0</v>
      </c>
      <c r="C6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5" s="14">
        <f>IF(tblSubjectToLoan[[#This Row],[Payment]]=0,0,MAX(0,MIN(tblSubjectToLoan[[#This Row],[Beginning Balance]],tblSubjectToLoan[[#This Row],[Payment]]-tblSubjectToLoan[[#This Row],[Int]])))</f>
        <v>0</v>
      </c>
      <c r="E665" s="14">
        <f>IF(tblSubjectToLoan[[#This Row],[Date]]="",0,ROUND(tblSubjectToLoan[[#This Row],[Beginning Balance]]*(subjectInterestRate/12),2))</f>
        <v>0</v>
      </c>
      <c r="H665" s="14">
        <f>SUM(tblSubjectToLoan[[#This Row],[Princ]],tblSubjectToLoan[[#This Row],[Int]],tblSubjectToLoan[[#This Row],[Ins]],tblSubjectToLoan[[#This Row],[Taxes]])</f>
        <v>0</v>
      </c>
      <c r="I6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5" s="276">
        <f>IF(tblSubjectToLoan[[#This Row],[Date]]="",IF(ROW()=ROW(tblSubjectToLoan[#Headers])+1,0,INDEX(tblSubjectToLoan[Interest],ROW()-ROW(tblSubjectToLoan[#Headers])-1)),tblSubjectToLoan[[#This Row],[Int]]+IF(ROW()=ROW(tblSubjectToLoan[#Headers])+1,0,INDEX(tblSubjectToLoan[Interest],ROW()-ROW(tblSubjectToLoan[#Headers])-1)))</f>
        <v>36068.259999999973</v>
      </c>
      <c r="K665" s="969">
        <f>IF(tblSubjectToLoan[[#This Row],[Date]]="",0,MAX(0,tblSubjectToLoan[[#This Row],[Beginning Balance]]-tblSubjectToLoan[[#This Row],[Princ]]))</f>
        <v>0</v>
      </c>
      <c r="L665" s="394">
        <f t="shared" si="49"/>
        <v>0</v>
      </c>
      <c r="M665" s="394">
        <f t="shared" si="50"/>
        <v>0</v>
      </c>
      <c r="N665" s="613" t="str">
        <f>INDEX(tblSubjectToLoan[Date],ROW()-ROW(tblContractForDeed[#Headers]))</f>
        <v/>
      </c>
      <c r="O665" s="276">
        <f>IF(ROW()=ROW(tblContractForDeed[#Headers])+1,$O$6,IF(INDEX(tblContractForDeed[End Bal],ROW()-ROW(tblContractForDeed[#Headers])-1)&lt;0,0,INDEX(tblContractForDeed[End Bal],ROW()-ROW(tblContractForDeed[#Headers])-1)))</f>
        <v>0</v>
      </c>
      <c r="P665" s="454"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5" s="276">
        <f>IF(INDEX(tblContractForDeed[End Bal],ROW()-ROW(tblBuyerOutputs[#Headers]))&lt;=0,0,($O$6+IF(ROW()=ROW(tblBuyerOutputs[#Headers])+1,0,INDEX(tblBuyerOutputs[Cumul Appr],ROW()-ROW(tblBuyerOutputs[#Headers])-1)))*$O$2/12)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13" t="str">
        <f>IF(ROW()=ROW(tblSubjectToLoan[#Headers])+1,subjectKnownBalanceDate,IF(OR(INDEX(tblSubjectToLoan[Date],ROW()-ROW(tblSubjectToLoan[#Headers])-1)="",INDEX(tblSubjectToLoan[Date],ROW()-ROW(tblSubjectToLoan[#Headers])-1)&gt;=subjectMortgageEndDate),"",EDATE(INDEX(tblSubjectToLoan[Date],ROW()-ROW(tblSubjectToLoan[#Headers])-1),1)))</f>
        <v/>
      </c>
      <c r="B666" s="276">
        <f>IF(tblSubjectToLoan[[#This Row],[Date]]="",0,IF(ROW()=ROW(tblSubjectToLoan[#Headers])+1,subjectKnownBalance,MAX(0,INDEX(tblSubjectToLoan[Ending Balance],ROW()-ROW(tblSubjectToLoan[#Headers])-1))))</f>
        <v>0</v>
      </c>
      <c r="C6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6" s="14">
        <f>IF(tblSubjectToLoan[[#This Row],[Payment]]=0,0,MAX(0,MIN(tblSubjectToLoan[[#This Row],[Beginning Balance]],tblSubjectToLoan[[#This Row],[Payment]]-tblSubjectToLoan[[#This Row],[Int]])))</f>
        <v>0</v>
      </c>
      <c r="E666" s="14">
        <f>IF(tblSubjectToLoan[[#This Row],[Date]]="",0,ROUND(tblSubjectToLoan[[#This Row],[Beginning Balance]]*(subjectInterestRate/12),2))</f>
        <v>0</v>
      </c>
      <c r="H666" s="14">
        <f>SUM(tblSubjectToLoan[[#This Row],[Princ]],tblSubjectToLoan[[#This Row],[Int]],tblSubjectToLoan[[#This Row],[Ins]],tblSubjectToLoan[[#This Row],[Taxes]])</f>
        <v>0</v>
      </c>
      <c r="I6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6" s="276">
        <f>IF(tblSubjectToLoan[[#This Row],[Date]]="",IF(ROW()=ROW(tblSubjectToLoan[#Headers])+1,0,INDEX(tblSubjectToLoan[Interest],ROW()-ROW(tblSubjectToLoan[#Headers])-1)),tblSubjectToLoan[[#This Row],[Int]]+IF(ROW()=ROW(tblSubjectToLoan[#Headers])+1,0,INDEX(tblSubjectToLoan[Interest],ROW()-ROW(tblSubjectToLoan[#Headers])-1)))</f>
        <v>36068.259999999973</v>
      </c>
      <c r="K666" s="969">
        <f>IF(tblSubjectToLoan[[#This Row],[Date]]="",0,MAX(0,tblSubjectToLoan[[#This Row],[Beginning Balance]]-tblSubjectToLoan[[#This Row],[Princ]]))</f>
        <v>0</v>
      </c>
      <c r="L666" s="394">
        <f t="shared" si="49"/>
        <v>0</v>
      </c>
      <c r="M666" s="394">
        <f t="shared" si="50"/>
        <v>0</v>
      </c>
      <c r="N666" s="613" t="str">
        <f>INDEX(tblSubjectToLoan[Date],ROW()-ROW(tblContractForDeed[#Headers]))</f>
        <v/>
      </c>
      <c r="O666" s="276">
        <f>IF(ROW()=ROW(tblContractForDeed[#Headers])+1,$O$6,IF(INDEX(tblContractForDeed[End Bal],ROW()-ROW(tblContractForDeed[#Headers])-1)&lt;0,0,INDEX(tblContractForDeed[End Bal],ROW()-ROW(tblContractForDeed[#Headers])-1)))</f>
        <v>0</v>
      </c>
      <c r="P666" s="454"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6" s="276">
        <f>IF(INDEX(tblContractForDeed[End Bal],ROW()-ROW(tblBuyerOutputs[#Headers]))&lt;=0,0,($O$6+IF(ROW()=ROW(tblBuyerOutputs[#Headers])+1,0,INDEX(tblBuyerOutputs[Cumul Appr],ROW()-ROW(tblBuyerOutputs[#Headers])-1)))*$O$2/12)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14" t="str">
        <f>IF(ROW()=ROW(tblSubjectToLoan[#Headers])+1,subjectKnownBalanceDate,IF(OR(INDEX(tblSubjectToLoan[Date],ROW()-ROW(tblSubjectToLoan[#Headers])-1)="",INDEX(tblSubjectToLoan[Date],ROW()-ROW(tblSubjectToLoan[#Headers])-1)&gt;=subjectMortgageEndDate),"",EDATE(INDEX(tblSubjectToLoan[Date],ROW()-ROW(tblSubjectToLoan[#Headers])-1),1)))</f>
        <v/>
      </c>
      <c r="B667" s="332">
        <f>IF(tblSubjectToLoan[[#This Row],[Date]]="",0,IF(ROW()=ROW(tblSubjectToLoan[#Headers])+1,subjectKnownBalance,MAX(0,INDEX(tblSubjectToLoan[Ending Balance],ROW()-ROW(tblSubjectToLoan[#Headers])-1))))</f>
        <v>0</v>
      </c>
      <c r="C66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7" s="21">
        <f>IF(tblSubjectToLoan[[#This Row],[Payment]]=0,0,MAX(0,MIN(tblSubjectToLoan[[#This Row],[Beginning Balance]],tblSubjectToLoan[[#This Row],[Payment]]-tblSubjectToLoan[[#This Row],[Int]])))</f>
        <v>0</v>
      </c>
      <c r="E667" s="21">
        <f>IF(tblSubjectToLoan[[#This Row],[Date]]="",0,ROUND(tblSubjectToLoan[[#This Row],[Beginning Balance]]*(subjectInterestRate/12),2))</f>
        <v>0</v>
      </c>
      <c r="F667" s="21"/>
      <c r="G667" s="21"/>
      <c r="H667" s="21">
        <f>SUM(tblSubjectToLoan[[#This Row],[Princ]],tblSubjectToLoan[[#This Row],[Int]],tblSubjectToLoan[[#This Row],[Ins]],tblSubjectToLoan[[#This Row],[Taxes]])</f>
        <v>0</v>
      </c>
      <c r="I66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67" s="332">
        <f>IF(tblSubjectToLoan[[#This Row],[Date]]="",IF(ROW()=ROW(tblSubjectToLoan[#Headers])+1,0,INDEX(tblSubjectToLoan[Interest],ROW()-ROW(tblSubjectToLoan[#Headers])-1)),tblSubjectToLoan[[#This Row],[Int]]+IF(ROW()=ROW(tblSubjectToLoan[#Headers])+1,0,INDEX(tblSubjectToLoan[Interest],ROW()-ROW(tblSubjectToLoan[#Headers])-1)))</f>
        <v>36068.259999999973</v>
      </c>
      <c r="K667" s="970">
        <f>IF(tblSubjectToLoan[[#This Row],[Date]]="",0,MAX(0,tblSubjectToLoan[[#This Row],[Beginning Balance]]-tblSubjectToLoan[[#This Row],[Princ]]))</f>
        <v>0</v>
      </c>
      <c r="L667" s="395">
        <f t="shared" si="49"/>
        <v>0</v>
      </c>
      <c r="M667" s="395">
        <f t="shared" si="50"/>
        <v>0</v>
      </c>
      <c r="N667" s="614" t="str">
        <f>INDEX(tblSubjectToLoan[Date],ROW()-ROW(tblContractForDeed[#Headers]))</f>
        <v/>
      </c>
      <c r="O667" s="332">
        <f>IF(ROW()=ROW(tblContractForDeed[#Headers])+1,$O$6,IF(INDEX(tblContractForDeed[End Bal],ROW()-ROW(tblContractForDeed[#Headers])-1)&lt;0,0,INDEX(tblContractForDeed[End Bal],ROW()-ROW(tblContractForDeed[#Headers])-1)))</f>
        <v>0</v>
      </c>
      <c r="P667" s="454"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7" s="332">
        <f>IF(INDEX(tblContractForDeed[End Bal],ROW()-ROW(tblBuyerOutputs[#Headers]))&lt;=0,0,($O$6+IF(ROW()=ROW(tblBuyerOutputs[#Headers])+1,0,INDEX(tblBuyerOutputs[Cumul Appr],ROW()-ROW(tblBuyerOutputs[#Headers])-1)))*$O$2/12)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13" t="str">
        <f>IF(ROW()=ROW(tblSubjectToLoan[#Headers])+1,subjectKnownBalanceDate,IF(OR(INDEX(tblSubjectToLoan[Date],ROW()-ROW(tblSubjectToLoan[#Headers])-1)="",INDEX(tblSubjectToLoan[Date],ROW()-ROW(tblSubjectToLoan[#Headers])-1)&gt;=subjectMortgageEndDate),"",EDATE(INDEX(tblSubjectToLoan[Date],ROW()-ROW(tblSubjectToLoan[#Headers])-1),1)))</f>
        <v/>
      </c>
      <c r="B668" s="276">
        <f>IF(tblSubjectToLoan[[#This Row],[Date]]="",0,IF(ROW()=ROW(tblSubjectToLoan[#Headers])+1,subjectKnownBalance,MAX(0,INDEX(tblSubjectToLoan[Ending Balance],ROW()-ROW(tblSubjectToLoan[#Headers])-1))))</f>
        <v>0</v>
      </c>
      <c r="C6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8" s="14">
        <f>IF(tblSubjectToLoan[[#This Row],[Payment]]=0,0,MAX(0,MIN(tblSubjectToLoan[[#This Row],[Beginning Balance]],tblSubjectToLoan[[#This Row],[Payment]]-tblSubjectToLoan[[#This Row],[Int]])))</f>
        <v>0</v>
      </c>
      <c r="E668" s="14">
        <f>IF(tblSubjectToLoan[[#This Row],[Date]]="",0,ROUND(tblSubjectToLoan[[#This Row],[Beginning Balance]]*(subjectInterestRate/12),2))</f>
        <v>0</v>
      </c>
      <c r="H668" s="14">
        <f>SUM(tblSubjectToLoan[[#This Row],[Princ]],tblSubjectToLoan[[#This Row],[Int]],tblSubjectToLoan[[#This Row],[Ins]],tblSubjectToLoan[[#This Row],[Taxes]])</f>
        <v>0</v>
      </c>
      <c r="I6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8" s="276">
        <f>IF(tblSubjectToLoan[[#This Row],[Date]]="",IF(ROW()=ROW(tblSubjectToLoan[#Headers])+1,0,INDEX(tblSubjectToLoan[Interest],ROW()-ROW(tblSubjectToLoan[#Headers])-1)),tblSubjectToLoan[[#This Row],[Int]]+IF(ROW()=ROW(tblSubjectToLoan[#Headers])+1,0,INDEX(tblSubjectToLoan[Interest],ROW()-ROW(tblSubjectToLoan[#Headers])-1)))</f>
        <v>36068.259999999973</v>
      </c>
      <c r="K668" s="969">
        <f>IF(tblSubjectToLoan[[#This Row],[Date]]="",0,MAX(0,tblSubjectToLoan[[#This Row],[Beginning Balance]]-tblSubjectToLoan[[#This Row],[Princ]]))</f>
        <v>0</v>
      </c>
      <c r="L668" s="394">
        <f t="shared" si="49"/>
        <v>0</v>
      </c>
      <c r="M668" s="394">
        <f t="shared" si="50"/>
        <v>0</v>
      </c>
      <c r="N668" s="613" t="str">
        <f>INDEX(tblSubjectToLoan[Date],ROW()-ROW(tblContractForDeed[#Headers]))</f>
        <v/>
      </c>
      <c r="O668" s="276">
        <f>IF(ROW()=ROW(tblContractForDeed[#Headers])+1,$O$6,IF(INDEX(tblContractForDeed[End Bal],ROW()-ROW(tblContractForDeed[#Headers])-1)&lt;0,0,INDEX(tblContractForDeed[End Bal],ROW()-ROW(tblContractForDeed[#Headers])-1)))</f>
        <v>0</v>
      </c>
      <c r="P668" s="454"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8" s="276">
        <f>IF(INDEX(tblContractForDeed[End Bal],ROW()-ROW(tblBuyerOutputs[#Headers]))&lt;=0,0,($O$6+IF(ROW()=ROW(tblBuyerOutputs[#Headers])+1,0,INDEX(tblBuyerOutputs[Cumul Appr],ROW()-ROW(tblBuyerOutputs[#Headers])-1)))*$O$2/12)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13" t="str">
        <f>IF(ROW()=ROW(tblSubjectToLoan[#Headers])+1,subjectKnownBalanceDate,IF(OR(INDEX(tblSubjectToLoan[Date],ROW()-ROW(tblSubjectToLoan[#Headers])-1)="",INDEX(tblSubjectToLoan[Date],ROW()-ROW(tblSubjectToLoan[#Headers])-1)&gt;=subjectMortgageEndDate),"",EDATE(INDEX(tblSubjectToLoan[Date],ROW()-ROW(tblSubjectToLoan[#Headers])-1),1)))</f>
        <v/>
      </c>
      <c r="B669" s="276">
        <f>IF(tblSubjectToLoan[[#This Row],[Date]]="",0,IF(ROW()=ROW(tblSubjectToLoan[#Headers])+1,subjectKnownBalance,MAX(0,INDEX(tblSubjectToLoan[Ending Balance],ROW()-ROW(tblSubjectToLoan[#Headers])-1))))</f>
        <v>0</v>
      </c>
      <c r="C6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9" s="14">
        <f>IF(tblSubjectToLoan[[#This Row],[Payment]]=0,0,MAX(0,MIN(tblSubjectToLoan[[#This Row],[Beginning Balance]],tblSubjectToLoan[[#This Row],[Payment]]-tblSubjectToLoan[[#This Row],[Int]])))</f>
        <v>0</v>
      </c>
      <c r="E669" s="14">
        <f>IF(tblSubjectToLoan[[#This Row],[Date]]="",0,ROUND(tblSubjectToLoan[[#This Row],[Beginning Balance]]*(subjectInterestRate/12),2))</f>
        <v>0</v>
      </c>
      <c r="H669" s="14">
        <f>SUM(tblSubjectToLoan[[#This Row],[Princ]],tblSubjectToLoan[[#This Row],[Int]],tblSubjectToLoan[[#This Row],[Ins]],tblSubjectToLoan[[#This Row],[Taxes]])</f>
        <v>0</v>
      </c>
      <c r="I6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9" s="276">
        <f>IF(tblSubjectToLoan[[#This Row],[Date]]="",IF(ROW()=ROW(tblSubjectToLoan[#Headers])+1,0,INDEX(tblSubjectToLoan[Interest],ROW()-ROW(tblSubjectToLoan[#Headers])-1)),tblSubjectToLoan[[#This Row],[Int]]+IF(ROW()=ROW(tblSubjectToLoan[#Headers])+1,0,INDEX(tblSubjectToLoan[Interest],ROW()-ROW(tblSubjectToLoan[#Headers])-1)))</f>
        <v>36068.259999999973</v>
      </c>
      <c r="K669" s="969">
        <f>IF(tblSubjectToLoan[[#This Row],[Date]]="",0,MAX(0,tblSubjectToLoan[[#This Row],[Beginning Balance]]-tblSubjectToLoan[[#This Row],[Princ]]))</f>
        <v>0</v>
      </c>
      <c r="L669" s="394">
        <f t="shared" si="49"/>
        <v>0</v>
      </c>
      <c r="M669" s="394">
        <f t="shared" si="50"/>
        <v>0</v>
      </c>
      <c r="N669" s="613" t="str">
        <f>INDEX(tblSubjectToLoan[Date],ROW()-ROW(tblContractForDeed[#Headers]))</f>
        <v/>
      </c>
      <c r="O669" s="276">
        <f>IF(ROW()=ROW(tblContractForDeed[#Headers])+1,$O$6,IF(INDEX(tblContractForDeed[End Bal],ROW()-ROW(tblContractForDeed[#Headers])-1)&lt;0,0,INDEX(tblContractForDeed[End Bal],ROW()-ROW(tblContractForDeed[#Headers])-1)))</f>
        <v>0</v>
      </c>
      <c r="P669" s="454"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9" s="276">
        <f>IF(INDEX(tblContractForDeed[End Bal],ROW()-ROW(tblBuyerOutputs[#Headers]))&lt;=0,0,($O$6+IF(ROW()=ROW(tblBuyerOutputs[#Headers])+1,0,INDEX(tblBuyerOutputs[Cumul Appr],ROW()-ROW(tblBuyerOutputs[#Headers])-1)))*$O$2/12)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13" t="str">
        <f>IF(ROW()=ROW(tblSubjectToLoan[#Headers])+1,subjectKnownBalanceDate,IF(OR(INDEX(tblSubjectToLoan[Date],ROW()-ROW(tblSubjectToLoan[#Headers])-1)="",INDEX(tblSubjectToLoan[Date],ROW()-ROW(tblSubjectToLoan[#Headers])-1)&gt;=subjectMortgageEndDate),"",EDATE(INDEX(tblSubjectToLoan[Date],ROW()-ROW(tblSubjectToLoan[#Headers])-1),1)))</f>
        <v/>
      </c>
      <c r="B670" s="276">
        <f>IF(tblSubjectToLoan[[#This Row],[Date]]="",0,IF(ROW()=ROW(tblSubjectToLoan[#Headers])+1,subjectKnownBalance,MAX(0,INDEX(tblSubjectToLoan[Ending Balance],ROW()-ROW(tblSubjectToLoan[#Headers])-1))))</f>
        <v>0</v>
      </c>
      <c r="C6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0" s="14">
        <f>IF(tblSubjectToLoan[[#This Row],[Payment]]=0,0,MAX(0,MIN(tblSubjectToLoan[[#This Row],[Beginning Balance]],tblSubjectToLoan[[#This Row],[Payment]]-tblSubjectToLoan[[#This Row],[Int]])))</f>
        <v>0</v>
      </c>
      <c r="E670" s="14">
        <f>IF(tblSubjectToLoan[[#This Row],[Date]]="",0,ROUND(tblSubjectToLoan[[#This Row],[Beginning Balance]]*(subjectInterestRate/12),2))</f>
        <v>0</v>
      </c>
      <c r="H670" s="14">
        <f>SUM(tblSubjectToLoan[[#This Row],[Princ]],tblSubjectToLoan[[#This Row],[Int]],tblSubjectToLoan[[#This Row],[Ins]],tblSubjectToLoan[[#This Row],[Taxes]])</f>
        <v>0</v>
      </c>
      <c r="I6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0" s="276">
        <f>IF(tblSubjectToLoan[[#This Row],[Date]]="",IF(ROW()=ROW(tblSubjectToLoan[#Headers])+1,0,INDEX(tblSubjectToLoan[Interest],ROW()-ROW(tblSubjectToLoan[#Headers])-1)),tblSubjectToLoan[[#This Row],[Int]]+IF(ROW()=ROW(tblSubjectToLoan[#Headers])+1,0,INDEX(tblSubjectToLoan[Interest],ROW()-ROW(tblSubjectToLoan[#Headers])-1)))</f>
        <v>36068.259999999973</v>
      </c>
      <c r="K670" s="969">
        <f>IF(tblSubjectToLoan[[#This Row],[Date]]="",0,MAX(0,tblSubjectToLoan[[#This Row],[Beginning Balance]]-tblSubjectToLoan[[#This Row],[Princ]]))</f>
        <v>0</v>
      </c>
      <c r="L670" s="394">
        <f t="shared" si="49"/>
        <v>0</v>
      </c>
      <c r="M670" s="394">
        <f t="shared" si="50"/>
        <v>0</v>
      </c>
      <c r="N670" s="613" t="str">
        <f>INDEX(tblSubjectToLoan[Date],ROW()-ROW(tblContractForDeed[#Headers]))</f>
        <v/>
      </c>
      <c r="O670" s="276">
        <f>IF(ROW()=ROW(tblContractForDeed[#Headers])+1,$O$6,IF(INDEX(tblContractForDeed[End Bal],ROW()-ROW(tblContractForDeed[#Headers])-1)&lt;0,0,INDEX(tblContractForDeed[End Bal],ROW()-ROW(tblContractForDeed[#Headers])-1)))</f>
        <v>0</v>
      </c>
      <c r="P670" s="454"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0" s="276">
        <f>IF(INDEX(tblContractForDeed[End Bal],ROW()-ROW(tblBuyerOutputs[#Headers]))&lt;=0,0,($O$6+IF(ROW()=ROW(tblBuyerOutputs[#Headers])+1,0,INDEX(tblBuyerOutputs[Cumul Appr],ROW()-ROW(tblBuyerOutputs[#Headers])-1)))*$O$2/12)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13" t="str">
        <f>IF(ROW()=ROW(tblSubjectToLoan[#Headers])+1,subjectKnownBalanceDate,IF(OR(INDEX(tblSubjectToLoan[Date],ROW()-ROW(tblSubjectToLoan[#Headers])-1)="",INDEX(tblSubjectToLoan[Date],ROW()-ROW(tblSubjectToLoan[#Headers])-1)&gt;=subjectMortgageEndDate),"",EDATE(INDEX(tblSubjectToLoan[Date],ROW()-ROW(tblSubjectToLoan[#Headers])-1),1)))</f>
        <v/>
      </c>
      <c r="B671" s="276">
        <f>IF(tblSubjectToLoan[[#This Row],[Date]]="",0,IF(ROW()=ROW(tblSubjectToLoan[#Headers])+1,subjectKnownBalance,MAX(0,INDEX(tblSubjectToLoan[Ending Balance],ROW()-ROW(tblSubjectToLoan[#Headers])-1))))</f>
        <v>0</v>
      </c>
      <c r="C6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1" s="14">
        <f>IF(tblSubjectToLoan[[#This Row],[Payment]]=0,0,MAX(0,MIN(tblSubjectToLoan[[#This Row],[Beginning Balance]],tblSubjectToLoan[[#This Row],[Payment]]-tblSubjectToLoan[[#This Row],[Int]])))</f>
        <v>0</v>
      </c>
      <c r="E671" s="14">
        <f>IF(tblSubjectToLoan[[#This Row],[Date]]="",0,ROUND(tblSubjectToLoan[[#This Row],[Beginning Balance]]*(subjectInterestRate/12),2))</f>
        <v>0</v>
      </c>
      <c r="H671" s="14">
        <f>SUM(tblSubjectToLoan[[#This Row],[Princ]],tblSubjectToLoan[[#This Row],[Int]],tblSubjectToLoan[[#This Row],[Ins]],tblSubjectToLoan[[#This Row],[Taxes]])</f>
        <v>0</v>
      </c>
      <c r="I6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1" s="276">
        <f>IF(tblSubjectToLoan[[#This Row],[Date]]="",IF(ROW()=ROW(tblSubjectToLoan[#Headers])+1,0,INDEX(tblSubjectToLoan[Interest],ROW()-ROW(tblSubjectToLoan[#Headers])-1)),tblSubjectToLoan[[#This Row],[Int]]+IF(ROW()=ROW(tblSubjectToLoan[#Headers])+1,0,INDEX(tblSubjectToLoan[Interest],ROW()-ROW(tblSubjectToLoan[#Headers])-1)))</f>
        <v>36068.259999999973</v>
      </c>
      <c r="K671" s="969">
        <f>IF(tblSubjectToLoan[[#This Row],[Date]]="",0,MAX(0,tblSubjectToLoan[[#This Row],[Beginning Balance]]-tblSubjectToLoan[[#This Row],[Princ]]))</f>
        <v>0</v>
      </c>
      <c r="L671" s="394">
        <f t="shared" si="49"/>
        <v>0</v>
      </c>
      <c r="M671" s="394">
        <f t="shared" si="50"/>
        <v>0</v>
      </c>
      <c r="N671" s="613" t="str">
        <f>INDEX(tblSubjectToLoan[Date],ROW()-ROW(tblContractForDeed[#Headers]))</f>
        <v/>
      </c>
      <c r="O671" s="276">
        <f>IF(ROW()=ROW(tblContractForDeed[#Headers])+1,$O$6,IF(INDEX(tblContractForDeed[End Bal],ROW()-ROW(tblContractForDeed[#Headers])-1)&lt;0,0,INDEX(tblContractForDeed[End Bal],ROW()-ROW(tblContractForDeed[#Headers])-1)))</f>
        <v>0</v>
      </c>
      <c r="P671" s="454"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1" s="276">
        <f>IF(INDEX(tblContractForDeed[End Bal],ROW()-ROW(tblBuyerOutputs[#Headers]))&lt;=0,0,($O$6+IF(ROW()=ROW(tblBuyerOutputs[#Headers])+1,0,INDEX(tblBuyerOutputs[Cumul Appr],ROW()-ROW(tblBuyerOutputs[#Headers])-1)))*$O$2/12)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13" t="str">
        <f>IF(ROW()=ROW(tblSubjectToLoan[#Headers])+1,subjectKnownBalanceDate,IF(OR(INDEX(tblSubjectToLoan[Date],ROW()-ROW(tblSubjectToLoan[#Headers])-1)="",INDEX(tblSubjectToLoan[Date],ROW()-ROW(tblSubjectToLoan[#Headers])-1)&gt;=subjectMortgageEndDate),"",EDATE(INDEX(tblSubjectToLoan[Date],ROW()-ROW(tblSubjectToLoan[#Headers])-1),1)))</f>
        <v/>
      </c>
      <c r="B672" s="276">
        <f>IF(tblSubjectToLoan[[#This Row],[Date]]="",0,IF(ROW()=ROW(tblSubjectToLoan[#Headers])+1,subjectKnownBalance,MAX(0,INDEX(tblSubjectToLoan[Ending Balance],ROW()-ROW(tblSubjectToLoan[#Headers])-1))))</f>
        <v>0</v>
      </c>
      <c r="C6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2" s="14">
        <f>IF(tblSubjectToLoan[[#This Row],[Payment]]=0,0,MAX(0,MIN(tblSubjectToLoan[[#This Row],[Beginning Balance]],tblSubjectToLoan[[#This Row],[Payment]]-tblSubjectToLoan[[#This Row],[Int]])))</f>
        <v>0</v>
      </c>
      <c r="E672" s="14">
        <f>IF(tblSubjectToLoan[[#This Row],[Date]]="",0,ROUND(tblSubjectToLoan[[#This Row],[Beginning Balance]]*(subjectInterestRate/12),2))</f>
        <v>0</v>
      </c>
      <c r="H672" s="14">
        <f>SUM(tblSubjectToLoan[[#This Row],[Princ]],tblSubjectToLoan[[#This Row],[Int]],tblSubjectToLoan[[#This Row],[Ins]],tblSubjectToLoan[[#This Row],[Taxes]])</f>
        <v>0</v>
      </c>
      <c r="I6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2" s="276">
        <f>IF(tblSubjectToLoan[[#This Row],[Date]]="",IF(ROW()=ROW(tblSubjectToLoan[#Headers])+1,0,INDEX(tblSubjectToLoan[Interest],ROW()-ROW(tblSubjectToLoan[#Headers])-1)),tblSubjectToLoan[[#This Row],[Int]]+IF(ROW()=ROW(tblSubjectToLoan[#Headers])+1,0,INDEX(tblSubjectToLoan[Interest],ROW()-ROW(tblSubjectToLoan[#Headers])-1)))</f>
        <v>36068.259999999973</v>
      </c>
      <c r="K672" s="969">
        <f>IF(tblSubjectToLoan[[#This Row],[Date]]="",0,MAX(0,tblSubjectToLoan[[#This Row],[Beginning Balance]]-tblSubjectToLoan[[#This Row],[Princ]]))</f>
        <v>0</v>
      </c>
      <c r="L672" s="394">
        <f t="shared" si="49"/>
        <v>0</v>
      </c>
      <c r="M672" s="394">
        <f t="shared" si="50"/>
        <v>0</v>
      </c>
      <c r="N672" s="613" t="str">
        <f>INDEX(tblSubjectToLoan[Date],ROW()-ROW(tblContractForDeed[#Headers]))</f>
        <v/>
      </c>
      <c r="O672" s="276">
        <f>IF(ROW()=ROW(tblContractForDeed[#Headers])+1,$O$6,IF(INDEX(tblContractForDeed[End Bal],ROW()-ROW(tblContractForDeed[#Headers])-1)&lt;0,0,INDEX(tblContractForDeed[End Bal],ROW()-ROW(tblContractForDeed[#Headers])-1)))</f>
        <v>0</v>
      </c>
      <c r="P672" s="454"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2" s="276">
        <f>IF(INDEX(tblContractForDeed[End Bal],ROW()-ROW(tblBuyerOutputs[#Headers]))&lt;=0,0,($O$6+IF(ROW()=ROW(tblBuyerOutputs[#Headers])+1,0,INDEX(tblBuyerOutputs[Cumul Appr],ROW()-ROW(tblBuyerOutputs[#Headers])-1)))*$O$2/12)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13" t="str">
        <f>IF(ROW()=ROW(tblSubjectToLoan[#Headers])+1,subjectKnownBalanceDate,IF(OR(INDEX(tblSubjectToLoan[Date],ROW()-ROW(tblSubjectToLoan[#Headers])-1)="",INDEX(tblSubjectToLoan[Date],ROW()-ROW(tblSubjectToLoan[#Headers])-1)&gt;=subjectMortgageEndDate),"",EDATE(INDEX(tblSubjectToLoan[Date],ROW()-ROW(tblSubjectToLoan[#Headers])-1),1)))</f>
        <v/>
      </c>
      <c r="B673" s="276">
        <f>IF(tblSubjectToLoan[[#This Row],[Date]]="",0,IF(ROW()=ROW(tblSubjectToLoan[#Headers])+1,subjectKnownBalance,MAX(0,INDEX(tblSubjectToLoan[Ending Balance],ROW()-ROW(tblSubjectToLoan[#Headers])-1))))</f>
        <v>0</v>
      </c>
      <c r="C6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3" s="14">
        <f>IF(tblSubjectToLoan[[#This Row],[Payment]]=0,0,MAX(0,MIN(tblSubjectToLoan[[#This Row],[Beginning Balance]],tblSubjectToLoan[[#This Row],[Payment]]-tblSubjectToLoan[[#This Row],[Int]])))</f>
        <v>0</v>
      </c>
      <c r="E673" s="14">
        <f>IF(tblSubjectToLoan[[#This Row],[Date]]="",0,ROUND(tblSubjectToLoan[[#This Row],[Beginning Balance]]*(subjectInterestRate/12),2))</f>
        <v>0</v>
      </c>
      <c r="H673" s="14">
        <f>SUM(tblSubjectToLoan[[#This Row],[Princ]],tblSubjectToLoan[[#This Row],[Int]],tblSubjectToLoan[[#This Row],[Ins]],tblSubjectToLoan[[#This Row],[Taxes]])</f>
        <v>0</v>
      </c>
      <c r="I6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3" s="276">
        <f>IF(tblSubjectToLoan[[#This Row],[Date]]="",IF(ROW()=ROW(tblSubjectToLoan[#Headers])+1,0,INDEX(tblSubjectToLoan[Interest],ROW()-ROW(tblSubjectToLoan[#Headers])-1)),tblSubjectToLoan[[#This Row],[Int]]+IF(ROW()=ROW(tblSubjectToLoan[#Headers])+1,0,INDEX(tblSubjectToLoan[Interest],ROW()-ROW(tblSubjectToLoan[#Headers])-1)))</f>
        <v>36068.259999999973</v>
      </c>
      <c r="K673" s="969">
        <f>IF(tblSubjectToLoan[[#This Row],[Date]]="",0,MAX(0,tblSubjectToLoan[[#This Row],[Beginning Balance]]-tblSubjectToLoan[[#This Row],[Princ]]))</f>
        <v>0</v>
      </c>
      <c r="L673" s="394">
        <f t="shared" si="49"/>
        <v>0</v>
      </c>
      <c r="M673" s="394">
        <f t="shared" si="50"/>
        <v>0</v>
      </c>
      <c r="N673" s="613" t="str">
        <f>INDEX(tblSubjectToLoan[Date],ROW()-ROW(tblContractForDeed[#Headers]))</f>
        <v/>
      </c>
      <c r="O673" s="276">
        <f>IF(ROW()=ROW(tblContractForDeed[#Headers])+1,$O$6,IF(INDEX(tblContractForDeed[End Bal],ROW()-ROW(tblContractForDeed[#Headers])-1)&lt;0,0,INDEX(tblContractForDeed[End Bal],ROW()-ROW(tblContractForDeed[#Headers])-1)))</f>
        <v>0</v>
      </c>
      <c r="P673" s="454"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3" s="276">
        <f>IF(INDEX(tblContractForDeed[End Bal],ROW()-ROW(tblBuyerOutputs[#Headers]))&lt;=0,0,($O$6+IF(ROW()=ROW(tblBuyerOutputs[#Headers])+1,0,INDEX(tblBuyerOutputs[Cumul Appr],ROW()-ROW(tblBuyerOutputs[#Headers])-1)))*$O$2/12)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13" t="str">
        <f>IF(ROW()=ROW(tblSubjectToLoan[#Headers])+1,subjectKnownBalanceDate,IF(OR(INDEX(tblSubjectToLoan[Date],ROW()-ROW(tblSubjectToLoan[#Headers])-1)="",INDEX(tblSubjectToLoan[Date],ROW()-ROW(tblSubjectToLoan[#Headers])-1)&gt;=subjectMortgageEndDate),"",EDATE(INDEX(tblSubjectToLoan[Date],ROW()-ROW(tblSubjectToLoan[#Headers])-1),1)))</f>
        <v/>
      </c>
      <c r="B674" s="276">
        <f>IF(tblSubjectToLoan[[#This Row],[Date]]="",0,IF(ROW()=ROW(tblSubjectToLoan[#Headers])+1,subjectKnownBalance,MAX(0,INDEX(tblSubjectToLoan[Ending Balance],ROW()-ROW(tblSubjectToLoan[#Headers])-1))))</f>
        <v>0</v>
      </c>
      <c r="C6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4" s="14">
        <f>IF(tblSubjectToLoan[[#This Row],[Payment]]=0,0,MAX(0,MIN(tblSubjectToLoan[[#This Row],[Beginning Balance]],tblSubjectToLoan[[#This Row],[Payment]]-tblSubjectToLoan[[#This Row],[Int]])))</f>
        <v>0</v>
      </c>
      <c r="E674" s="14">
        <f>IF(tblSubjectToLoan[[#This Row],[Date]]="",0,ROUND(tblSubjectToLoan[[#This Row],[Beginning Balance]]*(subjectInterestRate/12),2))</f>
        <v>0</v>
      </c>
      <c r="H674" s="14">
        <f>SUM(tblSubjectToLoan[[#This Row],[Princ]],tblSubjectToLoan[[#This Row],[Int]],tblSubjectToLoan[[#This Row],[Ins]],tblSubjectToLoan[[#This Row],[Taxes]])</f>
        <v>0</v>
      </c>
      <c r="I6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4" s="276">
        <f>IF(tblSubjectToLoan[[#This Row],[Date]]="",IF(ROW()=ROW(tblSubjectToLoan[#Headers])+1,0,INDEX(tblSubjectToLoan[Interest],ROW()-ROW(tblSubjectToLoan[#Headers])-1)),tblSubjectToLoan[[#This Row],[Int]]+IF(ROW()=ROW(tblSubjectToLoan[#Headers])+1,0,INDEX(tblSubjectToLoan[Interest],ROW()-ROW(tblSubjectToLoan[#Headers])-1)))</f>
        <v>36068.259999999973</v>
      </c>
      <c r="K674" s="969">
        <f>IF(tblSubjectToLoan[[#This Row],[Date]]="",0,MAX(0,tblSubjectToLoan[[#This Row],[Beginning Balance]]-tblSubjectToLoan[[#This Row],[Princ]]))</f>
        <v>0</v>
      </c>
      <c r="L674" s="394">
        <f t="shared" si="49"/>
        <v>0</v>
      </c>
      <c r="M674" s="394">
        <f t="shared" si="50"/>
        <v>0</v>
      </c>
      <c r="N674" s="613" t="str">
        <f>INDEX(tblSubjectToLoan[Date],ROW()-ROW(tblContractForDeed[#Headers]))</f>
        <v/>
      </c>
      <c r="O674" s="276">
        <f>IF(ROW()=ROW(tblContractForDeed[#Headers])+1,$O$6,IF(INDEX(tblContractForDeed[End Bal],ROW()-ROW(tblContractForDeed[#Headers])-1)&lt;0,0,INDEX(tblContractForDeed[End Bal],ROW()-ROW(tblContractForDeed[#Headers])-1)))</f>
        <v>0</v>
      </c>
      <c r="P674" s="454"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4" s="276">
        <f>IF(INDEX(tblContractForDeed[End Bal],ROW()-ROW(tblBuyerOutputs[#Headers]))&lt;=0,0,($O$6+IF(ROW()=ROW(tblBuyerOutputs[#Headers])+1,0,INDEX(tblBuyerOutputs[Cumul Appr],ROW()-ROW(tblBuyerOutputs[#Headers])-1)))*$O$2/12)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13" t="str">
        <f>IF(ROW()=ROW(tblSubjectToLoan[#Headers])+1,subjectKnownBalanceDate,IF(OR(INDEX(tblSubjectToLoan[Date],ROW()-ROW(tblSubjectToLoan[#Headers])-1)="",INDEX(tblSubjectToLoan[Date],ROW()-ROW(tblSubjectToLoan[#Headers])-1)&gt;=subjectMortgageEndDate),"",EDATE(INDEX(tblSubjectToLoan[Date],ROW()-ROW(tblSubjectToLoan[#Headers])-1),1)))</f>
        <v/>
      </c>
      <c r="B675" s="276">
        <f>IF(tblSubjectToLoan[[#This Row],[Date]]="",0,IF(ROW()=ROW(tblSubjectToLoan[#Headers])+1,subjectKnownBalance,MAX(0,INDEX(tblSubjectToLoan[Ending Balance],ROW()-ROW(tblSubjectToLoan[#Headers])-1))))</f>
        <v>0</v>
      </c>
      <c r="C6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5" s="14">
        <f>IF(tblSubjectToLoan[[#This Row],[Payment]]=0,0,MAX(0,MIN(tblSubjectToLoan[[#This Row],[Beginning Balance]],tblSubjectToLoan[[#This Row],[Payment]]-tblSubjectToLoan[[#This Row],[Int]])))</f>
        <v>0</v>
      </c>
      <c r="E675" s="14">
        <f>IF(tblSubjectToLoan[[#This Row],[Date]]="",0,ROUND(tblSubjectToLoan[[#This Row],[Beginning Balance]]*(subjectInterestRate/12),2))</f>
        <v>0</v>
      </c>
      <c r="H675" s="14">
        <f>SUM(tblSubjectToLoan[[#This Row],[Princ]],tblSubjectToLoan[[#This Row],[Int]],tblSubjectToLoan[[#This Row],[Ins]],tblSubjectToLoan[[#This Row],[Taxes]])</f>
        <v>0</v>
      </c>
      <c r="I6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5" s="276">
        <f>IF(tblSubjectToLoan[[#This Row],[Date]]="",IF(ROW()=ROW(tblSubjectToLoan[#Headers])+1,0,INDEX(tblSubjectToLoan[Interest],ROW()-ROW(tblSubjectToLoan[#Headers])-1)),tblSubjectToLoan[[#This Row],[Int]]+IF(ROW()=ROW(tblSubjectToLoan[#Headers])+1,0,INDEX(tblSubjectToLoan[Interest],ROW()-ROW(tblSubjectToLoan[#Headers])-1)))</f>
        <v>36068.259999999973</v>
      </c>
      <c r="K675" s="969">
        <f>IF(tblSubjectToLoan[[#This Row],[Date]]="",0,MAX(0,tblSubjectToLoan[[#This Row],[Beginning Balance]]-tblSubjectToLoan[[#This Row],[Princ]]))</f>
        <v>0</v>
      </c>
      <c r="L675" s="394">
        <f t="shared" si="49"/>
        <v>0</v>
      </c>
      <c r="M675" s="394">
        <f t="shared" si="50"/>
        <v>0</v>
      </c>
      <c r="N675" s="613" t="str">
        <f>INDEX(tblSubjectToLoan[Date],ROW()-ROW(tblContractForDeed[#Headers]))</f>
        <v/>
      </c>
      <c r="O675" s="276">
        <f>IF(ROW()=ROW(tblContractForDeed[#Headers])+1,$O$6,IF(INDEX(tblContractForDeed[End Bal],ROW()-ROW(tblContractForDeed[#Headers])-1)&lt;0,0,INDEX(tblContractForDeed[End Bal],ROW()-ROW(tblContractForDeed[#Headers])-1)))</f>
        <v>0</v>
      </c>
      <c r="P675" s="454"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5" s="276">
        <f>IF(INDEX(tblContractForDeed[End Bal],ROW()-ROW(tblBuyerOutputs[#Headers]))&lt;=0,0,($O$6+IF(ROW()=ROW(tblBuyerOutputs[#Headers])+1,0,INDEX(tblBuyerOutputs[Cumul Appr],ROW()-ROW(tblBuyerOutputs[#Headers])-1)))*$O$2/12)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13" t="str">
        <f>IF(ROW()=ROW(tblSubjectToLoan[#Headers])+1,subjectKnownBalanceDate,IF(OR(INDEX(tblSubjectToLoan[Date],ROW()-ROW(tblSubjectToLoan[#Headers])-1)="",INDEX(tblSubjectToLoan[Date],ROW()-ROW(tblSubjectToLoan[#Headers])-1)&gt;=subjectMortgageEndDate),"",EDATE(INDEX(tblSubjectToLoan[Date],ROW()-ROW(tblSubjectToLoan[#Headers])-1),1)))</f>
        <v/>
      </c>
      <c r="B676" s="276">
        <f>IF(tblSubjectToLoan[[#This Row],[Date]]="",0,IF(ROW()=ROW(tblSubjectToLoan[#Headers])+1,subjectKnownBalance,MAX(0,INDEX(tblSubjectToLoan[Ending Balance],ROW()-ROW(tblSubjectToLoan[#Headers])-1))))</f>
        <v>0</v>
      </c>
      <c r="C6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6" s="14">
        <f>IF(tblSubjectToLoan[[#This Row],[Payment]]=0,0,MAX(0,MIN(tblSubjectToLoan[[#This Row],[Beginning Balance]],tblSubjectToLoan[[#This Row],[Payment]]-tblSubjectToLoan[[#This Row],[Int]])))</f>
        <v>0</v>
      </c>
      <c r="E676" s="14">
        <f>IF(tblSubjectToLoan[[#This Row],[Date]]="",0,ROUND(tblSubjectToLoan[[#This Row],[Beginning Balance]]*(subjectInterestRate/12),2))</f>
        <v>0</v>
      </c>
      <c r="H676" s="14">
        <f>SUM(tblSubjectToLoan[[#This Row],[Princ]],tblSubjectToLoan[[#This Row],[Int]],tblSubjectToLoan[[#This Row],[Ins]],tblSubjectToLoan[[#This Row],[Taxes]])</f>
        <v>0</v>
      </c>
      <c r="I6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6" s="276">
        <f>IF(tblSubjectToLoan[[#This Row],[Date]]="",IF(ROW()=ROW(tblSubjectToLoan[#Headers])+1,0,INDEX(tblSubjectToLoan[Interest],ROW()-ROW(tblSubjectToLoan[#Headers])-1)),tblSubjectToLoan[[#This Row],[Int]]+IF(ROW()=ROW(tblSubjectToLoan[#Headers])+1,0,INDEX(tblSubjectToLoan[Interest],ROW()-ROW(tblSubjectToLoan[#Headers])-1)))</f>
        <v>36068.259999999973</v>
      </c>
      <c r="K676" s="969">
        <f>IF(tblSubjectToLoan[[#This Row],[Date]]="",0,MAX(0,tblSubjectToLoan[[#This Row],[Beginning Balance]]-tblSubjectToLoan[[#This Row],[Princ]]))</f>
        <v>0</v>
      </c>
      <c r="L676" s="394">
        <f t="shared" si="49"/>
        <v>0</v>
      </c>
      <c r="M676" s="394">
        <f t="shared" si="50"/>
        <v>0</v>
      </c>
      <c r="N676" s="613" t="str">
        <f>INDEX(tblSubjectToLoan[Date],ROW()-ROW(tblContractForDeed[#Headers]))</f>
        <v/>
      </c>
      <c r="O676" s="276">
        <f>IF(ROW()=ROW(tblContractForDeed[#Headers])+1,$O$6,IF(INDEX(tblContractForDeed[End Bal],ROW()-ROW(tblContractForDeed[#Headers])-1)&lt;0,0,INDEX(tblContractForDeed[End Bal],ROW()-ROW(tblContractForDeed[#Headers])-1)))</f>
        <v>0</v>
      </c>
      <c r="P676" s="454"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6" s="276">
        <f>IF(INDEX(tblContractForDeed[End Bal],ROW()-ROW(tblBuyerOutputs[#Headers]))&lt;=0,0,($O$6+IF(ROW()=ROW(tblBuyerOutputs[#Headers])+1,0,INDEX(tblBuyerOutputs[Cumul Appr],ROW()-ROW(tblBuyerOutputs[#Headers])-1)))*$O$2/12)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13" t="str">
        <f>IF(ROW()=ROW(tblSubjectToLoan[#Headers])+1,subjectKnownBalanceDate,IF(OR(INDEX(tblSubjectToLoan[Date],ROW()-ROW(tblSubjectToLoan[#Headers])-1)="",INDEX(tblSubjectToLoan[Date],ROW()-ROW(tblSubjectToLoan[#Headers])-1)&gt;=subjectMortgageEndDate),"",EDATE(INDEX(tblSubjectToLoan[Date],ROW()-ROW(tblSubjectToLoan[#Headers])-1),1)))</f>
        <v/>
      </c>
      <c r="B677" s="276">
        <f>IF(tblSubjectToLoan[[#This Row],[Date]]="",0,IF(ROW()=ROW(tblSubjectToLoan[#Headers])+1,subjectKnownBalance,MAX(0,INDEX(tblSubjectToLoan[Ending Balance],ROW()-ROW(tblSubjectToLoan[#Headers])-1))))</f>
        <v>0</v>
      </c>
      <c r="C6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7" s="14">
        <f>IF(tblSubjectToLoan[[#This Row],[Payment]]=0,0,MAX(0,MIN(tblSubjectToLoan[[#This Row],[Beginning Balance]],tblSubjectToLoan[[#This Row],[Payment]]-tblSubjectToLoan[[#This Row],[Int]])))</f>
        <v>0</v>
      </c>
      <c r="E677" s="14">
        <f>IF(tblSubjectToLoan[[#This Row],[Date]]="",0,ROUND(tblSubjectToLoan[[#This Row],[Beginning Balance]]*(subjectInterestRate/12),2))</f>
        <v>0</v>
      </c>
      <c r="H677" s="14">
        <f>SUM(tblSubjectToLoan[[#This Row],[Princ]],tblSubjectToLoan[[#This Row],[Int]],tblSubjectToLoan[[#This Row],[Ins]],tblSubjectToLoan[[#This Row],[Taxes]])</f>
        <v>0</v>
      </c>
      <c r="I6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7" s="276">
        <f>IF(tblSubjectToLoan[[#This Row],[Date]]="",IF(ROW()=ROW(tblSubjectToLoan[#Headers])+1,0,INDEX(tblSubjectToLoan[Interest],ROW()-ROW(tblSubjectToLoan[#Headers])-1)),tblSubjectToLoan[[#This Row],[Int]]+IF(ROW()=ROW(tblSubjectToLoan[#Headers])+1,0,INDEX(tblSubjectToLoan[Interest],ROW()-ROW(tblSubjectToLoan[#Headers])-1)))</f>
        <v>36068.259999999973</v>
      </c>
      <c r="K677" s="969">
        <f>IF(tblSubjectToLoan[[#This Row],[Date]]="",0,MAX(0,tblSubjectToLoan[[#This Row],[Beginning Balance]]-tblSubjectToLoan[[#This Row],[Princ]]))</f>
        <v>0</v>
      </c>
      <c r="L677" s="394">
        <f t="shared" si="49"/>
        <v>0</v>
      </c>
      <c r="M677" s="394">
        <f t="shared" si="50"/>
        <v>0</v>
      </c>
      <c r="N677" s="613" t="str">
        <f>INDEX(tblSubjectToLoan[Date],ROW()-ROW(tblContractForDeed[#Headers]))</f>
        <v/>
      </c>
      <c r="O677" s="276">
        <f>IF(ROW()=ROW(tblContractForDeed[#Headers])+1,$O$6,IF(INDEX(tblContractForDeed[End Bal],ROW()-ROW(tblContractForDeed[#Headers])-1)&lt;0,0,INDEX(tblContractForDeed[End Bal],ROW()-ROW(tblContractForDeed[#Headers])-1)))</f>
        <v>0</v>
      </c>
      <c r="P677" s="454"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7" s="276">
        <f>IF(INDEX(tblContractForDeed[End Bal],ROW()-ROW(tblBuyerOutputs[#Headers]))&lt;=0,0,($O$6+IF(ROW()=ROW(tblBuyerOutputs[#Headers])+1,0,INDEX(tblBuyerOutputs[Cumul Appr],ROW()-ROW(tblBuyerOutputs[#Headers])-1)))*$O$2/12)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13" t="str">
        <f>IF(ROW()=ROW(tblSubjectToLoan[#Headers])+1,subjectKnownBalanceDate,IF(OR(INDEX(tblSubjectToLoan[Date],ROW()-ROW(tblSubjectToLoan[#Headers])-1)="",INDEX(tblSubjectToLoan[Date],ROW()-ROW(tblSubjectToLoan[#Headers])-1)&gt;=subjectMortgageEndDate),"",EDATE(INDEX(tblSubjectToLoan[Date],ROW()-ROW(tblSubjectToLoan[#Headers])-1),1)))</f>
        <v/>
      </c>
      <c r="B678" s="276">
        <f>IF(tblSubjectToLoan[[#This Row],[Date]]="",0,IF(ROW()=ROW(tblSubjectToLoan[#Headers])+1,subjectKnownBalance,MAX(0,INDEX(tblSubjectToLoan[Ending Balance],ROW()-ROW(tblSubjectToLoan[#Headers])-1))))</f>
        <v>0</v>
      </c>
      <c r="C6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8" s="14">
        <f>IF(tblSubjectToLoan[[#This Row],[Payment]]=0,0,MAX(0,MIN(tblSubjectToLoan[[#This Row],[Beginning Balance]],tblSubjectToLoan[[#This Row],[Payment]]-tblSubjectToLoan[[#This Row],[Int]])))</f>
        <v>0</v>
      </c>
      <c r="E678" s="14">
        <f>IF(tblSubjectToLoan[[#This Row],[Date]]="",0,ROUND(tblSubjectToLoan[[#This Row],[Beginning Balance]]*(subjectInterestRate/12),2))</f>
        <v>0</v>
      </c>
      <c r="H678" s="14">
        <f>SUM(tblSubjectToLoan[[#This Row],[Princ]],tblSubjectToLoan[[#This Row],[Int]],tblSubjectToLoan[[#This Row],[Ins]],tblSubjectToLoan[[#This Row],[Taxes]])</f>
        <v>0</v>
      </c>
      <c r="I6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8" s="276">
        <f>IF(tblSubjectToLoan[[#This Row],[Date]]="",IF(ROW()=ROW(tblSubjectToLoan[#Headers])+1,0,INDEX(tblSubjectToLoan[Interest],ROW()-ROW(tblSubjectToLoan[#Headers])-1)),tblSubjectToLoan[[#This Row],[Int]]+IF(ROW()=ROW(tblSubjectToLoan[#Headers])+1,0,INDEX(tblSubjectToLoan[Interest],ROW()-ROW(tblSubjectToLoan[#Headers])-1)))</f>
        <v>36068.259999999973</v>
      </c>
      <c r="K678" s="969">
        <f>IF(tblSubjectToLoan[[#This Row],[Date]]="",0,MAX(0,tblSubjectToLoan[[#This Row],[Beginning Balance]]-tblSubjectToLoan[[#This Row],[Princ]]))</f>
        <v>0</v>
      </c>
      <c r="L678" s="394">
        <f t="shared" si="49"/>
        <v>0</v>
      </c>
      <c r="M678" s="394">
        <f t="shared" si="50"/>
        <v>0</v>
      </c>
      <c r="N678" s="613" t="str">
        <f>INDEX(tblSubjectToLoan[Date],ROW()-ROW(tblContractForDeed[#Headers]))</f>
        <v/>
      </c>
      <c r="O678" s="276">
        <f>IF(ROW()=ROW(tblContractForDeed[#Headers])+1,$O$6,IF(INDEX(tblContractForDeed[End Bal],ROW()-ROW(tblContractForDeed[#Headers])-1)&lt;0,0,INDEX(tblContractForDeed[End Bal],ROW()-ROW(tblContractForDeed[#Headers])-1)))</f>
        <v>0</v>
      </c>
      <c r="P678" s="454"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8" s="276">
        <f>IF(INDEX(tblContractForDeed[End Bal],ROW()-ROW(tblBuyerOutputs[#Headers]))&lt;=0,0,($O$6+IF(ROW()=ROW(tblBuyerOutputs[#Headers])+1,0,INDEX(tblBuyerOutputs[Cumul Appr],ROW()-ROW(tblBuyerOutputs[#Headers])-1)))*$O$2/12)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14" t="str">
        <f>IF(ROW()=ROW(tblSubjectToLoan[#Headers])+1,subjectKnownBalanceDate,IF(OR(INDEX(tblSubjectToLoan[Date],ROW()-ROW(tblSubjectToLoan[#Headers])-1)="",INDEX(tblSubjectToLoan[Date],ROW()-ROW(tblSubjectToLoan[#Headers])-1)&gt;=subjectMortgageEndDate),"",EDATE(INDEX(tblSubjectToLoan[Date],ROW()-ROW(tblSubjectToLoan[#Headers])-1),1)))</f>
        <v/>
      </c>
      <c r="B679" s="332">
        <f>IF(tblSubjectToLoan[[#This Row],[Date]]="",0,IF(ROW()=ROW(tblSubjectToLoan[#Headers])+1,subjectKnownBalance,MAX(0,INDEX(tblSubjectToLoan[Ending Balance],ROW()-ROW(tblSubjectToLoan[#Headers])-1))))</f>
        <v>0</v>
      </c>
      <c r="C67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9" s="21">
        <f>IF(tblSubjectToLoan[[#This Row],[Payment]]=0,0,MAX(0,MIN(tblSubjectToLoan[[#This Row],[Beginning Balance]],tblSubjectToLoan[[#This Row],[Payment]]-tblSubjectToLoan[[#This Row],[Int]])))</f>
        <v>0</v>
      </c>
      <c r="E679" s="21">
        <f>IF(tblSubjectToLoan[[#This Row],[Date]]="",0,ROUND(tblSubjectToLoan[[#This Row],[Beginning Balance]]*(subjectInterestRate/12),2))</f>
        <v>0</v>
      </c>
      <c r="F679" s="21"/>
      <c r="G679" s="21"/>
      <c r="H679" s="21">
        <f>SUM(tblSubjectToLoan[[#This Row],[Princ]],tblSubjectToLoan[[#This Row],[Int]],tblSubjectToLoan[[#This Row],[Ins]],tblSubjectToLoan[[#This Row],[Taxes]])</f>
        <v>0</v>
      </c>
      <c r="I67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79" s="332">
        <f>IF(tblSubjectToLoan[[#This Row],[Date]]="",IF(ROW()=ROW(tblSubjectToLoan[#Headers])+1,0,INDEX(tblSubjectToLoan[Interest],ROW()-ROW(tblSubjectToLoan[#Headers])-1)),tblSubjectToLoan[[#This Row],[Int]]+IF(ROW()=ROW(tblSubjectToLoan[#Headers])+1,0,INDEX(tblSubjectToLoan[Interest],ROW()-ROW(tblSubjectToLoan[#Headers])-1)))</f>
        <v>36068.259999999973</v>
      </c>
      <c r="K679" s="970">
        <f>IF(tblSubjectToLoan[[#This Row],[Date]]="",0,MAX(0,tblSubjectToLoan[[#This Row],[Beginning Balance]]-tblSubjectToLoan[[#This Row],[Princ]]))</f>
        <v>0</v>
      </c>
      <c r="L679" s="395">
        <f t="shared" si="49"/>
        <v>0</v>
      </c>
      <c r="M679" s="395">
        <f t="shared" si="50"/>
        <v>0</v>
      </c>
      <c r="N679" s="614" t="str">
        <f>INDEX(tblSubjectToLoan[Date],ROW()-ROW(tblContractForDeed[#Headers]))</f>
        <v/>
      </c>
      <c r="O679" s="332">
        <f>IF(ROW()=ROW(tblContractForDeed[#Headers])+1,$O$6,IF(INDEX(tblContractForDeed[End Bal],ROW()-ROW(tblContractForDeed[#Headers])-1)&lt;0,0,INDEX(tblContractForDeed[End Bal],ROW()-ROW(tblContractForDeed[#Headers])-1)))</f>
        <v>0</v>
      </c>
      <c r="P679" s="454"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9" s="332">
        <f>IF(INDEX(tblContractForDeed[End Bal],ROW()-ROW(tblBuyerOutputs[#Headers]))&lt;=0,0,($O$6+IF(ROW()=ROW(tblBuyerOutputs[#Headers])+1,0,INDEX(tblBuyerOutputs[Cumul Appr],ROW()-ROW(tblBuyerOutputs[#Headers])-1)))*$O$2/12)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13" t="str">
        <f>IF(ROW()=ROW(tblSubjectToLoan[#Headers])+1,subjectKnownBalanceDate,IF(OR(INDEX(tblSubjectToLoan[Date],ROW()-ROW(tblSubjectToLoan[#Headers])-1)="",INDEX(tblSubjectToLoan[Date],ROW()-ROW(tblSubjectToLoan[#Headers])-1)&gt;=subjectMortgageEndDate),"",EDATE(INDEX(tblSubjectToLoan[Date],ROW()-ROW(tblSubjectToLoan[#Headers])-1),1)))</f>
        <v/>
      </c>
      <c r="B680" s="276">
        <f>IF(tblSubjectToLoan[[#This Row],[Date]]="",0,IF(ROW()=ROW(tblSubjectToLoan[#Headers])+1,subjectKnownBalance,MAX(0,INDEX(tblSubjectToLoan[Ending Balance],ROW()-ROW(tblSubjectToLoan[#Headers])-1))))</f>
        <v>0</v>
      </c>
      <c r="C6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0" s="14">
        <f>IF(tblSubjectToLoan[[#This Row],[Payment]]=0,0,MAX(0,MIN(tblSubjectToLoan[[#This Row],[Beginning Balance]],tblSubjectToLoan[[#This Row],[Payment]]-tblSubjectToLoan[[#This Row],[Int]])))</f>
        <v>0</v>
      </c>
      <c r="E680" s="14">
        <f>IF(tblSubjectToLoan[[#This Row],[Date]]="",0,ROUND(tblSubjectToLoan[[#This Row],[Beginning Balance]]*(subjectInterestRate/12),2))</f>
        <v>0</v>
      </c>
      <c r="H680" s="14">
        <f>SUM(tblSubjectToLoan[[#This Row],[Princ]],tblSubjectToLoan[[#This Row],[Int]],tblSubjectToLoan[[#This Row],[Ins]],tblSubjectToLoan[[#This Row],[Taxes]])</f>
        <v>0</v>
      </c>
      <c r="I6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0" s="276">
        <f>IF(tblSubjectToLoan[[#This Row],[Date]]="",IF(ROW()=ROW(tblSubjectToLoan[#Headers])+1,0,INDEX(tblSubjectToLoan[Interest],ROW()-ROW(tblSubjectToLoan[#Headers])-1)),tblSubjectToLoan[[#This Row],[Int]]+IF(ROW()=ROW(tblSubjectToLoan[#Headers])+1,0,INDEX(tblSubjectToLoan[Interest],ROW()-ROW(tblSubjectToLoan[#Headers])-1)))</f>
        <v>36068.259999999973</v>
      </c>
      <c r="K680" s="969">
        <f>IF(tblSubjectToLoan[[#This Row],[Date]]="",0,MAX(0,tblSubjectToLoan[[#This Row],[Beginning Balance]]-tblSubjectToLoan[[#This Row],[Princ]]))</f>
        <v>0</v>
      </c>
      <c r="L680" s="394">
        <f t="shared" si="49"/>
        <v>0</v>
      </c>
      <c r="M680" s="394">
        <f t="shared" si="50"/>
        <v>0</v>
      </c>
      <c r="N680" s="613" t="str">
        <f>INDEX(tblSubjectToLoan[Date],ROW()-ROW(tblContractForDeed[#Headers]))</f>
        <v/>
      </c>
      <c r="O680" s="276">
        <f>IF(ROW()=ROW(tblContractForDeed[#Headers])+1,$O$6,IF(INDEX(tblContractForDeed[End Bal],ROW()-ROW(tblContractForDeed[#Headers])-1)&lt;0,0,INDEX(tblContractForDeed[End Bal],ROW()-ROW(tblContractForDeed[#Headers])-1)))</f>
        <v>0</v>
      </c>
      <c r="P680" s="454"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0" s="276">
        <f>IF(INDEX(tblContractForDeed[End Bal],ROW()-ROW(tblBuyerOutputs[#Headers]))&lt;=0,0,($O$6+IF(ROW()=ROW(tblBuyerOutputs[#Headers])+1,0,INDEX(tblBuyerOutputs[Cumul Appr],ROW()-ROW(tblBuyerOutputs[#Headers])-1)))*$O$2/12)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13" t="str">
        <f>IF(ROW()=ROW(tblSubjectToLoan[#Headers])+1,subjectKnownBalanceDate,IF(OR(INDEX(tblSubjectToLoan[Date],ROW()-ROW(tblSubjectToLoan[#Headers])-1)="",INDEX(tblSubjectToLoan[Date],ROW()-ROW(tblSubjectToLoan[#Headers])-1)&gt;=subjectMortgageEndDate),"",EDATE(INDEX(tblSubjectToLoan[Date],ROW()-ROW(tblSubjectToLoan[#Headers])-1),1)))</f>
        <v/>
      </c>
      <c r="B681" s="276">
        <f>IF(tblSubjectToLoan[[#This Row],[Date]]="",0,IF(ROW()=ROW(tblSubjectToLoan[#Headers])+1,subjectKnownBalance,MAX(0,INDEX(tblSubjectToLoan[Ending Balance],ROW()-ROW(tblSubjectToLoan[#Headers])-1))))</f>
        <v>0</v>
      </c>
      <c r="C6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1" s="14">
        <f>IF(tblSubjectToLoan[[#This Row],[Payment]]=0,0,MAX(0,MIN(tblSubjectToLoan[[#This Row],[Beginning Balance]],tblSubjectToLoan[[#This Row],[Payment]]-tblSubjectToLoan[[#This Row],[Int]])))</f>
        <v>0</v>
      </c>
      <c r="E681" s="14">
        <f>IF(tblSubjectToLoan[[#This Row],[Date]]="",0,ROUND(tblSubjectToLoan[[#This Row],[Beginning Balance]]*(subjectInterestRate/12),2))</f>
        <v>0</v>
      </c>
      <c r="H681" s="14">
        <f>SUM(tblSubjectToLoan[[#This Row],[Princ]],tblSubjectToLoan[[#This Row],[Int]],tblSubjectToLoan[[#This Row],[Ins]],tblSubjectToLoan[[#This Row],[Taxes]])</f>
        <v>0</v>
      </c>
      <c r="I6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1" s="276">
        <f>IF(tblSubjectToLoan[[#This Row],[Date]]="",IF(ROW()=ROW(tblSubjectToLoan[#Headers])+1,0,INDEX(tblSubjectToLoan[Interest],ROW()-ROW(tblSubjectToLoan[#Headers])-1)),tblSubjectToLoan[[#This Row],[Int]]+IF(ROW()=ROW(tblSubjectToLoan[#Headers])+1,0,INDEX(tblSubjectToLoan[Interest],ROW()-ROW(tblSubjectToLoan[#Headers])-1)))</f>
        <v>36068.259999999973</v>
      </c>
      <c r="K681" s="969">
        <f>IF(tblSubjectToLoan[[#This Row],[Date]]="",0,MAX(0,tblSubjectToLoan[[#This Row],[Beginning Balance]]-tblSubjectToLoan[[#This Row],[Princ]]))</f>
        <v>0</v>
      </c>
      <c r="L681" s="394">
        <f t="shared" si="49"/>
        <v>0</v>
      </c>
      <c r="M681" s="394">
        <f t="shared" si="50"/>
        <v>0</v>
      </c>
      <c r="N681" s="613" t="str">
        <f>INDEX(tblSubjectToLoan[Date],ROW()-ROW(tblContractForDeed[#Headers]))</f>
        <v/>
      </c>
      <c r="O681" s="276">
        <f>IF(ROW()=ROW(tblContractForDeed[#Headers])+1,$O$6,IF(INDEX(tblContractForDeed[End Bal],ROW()-ROW(tblContractForDeed[#Headers])-1)&lt;0,0,INDEX(tblContractForDeed[End Bal],ROW()-ROW(tblContractForDeed[#Headers])-1)))</f>
        <v>0</v>
      </c>
      <c r="P681" s="454"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1" s="276">
        <f>IF(INDEX(tblContractForDeed[End Bal],ROW()-ROW(tblBuyerOutputs[#Headers]))&lt;=0,0,($O$6+IF(ROW()=ROW(tblBuyerOutputs[#Headers])+1,0,INDEX(tblBuyerOutputs[Cumul Appr],ROW()-ROW(tblBuyerOutputs[#Headers])-1)))*$O$2/12)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13" t="str">
        <f>IF(ROW()=ROW(tblSubjectToLoan[#Headers])+1,subjectKnownBalanceDate,IF(OR(INDEX(tblSubjectToLoan[Date],ROW()-ROW(tblSubjectToLoan[#Headers])-1)="",INDEX(tblSubjectToLoan[Date],ROW()-ROW(tblSubjectToLoan[#Headers])-1)&gt;=subjectMortgageEndDate),"",EDATE(INDEX(tblSubjectToLoan[Date],ROW()-ROW(tblSubjectToLoan[#Headers])-1),1)))</f>
        <v/>
      </c>
      <c r="B682" s="276">
        <f>IF(tblSubjectToLoan[[#This Row],[Date]]="",0,IF(ROW()=ROW(tblSubjectToLoan[#Headers])+1,subjectKnownBalance,MAX(0,INDEX(tblSubjectToLoan[Ending Balance],ROW()-ROW(tblSubjectToLoan[#Headers])-1))))</f>
        <v>0</v>
      </c>
      <c r="C6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2" s="14">
        <f>IF(tblSubjectToLoan[[#This Row],[Payment]]=0,0,MAX(0,MIN(tblSubjectToLoan[[#This Row],[Beginning Balance]],tblSubjectToLoan[[#This Row],[Payment]]-tblSubjectToLoan[[#This Row],[Int]])))</f>
        <v>0</v>
      </c>
      <c r="E682" s="14">
        <f>IF(tblSubjectToLoan[[#This Row],[Date]]="",0,ROUND(tblSubjectToLoan[[#This Row],[Beginning Balance]]*(subjectInterestRate/12),2))</f>
        <v>0</v>
      </c>
      <c r="H682" s="14">
        <f>SUM(tblSubjectToLoan[[#This Row],[Princ]],tblSubjectToLoan[[#This Row],[Int]],tblSubjectToLoan[[#This Row],[Ins]],tblSubjectToLoan[[#This Row],[Taxes]])</f>
        <v>0</v>
      </c>
      <c r="I6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2" s="276">
        <f>IF(tblSubjectToLoan[[#This Row],[Date]]="",IF(ROW()=ROW(tblSubjectToLoan[#Headers])+1,0,INDEX(tblSubjectToLoan[Interest],ROW()-ROW(tblSubjectToLoan[#Headers])-1)),tblSubjectToLoan[[#This Row],[Int]]+IF(ROW()=ROW(tblSubjectToLoan[#Headers])+1,0,INDEX(tblSubjectToLoan[Interest],ROW()-ROW(tblSubjectToLoan[#Headers])-1)))</f>
        <v>36068.259999999973</v>
      </c>
      <c r="K682" s="969">
        <f>IF(tblSubjectToLoan[[#This Row],[Date]]="",0,MAX(0,tblSubjectToLoan[[#This Row],[Beginning Balance]]-tblSubjectToLoan[[#This Row],[Princ]]))</f>
        <v>0</v>
      </c>
      <c r="L682" s="394">
        <f t="shared" si="49"/>
        <v>0</v>
      </c>
      <c r="M682" s="394">
        <f t="shared" si="50"/>
        <v>0</v>
      </c>
      <c r="N682" s="613" t="str">
        <f>INDEX(tblSubjectToLoan[Date],ROW()-ROW(tblContractForDeed[#Headers]))</f>
        <v/>
      </c>
      <c r="O682" s="276">
        <f>IF(ROW()=ROW(tblContractForDeed[#Headers])+1,$O$6,IF(INDEX(tblContractForDeed[End Bal],ROW()-ROW(tblContractForDeed[#Headers])-1)&lt;0,0,INDEX(tblContractForDeed[End Bal],ROW()-ROW(tblContractForDeed[#Headers])-1)))</f>
        <v>0</v>
      </c>
      <c r="P682" s="454"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2" s="276">
        <f>IF(INDEX(tblContractForDeed[End Bal],ROW()-ROW(tblBuyerOutputs[#Headers]))&lt;=0,0,($O$6+IF(ROW()=ROW(tblBuyerOutputs[#Headers])+1,0,INDEX(tblBuyerOutputs[Cumul Appr],ROW()-ROW(tblBuyerOutputs[#Headers])-1)))*$O$2/12)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13" t="str">
        <f>IF(ROW()=ROW(tblSubjectToLoan[#Headers])+1,subjectKnownBalanceDate,IF(OR(INDEX(tblSubjectToLoan[Date],ROW()-ROW(tblSubjectToLoan[#Headers])-1)="",INDEX(tblSubjectToLoan[Date],ROW()-ROW(tblSubjectToLoan[#Headers])-1)&gt;=subjectMortgageEndDate),"",EDATE(INDEX(tblSubjectToLoan[Date],ROW()-ROW(tblSubjectToLoan[#Headers])-1),1)))</f>
        <v/>
      </c>
      <c r="B683" s="276">
        <f>IF(tblSubjectToLoan[[#This Row],[Date]]="",0,IF(ROW()=ROW(tblSubjectToLoan[#Headers])+1,subjectKnownBalance,MAX(0,INDEX(tblSubjectToLoan[Ending Balance],ROW()-ROW(tblSubjectToLoan[#Headers])-1))))</f>
        <v>0</v>
      </c>
      <c r="C6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3" s="14">
        <f>IF(tblSubjectToLoan[[#This Row],[Payment]]=0,0,MAX(0,MIN(tblSubjectToLoan[[#This Row],[Beginning Balance]],tblSubjectToLoan[[#This Row],[Payment]]-tblSubjectToLoan[[#This Row],[Int]])))</f>
        <v>0</v>
      </c>
      <c r="E683" s="14">
        <f>IF(tblSubjectToLoan[[#This Row],[Date]]="",0,ROUND(tblSubjectToLoan[[#This Row],[Beginning Balance]]*(subjectInterestRate/12),2))</f>
        <v>0</v>
      </c>
      <c r="H683" s="14">
        <f>SUM(tblSubjectToLoan[[#This Row],[Princ]],tblSubjectToLoan[[#This Row],[Int]],tblSubjectToLoan[[#This Row],[Ins]],tblSubjectToLoan[[#This Row],[Taxes]])</f>
        <v>0</v>
      </c>
      <c r="I6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3" s="276">
        <f>IF(tblSubjectToLoan[[#This Row],[Date]]="",IF(ROW()=ROW(tblSubjectToLoan[#Headers])+1,0,INDEX(tblSubjectToLoan[Interest],ROW()-ROW(tblSubjectToLoan[#Headers])-1)),tblSubjectToLoan[[#This Row],[Int]]+IF(ROW()=ROW(tblSubjectToLoan[#Headers])+1,0,INDEX(tblSubjectToLoan[Interest],ROW()-ROW(tblSubjectToLoan[#Headers])-1)))</f>
        <v>36068.259999999973</v>
      </c>
      <c r="K683" s="969">
        <f>IF(tblSubjectToLoan[[#This Row],[Date]]="",0,MAX(0,tblSubjectToLoan[[#This Row],[Beginning Balance]]-tblSubjectToLoan[[#This Row],[Princ]]))</f>
        <v>0</v>
      </c>
      <c r="L683" s="394">
        <f t="shared" si="49"/>
        <v>0</v>
      </c>
      <c r="M683" s="394">
        <f t="shared" si="50"/>
        <v>0</v>
      </c>
      <c r="N683" s="613" t="str">
        <f>INDEX(tblSubjectToLoan[Date],ROW()-ROW(tblContractForDeed[#Headers]))</f>
        <v/>
      </c>
      <c r="O683" s="276">
        <f>IF(ROW()=ROW(tblContractForDeed[#Headers])+1,$O$6,IF(INDEX(tblContractForDeed[End Bal],ROW()-ROW(tblContractForDeed[#Headers])-1)&lt;0,0,INDEX(tblContractForDeed[End Bal],ROW()-ROW(tblContractForDeed[#Headers])-1)))</f>
        <v>0</v>
      </c>
      <c r="P683" s="454"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3" s="276">
        <f>IF(INDEX(tblContractForDeed[End Bal],ROW()-ROW(tblBuyerOutputs[#Headers]))&lt;=0,0,($O$6+IF(ROW()=ROW(tblBuyerOutputs[#Headers])+1,0,INDEX(tblBuyerOutputs[Cumul Appr],ROW()-ROW(tblBuyerOutputs[#Headers])-1)))*$O$2/12)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13" t="str">
        <f>IF(ROW()=ROW(tblSubjectToLoan[#Headers])+1,subjectKnownBalanceDate,IF(OR(INDEX(tblSubjectToLoan[Date],ROW()-ROW(tblSubjectToLoan[#Headers])-1)="",INDEX(tblSubjectToLoan[Date],ROW()-ROW(tblSubjectToLoan[#Headers])-1)&gt;=subjectMortgageEndDate),"",EDATE(INDEX(tblSubjectToLoan[Date],ROW()-ROW(tblSubjectToLoan[#Headers])-1),1)))</f>
        <v/>
      </c>
      <c r="B684" s="276">
        <f>IF(tblSubjectToLoan[[#This Row],[Date]]="",0,IF(ROW()=ROW(tblSubjectToLoan[#Headers])+1,subjectKnownBalance,MAX(0,INDEX(tblSubjectToLoan[Ending Balance],ROW()-ROW(tblSubjectToLoan[#Headers])-1))))</f>
        <v>0</v>
      </c>
      <c r="C6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4" s="14">
        <f>IF(tblSubjectToLoan[[#This Row],[Payment]]=0,0,MAX(0,MIN(tblSubjectToLoan[[#This Row],[Beginning Balance]],tblSubjectToLoan[[#This Row],[Payment]]-tblSubjectToLoan[[#This Row],[Int]])))</f>
        <v>0</v>
      </c>
      <c r="E684" s="14">
        <f>IF(tblSubjectToLoan[[#This Row],[Date]]="",0,ROUND(tblSubjectToLoan[[#This Row],[Beginning Balance]]*(subjectInterestRate/12),2))</f>
        <v>0</v>
      </c>
      <c r="H684" s="14">
        <f>SUM(tblSubjectToLoan[[#This Row],[Princ]],tblSubjectToLoan[[#This Row],[Int]],tblSubjectToLoan[[#This Row],[Ins]],tblSubjectToLoan[[#This Row],[Taxes]])</f>
        <v>0</v>
      </c>
      <c r="I6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4" s="276">
        <f>IF(tblSubjectToLoan[[#This Row],[Date]]="",IF(ROW()=ROW(tblSubjectToLoan[#Headers])+1,0,INDEX(tblSubjectToLoan[Interest],ROW()-ROW(tblSubjectToLoan[#Headers])-1)),tblSubjectToLoan[[#This Row],[Int]]+IF(ROW()=ROW(tblSubjectToLoan[#Headers])+1,0,INDEX(tblSubjectToLoan[Interest],ROW()-ROW(tblSubjectToLoan[#Headers])-1)))</f>
        <v>36068.259999999973</v>
      </c>
      <c r="K684" s="969">
        <f>IF(tblSubjectToLoan[[#This Row],[Date]]="",0,MAX(0,tblSubjectToLoan[[#This Row],[Beginning Balance]]-tblSubjectToLoan[[#This Row],[Princ]]))</f>
        <v>0</v>
      </c>
      <c r="L684" s="394">
        <f t="shared" si="49"/>
        <v>0</v>
      </c>
      <c r="M684" s="394">
        <f t="shared" si="50"/>
        <v>0</v>
      </c>
      <c r="N684" s="613" t="str">
        <f>INDEX(tblSubjectToLoan[Date],ROW()-ROW(tblContractForDeed[#Headers]))</f>
        <v/>
      </c>
      <c r="O684" s="276">
        <f>IF(ROW()=ROW(tblContractForDeed[#Headers])+1,$O$6,IF(INDEX(tblContractForDeed[End Bal],ROW()-ROW(tblContractForDeed[#Headers])-1)&lt;0,0,INDEX(tblContractForDeed[End Bal],ROW()-ROW(tblContractForDeed[#Headers])-1)))</f>
        <v>0</v>
      </c>
      <c r="P684" s="454"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4" s="276">
        <f>IF(INDEX(tblContractForDeed[End Bal],ROW()-ROW(tblBuyerOutputs[#Headers]))&lt;=0,0,($O$6+IF(ROW()=ROW(tblBuyerOutputs[#Headers])+1,0,INDEX(tblBuyerOutputs[Cumul Appr],ROW()-ROW(tblBuyerOutputs[#Headers])-1)))*$O$2/12)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13" t="str">
        <f>IF(ROW()=ROW(tblSubjectToLoan[#Headers])+1,subjectKnownBalanceDate,IF(OR(INDEX(tblSubjectToLoan[Date],ROW()-ROW(tblSubjectToLoan[#Headers])-1)="",INDEX(tblSubjectToLoan[Date],ROW()-ROW(tblSubjectToLoan[#Headers])-1)&gt;=subjectMortgageEndDate),"",EDATE(INDEX(tblSubjectToLoan[Date],ROW()-ROW(tblSubjectToLoan[#Headers])-1),1)))</f>
        <v/>
      </c>
      <c r="B685" s="276">
        <f>IF(tblSubjectToLoan[[#This Row],[Date]]="",0,IF(ROW()=ROW(tblSubjectToLoan[#Headers])+1,subjectKnownBalance,MAX(0,INDEX(tblSubjectToLoan[Ending Balance],ROW()-ROW(tblSubjectToLoan[#Headers])-1))))</f>
        <v>0</v>
      </c>
      <c r="C6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5" s="14">
        <f>IF(tblSubjectToLoan[[#This Row],[Payment]]=0,0,MAX(0,MIN(tblSubjectToLoan[[#This Row],[Beginning Balance]],tblSubjectToLoan[[#This Row],[Payment]]-tblSubjectToLoan[[#This Row],[Int]])))</f>
        <v>0</v>
      </c>
      <c r="E685" s="14">
        <f>IF(tblSubjectToLoan[[#This Row],[Date]]="",0,ROUND(tblSubjectToLoan[[#This Row],[Beginning Balance]]*(subjectInterestRate/12),2))</f>
        <v>0</v>
      </c>
      <c r="H685" s="14">
        <f>SUM(tblSubjectToLoan[[#This Row],[Princ]],tblSubjectToLoan[[#This Row],[Int]],tblSubjectToLoan[[#This Row],[Ins]],tblSubjectToLoan[[#This Row],[Taxes]])</f>
        <v>0</v>
      </c>
      <c r="I6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5" s="276">
        <f>IF(tblSubjectToLoan[[#This Row],[Date]]="",IF(ROW()=ROW(tblSubjectToLoan[#Headers])+1,0,INDEX(tblSubjectToLoan[Interest],ROW()-ROW(tblSubjectToLoan[#Headers])-1)),tblSubjectToLoan[[#This Row],[Int]]+IF(ROW()=ROW(tblSubjectToLoan[#Headers])+1,0,INDEX(tblSubjectToLoan[Interest],ROW()-ROW(tblSubjectToLoan[#Headers])-1)))</f>
        <v>36068.259999999973</v>
      </c>
      <c r="K685" s="969">
        <f>IF(tblSubjectToLoan[[#This Row],[Date]]="",0,MAX(0,tblSubjectToLoan[[#This Row],[Beginning Balance]]-tblSubjectToLoan[[#This Row],[Princ]]))</f>
        <v>0</v>
      </c>
      <c r="L685" s="394">
        <f t="shared" si="49"/>
        <v>0</v>
      </c>
      <c r="M685" s="394">
        <f t="shared" si="50"/>
        <v>0</v>
      </c>
      <c r="N685" s="613" t="str">
        <f>INDEX(tblSubjectToLoan[Date],ROW()-ROW(tblContractForDeed[#Headers]))</f>
        <v/>
      </c>
      <c r="O685" s="276">
        <f>IF(ROW()=ROW(tblContractForDeed[#Headers])+1,$O$6,IF(INDEX(tblContractForDeed[End Bal],ROW()-ROW(tblContractForDeed[#Headers])-1)&lt;0,0,INDEX(tblContractForDeed[End Bal],ROW()-ROW(tblContractForDeed[#Headers])-1)))</f>
        <v>0</v>
      </c>
      <c r="P685" s="454"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5" s="276">
        <f>IF(INDEX(tblContractForDeed[End Bal],ROW()-ROW(tblBuyerOutputs[#Headers]))&lt;=0,0,($O$6+IF(ROW()=ROW(tblBuyerOutputs[#Headers])+1,0,INDEX(tblBuyerOutputs[Cumul Appr],ROW()-ROW(tblBuyerOutputs[#Headers])-1)))*$O$2/12)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13" t="str">
        <f>IF(ROW()=ROW(tblSubjectToLoan[#Headers])+1,subjectKnownBalanceDate,IF(OR(INDEX(tblSubjectToLoan[Date],ROW()-ROW(tblSubjectToLoan[#Headers])-1)="",INDEX(tblSubjectToLoan[Date],ROW()-ROW(tblSubjectToLoan[#Headers])-1)&gt;=subjectMortgageEndDate),"",EDATE(INDEX(tblSubjectToLoan[Date],ROW()-ROW(tblSubjectToLoan[#Headers])-1),1)))</f>
        <v/>
      </c>
      <c r="B686" s="276">
        <f>IF(tblSubjectToLoan[[#This Row],[Date]]="",0,IF(ROW()=ROW(tblSubjectToLoan[#Headers])+1,subjectKnownBalance,MAX(0,INDEX(tblSubjectToLoan[Ending Balance],ROW()-ROW(tblSubjectToLoan[#Headers])-1))))</f>
        <v>0</v>
      </c>
      <c r="C6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6" s="14">
        <f>IF(tblSubjectToLoan[[#This Row],[Payment]]=0,0,MAX(0,MIN(tblSubjectToLoan[[#This Row],[Beginning Balance]],tblSubjectToLoan[[#This Row],[Payment]]-tblSubjectToLoan[[#This Row],[Int]])))</f>
        <v>0</v>
      </c>
      <c r="E686" s="14">
        <f>IF(tblSubjectToLoan[[#This Row],[Date]]="",0,ROUND(tblSubjectToLoan[[#This Row],[Beginning Balance]]*(subjectInterestRate/12),2))</f>
        <v>0</v>
      </c>
      <c r="H686" s="14">
        <f>SUM(tblSubjectToLoan[[#This Row],[Princ]],tblSubjectToLoan[[#This Row],[Int]],tblSubjectToLoan[[#This Row],[Ins]],tblSubjectToLoan[[#This Row],[Taxes]])</f>
        <v>0</v>
      </c>
      <c r="I6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6" s="276">
        <f>IF(tblSubjectToLoan[[#This Row],[Date]]="",IF(ROW()=ROW(tblSubjectToLoan[#Headers])+1,0,INDEX(tblSubjectToLoan[Interest],ROW()-ROW(tblSubjectToLoan[#Headers])-1)),tblSubjectToLoan[[#This Row],[Int]]+IF(ROW()=ROW(tblSubjectToLoan[#Headers])+1,0,INDEX(tblSubjectToLoan[Interest],ROW()-ROW(tblSubjectToLoan[#Headers])-1)))</f>
        <v>36068.259999999973</v>
      </c>
      <c r="K686" s="969">
        <f>IF(tblSubjectToLoan[[#This Row],[Date]]="",0,MAX(0,tblSubjectToLoan[[#This Row],[Beginning Balance]]-tblSubjectToLoan[[#This Row],[Princ]]))</f>
        <v>0</v>
      </c>
      <c r="L686" s="394">
        <f t="shared" si="49"/>
        <v>0</v>
      </c>
      <c r="M686" s="394">
        <f t="shared" si="50"/>
        <v>0</v>
      </c>
      <c r="N686" s="613" t="str">
        <f>INDEX(tblSubjectToLoan[Date],ROW()-ROW(tblContractForDeed[#Headers]))</f>
        <v/>
      </c>
      <c r="O686" s="276">
        <f>IF(ROW()=ROW(tblContractForDeed[#Headers])+1,$O$6,IF(INDEX(tblContractForDeed[End Bal],ROW()-ROW(tblContractForDeed[#Headers])-1)&lt;0,0,INDEX(tblContractForDeed[End Bal],ROW()-ROW(tblContractForDeed[#Headers])-1)))</f>
        <v>0</v>
      </c>
      <c r="P686" s="454"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6" s="276">
        <f>IF(INDEX(tblContractForDeed[End Bal],ROW()-ROW(tblBuyerOutputs[#Headers]))&lt;=0,0,($O$6+IF(ROW()=ROW(tblBuyerOutputs[#Headers])+1,0,INDEX(tblBuyerOutputs[Cumul Appr],ROW()-ROW(tblBuyerOutputs[#Headers])-1)))*$O$2/12)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13" t="str">
        <f>IF(ROW()=ROW(tblSubjectToLoan[#Headers])+1,subjectKnownBalanceDate,IF(OR(INDEX(tblSubjectToLoan[Date],ROW()-ROW(tblSubjectToLoan[#Headers])-1)="",INDEX(tblSubjectToLoan[Date],ROW()-ROW(tblSubjectToLoan[#Headers])-1)&gt;=subjectMortgageEndDate),"",EDATE(INDEX(tblSubjectToLoan[Date],ROW()-ROW(tblSubjectToLoan[#Headers])-1),1)))</f>
        <v/>
      </c>
      <c r="B687" s="276">
        <f>IF(tblSubjectToLoan[[#This Row],[Date]]="",0,IF(ROW()=ROW(tblSubjectToLoan[#Headers])+1,subjectKnownBalance,MAX(0,INDEX(tblSubjectToLoan[Ending Balance],ROW()-ROW(tblSubjectToLoan[#Headers])-1))))</f>
        <v>0</v>
      </c>
      <c r="C6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7" s="14">
        <f>IF(tblSubjectToLoan[[#This Row],[Payment]]=0,0,MAX(0,MIN(tblSubjectToLoan[[#This Row],[Beginning Balance]],tblSubjectToLoan[[#This Row],[Payment]]-tblSubjectToLoan[[#This Row],[Int]])))</f>
        <v>0</v>
      </c>
      <c r="E687" s="14">
        <f>IF(tblSubjectToLoan[[#This Row],[Date]]="",0,ROUND(tblSubjectToLoan[[#This Row],[Beginning Balance]]*(subjectInterestRate/12),2))</f>
        <v>0</v>
      </c>
      <c r="H687" s="14">
        <f>SUM(tblSubjectToLoan[[#This Row],[Princ]],tblSubjectToLoan[[#This Row],[Int]],tblSubjectToLoan[[#This Row],[Ins]],tblSubjectToLoan[[#This Row],[Taxes]])</f>
        <v>0</v>
      </c>
      <c r="I6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7" s="276">
        <f>IF(tblSubjectToLoan[[#This Row],[Date]]="",IF(ROW()=ROW(tblSubjectToLoan[#Headers])+1,0,INDEX(tblSubjectToLoan[Interest],ROW()-ROW(tblSubjectToLoan[#Headers])-1)),tblSubjectToLoan[[#This Row],[Int]]+IF(ROW()=ROW(tblSubjectToLoan[#Headers])+1,0,INDEX(tblSubjectToLoan[Interest],ROW()-ROW(tblSubjectToLoan[#Headers])-1)))</f>
        <v>36068.259999999973</v>
      </c>
      <c r="K687" s="969">
        <f>IF(tblSubjectToLoan[[#This Row],[Date]]="",0,MAX(0,tblSubjectToLoan[[#This Row],[Beginning Balance]]-tblSubjectToLoan[[#This Row],[Princ]]))</f>
        <v>0</v>
      </c>
      <c r="L687" s="394">
        <f t="shared" si="49"/>
        <v>0</v>
      </c>
      <c r="M687" s="394">
        <f t="shared" si="50"/>
        <v>0</v>
      </c>
      <c r="N687" s="613" t="str">
        <f>INDEX(tblSubjectToLoan[Date],ROW()-ROW(tblContractForDeed[#Headers]))</f>
        <v/>
      </c>
      <c r="O687" s="276">
        <f>IF(ROW()=ROW(tblContractForDeed[#Headers])+1,$O$6,IF(INDEX(tblContractForDeed[End Bal],ROW()-ROW(tblContractForDeed[#Headers])-1)&lt;0,0,INDEX(tblContractForDeed[End Bal],ROW()-ROW(tblContractForDeed[#Headers])-1)))</f>
        <v>0</v>
      </c>
      <c r="P687" s="454"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7" s="276">
        <f>IF(INDEX(tblContractForDeed[End Bal],ROW()-ROW(tblBuyerOutputs[#Headers]))&lt;=0,0,($O$6+IF(ROW()=ROW(tblBuyerOutputs[#Headers])+1,0,INDEX(tblBuyerOutputs[Cumul Appr],ROW()-ROW(tblBuyerOutputs[#Headers])-1)))*$O$2/12)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13" t="str">
        <f>IF(ROW()=ROW(tblSubjectToLoan[#Headers])+1,subjectKnownBalanceDate,IF(OR(INDEX(tblSubjectToLoan[Date],ROW()-ROW(tblSubjectToLoan[#Headers])-1)="",INDEX(tblSubjectToLoan[Date],ROW()-ROW(tblSubjectToLoan[#Headers])-1)&gt;=subjectMortgageEndDate),"",EDATE(INDEX(tblSubjectToLoan[Date],ROW()-ROW(tblSubjectToLoan[#Headers])-1),1)))</f>
        <v/>
      </c>
      <c r="B688" s="276">
        <f>IF(tblSubjectToLoan[[#This Row],[Date]]="",0,IF(ROW()=ROW(tblSubjectToLoan[#Headers])+1,subjectKnownBalance,MAX(0,INDEX(tblSubjectToLoan[Ending Balance],ROW()-ROW(tblSubjectToLoan[#Headers])-1))))</f>
        <v>0</v>
      </c>
      <c r="C6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8" s="14">
        <f>IF(tblSubjectToLoan[[#This Row],[Payment]]=0,0,MAX(0,MIN(tblSubjectToLoan[[#This Row],[Beginning Balance]],tblSubjectToLoan[[#This Row],[Payment]]-tblSubjectToLoan[[#This Row],[Int]])))</f>
        <v>0</v>
      </c>
      <c r="E688" s="14">
        <f>IF(tblSubjectToLoan[[#This Row],[Date]]="",0,ROUND(tblSubjectToLoan[[#This Row],[Beginning Balance]]*(subjectInterestRate/12),2))</f>
        <v>0</v>
      </c>
      <c r="H688" s="14">
        <f>SUM(tblSubjectToLoan[[#This Row],[Princ]],tblSubjectToLoan[[#This Row],[Int]],tblSubjectToLoan[[#This Row],[Ins]],tblSubjectToLoan[[#This Row],[Taxes]])</f>
        <v>0</v>
      </c>
      <c r="I6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8" s="276">
        <f>IF(tblSubjectToLoan[[#This Row],[Date]]="",IF(ROW()=ROW(tblSubjectToLoan[#Headers])+1,0,INDEX(tblSubjectToLoan[Interest],ROW()-ROW(tblSubjectToLoan[#Headers])-1)),tblSubjectToLoan[[#This Row],[Int]]+IF(ROW()=ROW(tblSubjectToLoan[#Headers])+1,0,INDEX(tblSubjectToLoan[Interest],ROW()-ROW(tblSubjectToLoan[#Headers])-1)))</f>
        <v>36068.259999999973</v>
      </c>
      <c r="K688" s="969">
        <f>IF(tblSubjectToLoan[[#This Row],[Date]]="",0,MAX(0,tblSubjectToLoan[[#This Row],[Beginning Balance]]-tblSubjectToLoan[[#This Row],[Princ]]))</f>
        <v>0</v>
      </c>
      <c r="L688" s="394">
        <f t="shared" si="49"/>
        <v>0</v>
      </c>
      <c r="M688" s="394">
        <f t="shared" si="50"/>
        <v>0</v>
      </c>
      <c r="N688" s="613" t="str">
        <f>INDEX(tblSubjectToLoan[Date],ROW()-ROW(tblContractForDeed[#Headers]))</f>
        <v/>
      </c>
      <c r="O688" s="276">
        <f>IF(ROW()=ROW(tblContractForDeed[#Headers])+1,$O$6,IF(INDEX(tblContractForDeed[End Bal],ROW()-ROW(tblContractForDeed[#Headers])-1)&lt;0,0,INDEX(tblContractForDeed[End Bal],ROW()-ROW(tblContractForDeed[#Headers])-1)))</f>
        <v>0</v>
      </c>
      <c r="P688" s="454"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8" s="276">
        <f>IF(INDEX(tblContractForDeed[End Bal],ROW()-ROW(tblBuyerOutputs[#Headers]))&lt;=0,0,($O$6+IF(ROW()=ROW(tblBuyerOutputs[#Headers])+1,0,INDEX(tblBuyerOutputs[Cumul Appr],ROW()-ROW(tblBuyerOutputs[#Headers])-1)))*$O$2/12)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13" t="str">
        <f>IF(ROW()=ROW(tblSubjectToLoan[#Headers])+1,subjectKnownBalanceDate,IF(OR(INDEX(tblSubjectToLoan[Date],ROW()-ROW(tblSubjectToLoan[#Headers])-1)="",INDEX(tblSubjectToLoan[Date],ROW()-ROW(tblSubjectToLoan[#Headers])-1)&gt;=subjectMortgageEndDate),"",EDATE(INDEX(tblSubjectToLoan[Date],ROW()-ROW(tblSubjectToLoan[#Headers])-1),1)))</f>
        <v/>
      </c>
      <c r="B689" s="276">
        <f>IF(tblSubjectToLoan[[#This Row],[Date]]="",0,IF(ROW()=ROW(tblSubjectToLoan[#Headers])+1,subjectKnownBalance,MAX(0,INDEX(tblSubjectToLoan[Ending Balance],ROW()-ROW(tblSubjectToLoan[#Headers])-1))))</f>
        <v>0</v>
      </c>
      <c r="C6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9" s="14">
        <f>IF(tblSubjectToLoan[[#This Row],[Payment]]=0,0,MAX(0,MIN(tblSubjectToLoan[[#This Row],[Beginning Balance]],tblSubjectToLoan[[#This Row],[Payment]]-tblSubjectToLoan[[#This Row],[Int]])))</f>
        <v>0</v>
      </c>
      <c r="E689" s="14">
        <f>IF(tblSubjectToLoan[[#This Row],[Date]]="",0,ROUND(tblSubjectToLoan[[#This Row],[Beginning Balance]]*(subjectInterestRate/12),2))</f>
        <v>0</v>
      </c>
      <c r="H689" s="14">
        <f>SUM(tblSubjectToLoan[[#This Row],[Princ]],tblSubjectToLoan[[#This Row],[Int]],tblSubjectToLoan[[#This Row],[Ins]],tblSubjectToLoan[[#This Row],[Taxes]])</f>
        <v>0</v>
      </c>
      <c r="I6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9" s="276">
        <f>IF(tblSubjectToLoan[[#This Row],[Date]]="",IF(ROW()=ROW(tblSubjectToLoan[#Headers])+1,0,INDEX(tblSubjectToLoan[Interest],ROW()-ROW(tblSubjectToLoan[#Headers])-1)),tblSubjectToLoan[[#This Row],[Int]]+IF(ROW()=ROW(tblSubjectToLoan[#Headers])+1,0,INDEX(tblSubjectToLoan[Interest],ROW()-ROW(tblSubjectToLoan[#Headers])-1)))</f>
        <v>36068.259999999973</v>
      </c>
      <c r="K689" s="969">
        <f>IF(tblSubjectToLoan[[#This Row],[Date]]="",0,MAX(0,tblSubjectToLoan[[#This Row],[Beginning Balance]]-tblSubjectToLoan[[#This Row],[Princ]]))</f>
        <v>0</v>
      </c>
      <c r="L689" s="394">
        <f t="shared" si="49"/>
        <v>0</v>
      </c>
      <c r="M689" s="394">
        <f t="shared" si="50"/>
        <v>0</v>
      </c>
      <c r="N689" s="613" t="str">
        <f>INDEX(tblSubjectToLoan[Date],ROW()-ROW(tblContractForDeed[#Headers]))</f>
        <v/>
      </c>
      <c r="O689" s="276">
        <f>IF(ROW()=ROW(tblContractForDeed[#Headers])+1,$O$6,IF(INDEX(tblContractForDeed[End Bal],ROW()-ROW(tblContractForDeed[#Headers])-1)&lt;0,0,INDEX(tblContractForDeed[End Bal],ROW()-ROW(tblContractForDeed[#Headers])-1)))</f>
        <v>0</v>
      </c>
      <c r="P689" s="454"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9" s="276">
        <f>IF(INDEX(tblContractForDeed[End Bal],ROW()-ROW(tblBuyerOutputs[#Headers]))&lt;=0,0,($O$6+IF(ROW()=ROW(tblBuyerOutputs[#Headers])+1,0,INDEX(tblBuyerOutputs[Cumul Appr],ROW()-ROW(tblBuyerOutputs[#Headers])-1)))*$O$2/12)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13" t="str">
        <f>IF(ROW()=ROW(tblSubjectToLoan[#Headers])+1,subjectKnownBalanceDate,IF(OR(INDEX(tblSubjectToLoan[Date],ROW()-ROW(tblSubjectToLoan[#Headers])-1)="",INDEX(tblSubjectToLoan[Date],ROW()-ROW(tblSubjectToLoan[#Headers])-1)&gt;=subjectMortgageEndDate),"",EDATE(INDEX(tblSubjectToLoan[Date],ROW()-ROW(tblSubjectToLoan[#Headers])-1),1)))</f>
        <v/>
      </c>
      <c r="B690" s="276">
        <f>IF(tblSubjectToLoan[[#This Row],[Date]]="",0,IF(ROW()=ROW(tblSubjectToLoan[#Headers])+1,subjectKnownBalance,MAX(0,INDEX(tblSubjectToLoan[Ending Balance],ROW()-ROW(tblSubjectToLoan[#Headers])-1))))</f>
        <v>0</v>
      </c>
      <c r="C6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0" s="14">
        <f>IF(tblSubjectToLoan[[#This Row],[Payment]]=0,0,MAX(0,MIN(tblSubjectToLoan[[#This Row],[Beginning Balance]],tblSubjectToLoan[[#This Row],[Payment]]-tblSubjectToLoan[[#This Row],[Int]])))</f>
        <v>0</v>
      </c>
      <c r="E690" s="14">
        <f>IF(tblSubjectToLoan[[#This Row],[Date]]="",0,ROUND(tblSubjectToLoan[[#This Row],[Beginning Balance]]*(subjectInterestRate/12),2))</f>
        <v>0</v>
      </c>
      <c r="H690" s="14">
        <f>SUM(tblSubjectToLoan[[#This Row],[Princ]],tblSubjectToLoan[[#This Row],[Int]],tblSubjectToLoan[[#This Row],[Ins]],tblSubjectToLoan[[#This Row],[Taxes]])</f>
        <v>0</v>
      </c>
      <c r="I6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0" s="276">
        <f>IF(tblSubjectToLoan[[#This Row],[Date]]="",IF(ROW()=ROW(tblSubjectToLoan[#Headers])+1,0,INDEX(tblSubjectToLoan[Interest],ROW()-ROW(tblSubjectToLoan[#Headers])-1)),tblSubjectToLoan[[#This Row],[Int]]+IF(ROW()=ROW(tblSubjectToLoan[#Headers])+1,0,INDEX(tblSubjectToLoan[Interest],ROW()-ROW(tblSubjectToLoan[#Headers])-1)))</f>
        <v>36068.259999999973</v>
      </c>
      <c r="K690" s="969">
        <f>IF(tblSubjectToLoan[[#This Row],[Date]]="",0,MAX(0,tblSubjectToLoan[[#This Row],[Beginning Balance]]-tblSubjectToLoan[[#This Row],[Princ]]))</f>
        <v>0</v>
      </c>
      <c r="L690" s="394">
        <f t="shared" si="49"/>
        <v>0</v>
      </c>
      <c r="M690" s="394">
        <f t="shared" si="50"/>
        <v>0</v>
      </c>
      <c r="N690" s="613" t="str">
        <f>INDEX(tblSubjectToLoan[Date],ROW()-ROW(tblContractForDeed[#Headers]))</f>
        <v/>
      </c>
      <c r="O690" s="276">
        <f>IF(ROW()=ROW(tblContractForDeed[#Headers])+1,$O$6,IF(INDEX(tblContractForDeed[End Bal],ROW()-ROW(tblContractForDeed[#Headers])-1)&lt;0,0,INDEX(tblContractForDeed[End Bal],ROW()-ROW(tblContractForDeed[#Headers])-1)))</f>
        <v>0</v>
      </c>
      <c r="P690" s="454"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0" s="276">
        <f>IF(INDEX(tblContractForDeed[End Bal],ROW()-ROW(tblBuyerOutputs[#Headers]))&lt;=0,0,($O$6+IF(ROW()=ROW(tblBuyerOutputs[#Headers])+1,0,INDEX(tblBuyerOutputs[Cumul Appr],ROW()-ROW(tblBuyerOutputs[#Headers])-1)))*$O$2/12)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14" t="str">
        <f>IF(ROW()=ROW(tblSubjectToLoan[#Headers])+1,subjectKnownBalanceDate,IF(OR(INDEX(tblSubjectToLoan[Date],ROW()-ROW(tblSubjectToLoan[#Headers])-1)="",INDEX(tblSubjectToLoan[Date],ROW()-ROW(tblSubjectToLoan[#Headers])-1)&gt;=subjectMortgageEndDate),"",EDATE(INDEX(tblSubjectToLoan[Date],ROW()-ROW(tblSubjectToLoan[#Headers])-1),1)))</f>
        <v/>
      </c>
      <c r="B691" s="332">
        <f>IF(tblSubjectToLoan[[#This Row],[Date]]="",0,IF(ROW()=ROW(tblSubjectToLoan[#Headers])+1,subjectKnownBalance,MAX(0,INDEX(tblSubjectToLoan[Ending Balance],ROW()-ROW(tblSubjectToLoan[#Headers])-1))))</f>
        <v>0</v>
      </c>
      <c r="C69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1" s="21">
        <f>IF(tblSubjectToLoan[[#This Row],[Payment]]=0,0,MAX(0,MIN(tblSubjectToLoan[[#This Row],[Beginning Balance]],tblSubjectToLoan[[#This Row],[Payment]]-tblSubjectToLoan[[#This Row],[Int]])))</f>
        <v>0</v>
      </c>
      <c r="E691" s="21">
        <f>IF(tblSubjectToLoan[[#This Row],[Date]]="",0,ROUND(tblSubjectToLoan[[#This Row],[Beginning Balance]]*(subjectInterestRate/12),2))</f>
        <v>0</v>
      </c>
      <c r="F691" s="21"/>
      <c r="G691" s="21"/>
      <c r="H691" s="21">
        <f>SUM(tblSubjectToLoan[[#This Row],[Princ]],tblSubjectToLoan[[#This Row],[Int]],tblSubjectToLoan[[#This Row],[Ins]],tblSubjectToLoan[[#This Row],[Taxes]])</f>
        <v>0</v>
      </c>
      <c r="I69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91" s="332">
        <f>IF(tblSubjectToLoan[[#This Row],[Date]]="",IF(ROW()=ROW(tblSubjectToLoan[#Headers])+1,0,INDEX(tblSubjectToLoan[Interest],ROW()-ROW(tblSubjectToLoan[#Headers])-1)),tblSubjectToLoan[[#This Row],[Int]]+IF(ROW()=ROW(tblSubjectToLoan[#Headers])+1,0,INDEX(tblSubjectToLoan[Interest],ROW()-ROW(tblSubjectToLoan[#Headers])-1)))</f>
        <v>36068.259999999973</v>
      </c>
      <c r="K691" s="970">
        <f>IF(tblSubjectToLoan[[#This Row],[Date]]="",0,MAX(0,tblSubjectToLoan[[#This Row],[Beginning Balance]]-tblSubjectToLoan[[#This Row],[Princ]]))</f>
        <v>0</v>
      </c>
      <c r="L691" s="395">
        <f t="shared" si="49"/>
        <v>0</v>
      </c>
      <c r="M691" s="395">
        <f t="shared" si="50"/>
        <v>0</v>
      </c>
      <c r="N691" s="614" t="str">
        <f>INDEX(tblSubjectToLoan[Date],ROW()-ROW(tblContractForDeed[#Headers]))</f>
        <v/>
      </c>
      <c r="O691" s="332">
        <f>IF(ROW()=ROW(tblContractForDeed[#Headers])+1,$O$6,IF(INDEX(tblContractForDeed[End Bal],ROW()-ROW(tblContractForDeed[#Headers])-1)&lt;0,0,INDEX(tblContractForDeed[End Bal],ROW()-ROW(tblContractForDeed[#Headers])-1)))</f>
        <v>0</v>
      </c>
      <c r="P691" s="454"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1" s="332">
        <f>IF(INDEX(tblContractForDeed[End Bal],ROW()-ROW(tblBuyerOutputs[#Headers]))&lt;=0,0,($O$6+IF(ROW()=ROW(tblBuyerOutputs[#Headers])+1,0,INDEX(tblBuyerOutputs[Cumul Appr],ROW()-ROW(tblBuyerOutputs[#Headers])-1)))*$O$2/12)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13" t="str">
        <f>IF(ROW()=ROW(tblSubjectToLoan[#Headers])+1,subjectKnownBalanceDate,IF(OR(INDEX(tblSubjectToLoan[Date],ROW()-ROW(tblSubjectToLoan[#Headers])-1)="",INDEX(tblSubjectToLoan[Date],ROW()-ROW(tblSubjectToLoan[#Headers])-1)&gt;=subjectMortgageEndDate),"",EDATE(INDEX(tblSubjectToLoan[Date],ROW()-ROW(tblSubjectToLoan[#Headers])-1),1)))</f>
        <v/>
      </c>
      <c r="B692" s="276">
        <f>IF(tblSubjectToLoan[[#This Row],[Date]]="",0,IF(ROW()=ROW(tblSubjectToLoan[#Headers])+1,subjectKnownBalance,MAX(0,INDEX(tblSubjectToLoan[Ending Balance],ROW()-ROW(tblSubjectToLoan[#Headers])-1))))</f>
        <v>0</v>
      </c>
      <c r="C6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2" s="14">
        <f>IF(tblSubjectToLoan[[#This Row],[Payment]]=0,0,MAX(0,MIN(tblSubjectToLoan[[#This Row],[Beginning Balance]],tblSubjectToLoan[[#This Row],[Payment]]-tblSubjectToLoan[[#This Row],[Int]])))</f>
        <v>0</v>
      </c>
      <c r="E692" s="14">
        <f>IF(tblSubjectToLoan[[#This Row],[Date]]="",0,ROUND(tblSubjectToLoan[[#This Row],[Beginning Balance]]*(subjectInterestRate/12),2))</f>
        <v>0</v>
      </c>
      <c r="H692" s="14">
        <f>SUM(tblSubjectToLoan[[#This Row],[Princ]],tblSubjectToLoan[[#This Row],[Int]],tblSubjectToLoan[[#This Row],[Ins]],tblSubjectToLoan[[#This Row],[Taxes]])</f>
        <v>0</v>
      </c>
      <c r="I6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2" s="276">
        <f>IF(tblSubjectToLoan[[#This Row],[Date]]="",IF(ROW()=ROW(tblSubjectToLoan[#Headers])+1,0,INDEX(tblSubjectToLoan[Interest],ROW()-ROW(tblSubjectToLoan[#Headers])-1)),tblSubjectToLoan[[#This Row],[Int]]+IF(ROW()=ROW(tblSubjectToLoan[#Headers])+1,0,INDEX(tblSubjectToLoan[Interest],ROW()-ROW(tblSubjectToLoan[#Headers])-1)))</f>
        <v>36068.259999999973</v>
      </c>
      <c r="K692" s="969">
        <f>IF(tblSubjectToLoan[[#This Row],[Date]]="",0,MAX(0,tblSubjectToLoan[[#This Row],[Beginning Balance]]-tblSubjectToLoan[[#This Row],[Princ]]))</f>
        <v>0</v>
      </c>
      <c r="L692" s="394">
        <f t="shared" ref="L692:L755" si="51">IF(MOD(M692,12)=0,M692/12,L691)</f>
        <v>0</v>
      </c>
      <c r="M692" s="394">
        <f t="shared" si="50"/>
        <v>0</v>
      </c>
      <c r="N692" s="613" t="str">
        <f>INDEX(tblSubjectToLoan[Date],ROW()-ROW(tblContractForDeed[#Headers]))</f>
        <v/>
      </c>
      <c r="O692" s="276">
        <f>IF(ROW()=ROW(tblContractForDeed[#Headers])+1,$O$6,IF(INDEX(tblContractForDeed[End Bal],ROW()-ROW(tblContractForDeed[#Headers])-1)&lt;0,0,INDEX(tblContractForDeed[End Bal],ROW()-ROW(tblContractForDeed[#Headers])-1)))</f>
        <v>0</v>
      </c>
      <c r="P692" s="454"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2" s="276">
        <f>IF(INDEX(tblContractForDeed[End Bal],ROW()-ROW(tblBuyerOutputs[#Headers]))&lt;=0,0,($O$6+IF(ROW()=ROW(tblBuyerOutputs[#Headers])+1,0,INDEX(tblBuyerOutputs[Cumul Appr],ROW()-ROW(tblBuyerOutputs[#Headers])-1)))*$O$2/12)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13" t="str">
        <f>IF(ROW()=ROW(tblSubjectToLoan[#Headers])+1,subjectKnownBalanceDate,IF(OR(INDEX(tblSubjectToLoan[Date],ROW()-ROW(tblSubjectToLoan[#Headers])-1)="",INDEX(tblSubjectToLoan[Date],ROW()-ROW(tblSubjectToLoan[#Headers])-1)&gt;=subjectMortgageEndDate),"",EDATE(INDEX(tblSubjectToLoan[Date],ROW()-ROW(tblSubjectToLoan[#Headers])-1),1)))</f>
        <v/>
      </c>
      <c r="B693" s="276">
        <f>IF(tblSubjectToLoan[[#This Row],[Date]]="",0,IF(ROW()=ROW(tblSubjectToLoan[#Headers])+1,subjectKnownBalance,MAX(0,INDEX(tblSubjectToLoan[Ending Balance],ROW()-ROW(tblSubjectToLoan[#Headers])-1))))</f>
        <v>0</v>
      </c>
      <c r="C6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3" s="14">
        <f>IF(tblSubjectToLoan[[#This Row],[Payment]]=0,0,MAX(0,MIN(tblSubjectToLoan[[#This Row],[Beginning Balance]],tblSubjectToLoan[[#This Row],[Payment]]-tblSubjectToLoan[[#This Row],[Int]])))</f>
        <v>0</v>
      </c>
      <c r="E693" s="14">
        <f>IF(tblSubjectToLoan[[#This Row],[Date]]="",0,ROUND(tblSubjectToLoan[[#This Row],[Beginning Balance]]*(subjectInterestRate/12),2))</f>
        <v>0</v>
      </c>
      <c r="H693" s="14">
        <f>SUM(tblSubjectToLoan[[#This Row],[Princ]],tblSubjectToLoan[[#This Row],[Int]],tblSubjectToLoan[[#This Row],[Ins]],tblSubjectToLoan[[#This Row],[Taxes]])</f>
        <v>0</v>
      </c>
      <c r="I6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3" s="276">
        <f>IF(tblSubjectToLoan[[#This Row],[Date]]="",IF(ROW()=ROW(tblSubjectToLoan[#Headers])+1,0,INDEX(tblSubjectToLoan[Interest],ROW()-ROW(tblSubjectToLoan[#Headers])-1)),tblSubjectToLoan[[#This Row],[Int]]+IF(ROW()=ROW(tblSubjectToLoan[#Headers])+1,0,INDEX(tblSubjectToLoan[Interest],ROW()-ROW(tblSubjectToLoan[#Headers])-1)))</f>
        <v>36068.259999999973</v>
      </c>
      <c r="K693" s="969">
        <f>IF(tblSubjectToLoan[[#This Row],[Date]]="",0,MAX(0,tblSubjectToLoan[[#This Row],[Beginning Balance]]-tblSubjectToLoan[[#This Row],[Princ]]))</f>
        <v>0</v>
      </c>
      <c r="L693" s="394">
        <f t="shared" si="51"/>
        <v>0</v>
      </c>
      <c r="M693" s="394">
        <f t="shared" si="50"/>
        <v>0</v>
      </c>
      <c r="N693" s="613" t="str">
        <f>INDEX(tblSubjectToLoan[Date],ROW()-ROW(tblContractForDeed[#Headers]))</f>
        <v/>
      </c>
      <c r="O693" s="276">
        <f>IF(ROW()=ROW(tblContractForDeed[#Headers])+1,$O$6,IF(INDEX(tblContractForDeed[End Bal],ROW()-ROW(tblContractForDeed[#Headers])-1)&lt;0,0,INDEX(tblContractForDeed[End Bal],ROW()-ROW(tblContractForDeed[#Headers])-1)))</f>
        <v>0</v>
      </c>
      <c r="P693" s="454"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3" s="276">
        <f>IF(INDEX(tblContractForDeed[End Bal],ROW()-ROW(tblBuyerOutputs[#Headers]))&lt;=0,0,($O$6+IF(ROW()=ROW(tblBuyerOutputs[#Headers])+1,0,INDEX(tblBuyerOutputs[Cumul Appr],ROW()-ROW(tblBuyerOutputs[#Headers])-1)))*$O$2/12)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13" t="str">
        <f>IF(ROW()=ROW(tblSubjectToLoan[#Headers])+1,subjectKnownBalanceDate,IF(OR(INDEX(tblSubjectToLoan[Date],ROW()-ROW(tblSubjectToLoan[#Headers])-1)="",INDEX(tblSubjectToLoan[Date],ROW()-ROW(tblSubjectToLoan[#Headers])-1)&gt;=subjectMortgageEndDate),"",EDATE(INDEX(tblSubjectToLoan[Date],ROW()-ROW(tblSubjectToLoan[#Headers])-1),1)))</f>
        <v/>
      </c>
      <c r="B694" s="276">
        <f>IF(tblSubjectToLoan[[#This Row],[Date]]="",0,IF(ROW()=ROW(tblSubjectToLoan[#Headers])+1,subjectKnownBalance,MAX(0,INDEX(tblSubjectToLoan[Ending Balance],ROW()-ROW(tblSubjectToLoan[#Headers])-1))))</f>
        <v>0</v>
      </c>
      <c r="C6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4" s="14">
        <f>IF(tblSubjectToLoan[[#This Row],[Payment]]=0,0,MAX(0,MIN(tblSubjectToLoan[[#This Row],[Beginning Balance]],tblSubjectToLoan[[#This Row],[Payment]]-tblSubjectToLoan[[#This Row],[Int]])))</f>
        <v>0</v>
      </c>
      <c r="E694" s="14">
        <f>IF(tblSubjectToLoan[[#This Row],[Date]]="",0,ROUND(tblSubjectToLoan[[#This Row],[Beginning Balance]]*(subjectInterestRate/12),2))</f>
        <v>0</v>
      </c>
      <c r="H694" s="14">
        <f>SUM(tblSubjectToLoan[[#This Row],[Princ]],tblSubjectToLoan[[#This Row],[Int]],tblSubjectToLoan[[#This Row],[Ins]],tblSubjectToLoan[[#This Row],[Taxes]])</f>
        <v>0</v>
      </c>
      <c r="I6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4" s="276">
        <f>IF(tblSubjectToLoan[[#This Row],[Date]]="",IF(ROW()=ROW(tblSubjectToLoan[#Headers])+1,0,INDEX(tblSubjectToLoan[Interest],ROW()-ROW(tblSubjectToLoan[#Headers])-1)),tblSubjectToLoan[[#This Row],[Int]]+IF(ROW()=ROW(tblSubjectToLoan[#Headers])+1,0,INDEX(tblSubjectToLoan[Interest],ROW()-ROW(tblSubjectToLoan[#Headers])-1)))</f>
        <v>36068.259999999973</v>
      </c>
      <c r="K694" s="969">
        <f>IF(tblSubjectToLoan[[#This Row],[Date]]="",0,MAX(0,tblSubjectToLoan[[#This Row],[Beginning Balance]]-tblSubjectToLoan[[#This Row],[Princ]]))</f>
        <v>0</v>
      </c>
      <c r="L694" s="394">
        <f t="shared" si="51"/>
        <v>0</v>
      </c>
      <c r="M694" s="394">
        <f t="shared" si="50"/>
        <v>0</v>
      </c>
      <c r="N694" s="613" t="str">
        <f>INDEX(tblSubjectToLoan[Date],ROW()-ROW(tblContractForDeed[#Headers]))</f>
        <v/>
      </c>
      <c r="O694" s="276">
        <f>IF(ROW()=ROW(tblContractForDeed[#Headers])+1,$O$6,IF(INDEX(tblContractForDeed[End Bal],ROW()-ROW(tblContractForDeed[#Headers])-1)&lt;0,0,INDEX(tblContractForDeed[End Bal],ROW()-ROW(tblContractForDeed[#Headers])-1)))</f>
        <v>0</v>
      </c>
      <c r="P694" s="454"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4" s="276">
        <f>IF(INDEX(tblContractForDeed[End Bal],ROW()-ROW(tblBuyerOutputs[#Headers]))&lt;=0,0,($O$6+IF(ROW()=ROW(tblBuyerOutputs[#Headers])+1,0,INDEX(tblBuyerOutputs[Cumul Appr],ROW()-ROW(tblBuyerOutputs[#Headers])-1)))*$O$2/12)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13" t="str">
        <f>IF(ROW()=ROW(tblSubjectToLoan[#Headers])+1,subjectKnownBalanceDate,IF(OR(INDEX(tblSubjectToLoan[Date],ROW()-ROW(tblSubjectToLoan[#Headers])-1)="",INDEX(tblSubjectToLoan[Date],ROW()-ROW(tblSubjectToLoan[#Headers])-1)&gt;=subjectMortgageEndDate),"",EDATE(INDEX(tblSubjectToLoan[Date],ROW()-ROW(tblSubjectToLoan[#Headers])-1),1)))</f>
        <v/>
      </c>
      <c r="B695" s="276">
        <f>IF(tblSubjectToLoan[[#This Row],[Date]]="",0,IF(ROW()=ROW(tblSubjectToLoan[#Headers])+1,subjectKnownBalance,MAX(0,INDEX(tblSubjectToLoan[Ending Balance],ROW()-ROW(tblSubjectToLoan[#Headers])-1))))</f>
        <v>0</v>
      </c>
      <c r="C6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5" s="14">
        <f>IF(tblSubjectToLoan[[#This Row],[Payment]]=0,0,MAX(0,MIN(tblSubjectToLoan[[#This Row],[Beginning Balance]],tblSubjectToLoan[[#This Row],[Payment]]-tblSubjectToLoan[[#This Row],[Int]])))</f>
        <v>0</v>
      </c>
      <c r="E695" s="14">
        <f>IF(tblSubjectToLoan[[#This Row],[Date]]="",0,ROUND(tblSubjectToLoan[[#This Row],[Beginning Balance]]*(subjectInterestRate/12),2))</f>
        <v>0</v>
      </c>
      <c r="H695" s="14">
        <f>SUM(tblSubjectToLoan[[#This Row],[Princ]],tblSubjectToLoan[[#This Row],[Int]],tblSubjectToLoan[[#This Row],[Ins]],tblSubjectToLoan[[#This Row],[Taxes]])</f>
        <v>0</v>
      </c>
      <c r="I6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5" s="276">
        <f>IF(tblSubjectToLoan[[#This Row],[Date]]="",IF(ROW()=ROW(tblSubjectToLoan[#Headers])+1,0,INDEX(tblSubjectToLoan[Interest],ROW()-ROW(tblSubjectToLoan[#Headers])-1)),tblSubjectToLoan[[#This Row],[Int]]+IF(ROW()=ROW(tblSubjectToLoan[#Headers])+1,0,INDEX(tblSubjectToLoan[Interest],ROW()-ROW(tblSubjectToLoan[#Headers])-1)))</f>
        <v>36068.259999999973</v>
      </c>
      <c r="K695" s="969">
        <f>IF(tblSubjectToLoan[[#This Row],[Date]]="",0,MAX(0,tblSubjectToLoan[[#This Row],[Beginning Balance]]-tblSubjectToLoan[[#This Row],[Princ]]))</f>
        <v>0</v>
      </c>
      <c r="L695" s="394">
        <f t="shared" si="51"/>
        <v>0</v>
      </c>
      <c r="M695" s="394">
        <f t="shared" si="50"/>
        <v>0</v>
      </c>
      <c r="N695" s="613" t="str">
        <f>INDEX(tblSubjectToLoan[Date],ROW()-ROW(tblContractForDeed[#Headers]))</f>
        <v/>
      </c>
      <c r="O695" s="276">
        <f>IF(ROW()=ROW(tblContractForDeed[#Headers])+1,$O$6,IF(INDEX(tblContractForDeed[End Bal],ROW()-ROW(tblContractForDeed[#Headers])-1)&lt;0,0,INDEX(tblContractForDeed[End Bal],ROW()-ROW(tblContractForDeed[#Headers])-1)))</f>
        <v>0</v>
      </c>
      <c r="P695" s="454"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5" s="276">
        <f>IF(INDEX(tblContractForDeed[End Bal],ROW()-ROW(tblBuyerOutputs[#Headers]))&lt;=0,0,($O$6+IF(ROW()=ROW(tblBuyerOutputs[#Headers])+1,0,INDEX(tblBuyerOutputs[Cumul Appr],ROW()-ROW(tblBuyerOutputs[#Headers])-1)))*$O$2/12)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13" t="str">
        <f>IF(ROW()=ROW(tblSubjectToLoan[#Headers])+1,subjectKnownBalanceDate,IF(OR(INDEX(tblSubjectToLoan[Date],ROW()-ROW(tblSubjectToLoan[#Headers])-1)="",INDEX(tblSubjectToLoan[Date],ROW()-ROW(tblSubjectToLoan[#Headers])-1)&gt;=subjectMortgageEndDate),"",EDATE(INDEX(tblSubjectToLoan[Date],ROW()-ROW(tblSubjectToLoan[#Headers])-1),1)))</f>
        <v/>
      </c>
      <c r="B696" s="276">
        <f>IF(tblSubjectToLoan[[#This Row],[Date]]="",0,IF(ROW()=ROW(tblSubjectToLoan[#Headers])+1,subjectKnownBalance,MAX(0,INDEX(tblSubjectToLoan[Ending Balance],ROW()-ROW(tblSubjectToLoan[#Headers])-1))))</f>
        <v>0</v>
      </c>
      <c r="C6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6" s="14">
        <f>IF(tblSubjectToLoan[[#This Row],[Payment]]=0,0,MAX(0,MIN(tblSubjectToLoan[[#This Row],[Beginning Balance]],tblSubjectToLoan[[#This Row],[Payment]]-tblSubjectToLoan[[#This Row],[Int]])))</f>
        <v>0</v>
      </c>
      <c r="E696" s="14">
        <f>IF(tblSubjectToLoan[[#This Row],[Date]]="",0,ROUND(tblSubjectToLoan[[#This Row],[Beginning Balance]]*(subjectInterestRate/12),2))</f>
        <v>0</v>
      </c>
      <c r="H696" s="14">
        <f>SUM(tblSubjectToLoan[[#This Row],[Princ]],tblSubjectToLoan[[#This Row],[Int]],tblSubjectToLoan[[#This Row],[Ins]],tblSubjectToLoan[[#This Row],[Taxes]])</f>
        <v>0</v>
      </c>
      <c r="I6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6" s="276">
        <f>IF(tblSubjectToLoan[[#This Row],[Date]]="",IF(ROW()=ROW(tblSubjectToLoan[#Headers])+1,0,INDEX(tblSubjectToLoan[Interest],ROW()-ROW(tblSubjectToLoan[#Headers])-1)),tblSubjectToLoan[[#This Row],[Int]]+IF(ROW()=ROW(tblSubjectToLoan[#Headers])+1,0,INDEX(tblSubjectToLoan[Interest],ROW()-ROW(tblSubjectToLoan[#Headers])-1)))</f>
        <v>36068.259999999973</v>
      </c>
      <c r="K696" s="969">
        <f>IF(tblSubjectToLoan[[#This Row],[Date]]="",0,MAX(0,tblSubjectToLoan[[#This Row],[Beginning Balance]]-tblSubjectToLoan[[#This Row],[Princ]]))</f>
        <v>0</v>
      </c>
      <c r="L696" s="394">
        <f t="shared" si="51"/>
        <v>0</v>
      </c>
      <c r="M696" s="394">
        <f t="shared" si="50"/>
        <v>0</v>
      </c>
      <c r="N696" s="613" t="str">
        <f>INDEX(tblSubjectToLoan[Date],ROW()-ROW(tblContractForDeed[#Headers]))</f>
        <v/>
      </c>
      <c r="O696" s="276">
        <f>IF(ROW()=ROW(tblContractForDeed[#Headers])+1,$O$6,IF(INDEX(tblContractForDeed[End Bal],ROW()-ROW(tblContractForDeed[#Headers])-1)&lt;0,0,INDEX(tblContractForDeed[End Bal],ROW()-ROW(tblContractForDeed[#Headers])-1)))</f>
        <v>0</v>
      </c>
      <c r="P696" s="454"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6" s="276">
        <f>IF(INDEX(tblContractForDeed[End Bal],ROW()-ROW(tblBuyerOutputs[#Headers]))&lt;=0,0,($O$6+IF(ROW()=ROW(tblBuyerOutputs[#Headers])+1,0,INDEX(tblBuyerOutputs[Cumul Appr],ROW()-ROW(tblBuyerOutputs[#Headers])-1)))*$O$2/12)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13" t="str">
        <f>IF(ROW()=ROW(tblSubjectToLoan[#Headers])+1,subjectKnownBalanceDate,IF(OR(INDEX(tblSubjectToLoan[Date],ROW()-ROW(tblSubjectToLoan[#Headers])-1)="",INDEX(tblSubjectToLoan[Date],ROW()-ROW(tblSubjectToLoan[#Headers])-1)&gt;=subjectMortgageEndDate),"",EDATE(INDEX(tblSubjectToLoan[Date],ROW()-ROW(tblSubjectToLoan[#Headers])-1),1)))</f>
        <v/>
      </c>
      <c r="B697" s="276">
        <f>IF(tblSubjectToLoan[[#This Row],[Date]]="",0,IF(ROW()=ROW(tblSubjectToLoan[#Headers])+1,subjectKnownBalance,MAX(0,INDEX(tblSubjectToLoan[Ending Balance],ROW()-ROW(tblSubjectToLoan[#Headers])-1))))</f>
        <v>0</v>
      </c>
      <c r="C6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7" s="14">
        <f>IF(tblSubjectToLoan[[#This Row],[Payment]]=0,0,MAX(0,MIN(tblSubjectToLoan[[#This Row],[Beginning Balance]],tblSubjectToLoan[[#This Row],[Payment]]-tblSubjectToLoan[[#This Row],[Int]])))</f>
        <v>0</v>
      </c>
      <c r="E697" s="14">
        <f>IF(tblSubjectToLoan[[#This Row],[Date]]="",0,ROUND(tblSubjectToLoan[[#This Row],[Beginning Balance]]*(subjectInterestRate/12),2))</f>
        <v>0</v>
      </c>
      <c r="H697" s="14">
        <f>SUM(tblSubjectToLoan[[#This Row],[Princ]],tblSubjectToLoan[[#This Row],[Int]],tblSubjectToLoan[[#This Row],[Ins]],tblSubjectToLoan[[#This Row],[Taxes]])</f>
        <v>0</v>
      </c>
      <c r="I6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7" s="276">
        <f>IF(tblSubjectToLoan[[#This Row],[Date]]="",IF(ROW()=ROW(tblSubjectToLoan[#Headers])+1,0,INDEX(tblSubjectToLoan[Interest],ROW()-ROW(tblSubjectToLoan[#Headers])-1)),tblSubjectToLoan[[#This Row],[Int]]+IF(ROW()=ROW(tblSubjectToLoan[#Headers])+1,0,INDEX(tblSubjectToLoan[Interest],ROW()-ROW(tblSubjectToLoan[#Headers])-1)))</f>
        <v>36068.259999999973</v>
      </c>
      <c r="K697" s="969">
        <f>IF(tblSubjectToLoan[[#This Row],[Date]]="",0,MAX(0,tblSubjectToLoan[[#This Row],[Beginning Balance]]-tblSubjectToLoan[[#This Row],[Princ]]))</f>
        <v>0</v>
      </c>
      <c r="L697" s="394">
        <f t="shared" si="51"/>
        <v>0</v>
      </c>
      <c r="M697" s="394">
        <f t="shared" si="50"/>
        <v>0</v>
      </c>
      <c r="N697" s="613" t="str">
        <f>INDEX(tblSubjectToLoan[Date],ROW()-ROW(tblContractForDeed[#Headers]))</f>
        <v/>
      </c>
      <c r="O697" s="276">
        <f>IF(ROW()=ROW(tblContractForDeed[#Headers])+1,$O$6,IF(INDEX(tblContractForDeed[End Bal],ROW()-ROW(tblContractForDeed[#Headers])-1)&lt;0,0,INDEX(tblContractForDeed[End Bal],ROW()-ROW(tblContractForDeed[#Headers])-1)))</f>
        <v>0</v>
      </c>
      <c r="P697" s="454"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7" s="276">
        <f>IF(INDEX(tblContractForDeed[End Bal],ROW()-ROW(tblBuyerOutputs[#Headers]))&lt;=0,0,($O$6+IF(ROW()=ROW(tblBuyerOutputs[#Headers])+1,0,INDEX(tblBuyerOutputs[Cumul Appr],ROW()-ROW(tblBuyerOutputs[#Headers])-1)))*$O$2/12)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13" t="str">
        <f>IF(ROW()=ROW(tblSubjectToLoan[#Headers])+1,subjectKnownBalanceDate,IF(OR(INDEX(tblSubjectToLoan[Date],ROW()-ROW(tblSubjectToLoan[#Headers])-1)="",INDEX(tblSubjectToLoan[Date],ROW()-ROW(tblSubjectToLoan[#Headers])-1)&gt;=subjectMortgageEndDate),"",EDATE(INDEX(tblSubjectToLoan[Date],ROW()-ROW(tblSubjectToLoan[#Headers])-1),1)))</f>
        <v/>
      </c>
      <c r="B698" s="276">
        <f>IF(tblSubjectToLoan[[#This Row],[Date]]="",0,IF(ROW()=ROW(tblSubjectToLoan[#Headers])+1,subjectKnownBalance,MAX(0,INDEX(tblSubjectToLoan[Ending Balance],ROW()-ROW(tblSubjectToLoan[#Headers])-1))))</f>
        <v>0</v>
      </c>
      <c r="C6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8" s="14">
        <f>IF(tblSubjectToLoan[[#This Row],[Payment]]=0,0,MAX(0,MIN(tblSubjectToLoan[[#This Row],[Beginning Balance]],tblSubjectToLoan[[#This Row],[Payment]]-tblSubjectToLoan[[#This Row],[Int]])))</f>
        <v>0</v>
      </c>
      <c r="E698" s="14">
        <f>IF(tblSubjectToLoan[[#This Row],[Date]]="",0,ROUND(tblSubjectToLoan[[#This Row],[Beginning Balance]]*(subjectInterestRate/12),2))</f>
        <v>0</v>
      </c>
      <c r="H698" s="14">
        <f>SUM(tblSubjectToLoan[[#This Row],[Princ]],tblSubjectToLoan[[#This Row],[Int]],tblSubjectToLoan[[#This Row],[Ins]],tblSubjectToLoan[[#This Row],[Taxes]])</f>
        <v>0</v>
      </c>
      <c r="I6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8" s="276">
        <f>IF(tblSubjectToLoan[[#This Row],[Date]]="",IF(ROW()=ROW(tblSubjectToLoan[#Headers])+1,0,INDEX(tblSubjectToLoan[Interest],ROW()-ROW(tblSubjectToLoan[#Headers])-1)),tblSubjectToLoan[[#This Row],[Int]]+IF(ROW()=ROW(tblSubjectToLoan[#Headers])+1,0,INDEX(tblSubjectToLoan[Interest],ROW()-ROW(tblSubjectToLoan[#Headers])-1)))</f>
        <v>36068.259999999973</v>
      </c>
      <c r="K698" s="969">
        <f>IF(tblSubjectToLoan[[#This Row],[Date]]="",0,MAX(0,tblSubjectToLoan[[#This Row],[Beginning Balance]]-tblSubjectToLoan[[#This Row],[Princ]]))</f>
        <v>0</v>
      </c>
      <c r="L698" s="394">
        <f t="shared" si="51"/>
        <v>0</v>
      </c>
      <c r="M698" s="394">
        <f t="shared" si="50"/>
        <v>0</v>
      </c>
      <c r="N698" s="613" t="str">
        <f>INDEX(tblSubjectToLoan[Date],ROW()-ROW(tblContractForDeed[#Headers]))</f>
        <v/>
      </c>
      <c r="O698" s="276">
        <f>IF(ROW()=ROW(tblContractForDeed[#Headers])+1,$O$6,IF(INDEX(tblContractForDeed[End Bal],ROW()-ROW(tblContractForDeed[#Headers])-1)&lt;0,0,INDEX(tblContractForDeed[End Bal],ROW()-ROW(tblContractForDeed[#Headers])-1)))</f>
        <v>0</v>
      </c>
      <c r="P698" s="454"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8" s="276">
        <f>IF(INDEX(tblContractForDeed[End Bal],ROW()-ROW(tblBuyerOutputs[#Headers]))&lt;=0,0,($O$6+IF(ROW()=ROW(tblBuyerOutputs[#Headers])+1,0,INDEX(tblBuyerOutputs[Cumul Appr],ROW()-ROW(tblBuyerOutputs[#Headers])-1)))*$O$2/12)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13" t="str">
        <f>IF(ROW()=ROW(tblSubjectToLoan[#Headers])+1,subjectKnownBalanceDate,IF(OR(INDEX(tblSubjectToLoan[Date],ROW()-ROW(tblSubjectToLoan[#Headers])-1)="",INDEX(tblSubjectToLoan[Date],ROW()-ROW(tblSubjectToLoan[#Headers])-1)&gt;=subjectMortgageEndDate),"",EDATE(INDEX(tblSubjectToLoan[Date],ROW()-ROW(tblSubjectToLoan[#Headers])-1),1)))</f>
        <v/>
      </c>
      <c r="B699" s="276">
        <f>IF(tblSubjectToLoan[[#This Row],[Date]]="",0,IF(ROW()=ROW(tblSubjectToLoan[#Headers])+1,subjectKnownBalance,MAX(0,INDEX(tblSubjectToLoan[Ending Balance],ROW()-ROW(tblSubjectToLoan[#Headers])-1))))</f>
        <v>0</v>
      </c>
      <c r="C6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9" s="14">
        <f>IF(tblSubjectToLoan[[#This Row],[Payment]]=0,0,MAX(0,MIN(tblSubjectToLoan[[#This Row],[Beginning Balance]],tblSubjectToLoan[[#This Row],[Payment]]-tblSubjectToLoan[[#This Row],[Int]])))</f>
        <v>0</v>
      </c>
      <c r="E699" s="14">
        <f>IF(tblSubjectToLoan[[#This Row],[Date]]="",0,ROUND(tblSubjectToLoan[[#This Row],[Beginning Balance]]*(subjectInterestRate/12),2))</f>
        <v>0</v>
      </c>
      <c r="H699" s="14">
        <f>SUM(tblSubjectToLoan[[#This Row],[Princ]],tblSubjectToLoan[[#This Row],[Int]],tblSubjectToLoan[[#This Row],[Ins]],tblSubjectToLoan[[#This Row],[Taxes]])</f>
        <v>0</v>
      </c>
      <c r="I6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9" s="276">
        <f>IF(tblSubjectToLoan[[#This Row],[Date]]="",IF(ROW()=ROW(tblSubjectToLoan[#Headers])+1,0,INDEX(tblSubjectToLoan[Interest],ROW()-ROW(tblSubjectToLoan[#Headers])-1)),tblSubjectToLoan[[#This Row],[Int]]+IF(ROW()=ROW(tblSubjectToLoan[#Headers])+1,0,INDEX(tblSubjectToLoan[Interest],ROW()-ROW(tblSubjectToLoan[#Headers])-1)))</f>
        <v>36068.259999999973</v>
      </c>
      <c r="K699" s="969">
        <f>IF(tblSubjectToLoan[[#This Row],[Date]]="",0,MAX(0,tblSubjectToLoan[[#This Row],[Beginning Balance]]-tblSubjectToLoan[[#This Row],[Princ]]))</f>
        <v>0</v>
      </c>
      <c r="L699" s="394">
        <f t="shared" si="51"/>
        <v>0</v>
      </c>
      <c r="M699" s="394">
        <f t="shared" si="50"/>
        <v>0</v>
      </c>
      <c r="N699" s="613" t="str">
        <f>INDEX(tblSubjectToLoan[Date],ROW()-ROW(tblContractForDeed[#Headers]))</f>
        <v/>
      </c>
      <c r="O699" s="276">
        <f>IF(ROW()=ROW(tblContractForDeed[#Headers])+1,$O$6,IF(INDEX(tblContractForDeed[End Bal],ROW()-ROW(tblContractForDeed[#Headers])-1)&lt;0,0,INDEX(tblContractForDeed[End Bal],ROW()-ROW(tblContractForDeed[#Headers])-1)))</f>
        <v>0</v>
      </c>
      <c r="P699" s="454"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9" s="276">
        <f>IF(INDEX(tblContractForDeed[End Bal],ROW()-ROW(tblBuyerOutputs[#Headers]))&lt;=0,0,($O$6+IF(ROW()=ROW(tblBuyerOutputs[#Headers])+1,0,INDEX(tblBuyerOutputs[Cumul Appr],ROW()-ROW(tblBuyerOutputs[#Headers])-1)))*$O$2/12)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13" t="str">
        <f>IF(ROW()=ROW(tblSubjectToLoan[#Headers])+1,subjectKnownBalanceDate,IF(OR(INDEX(tblSubjectToLoan[Date],ROW()-ROW(tblSubjectToLoan[#Headers])-1)="",INDEX(tblSubjectToLoan[Date],ROW()-ROW(tblSubjectToLoan[#Headers])-1)&gt;=subjectMortgageEndDate),"",EDATE(INDEX(tblSubjectToLoan[Date],ROW()-ROW(tblSubjectToLoan[#Headers])-1),1)))</f>
        <v/>
      </c>
      <c r="B700" s="276">
        <f>IF(tblSubjectToLoan[[#This Row],[Date]]="",0,IF(ROW()=ROW(tblSubjectToLoan[#Headers])+1,subjectKnownBalance,MAX(0,INDEX(tblSubjectToLoan[Ending Balance],ROW()-ROW(tblSubjectToLoan[#Headers])-1))))</f>
        <v>0</v>
      </c>
      <c r="C7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0" s="14">
        <f>IF(tblSubjectToLoan[[#This Row],[Payment]]=0,0,MAX(0,MIN(tblSubjectToLoan[[#This Row],[Beginning Balance]],tblSubjectToLoan[[#This Row],[Payment]]-tblSubjectToLoan[[#This Row],[Int]])))</f>
        <v>0</v>
      </c>
      <c r="E700" s="14">
        <f>IF(tblSubjectToLoan[[#This Row],[Date]]="",0,ROUND(tblSubjectToLoan[[#This Row],[Beginning Balance]]*(subjectInterestRate/12),2))</f>
        <v>0</v>
      </c>
      <c r="H700" s="14">
        <f>SUM(tblSubjectToLoan[[#This Row],[Princ]],tblSubjectToLoan[[#This Row],[Int]],tblSubjectToLoan[[#This Row],[Ins]],tblSubjectToLoan[[#This Row],[Taxes]])</f>
        <v>0</v>
      </c>
      <c r="I7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0" s="276">
        <f>IF(tblSubjectToLoan[[#This Row],[Date]]="",IF(ROW()=ROW(tblSubjectToLoan[#Headers])+1,0,INDEX(tblSubjectToLoan[Interest],ROW()-ROW(tblSubjectToLoan[#Headers])-1)),tblSubjectToLoan[[#This Row],[Int]]+IF(ROW()=ROW(tblSubjectToLoan[#Headers])+1,0,INDEX(tblSubjectToLoan[Interest],ROW()-ROW(tblSubjectToLoan[#Headers])-1)))</f>
        <v>36068.259999999973</v>
      </c>
      <c r="K700" s="969">
        <f>IF(tblSubjectToLoan[[#This Row],[Date]]="",0,MAX(0,tblSubjectToLoan[[#This Row],[Beginning Balance]]-tblSubjectToLoan[[#This Row],[Princ]]))</f>
        <v>0</v>
      </c>
      <c r="L700" s="394">
        <f t="shared" si="51"/>
        <v>0</v>
      </c>
      <c r="M700" s="394">
        <f t="shared" si="50"/>
        <v>0</v>
      </c>
      <c r="N700" s="613" t="str">
        <f>INDEX(tblSubjectToLoan[Date],ROW()-ROW(tblContractForDeed[#Headers]))</f>
        <v/>
      </c>
      <c r="O700" s="276">
        <f>IF(ROW()=ROW(tblContractForDeed[#Headers])+1,$O$6,IF(INDEX(tblContractForDeed[End Bal],ROW()-ROW(tblContractForDeed[#Headers])-1)&lt;0,0,INDEX(tblContractForDeed[End Bal],ROW()-ROW(tblContractForDeed[#Headers])-1)))</f>
        <v>0</v>
      </c>
      <c r="P700" s="454"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0" s="276">
        <f>IF(INDEX(tblContractForDeed[End Bal],ROW()-ROW(tblBuyerOutputs[#Headers]))&lt;=0,0,($O$6+IF(ROW()=ROW(tblBuyerOutputs[#Headers])+1,0,INDEX(tblBuyerOutputs[Cumul Appr],ROW()-ROW(tblBuyerOutputs[#Headers])-1)))*$O$2/12)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13" t="str">
        <f>IF(ROW()=ROW(tblSubjectToLoan[#Headers])+1,subjectKnownBalanceDate,IF(OR(INDEX(tblSubjectToLoan[Date],ROW()-ROW(tblSubjectToLoan[#Headers])-1)="",INDEX(tblSubjectToLoan[Date],ROW()-ROW(tblSubjectToLoan[#Headers])-1)&gt;=subjectMortgageEndDate),"",EDATE(INDEX(tblSubjectToLoan[Date],ROW()-ROW(tblSubjectToLoan[#Headers])-1),1)))</f>
        <v/>
      </c>
      <c r="B701" s="276">
        <f>IF(tblSubjectToLoan[[#This Row],[Date]]="",0,IF(ROW()=ROW(tblSubjectToLoan[#Headers])+1,subjectKnownBalance,MAX(0,INDEX(tblSubjectToLoan[Ending Balance],ROW()-ROW(tblSubjectToLoan[#Headers])-1))))</f>
        <v>0</v>
      </c>
      <c r="C7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1" s="14">
        <f>IF(tblSubjectToLoan[[#This Row],[Payment]]=0,0,MAX(0,MIN(tblSubjectToLoan[[#This Row],[Beginning Balance]],tblSubjectToLoan[[#This Row],[Payment]]-tblSubjectToLoan[[#This Row],[Int]])))</f>
        <v>0</v>
      </c>
      <c r="E701" s="14">
        <f>IF(tblSubjectToLoan[[#This Row],[Date]]="",0,ROUND(tblSubjectToLoan[[#This Row],[Beginning Balance]]*(subjectInterestRate/12),2))</f>
        <v>0</v>
      </c>
      <c r="H701" s="14">
        <f>SUM(tblSubjectToLoan[[#This Row],[Princ]],tblSubjectToLoan[[#This Row],[Int]],tblSubjectToLoan[[#This Row],[Ins]],tblSubjectToLoan[[#This Row],[Taxes]])</f>
        <v>0</v>
      </c>
      <c r="I7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1" s="276">
        <f>IF(tblSubjectToLoan[[#This Row],[Date]]="",IF(ROW()=ROW(tblSubjectToLoan[#Headers])+1,0,INDEX(tblSubjectToLoan[Interest],ROW()-ROW(tblSubjectToLoan[#Headers])-1)),tblSubjectToLoan[[#This Row],[Int]]+IF(ROW()=ROW(tblSubjectToLoan[#Headers])+1,0,INDEX(tblSubjectToLoan[Interest],ROW()-ROW(tblSubjectToLoan[#Headers])-1)))</f>
        <v>36068.259999999973</v>
      </c>
      <c r="K701" s="969">
        <f>IF(tblSubjectToLoan[[#This Row],[Date]]="",0,MAX(0,tblSubjectToLoan[[#This Row],[Beginning Balance]]-tblSubjectToLoan[[#This Row],[Princ]]))</f>
        <v>0</v>
      </c>
      <c r="L701" s="394">
        <f t="shared" si="51"/>
        <v>0</v>
      </c>
      <c r="M701" s="394">
        <f t="shared" si="50"/>
        <v>0</v>
      </c>
      <c r="N701" s="613" t="str">
        <f>INDEX(tblSubjectToLoan[Date],ROW()-ROW(tblContractForDeed[#Headers]))</f>
        <v/>
      </c>
      <c r="O701" s="276">
        <f>IF(ROW()=ROW(tblContractForDeed[#Headers])+1,$O$6,IF(INDEX(tblContractForDeed[End Bal],ROW()-ROW(tblContractForDeed[#Headers])-1)&lt;0,0,INDEX(tblContractForDeed[End Bal],ROW()-ROW(tblContractForDeed[#Headers])-1)))</f>
        <v>0</v>
      </c>
      <c r="P701" s="454"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1" s="276">
        <f>IF(INDEX(tblContractForDeed[End Bal],ROW()-ROW(tblBuyerOutputs[#Headers]))&lt;=0,0,($O$6+IF(ROW()=ROW(tblBuyerOutputs[#Headers])+1,0,INDEX(tblBuyerOutputs[Cumul Appr],ROW()-ROW(tblBuyerOutputs[#Headers])-1)))*$O$2/12)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13" t="str">
        <f>IF(ROW()=ROW(tblSubjectToLoan[#Headers])+1,subjectKnownBalanceDate,IF(OR(INDEX(tblSubjectToLoan[Date],ROW()-ROW(tblSubjectToLoan[#Headers])-1)="",INDEX(tblSubjectToLoan[Date],ROW()-ROW(tblSubjectToLoan[#Headers])-1)&gt;=subjectMortgageEndDate),"",EDATE(INDEX(tblSubjectToLoan[Date],ROW()-ROW(tblSubjectToLoan[#Headers])-1),1)))</f>
        <v/>
      </c>
      <c r="B702" s="276">
        <f>IF(tblSubjectToLoan[[#This Row],[Date]]="",0,IF(ROW()=ROW(tblSubjectToLoan[#Headers])+1,subjectKnownBalance,MAX(0,INDEX(tblSubjectToLoan[Ending Balance],ROW()-ROW(tblSubjectToLoan[#Headers])-1))))</f>
        <v>0</v>
      </c>
      <c r="C7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2" s="14">
        <f>IF(tblSubjectToLoan[[#This Row],[Payment]]=0,0,MAX(0,MIN(tblSubjectToLoan[[#This Row],[Beginning Balance]],tblSubjectToLoan[[#This Row],[Payment]]-tblSubjectToLoan[[#This Row],[Int]])))</f>
        <v>0</v>
      </c>
      <c r="E702" s="14">
        <f>IF(tblSubjectToLoan[[#This Row],[Date]]="",0,ROUND(tblSubjectToLoan[[#This Row],[Beginning Balance]]*(subjectInterestRate/12),2))</f>
        <v>0</v>
      </c>
      <c r="H702" s="14">
        <f>SUM(tblSubjectToLoan[[#This Row],[Princ]],tblSubjectToLoan[[#This Row],[Int]],tblSubjectToLoan[[#This Row],[Ins]],tblSubjectToLoan[[#This Row],[Taxes]])</f>
        <v>0</v>
      </c>
      <c r="I7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2" s="276">
        <f>IF(tblSubjectToLoan[[#This Row],[Date]]="",IF(ROW()=ROW(tblSubjectToLoan[#Headers])+1,0,INDEX(tblSubjectToLoan[Interest],ROW()-ROW(tblSubjectToLoan[#Headers])-1)),tblSubjectToLoan[[#This Row],[Int]]+IF(ROW()=ROW(tblSubjectToLoan[#Headers])+1,0,INDEX(tblSubjectToLoan[Interest],ROW()-ROW(tblSubjectToLoan[#Headers])-1)))</f>
        <v>36068.259999999973</v>
      </c>
      <c r="K702" s="969">
        <f>IF(tblSubjectToLoan[[#This Row],[Date]]="",0,MAX(0,tblSubjectToLoan[[#This Row],[Beginning Balance]]-tblSubjectToLoan[[#This Row],[Princ]]))</f>
        <v>0</v>
      </c>
      <c r="L702" s="394">
        <f t="shared" si="51"/>
        <v>0</v>
      </c>
      <c r="M702" s="394">
        <f t="shared" si="50"/>
        <v>0</v>
      </c>
      <c r="N702" s="613" t="str">
        <f>INDEX(tblSubjectToLoan[Date],ROW()-ROW(tblContractForDeed[#Headers]))</f>
        <v/>
      </c>
      <c r="O702" s="276">
        <f>IF(ROW()=ROW(tblContractForDeed[#Headers])+1,$O$6,IF(INDEX(tblContractForDeed[End Bal],ROW()-ROW(tblContractForDeed[#Headers])-1)&lt;0,0,INDEX(tblContractForDeed[End Bal],ROW()-ROW(tblContractForDeed[#Headers])-1)))</f>
        <v>0</v>
      </c>
      <c r="P702" s="454"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2" s="276">
        <f>IF(INDEX(tblContractForDeed[End Bal],ROW()-ROW(tblBuyerOutputs[#Headers]))&lt;=0,0,($O$6+IF(ROW()=ROW(tblBuyerOutputs[#Headers])+1,0,INDEX(tblBuyerOutputs[Cumul Appr],ROW()-ROW(tblBuyerOutputs[#Headers])-1)))*$O$2/12)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14" t="str">
        <f>IF(ROW()=ROW(tblSubjectToLoan[#Headers])+1,subjectKnownBalanceDate,IF(OR(INDEX(tblSubjectToLoan[Date],ROW()-ROW(tblSubjectToLoan[#Headers])-1)="",INDEX(tblSubjectToLoan[Date],ROW()-ROW(tblSubjectToLoan[#Headers])-1)&gt;=subjectMortgageEndDate),"",EDATE(INDEX(tblSubjectToLoan[Date],ROW()-ROW(tblSubjectToLoan[#Headers])-1),1)))</f>
        <v/>
      </c>
      <c r="B703" s="332">
        <f>IF(tblSubjectToLoan[[#This Row],[Date]]="",0,IF(ROW()=ROW(tblSubjectToLoan[#Headers])+1,subjectKnownBalance,MAX(0,INDEX(tblSubjectToLoan[Ending Balance],ROW()-ROW(tblSubjectToLoan[#Headers])-1))))</f>
        <v>0</v>
      </c>
      <c r="C70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3" s="21">
        <f>IF(tblSubjectToLoan[[#This Row],[Payment]]=0,0,MAX(0,MIN(tblSubjectToLoan[[#This Row],[Beginning Balance]],tblSubjectToLoan[[#This Row],[Payment]]-tblSubjectToLoan[[#This Row],[Int]])))</f>
        <v>0</v>
      </c>
      <c r="E703" s="21">
        <f>IF(tblSubjectToLoan[[#This Row],[Date]]="",0,ROUND(tblSubjectToLoan[[#This Row],[Beginning Balance]]*(subjectInterestRate/12),2))</f>
        <v>0</v>
      </c>
      <c r="F703" s="21"/>
      <c r="G703" s="21"/>
      <c r="H703" s="21">
        <f>SUM(tblSubjectToLoan[[#This Row],[Princ]],tblSubjectToLoan[[#This Row],[Int]],tblSubjectToLoan[[#This Row],[Ins]],tblSubjectToLoan[[#This Row],[Taxes]])</f>
        <v>0</v>
      </c>
      <c r="I70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03" s="332">
        <f>IF(tblSubjectToLoan[[#This Row],[Date]]="",IF(ROW()=ROW(tblSubjectToLoan[#Headers])+1,0,INDEX(tblSubjectToLoan[Interest],ROW()-ROW(tblSubjectToLoan[#Headers])-1)),tblSubjectToLoan[[#This Row],[Int]]+IF(ROW()=ROW(tblSubjectToLoan[#Headers])+1,0,INDEX(tblSubjectToLoan[Interest],ROW()-ROW(tblSubjectToLoan[#Headers])-1)))</f>
        <v>36068.259999999973</v>
      </c>
      <c r="K703" s="970">
        <f>IF(tblSubjectToLoan[[#This Row],[Date]]="",0,MAX(0,tblSubjectToLoan[[#This Row],[Beginning Balance]]-tblSubjectToLoan[[#This Row],[Princ]]))</f>
        <v>0</v>
      </c>
      <c r="L703" s="395">
        <f t="shared" si="51"/>
        <v>0</v>
      </c>
      <c r="M703" s="395">
        <f t="shared" si="50"/>
        <v>0</v>
      </c>
      <c r="N703" s="614" t="str">
        <f>INDEX(tblSubjectToLoan[Date],ROW()-ROW(tblContractForDeed[#Headers]))</f>
        <v/>
      </c>
      <c r="O703" s="332">
        <f>IF(ROW()=ROW(tblContractForDeed[#Headers])+1,$O$6,IF(INDEX(tblContractForDeed[End Bal],ROW()-ROW(tblContractForDeed[#Headers])-1)&lt;0,0,INDEX(tblContractForDeed[End Bal],ROW()-ROW(tblContractForDeed[#Headers])-1)))</f>
        <v>0</v>
      </c>
      <c r="P703" s="454"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3" s="332">
        <f>IF(INDEX(tblContractForDeed[End Bal],ROW()-ROW(tblBuyerOutputs[#Headers]))&lt;=0,0,($O$6+IF(ROW()=ROW(tblBuyerOutputs[#Headers])+1,0,INDEX(tblBuyerOutputs[Cumul Appr],ROW()-ROW(tblBuyerOutputs[#Headers])-1)))*$O$2/12)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13" t="str">
        <f>IF(ROW()=ROW(tblSubjectToLoan[#Headers])+1,subjectKnownBalanceDate,IF(OR(INDEX(tblSubjectToLoan[Date],ROW()-ROW(tblSubjectToLoan[#Headers])-1)="",INDEX(tblSubjectToLoan[Date],ROW()-ROW(tblSubjectToLoan[#Headers])-1)&gt;=subjectMortgageEndDate),"",EDATE(INDEX(tblSubjectToLoan[Date],ROW()-ROW(tblSubjectToLoan[#Headers])-1),1)))</f>
        <v/>
      </c>
      <c r="B704" s="276">
        <f>IF(tblSubjectToLoan[[#This Row],[Date]]="",0,IF(ROW()=ROW(tblSubjectToLoan[#Headers])+1,subjectKnownBalance,MAX(0,INDEX(tblSubjectToLoan[Ending Balance],ROW()-ROW(tblSubjectToLoan[#Headers])-1))))</f>
        <v>0</v>
      </c>
      <c r="C7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4" s="14">
        <f>IF(tblSubjectToLoan[[#This Row],[Payment]]=0,0,MAX(0,MIN(tblSubjectToLoan[[#This Row],[Beginning Balance]],tblSubjectToLoan[[#This Row],[Payment]]-tblSubjectToLoan[[#This Row],[Int]])))</f>
        <v>0</v>
      </c>
      <c r="E704" s="14">
        <f>IF(tblSubjectToLoan[[#This Row],[Date]]="",0,ROUND(tblSubjectToLoan[[#This Row],[Beginning Balance]]*(subjectInterestRate/12),2))</f>
        <v>0</v>
      </c>
      <c r="H704" s="14">
        <f>SUM(tblSubjectToLoan[[#This Row],[Princ]],tblSubjectToLoan[[#This Row],[Int]],tblSubjectToLoan[[#This Row],[Ins]],tblSubjectToLoan[[#This Row],[Taxes]])</f>
        <v>0</v>
      </c>
      <c r="I7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4" s="276">
        <f>IF(tblSubjectToLoan[[#This Row],[Date]]="",IF(ROW()=ROW(tblSubjectToLoan[#Headers])+1,0,INDEX(tblSubjectToLoan[Interest],ROW()-ROW(tblSubjectToLoan[#Headers])-1)),tblSubjectToLoan[[#This Row],[Int]]+IF(ROW()=ROW(tblSubjectToLoan[#Headers])+1,0,INDEX(tblSubjectToLoan[Interest],ROW()-ROW(tblSubjectToLoan[#Headers])-1)))</f>
        <v>36068.259999999973</v>
      </c>
      <c r="K704" s="969">
        <f>IF(tblSubjectToLoan[[#This Row],[Date]]="",0,MAX(0,tblSubjectToLoan[[#This Row],[Beginning Balance]]-tblSubjectToLoan[[#This Row],[Princ]]))</f>
        <v>0</v>
      </c>
      <c r="L704" s="394">
        <f t="shared" si="51"/>
        <v>0</v>
      </c>
      <c r="M704" s="394">
        <f t="shared" si="50"/>
        <v>0</v>
      </c>
      <c r="N704" s="613" t="str">
        <f>INDEX(tblSubjectToLoan[Date],ROW()-ROW(tblContractForDeed[#Headers]))</f>
        <v/>
      </c>
      <c r="O704" s="276">
        <f>IF(ROW()=ROW(tblContractForDeed[#Headers])+1,$O$6,IF(INDEX(tblContractForDeed[End Bal],ROW()-ROW(tblContractForDeed[#Headers])-1)&lt;0,0,INDEX(tblContractForDeed[End Bal],ROW()-ROW(tblContractForDeed[#Headers])-1)))</f>
        <v>0</v>
      </c>
      <c r="P704" s="454"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4" s="276">
        <f>IF(INDEX(tblContractForDeed[End Bal],ROW()-ROW(tblBuyerOutputs[#Headers]))&lt;=0,0,($O$6+IF(ROW()=ROW(tblBuyerOutputs[#Headers])+1,0,INDEX(tblBuyerOutputs[Cumul Appr],ROW()-ROW(tblBuyerOutputs[#Headers])-1)))*$O$2/12)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13" t="str">
        <f>IF(ROW()=ROW(tblSubjectToLoan[#Headers])+1,subjectKnownBalanceDate,IF(OR(INDEX(tblSubjectToLoan[Date],ROW()-ROW(tblSubjectToLoan[#Headers])-1)="",INDEX(tblSubjectToLoan[Date],ROW()-ROW(tblSubjectToLoan[#Headers])-1)&gt;=subjectMortgageEndDate),"",EDATE(INDEX(tblSubjectToLoan[Date],ROW()-ROW(tblSubjectToLoan[#Headers])-1),1)))</f>
        <v/>
      </c>
      <c r="B705" s="276">
        <f>IF(tblSubjectToLoan[[#This Row],[Date]]="",0,IF(ROW()=ROW(tblSubjectToLoan[#Headers])+1,subjectKnownBalance,MAX(0,INDEX(tblSubjectToLoan[Ending Balance],ROW()-ROW(tblSubjectToLoan[#Headers])-1))))</f>
        <v>0</v>
      </c>
      <c r="C7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5" s="14">
        <f>IF(tblSubjectToLoan[[#This Row],[Payment]]=0,0,MAX(0,MIN(tblSubjectToLoan[[#This Row],[Beginning Balance]],tblSubjectToLoan[[#This Row],[Payment]]-tblSubjectToLoan[[#This Row],[Int]])))</f>
        <v>0</v>
      </c>
      <c r="E705" s="14">
        <f>IF(tblSubjectToLoan[[#This Row],[Date]]="",0,ROUND(tblSubjectToLoan[[#This Row],[Beginning Balance]]*(subjectInterestRate/12),2))</f>
        <v>0</v>
      </c>
      <c r="H705" s="14">
        <f>SUM(tblSubjectToLoan[[#This Row],[Princ]],tblSubjectToLoan[[#This Row],[Int]],tblSubjectToLoan[[#This Row],[Ins]],tblSubjectToLoan[[#This Row],[Taxes]])</f>
        <v>0</v>
      </c>
      <c r="I7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5" s="276">
        <f>IF(tblSubjectToLoan[[#This Row],[Date]]="",IF(ROW()=ROW(tblSubjectToLoan[#Headers])+1,0,INDEX(tblSubjectToLoan[Interest],ROW()-ROW(tblSubjectToLoan[#Headers])-1)),tblSubjectToLoan[[#This Row],[Int]]+IF(ROW()=ROW(tblSubjectToLoan[#Headers])+1,0,INDEX(tblSubjectToLoan[Interest],ROW()-ROW(tblSubjectToLoan[#Headers])-1)))</f>
        <v>36068.259999999973</v>
      </c>
      <c r="K705" s="969">
        <f>IF(tblSubjectToLoan[[#This Row],[Date]]="",0,MAX(0,tblSubjectToLoan[[#This Row],[Beginning Balance]]-tblSubjectToLoan[[#This Row],[Princ]]))</f>
        <v>0</v>
      </c>
      <c r="L705" s="394">
        <f t="shared" si="51"/>
        <v>0</v>
      </c>
      <c r="M705" s="394">
        <f t="shared" si="50"/>
        <v>0</v>
      </c>
      <c r="N705" s="613" t="str">
        <f>INDEX(tblSubjectToLoan[Date],ROW()-ROW(tblContractForDeed[#Headers]))</f>
        <v/>
      </c>
      <c r="O705" s="276">
        <f>IF(ROW()=ROW(tblContractForDeed[#Headers])+1,$O$6,IF(INDEX(tblContractForDeed[End Bal],ROW()-ROW(tblContractForDeed[#Headers])-1)&lt;0,0,INDEX(tblContractForDeed[End Bal],ROW()-ROW(tblContractForDeed[#Headers])-1)))</f>
        <v>0</v>
      </c>
      <c r="P705" s="454"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5" s="276">
        <f>IF(INDEX(tblContractForDeed[End Bal],ROW()-ROW(tblBuyerOutputs[#Headers]))&lt;=0,0,($O$6+IF(ROW()=ROW(tblBuyerOutputs[#Headers])+1,0,INDEX(tblBuyerOutputs[Cumul Appr],ROW()-ROW(tblBuyerOutputs[#Headers])-1)))*$O$2/12)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13" t="str">
        <f>IF(ROW()=ROW(tblSubjectToLoan[#Headers])+1,subjectKnownBalanceDate,IF(OR(INDEX(tblSubjectToLoan[Date],ROW()-ROW(tblSubjectToLoan[#Headers])-1)="",INDEX(tblSubjectToLoan[Date],ROW()-ROW(tblSubjectToLoan[#Headers])-1)&gt;=subjectMortgageEndDate),"",EDATE(INDEX(tblSubjectToLoan[Date],ROW()-ROW(tblSubjectToLoan[#Headers])-1),1)))</f>
        <v/>
      </c>
      <c r="B706" s="276">
        <f>IF(tblSubjectToLoan[[#This Row],[Date]]="",0,IF(ROW()=ROW(tblSubjectToLoan[#Headers])+1,subjectKnownBalance,MAX(0,INDEX(tblSubjectToLoan[Ending Balance],ROW()-ROW(tblSubjectToLoan[#Headers])-1))))</f>
        <v>0</v>
      </c>
      <c r="C7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6" s="14">
        <f>IF(tblSubjectToLoan[[#This Row],[Payment]]=0,0,MAX(0,MIN(tblSubjectToLoan[[#This Row],[Beginning Balance]],tblSubjectToLoan[[#This Row],[Payment]]-tblSubjectToLoan[[#This Row],[Int]])))</f>
        <v>0</v>
      </c>
      <c r="E706" s="14">
        <f>IF(tblSubjectToLoan[[#This Row],[Date]]="",0,ROUND(tblSubjectToLoan[[#This Row],[Beginning Balance]]*(subjectInterestRate/12),2))</f>
        <v>0</v>
      </c>
      <c r="H706" s="14">
        <f>SUM(tblSubjectToLoan[[#This Row],[Princ]],tblSubjectToLoan[[#This Row],[Int]],tblSubjectToLoan[[#This Row],[Ins]],tblSubjectToLoan[[#This Row],[Taxes]])</f>
        <v>0</v>
      </c>
      <c r="I7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6" s="276">
        <f>IF(tblSubjectToLoan[[#This Row],[Date]]="",IF(ROW()=ROW(tblSubjectToLoan[#Headers])+1,0,INDEX(tblSubjectToLoan[Interest],ROW()-ROW(tblSubjectToLoan[#Headers])-1)),tblSubjectToLoan[[#This Row],[Int]]+IF(ROW()=ROW(tblSubjectToLoan[#Headers])+1,0,INDEX(tblSubjectToLoan[Interest],ROW()-ROW(tblSubjectToLoan[#Headers])-1)))</f>
        <v>36068.259999999973</v>
      </c>
      <c r="K706" s="969">
        <f>IF(tblSubjectToLoan[[#This Row],[Date]]="",0,MAX(0,tblSubjectToLoan[[#This Row],[Beginning Balance]]-tblSubjectToLoan[[#This Row],[Princ]]))</f>
        <v>0</v>
      </c>
      <c r="L706" s="394">
        <f t="shared" si="51"/>
        <v>0</v>
      </c>
      <c r="M706" s="394">
        <f t="shared" si="50"/>
        <v>0</v>
      </c>
      <c r="N706" s="613" t="str">
        <f>INDEX(tblSubjectToLoan[Date],ROW()-ROW(tblContractForDeed[#Headers]))</f>
        <v/>
      </c>
      <c r="O706" s="276">
        <f>IF(ROW()=ROW(tblContractForDeed[#Headers])+1,$O$6,IF(INDEX(tblContractForDeed[End Bal],ROW()-ROW(tblContractForDeed[#Headers])-1)&lt;0,0,INDEX(tblContractForDeed[End Bal],ROW()-ROW(tblContractForDeed[#Headers])-1)))</f>
        <v>0</v>
      </c>
      <c r="P706" s="454"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6" s="276">
        <f>IF(INDEX(tblContractForDeed[End Bal],ROW()-ROW(tblBuyerOutputs[#Headers]))&lt;=0,0,($O$6+IF(ROW()=ROW(tblBuyerOutputs[#Headers])+1,0,INDEX(tblBuyerOutputs[Cumul Appr],ROW()-ROW(tblBuyerOutputs[#Headers])-1)))*$O$2/12)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13" t="str">
        <f>IF(ROW()=ROW(tblSubjectToLoan[#Headers])+1,subjectKnownBalanceDate,IF(OR(INDEX(tblSubjectToLoan[Date],ROW()-ROW(tblSubjectToLoan[#Headers])-1)="",INDEX(tblSubjectToLoan[Date],ROW()-ROW(tblSubjectToLoan[#Headers])-1)&gt;=subjectMortgageEndDate),"",EDATE(INDEX(tblSubjectToLoan[Date],ROW()-ROW(tblSubjectToLoan[#Headers])-1),1)))</f>
        <v/>
      </c>
      <c r="B707" s="276">
        <f>IF(tblSubjectToLoan[[#This Row],[Date]]="",0,IF(ROW()=ROW(tblSubjectToLoan[#Headers])+1,subjectKnownBalance,MAX(0,INDEX(tblSubjectToLoan[Ending Balance],ROW()-ROW(tblSubjectToLoan[#Headers])-1))))</f>
        <v>0</v>
      </c>
      <c r="C7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7" s="14">
        <f>IF(tblSubjectToLoan[[#This Row],[Payment]]=0,0,MAX(0,MIN(tblSubjectToLoan[[#This Row],[Beginning Balance]],tblSubjectToLoan[[#This Row],[Payment]]-tblSubjectToLoan[[#This Row],[Int]])))</f>
        <v>0</v>
      </c>
      <c r="E707" s="14">
        <f>IF(tblSubjectToLoan[[#This Row],[Date]]="",0,ROUND(tblSubjectToLoan[[#This Row],[Beginning Balance]]*(subjectInterestRate/12),2))</f>
        <v>0</v>
      </c>
      <c r="H707" s="14">
        <f>SUM(tblSubjectToLoan[[#This Row],[Princ]],tblSubjectToLoan[[#This Row],[Int]],tblSubjectToLoan[[#This Row],[Ins]],tblSubjectToLoan[[#This Row],[Taxes]])</f>
        <v>0</v>
      </c>
      <c r="I7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7" s="276">
        <f>IF(tblSubjectToLoan[[#This Row],[Date]]="",IF(ROW()=ROW(tblSubjectToLoan[#Headers])+1,0,INDEX(tblSubjectToLoan[Interest],ROW()-ROW(tblSubjectToLoan[#Headers])-1)),tblSubjectToLoan[[#This Row],[Int]]+IF(ROW()=ROW(tblSubjectToLoan[#Headers])+1,0,INDEX(tblSubjectToLoan[Interest],ROW()-ROW(tblSubjectToLoan[#Headers])-1)))</f>
        <v>36068.259999999973</v>
      </c>
      <c r="K707" s="969">
        <f>IF(tblSubjectToLoan[[#This Row],[Date]]="",0,MAX(0,tblSubjectToLoan[[#This Row],[Beginning Balance]]-tblSubjectToLoan[[#This Row],[Princ]]))</f>
        <v>0</v>
      </c>
      <c r="L707" s="394">
        <f t="shared" si="51"/>
        <v>0</v>
      </c>
      <c r="M707" s="394">
        <f t="shared" si="50"/>
        <v>0</v>
      </c>
      <c r="N707" s="613" t="str">
        <f>INDEX(tblSubjectToLoan[Date],ROW()-ROW(tblContractForDeed[#Headers]))</f>
        <v/>
      </c>
      <c r="O707" s="276">
        <f>IF(ROW()=ROW(tblContractForDeed[#Headers])+1,$O$6,IF(INDEX(tblContractForDeed[End Bal],ROW()-ROW(tblContractForDeed[#Headers])-1)&lt;0,0,INDEX(tblContractForDeed[End Bal],ROW()-ROW(tblContractForDeed[#Headers])-1)))</f>
        <v>0</v>
      </c>
      <c r="P707" s="454"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7" s="276">
        <f>IF(INDEX(tblContractForDeed[End Bal],ROW()-ROW(tblBuyerOutputs[#Headers]))&lt;=0,0,($O$6+IF(ROW()=ROW(tblBuyerOutputs[#Headers])+1,0,INDEX(tblBuyerOutputs[Cumul Appr],ROW()-ROW(tblBuyerOutputs[#Headers])-1)))*$O$2/12)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13" t="str">
        <f>IF(ROW()=ROW(tblSubjectToLoan[#Headers])+1,subjectKnownBalanceDate,IF(OR(INDEX(tblSubjectToLoan[Date],ROW()-ROW(tblSubjectToLoan[#Headers])-1)="",INDEX(tblSubjectToLoan[Date],ROW()-ROW(tblSubjectToLoan[#Headers])-1)&gt;=subjectMortgageEndDate),"",EDATE(INDEX(tblSubjectToLoan[Date],ROW()-ROW(tblSubjectToLoan[#Headers])-1),1)))</f>
        <v/>
      </c>
      <c r="B708" s="276">
        <f>IF(tblSubjectToLoan[[#This Row],[Date]]="",0,IF(ROW()=ROW(tblSubjectToLoan[#Headers])+1,subjectKnownBalance,MAX(0,INDEX(tblSubjectToLoan[Ending Balance],ROW()-ROW(tblSubjectToLoan[#Headers])-1))))</f>
        <v>0</v>
      </c>
      <c r="C7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8" s="14">
        <f>IF(tblSubjectToLoan[[#This Row],[Payment]]=0,0,MAX(0,MIN(tblSubjectToLoan[[#This Row],[Beginning Balance]],tblSubjectToLoan[[#This Row],[Payment]]-tblSubjectToLoan[[#This Row],[Int]])))</f>
        <v>0</v>
      </c>
      <c r="E708" s="14">
        <f>IF(tblSubjectToLoan[[#This Row],[Date]]="",0,ROUND(tblSubjectToLoan[[#This Row],[Beginning Balance]]*(subjectInterestRate/12),2))</f>
        <v>0</v>
      </c>
      <c r="H708" s="14">
        <f>SUM(tblSubjectToLoan[[#This Row],[Princ]],tblSubjectToLoan[[#This Row],[Int]],tblSubjectToLoan[[#This Row],[Ins]],tblSubjectToLoan[[#This Row],[Taxes]])</f>
        <v>0</v>
      </c>
      <c r="I7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8" s="276">
        <f>IF(tblSubjectToLoan[[#This Row],[Date]]="",IF(ROW()=ROW(tblSubjectToLoan[#Headers])+1,0,INDEX(tblSubjectToLoan[Interest],ROW()-ROW(tblSubjectToLoan[#Headers])-1)),tblSubjectToLoan[[#This Row],[Int]]+IF(ROW()=ROW(tblSubjectToLoan[#Headers])+1,0,INDEX(tblSubjectToLoan[Interest],ROW()-ROW(tblSubjectToLoan[#Headers])-1)))</f>
        <v>36068.259999999973</v>
      </c>
      <c r="K708" s="969">
        <f>IF(tblSubjectToLoan[[#This Row],[Date]]="",0,MAX(0,tblSubjectToLoan[[#This Row],[Beginning Balance]]-tblSubjectToLoan[[#This Row],[Princ]]))</f>
        <v>0</v>
      </c>
      <c r="L708" s="394">
        <f t="shared" si="51"/>
        <v>0</v>
      </c>
      <c r="M708" s="394">
        <f t="shared" si="50"/>
        <v>0</v>
      </c>
      <c r="N708" s="613" t="str">
        <f>INDEX(tblSubjectToLoan[Date],ROW()-ROW(tblContractForDeed[#Headers]))</f>
        <v/>
      </c>
      <c r="O708" s="276">
        <f>IF(ROW()=ROW(tblContractForDeed[#Headers])+1,$O$6,IF(INDEX(tblContractForDeed[End Bal],ROW()-ROW(tblContractForDeed[#Headers])-1)&lt;0,0,INDEX(tblContractForDeed[End Bal],ROW()-ROW(tblContractForDeed[#Headers])-1)))</f>
        <v>0</v>
      </c>
      <c r="P708" s="454"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8" s="276">
        <f>IF(INDEX(tblContractForDeed[End Bal],ROW()-ROW(tblBuyerOutputs[#Headers]))&lt;=0,0,($O$6+IF(ROW()=ROW(tblBuyerOutputs[#Headers])+1,0,INDEX(tblBuyerOutputs[Cumul Appr],ROW()-ROW(tblBuyerOutputs[#Headers])-1)))*$O$2/12)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13" t="str">
        <f>IF(ROW()=ROW(tblSubjectToLoan[#Headers])+1,subjectKnownBalanceDate,IF(OR(INDEX(tblSubjectToLoan[Date],ROW()-ROW(tblSubjectToLoan[#Headers])-1)="",INDEX(tblSubjectToLoan[Date],ROW()-ROW(tblSubjectToLoan[#Headers])-1)&gt;=subjectMortgageEndDate),"",EDATE(INDEX(tblSubjectToLoan[Date],ROW()-ROW(tblSubjectToLoan[#Headers])-1),1)))</f>
        <v/>
      </c>
      <c r="B709" s="276">
        <f>IF(tblSubjectToLoan[[#This Row],[Date]]="",0,IF(ROW()=ROW(tblSubjectToLoan[#Headers])+1,subjectKnownBalance,MAX(0,INDEX(tblSubjectToLoan[Ending Balance],ROW()-ROW(tblSubjectToLoan[#Headers])-1))))</f>
        <v>0</v>
      </c>
      <c r="C7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9" s="14">
        <f>IF(tblSubjectToLoan[[#This Row],[Payment]]=0,0,MAX(0,MIN(tblSubjectToLoan[[#This Row],[Beginning Balance]],tblSubjectToLoan[[#This Row],[Payment]]-tblSubjectToLoan[[#This Row],[Int]])))</f>
        <v>0</v>
      </c>
      <c r="E709" s="14">
        <f>IF(tblSubjectToLoan[[#This Row],[Date]]="",0,ROUND(tblSubjectToLoan[[#This Row],[Beginning Balance]]*(subjectInterestRate/12),2))</f>
        <v>0</v>
      </c>
      <c r="H709" s="14">
        <f>SUM(tblSubjectToLoan[[#This Row],[Princ]],tblSubjectToLoan[[#This Row],[Int]],tblSubjectToLoan[[#This Row],[Ins]],tblSubjectToLoan[[#This Row],[Taxes]])</f>
        <v>0</v>
      </c>
      <c r="I7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9" s="276">
        <f>IF(tblSubjectToLoan[[#This Row],[Date]]="",IF(ROW()=ROW(tblSubjectToLoan[#Headers])+1,0,INDEX(tblSubjectToLoan[Interest],ROW()-ROW(tblSubjectToLoan[#Headers])-1)),tblSubjectToLoan[[#This Row],[Int]]+IF(ROW()=ROW(tblSubjectToLoan[#Headers])+1,0,INDEX(tblSubjectToLoan[Interest],ROW()-ROW(tblSubjectToLoan[#Headers])-1)))</f>
        <v>36068.259999999973</v>
      </c>
      <c r="K709" s="969">
        <f>IF(tblSubjectToLoan[[#This Row],[Date]]="",0,MAX(0,tblSubjectToLoan[[#This Row],[Beginning Balance]]-tblSubjectToLoan[[#This Row],[Princ]]))</f>
        <v>0</v>
      </c>
      <c r="L709" s="394">
        <f t="shared" si="51"/>
        <v>0</v>
      </c>
      <c r="M709" s="394">
        <f t="shared" si="50"/>
        <v>0</v>
      </c>
      <c r="N709" s="613" t="str">
        <f>INDEX(tblSubjectToLoan[Date],ROW()-ROW(tblContractForDeed[#Headers]))</f>
        <v/>
      </c>
      <c r="O709" s="276">
        <f>IF(ROW()=ROW(tblContractForDeed[#Headers])+1,$O$6,IF(INDEX(tblContractForDeed[End Bal],ROW()-ROW(tblContractForDeed[#Headers])-1)&lt;0,0,INDEX(tblContractForDeed[End Bal],ROW()-ROW(tblContractForDeed[#Headers])-1)))</f>
        <v>0</v>
      </c>
      <c r="P709" s="454"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9" s="276">
        <f>IF(INDEX(tblContractForDeed[End Bal],ROW()-ROW(tblBuyerOutputs[#Headers]))&lt;=0,0,($O$6+IF(ROW()=ROW(tblBuyerOutputs[#Headers])+1,0,INDEX(tblBuyerOutputs[Cumul Appr],ROW()-ROW(tblBuyerOutputs[#Headers])-1)))*$O$2/12)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13" t="str">
        <f>IF(ROW()=ROW(tblSubjectToLoan[#Headers])+1,subjectKnownBalanceDate,IF(OR(INDEX(tblSubjectToLoan[Date],ROW()-ROW(tblSubjectToLoan[#Headers])-1)="",INDEX(tblSubjectToLoan[Date],ROW()-ROW(tblSubjectToLoan[#Headers])-1)&gt;=subjectMortgageEndDate),"",EDATE(INDEX(tblSubjectToLoan[Date],ROW()-ROW(tblSubjectToLoan[#Headers])-1),1)))</f>
        <v/>
      </c>
      <c r="B710" s="276">
        <f>IF(tblSubjectToLoan[[#This Row],[Date]]="",0,IF(ROW()=ROW(tblSubjectToLoan[#Headers])+1,subjectKnownBalance,MAX(0,INDEX(tblSubjectToLoan[Ending Balance],ROW()-ROW(tblSubjectToLoan[#Headers])-1))))</f>
        <v>0</v>
      </c>
      <c r="C7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0" s="14">
        <f>IF(tblSubjectToLoan[[#This Row],[Payment]]=0,0,MAX(0,MIN(tblSubjectToLoan[[#This Row],[Beginning Balance]],tblSubjectToLoan[[#This Row],[Payment]]-tblSubjectToLoan[[#This Row],[Int]])))</f>
        <v>0</v>
      </c>
      <c r="E710" s="14">
        <f>IF(tblSubjectToLoan[[#This Row],[Date]]="",0,ROUND(tblSubjectToLoan[[#This Row],[Beginning Balance]]*(subjectInterestRate/12),2))</f>
        <v>0</v>
      </c>
      <c r="H710" s="14">
        <f>SUM(tblSubjectToLoan[[#This Row],[Princ]],tblSubjectToLoan[[#This Row],[Int]],tblSubjectToLoan[[#This Row],[Ins]],tblSubjectToLoan[[#This Row],[Taxes]])</f>
        <v>0</v>
      </c>
      <c r="I7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0" s="276">
        <f>IF(tblSubjectToLoan[[#This Row],[Date]]="",IF(ROW()=ROW(tblSubjectToLoan[#Headers])+1,0,INDEX(tblSubjectToLoan[Interest],ROW()-ROW(tblSubjectToLoan[#Headers])-1)),tblSubjectToLoan[[#This Row],[Int]]+IF(ROW()=ROW(tblSubjectToLoan[#Headers])+1,0,INDEX(tblSubjectToLoan[Interest],ROW()-ROW(tblSubjectToLoan[#Headers])-1)))</f>
        <v>36068.259999999973</v>
      </c>
      <c r="K710" s="969">
        <f>IF(tblSubjectToLoan[[#This Row],[Date]]="",0,MAX(0,tblSubjectToLoan[[#This Row],[Beginning Balance]]-tblSubjectToLoan[[#This Row],[Princ]]))</f>
        <v>0</v>
      </c>
      <c r="L710" s="394">
        <f t="shared" si="51"/>
        <v>0</v>
      </c>
      <c r="M710" s="394">
        <f t="shared" si="50"/>
        <v>0</v>
      </c>
      <c r="N710" s="613" t="str">
        <f>INDEX(tblSubjectToLoan[Date],ROW()-ROW(tblContractForDeed[#Headers]))</f>
        <v/>
      </c>
      <c r="O710" s="276">
        <f>IF(ROW()=ROW(tblContractForDeed[#Headers])+1,$O$6,IF(INDEX(tblContractForDeed[End Bal],ROW()-ROW(tblContractForDeed[#Headers])-1)&lt;0,0,INDEX(tblContractForDeed[End Bal],ROW()-ROW(tblContractForDeed[#Headers])-1)))</f>
        <v>0</v>
      </c>
      <c r="P710" s="454"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0" s="276">
        <f>IF(INDEX(tblContractForDeed[End Bal],ROW()-ROW(tblBuyerOutputs[#Headers]))&lt;=0,0,($O$6+IF(ROW()=ROW(tblBuyerOutputs[#Headers])+1,0,INDEX(tblBuyerOutputs[Cumul Appr],ROW()-ROW(tblBuyerOutputs[#Headers])-1)))*$O$2/12)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13" t="str">
        <f>IF(ROW()=ROW(tblSubjectToLoan[#Headers])+1,subjectKnownBalanceDate,IF(OR(INDEX(tblSubjectToLoan[Date],ROW()-ROW(tblSubjectToLoan[#Headers])-1)="",INDEX(tblSubjectToLoan[Date],ROW()-ROW(tblSubjectToLoan[#Headers])-1)&gt;=subjectMortgageEndDate),"",EDATE(INDEX(tblSubjectToLoan[Date],ROW()-ROW(tblSubjectToLoan[#Headers])-1),1)))</f>
        <v/>
      </c>
      <c r="B711" s="276">
        <f>IF(tblSubjectToLoan[[#This Row],[Date]]="",0,IF(ROW()=ROW(tblSubjectToLoan[#Headers])+1,subjectKnownBalance,MAX(0,INDEX(tblSubjectToLoan[Ending Balance],ROW()-ROW(tblSubjectToLoan[#Headers])-1))))</f>
        <v>0</v>
      </c>
      <c r="C7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1" s="14">
        <f>IF(tblSubjectToLoan[[#This Row],[Payment]]=0,0,MAX(0,MIN(tblSubjectToLoan[[#This Row],[Beginning Balance]],tblSubjectToLoan[[#This Row],[Payment]]-tblSubjectToLoan[[#This Row],[Int]])))</f>
        <v>0</v>
      </c>
      <c r="E711" s="14">
        <f>IF(tblSubjectToLoan[[#This Row],[Date]]="",0,ROUND(tblSubjectToLoan[[#This Row],[Beginning Balance]]*(subjectInterestRate/12),2))</f>
        <v>0</v>
      </c>
      <c r="H711" s="14">
        <f>SUM(tblSubjectToLoan[[#This Row],[Princ]],tblSubjectToLoan[[#This Row],[Int]],tblSubjectToLoan[[#This Row],[Ins]],tblSubjectToLoan[[#This Row],[Taxes]])</f>
        <v>0</v>
      </c>
      <c r="I7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1" s="276">
        <f>IF(tblSubjectToLoan[[#This Row],[Date]]="",IF(ROW()=ROW(tblSubjectToLoan[#Headers])+1,0,INDEX(tblSubjectToLoan[Interest],ROW()-ROW(tblSubjectToLoan[#Headers])-1)),tblSubjectToLoan[[#This Row],[Int]]+IF(ROW()=ROW(tblSubjectToLoan[#Headers])+1,0,INDEX(tblSubjectToLoan[Interest],ROW()-ROW(tblSubjectToLoan[#Headers])-1)))</f>
        <v>36068.259999999973</v>
      </c>
      <c r="K711" s="969">
        <f>IF(tblSubjectToLoan[[#This Row],[Date]]="",0,MAX(0,tblSubjectToLoan[[#This Row],[Beginning Balance]]-tblSubjectToLoan[[#This Row],[Princ]]))</f>
        <v>0</v>
      </c>
      <c r="L711" s="394">
        <f t="shared" si="51"/>
        <v>0</v>
      </c>
      <c r="M711" s="394">
        <f t="shared" si="50"/>
        <v>0</v>
      </c>
      <c r="N711" s="613" t="str">
        <f>INDEX(tblSubjectToLoan[Date],ROW()-ROW(tblContractForDeed[#Headers]))</f>
        <v/>
      </c>
      <c r="O711" s="276">
        <f>IF(ROW()=ROW(tblContractForDeed[#Headers])+1,$O$6,IF(INDEX(tblContractForDeed[End Bal],ROW()-ROW(tblContractForDeed[#Headers])-1)&lt;0,0,INDEX(tblContractForDeed[End Bal],ROW()-ROW(tblContractForDeed[#Headers])-1)))</f>
        <v>0</v>
      </c>
      <c r="P711" s="454"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1" s="276">
        <f>IF(INDEX(tblContractForDeed[End Bal],ROW()-ROW(tblBuyerOutputs[#Headers]))&lt;=0,0,($O$6+IF(ROW()=ROW(tblBuyerOutputs[#Headers])+1,0,INDEX(tblBuyerOutputs[Cumul Appr],ROW()-ROW(tblBuyerOutputs[#Headers])-1)))*$O$2/12)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13" t="str">
        <f>IF(ROW()=ROW(tblSubjectToLoan[#Headers])+1,subjectKnownBalanceDate,IF(OR(INDEX(tblSubjectToLoan[Date],ROW()-ROW(tblSubjectToLoan[#Headers])-1)="",INDEX(tblSubjectToLoan[Date],ROW()-ROW(tblSubjectToLoan[#Headers])-1)&gt;=subjectMortgageEndDate),"",EDATE(INDEX(tblSubjectToLoan[Date],ROW()-ROW(tblSubjectToLoan[#Headers])-1),1)))</f>
        <v/>
      </c>
      <c r="B712" s="276">
        <f>IF(tblSubjectToLoan[[#This Row],[Date]]="",0,IF(ROW()=ROW(tblSubjectToLoan[#Headers])+1,subjectKnownBalance,MAX(0,INDEX(tblSubjectToLoan[Ending Balance],ROW()-ROW(tblSubjectToLoan[#Headers])-1))))</f>
        <v>0</v>
      </c>
      <c r="C7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2" s="14">
        <f>IF(tblSubjectToLoan[[#This Row],[Payment]]=0,0,MAX(0,MIN(tblSubjectToLoan[[#This Row],[Beginning Balance]],tblSubjectToLoan[[#This Row],[Payment]]-tblSubjectToLoan[[#This Row],[Int]])))</f>
        <v>0</v>
      </c>
      <c r="E712" s="14">
        <f>IF(tblSubjectToLoan[[#This Row],[Date]]="",0,ROUND(tblSubjectToLoan[[#This Row],[Beginning Balance]]*(subjectInterestRate/12),2))</f>
        <v>0</v>
      </c>
      <c r="H712" s="14">
        <f>SUM(tblSubjectToLoan[[#This Row],[Princ]],tblSubjectToLoan[[#This Row],[Int]],tblSubjectToLoan[[#This Row],[Ins]],tblSubjectToLoan[[#This Row],[Taxes]])</f>
        <v>0</v>
      </c>
      <c r="I7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2" s="276">
        <f>IF(tblSubjectToLoan[[#This Row],[Date]]="",IF(ROW()=ROW(tblSubjectToLoan[#Headers])+1,0,INDEX(tblSubjectToLoan[Interest],ROW()-ROW(tblSubjectToLoan[#Headers])-1)),tblSubjectToLoan[[#This Row],[Int]]+IF(ROW()=ROW(tblSubjectToLoan[#Headers])+1,0,INDEX(tblSubjectToLoan[Interest],ROW()-ROW(tblSubjectToLoan[#Headers])-1)))</f>
        <v>36068.259999999973</v>
      </c>
      <c r="K712" s="969">
        <f>IF(tblSubjectToLoan[[#This Row],[Date]]="",0,MAX(0,tblSubjectToLoan[[#This Row],[Beginning Balance]]-tblSubjectToLoan[[#This Row],[Princ]]))</f>
        <v>0</v>
      </c>
      <c r="L712" s="394">
        <f t="shared" si="51"/>
        <v>0</v>
      </c>
      <c r="M712" s="394">
        <f t="shared" si="50"/>
        <v>0</v>
      </c>
      <c r="N712" s="613" t="str">
        <f>INDEX(tblSubjectToLoan[Date],ROW()-ROW(tblContractForDeed[#Headers]))</f>
        <v/>
      </c>
      <c r="O712" s="276">
        <f>IF(ROW()=ROW(tblContractForDeed[#Headers])+1,$O$6,IF(INDEX(tblContractForDeed[End Bal],ROW()-ROW(tblContractForDeed[#Headers])-1)&lt;0,0,INDEX(tblContractForDeed[End Bal],ROW()-ROW(tblContractForDeed[#Headers])-1)))</f>
        <v>0</v>
      </c>
      <c r="P712" s="454"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2" s="276">
        <f>IF(INDEX(tblContractForDeed[End Bal],ROW()-ROW(tblBuyerOutputs[#Headers]))&lt;=0,0,($O$6+IF(ROW()=ROW(tblBuyerOutputs[#Headers])+1,0,INDEX(tblBuyerOutputs[Cumul Appr],ROW()-ROW(tblBuyerOutputs[#Headers])-1)))*$O$2/12)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13" t="str">
        <f>IF(ROW()=ROW(tblSubjectToLoan[#Headers])+1,subjectKnownBalanceDate,IF(OR(INDEX(tblSubjectToLoan[Date],ROW()-ROW(tblSubjectToLoan[#Headers])-1)="",INDEX(tblSubjectToLoan[Date],ROW()-ROW(tblSubjectToLoan[#Headers])-1)&gt;=subjectMortgageEndDate),"",EDATE(INDEX(tblSubjectToLoan[Date],ROW()-ROW(tblSubjectToLoan[#Headers])-1),1)))</f>
        <v/>
      </c>
      <c r="B713" s="276">
        <f>IF(tblSubjectToLoan[[#This Row],[Date]]="",0,IF(ROW()=ROW(tblSubjectToLoan[#Headers])+1,subjectKnownBalance,MAX(0,INDEX(tblSubjectToLoan[Ending Balance],ROW()-ROW(tblSubjectToLoan[#Headers])-1))))</f>
        <v>0</v>
      </c>
      <c r="C7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3" s="14">
        <f>IF(tblSubjectToLoan[[#This Row],[Payment]]=0,0,MAX(0,MIN(tblSubjectToLoan[[#This Row],[Beginning Balance]],tblSubjectToLoan[[#This Row],[Payment]]-tblSubjectToLoan[[#This Row],[Int]])))</f>
        <v>0</v>
      </c>
      <c r="E713" s="14">
        <f>IF(tblSubjectToLoan[[#This Row],[Date]]="",0,ROUND(tblSubjectToLoan[[#This Row],[Beginning Balance]]*(subjectInterestRate/12),2))</f>
        <v>0</v>
      </c>
      <c r="H713" s="14">
        <f>SUM(tblSubjectToLoan[[#This Row],[Princ]],tblSubjectToLoan[[#This Row],[Int]],tblSubjectToLoan[[#This Row],[Ins]],tblSubjectToLoan[[#This Row],[Taxes]])</f>
        <v>0</v>
      </c>
      <c r="I7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3" s="276">
        <f>IF(tblSubjectToLoan[[#This Row],[Date]]="",IF(ROW()=ROW(tblSubjectToLoan[#Headers])+1,0,INDEX(tblSubjectToLoan[Interest],ROW()-ROW(tblSubjectToLoan[#Headers])-1)),tblSubjectToLoan[[#This Row],[Int]]+IF(ROW()=ROW(tblSubjectToLoan[#Headers])+1,0,INDEX(tblSubjectToLoan[Interest],ROW()-ROW(tblSubjectToLoan[#Headers])-1)))</f>
        <v>36068.259999999973</v>
      </c>
      <c r="K713" s="969">
        <f>IF(tblSubjectToLoan[[#This Row],[Date]]="",0,MAX(0,tblSubjectToLoan[[#This Row],[Beginning Balance]]-tblSubjectToLoan[[#This Row],[Princ]]))</f>
        <v>0</v>
      </c>
      <c r="L713" s="394">
        <f t="shared" si="51"/>
        <v>0</v>
      </c>
      <c r="M713" s="394">
        <f t="shared" si="50"/>
        <v>0</v>
      </c>
      <c r="N713" s="613" t="str">
        <f>INDEX(tblSubjectToLoan[Date],ROW()-ROW(tblContractForDeed[#Headers]))</f>
        <v/>
      </c>
      <c r="O713" s="276">
        <f>IF(ROW()=ROW(tblContractForDeed[#Headers])+1,$O$6,IF(INDEX(tblContractForDeed[End Bal],ROW()-ROW(tblContractForDeed[#Headers])-1)&lt;0,0,INDEX(tblContractForDeed[End Bal],ROW()-ROW(tblContractForDeed[#Headers])-1)))</f>
        <v>0</v>
      </c>
      <c r="P713" s="454"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3" s="276">
        <f>IF(INDEX(tblContractForDeed[End Bal],ROW()-ROW(tblBuyerOutputs[#Headers]))&lt;=0,0,($O$6+IF(ROW()=ROW(tblBuyerOutputs[#Headers])+1,0,INDEX(tblBuyerOutputs[Cumul Appr],ROW()-ROW(tblBuyerOutputs[#Headers])-1)))*$O$2/12)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13" t="str">
        <f>IF(ROW()=ROW(tblSubjectToLoan[#Headers])+1,subjectKnownBalanceDate,IF(OR(INDEX(tblSubjectToLoan[Date],ROW()-ROW(tblSubjectToLoan[#Headers])-1)="",INDEX(tblSubjectToLoan[Date],ROW()-ROW(tblSubjectToLoan[#Headers])-1)&gt;=subjectMortgageEndDate),"",EDATE(INDEX(tblSubjectToLoan[Date],ROW()-ROW(tblSubjectToLoan[#Headers])-1),1)))</f>
        <v/>
      </c>
      <c r="B714" s="276">
        <f>IF(tblSubjectToLoan[[#This Row],[Date]]="",0,IF(ROW()=ROW(tblSubjectToLoan[#Headers])+1,subjectKnownBalance,MAX(0,INDEX(tblSubjectToLoan[Ending Balance],ROW()-ROW(tblSubjectToLoan[#Headers])-1))))</f>
        <v>0</v>
      </c>
      <c r="C7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4" s="14">
        <f>IF(tblSubjectToLoan[[#This Row],[Payment]]=0,0,MAX(0,MIN(tblSubjectToLoan[[#This Row],[Beginning Balance]],tblSubjectToLoan[[#This Row],[Payment]]-tblSubjectToLoan[[#This Row],[Int]])))</f>
        <v>0</v>
      </c>
      <c r="E714" s="14">
        <f>IF(tblSubjectToLoan[[#This Row],[Date]]="",0,ROUND(tblSubjectToLoan[[#This Row],[Beginning Balance]]*(subjectInterestRate/12),2))</f>
        <v>0</v>
      </c>
      <c r="H714" s="14">
        <f>SUM(tblSubjectToLoan[[#This Row],[Princ]],tblSubjectToLoan[[#This Row],[Int]],tblSubjectToLoan[[#This Row],[Ins]],tblSubjectToLoan[[#This Row],[Taxes]])</f>
        <v>0</v>
      </c>
      <c r="I7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4" s="276">
        <f>IF(tblSubjectToLoan[[#This Row],[Date]]="",IF(ROW()=ROW(tblSubjectToLoan[#Headers])+1,0,INDEX(tblSubjectToLoan[Interest],ROW()-ROW(tblSubjectToLoan[#Headers])-1)),tblSubjectToLoan[[#This Row],[Int]]+IF(ROW()=ROW(tblSubjectToLoan[#Headers])+1,0,INDEX(tblSubjectToLoan[Interest],ROW()-ROW(tblSubjectToLoan[#Headers])-1)))</f>
        <v>36068.259999999973</v>
      </c>
      <c r="K714" s="969">
        <f>IF(tblSubjectToLoan[[#This Row],[Date]]="",0,MAX(0,tblSubjectToLoan[[#This Row],[Beginning Balance]]-tblSubjectToLoan[[#This Row],[Princ]]))</f>
        <v>0</v>
      </c>
      <c r="L714" s="394">
        <f t="shared" si="51"/>
        <v>0</v>
      </c>
      <c r="M714" s="394">
        <f t="shared" si="50"/>
        <v>0</v>
      </c>
      <c r="N714" s="613" t="str">
        <f>INDEX(tblSubjectToLoan[Date],ROW()-ROW(tblContractForDeed[#Headers]))</f>
        <v/>
      </c>
      <c r="O714" s="276">
        <f>IF(ROW()=ROW(tblContractForDeed[#Headers])+1,$O$6,IF(INDEX(tblContractForDeed[End Bal],ROW()-ROW(tblContractForDeed[#Headers])-1)&lt;0,0,INDEX(tblContractForDeed[End Bal],ROW()-ROW(tblContractForDeed[#Headers])-1)))</f>
        <v>0</v>
      </c>
      <c r="P714" s="454"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4" s="276">
        <f>IF(INDEX(tblContractForDeed[End Bal],ROW()-ROW(tblBuyerOutputs[#Headers]))&lt;=0,0,($O$6+IF(ROW()=ROW(tblBuyerOutputs[#Headers])+1,0,INDEX(tblBuyerOutputs[Cumul Appr],ROW()-ROW(tblBuyerOutputs[#Headers])-1)))*$O$2/12)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14" t="str">
        <f>IF(ROW()=ROW(tblSubjectToLoan[#Headers])+1,subjectKnownBalanceDate,IF(OR(INDEX(tblSubjectToLoan[Date],ROW()-ROW(tblSubjectToLoan[#Headers])-1)="",INDEX(tblSubjectToLoan[Date],ROW()-ROW(tblSubjectToLoan[#Headers])-1)&gt;=subjectMortgageEndDate),"",EDATE(INDEX(tblSubjectToLoan[Date],ROW()-ROW(tblSubjectToLoan[#Headers])-1),1)))</f>
        <v/>
      </c>
      <c r="B715" s="332">
        <f>IF(tblSubjectToLoan[[#This Row],[Date]]="",0,IF(ROW()=ROW(tblSubjectToLoan[#Headers])+1,subjectKnownBalance,MAX(0,INDEX(tblSubjectToLoan[Ending Balance],ROW()-ROW(tblSubjectToLoan[#Headers])-1))))</f>
        <v>0</v>
      </c>
      <c r="C71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5" s="21">
        <f>IF(tblSubjectToLoan[[#This Row],[Payment]]=0,0,MAX(0,MIN(tblSubjectToLoan[[#This Row],[Beginning Balance]],tblSubjectToLoan[[#This Row],[Payment]]-tblSubjectToLoan[[#This Row],[Int]])))</f>
        <v>0</v>
      </c>
      <c r="E715" s="21">
        <f>IF(tblSubjectToLoan[[#This Row],[Date]]="",0,ROUND(tblSubjectToLoan[[#This Row],[Beginning Balance]]*(subjectInterestRate/12),2))</f>
        <v>0</v>
      </c>
      <c r="F715" s="21"/>
      <c r="G715" s="21"/>
      <c r="H715" s="21">
        <f>SUM(tblSubjectToLoan[[#This Row],[Princ]],tblSubjectToLoan[[#This Row],[Int]],tblSubjectToLoan[[#This Row],[Ins]],tblSubjectToLoan[[#This Row],[Taxes]])</f>
        <v>0</v>
      </c>
      <c r="I71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15" s="332">
        <f>IF(tblSubjectToLoan[[#This Row],[Date]]="",IF(ROW()=ROW(tblSubjectToLoan[#Headers])+1,0,INDEX(tblSubjectToLoan[Interest],ROW()-ROW(tblSubjectToLoan[#Headers])-1)),tblSubjectToLoan[[#This Row],[Int]]+IF(ROW()=ROW(tblSubjectToLoan[#Headers])+1,0,INDEX(tblSubjectToLoan[Interest],ROW()-ROW(tblSubjectToLoan[#Headers])-1)))</f>
        <v>36068.259999999973</v>
      </c>
      <c r="K715" s="970">
        <f>IF(tblSubjectToLoan[[#This Row],[Date]]="",0,MAX(0,tblSubjectToLoan[[#This Row],[Beginning Balance]]-tblSubjectToLoan[[#This Row],[Princ]]))</f>
        <v>0</v>
      </c>
      <c r="L715" s="395">
        <f t="shared" si="51"/>
        <v>0</v>
      </c>
      <c r="M715" s="395">
        <f t="shared" si="50"/>
        <v>0</v>
      </c>
      <c r="N715" s="614" t="str">
        <f>INDEX(tblSubjectToLoan[Date],ROW()-ROW(tblContractForDeed[#Headers]))</f>
        <v/>
      </c>
      <c r="O715" s="332">
        <f>IF(ROW()=ROW(tblContractForDeed[#Headers])+1,$O$6,IF(INDEX(tblContractForDeed[End Bal],ROW()-ROW(tblContractForDeed[#Headers])-1)&lt;0,0,INDEX(tblContractForDeed[End Bal],ROW()-ROW(tblContractForDeed[#Headers])-1)))</f>
        <v>0</v>
      </c>
      <c r="P715" s="454"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5" s="332">
        <f>IF(INDEX(tblContractForDeed[End Bal],ROW()-ROW(tblBuyerOutputs[#Headers]))&lt;=0,0,($O$6+IF(ROW()=ROW(tblBuyerOutputs[#Headers])+1,0,INDEX(tblBuyerOutputs[Cumul Appr],ROW()-ROW(tblBuyerOutputs[#Headers])-1)))*$O$2/12)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13" t="str">
        <f>IF(ROW()=ROW(tblSubjectToLoan[#Headers])+1,subjectKnownBalanceDate,IF(OR(INDEX(tblSubjectToLoan[Date],ROW()-ROW(tblSubjectToLoan[#Headers])-1)="",INDEX(tblSubjectToLoan[Date],ROW()-ROW(tblSubjectToLoan[#Headers])-1)&gt;=subjectMortgageEndDate),"",EDATE(INDEX(tblSubjectToLoan[Date],ROW()-ROW(tblSubjectToLoan[#Headers])-1),1)))</f>
        <v/>
      </c>
      <c r="B716" s="276">
        <f>IF(tblSubjectToLoan[[#This Row],[Date]]="",0,IF(ROW()=ROW(tblSubjectToLoan[#Headers])+1,subjectKnownBalance,MAX(0,INDEX(tblSubjectToLoan[Ending Balance],ROW()-ROW(tblSubjectToLoan[#Headers])-1))))</f>
        <v>0</v>
      </c>
      <c r="C7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6" s="14">
        <f>IF(tblSubjectToLoan[[#This Row],[Payment]]=0,0,MAX(0,MIN(tblSubjectToLoan[[#This Row],[Beginning Balance]],tblSubjectToLoan[[#This Row],[Payment]]-tblSubjectToLoan[[#This Row],[Int]])))</f>
        <v>0</v>
      </c>
      <c r="E716" s="14">
        <f>IF(tblSubjectToLoan[[#This Row],[Date]]="",0,ROUND(tblSubjectToLoan[[#This Row],[Beginning Balance]]*(subjectInterestRate/12),2))</f>
        <v>0</v>
      </c>
      <c r="H716" s="14">
        <f>SUM(tblSubjectToLoan[[#This Row],[Princ]],tblSubjectToLoan[[#This Row],[Int]],tblSubjectToLoan[[#This Row],[Ins]],tblSubjectToLoan[[#This Row],[Taxes]])</f>
        <v>0</v>
      </c>
      <c r="I7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6" s="276">
        <f>IF(tblSubjectToLoan[[#This Row],[Date]]="",IF(ROW()=ROW(tblSubjectToLoan[#Headers])+1,0,INDEX(tblSubjectToLoan[Interest],ROW()-ROW(tblSubjectToLoan[#Headers])-1)),tblSubjectToLoan[[#This Row],[Int]]+IF(ROW()=ROW(tblSubjectToLoan[#Headers])+1,0,INDEX(tblSubjectToLoan[Interest],ROW()-ROW(tblSubjectToLoan[#Headers])-1)))</f>
        <v>36068.259999999973</v>
      </c>
      <c r="K716" s="969">
        <f>IF(tblSubjectToLoan[[#This Row],[Date]]="",0,MAX(0,tblSubjectToLoan[[#This Row],[Beginning Balance]]-tblSubjectToLoan[[#This Row],[Princ]]))</f>
        <v>0</v>
      </c>
      <c r="L716" s="394">
        <f t="shared" si="51"/>
        <v>0</v>
      </c>
      <c r="M716" s="394">
        <f t="shared" si="50"/>
        <v>0</v>
      </c>
      <c r="N716" s="613" t="str">
        <f>INDEX(tblSubjectToLoan[Date],ROW()-ROW(tblContractForDeed[#Headers]))</f>
        <v/>
      </c>
      <c r="O716" s="276">
        <f>IF(ROW()=ROW(tblContractForDeed[#Headers])+1,$O$6,IF(INDEX(tblContractForDeed[End Bal],ROW()-ROW(tblContractForDeed[#Headers])-1)&lt;0,0,INDEX(tblContractForDeed[End Bal],ROW()-ROW(tblContractForDeed[#Headers])-1)))</f>
        <v>0</v>
      </c>
      <c r="P716" s="454"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6" s="276">
        <f>IF(INDEX(tblContractForDeed[End Bal],ROW()-ROW(tblBuyerOutputs[#Headers]))&lt;=0,0,($O$6+IF(ROW()=ROW(tblBuyerOutputs[#Headers])+1,0,INDEX(tblBuyerOutputs[Cumul Appr],ROW()-ROW(tblBuyerOutputs[#Headers])-1)))*$O$2/12)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13" t="str">
        <f>IF(ROW()=ROW(tblSubjectToLoan[#Headers])+1,subjectKnownBalanceDate,IF(OR(INDEX(tblSubjectToLoan[Date],ROW()-ROW(tblSubjectToLoan[#Headers])-1)="",INDEX(tblSubjectToLoan[Date],ROW()-ROW(tblSubjectToLoan[#Headers])-1)&gt;=subjectMortgageEndDate),"",EDATE(INDEX(tblSubjectToLoan[Date],ROW()-ROW(tblSubjectToLoan[#Headers])-1),1)))</f>
        <v/>
      </c>
      <c r="B717" s="276">
        <f>IF(tblSubjectToLoan[[#This Row],[Date]]="",0,IF(ROW()=ROW(tblSubjectToLoan[#Headers])+1,subjectKnownBalance,MAX(0,INDEX(tblSubjectToLoan[Ending Balance],ROW()-ROW(tblSubjectToLoan[#Headers])-1))))</f>
        <v>0</v>
      </c>
      <c r="C7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7" s="14">
        <f>IF(tblSubjectToLoan[[#This Row],[Payment]]=0,0,MAX(0,MIN(tblSubjectToLoan[[#This Row],[Beginning Balance]],tblSubjectToLoan[[#This Row],[Payment]]-tblSubjectToLoan[[#This Row],[Int]])))</f>
        <v>0</v>
      </c>
      <c r="E717" s="14">
        <f>IF(tblSubjectToLoan[[#This Row],[Date]]="",0,ROUND(tblSubjectToLoan[[#This Row],[Beginning Balance]]*(subjectInterestRate/12),2))</f>
        <v>0</v>
      </c>
      <c r="H717" s="14">
        <f>SUM(tblSubjectToLoan[[#This Row],[Princ]],tblSubjectToLoan[[#This Row],[Int]],tblSubjectToLoan[[#This Row],[Ins]],tblSubjectToLoan[[#This Row],[Taxes]])</f>
        <v>0</v>
      </c>
      <c r="I7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7" s="276">
        <f>IF(tblSubjectToLoan[[#This Row],[Date]]="",IF(ROW()=ROW(tblSubjectToLoan[#Headers])+1,0,INDEX(tblSubjectToLoan[Interest],ROW()-ROW(tblSubjectToLoan[#Headers])-1)),tblSubjectToLoan[[#This Row],[Int]]+IF(ROW()=ROW(tblSubjectToLoan[#Headers])+1,0,INDEX(tblSubjectToLoan[Interest],ROW()-ROW(tblSubjectToLoan[#Headers])-1)))</f>
        <v>36068.259999999973</v>
      </c>
      <c r="K717" s="969">
        <f>IF(tblSubjectToLoan[[#This Row],[Date]]="",0,MAX(0,tblSubjectToLoan[[#This Row],[Beginning Balance]]-tblSubjectToLoan[[#This Row],[Princ]]))</f>
        <v>0</v>
      </c>
      <c r="L717" s="394">
        <f t="shared" si="51"/>
        <v>0</v>
      </c>
      <c r="M717" s="394">
        <f t="shared" si="50"/>
        <v>0</v>
      </c>
      <c r="N717" s="613" t="str">
        <f>INDEX(tblSubjectToLoan[Date],ROW()-ROW(tblContractForDeed[#Headers]))</f>
        <v/>
      </c>
      <c r="O717" s="276">
        <f>IF(ROW()=ROW(tblContractForDeed[#Headers])+1,$O$6,IF(INDEX(tblContractForDeed[End Bal],ROW()-ROW(tblContractForDeed[#Headers])-1)&lt;0,0,INDEX(tblContractForDeed[End Bal],ROW()-ROW(tblContractForDeed[#Headers])-1)))</f>
        <v>0</v>
      </c>
      <c r="P717" s="454"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7" s="276">
        <f>IF(INDEX(tblContractForDeed[End Bal],ROW()-ROW(tblBuyerOutputs[#Headers]))&lt;=0,0,($O$6+IF(ROW()=ROW(tblBuyerOutputs[#Headers])+1,0,INDEX(tblBuyerOutputs[Cumul Appr],ROW()-ROW(tblBuyerOutputs[#Headers])-1)))*$O$2/12)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13" t="str">
        <f>IF(ROW()=ROW(tblSubjectToLoan[#Headers])+1,subjectKnownBalanceDate,IF(OR(INDEX(tblSubjectToLoan[Date],ROW()-ROW(tblSubjectToLoan[#Headers])-1)="",INDEX(tblSubjectToLoan[Date],ROW()-ROW(tblSubjectToLoan[#Headers])-1)&gt;=subjectMortgageEndDate),"",EDATE(INDEX(tblSubjectToLoan[Date],ROW()-ROW(tblSubjectToLoan[#Headers])-1),1)))</f>
        <v/>
      </c>
      <c r="B718" s="276">
        <f>IF(tblSubjectToLoan[[#This Row],[Date]]="",0,IF(ROW()=ROW(tblSubjectToLoan[#Headers])+1,subjectKnownBalance,MAX(0,INDEX(tblSubjectToLoan[Ending Balance],ROW()-ROW(tblSubjectToLoan[#Headers])-1))))</f>
        <v>0</v>
      </c>
      <c r="C7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8" s="14">
        <f>IF(tblSubjectToLoan[[#This Row],[Payment]]=0,0,MAX(0,MIN(tblSubjectToLoan[[#This Row],[Beginning Balance]],tblSubjectToLoan[[#This Row],[Payment]]-tblSubjectToLoan[[#This Row],[Int]])))</f>
        <v>0</v>
      </c>
      <c r="E718" s="14">
        <f>IF(tblSubjectToLoan[[#This Row],[Date]]="",0,ROUND(tblSubjectToLoan[[#This Row],[Beginning Balance]]*(subjectInterestRate/12),2))</f>
        <v>0</v>
      </c>
      <c r="H718" s="14">
        <f>SUM(tblSubjectToLoan[[#This Row],[Princ]],tblSubjectToLoan[[#This Row],[Int]],tblSubjectToLoan[[#This Row],[Ins]],tblSubjectToLoan[[#This Row],[Taxes]])</f>
        <v>0</v>
      </c>
      <c r="I7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8" s="276">
        <f>IF(tblSubjectToLoan[[#This Row],[Date]]="",IF(ROW()=ROW(tblSubjectToLoan[#Headers])+1,0,INDEX(tblSubjectToLoan[Interest],ROW()-ROW(tblSubjectToLoan[#Headers])-1)),tblSubjectToLoan[[#This Row],[Int]]+IF(ROW()=ROW(tblSubjectToLoan[#Headers])+1,0,INDEX(tblSubjectToLoan[Interest],ROW()-ROW(tblSubjectToLoan[#Headers])-1)))</f>
        <v>36068.259999999973</v>
      </c>
      <c r="K718" s="969">
        <f>IF(tblSubjectToLoan[[#This Row],[Date]]="",0,MAX(0,tblSubjectToLoan[[#This Row],[Beginning Balance]]-tblSubjectToLoan[[#This Row],[Princ]]))</f>
        <v>0</v>
      </c>
      <c r="L718" s="394">
        <f t="shared" si="51"/>
        <v>0</v>
      </c>
      <c r="M718" s="394">
        <f t="shared" si="50"/>
        <v>0</v>
      </c>
      <c r="N718" s="613" t="str">
        <f>INDEX(tblSubjectToLoan[Date],ROW()-ROW(tblContractForDeed[#Headers]))</f>
        <v/>
      </c>
      <c r="O718" s="276">
        <f>IF(ROW()=ROW(tblContractForDeed[#Headers])+1,$O$6,IF(INDEX(tblContractForDeed[End Bal],ROW()-ROW(tblContractForDeed[#Headers])-1)&lt;0,0,INDEX(tblContractForDeed[End Bal],ROW()-ROW(tblContractForDeed[#Headers])-1)))</f>
        <v>0</v>
      </c>
      <c r="P718" s="454"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8" s="276">
        <f>IF(INDEX(tblContractForDeed[End Bal],ROW()-ROW(tblBuyerOutputs[#Headers]))&lt;=0,0,($O$6+IF(ROW()=ROW(tblBuyerOutputs[#Headers])+1,0,INDEX(tblBuyerOutputs[Cumul Appr],ROW()-ROW(tblBuyerOutputs[#Headers])-1)))*$O$2/12)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13" t="str">
        <f>IF(ROW()=ROW(tblSubjectToLoan[#Headers])+1,subjectKnownBalanceDate,IF(OR(INDEX(tblSubjectToLoan[Date],ROW()-ROW(tblSubjectToLoan[#Headers])-1)="",INDEX(tblSubjectToLoan[Date],ROW()-ROW(tblSubjectToLoan[#Headers])-1)&gt;=subjectMortgageEndDate),"",EDATE(INDEX(tblSubjectToLoan[Date],ROW()-ROW(tblSubjectToLoan[#Headers])-1),1)))</f>
        <v/>
      </c>
      <c r="B719" s="276">
        <f>IF(tblSubjectToLoan[[#This Row],[Date]]="",0,IF(ROW()=ROW(tblSubjectToLoan[#Headers])+1,subjectKnownBalance,MAX(0,INDEX(tblSubjectToLoan[Ending Balance],ROW()-ROW(tblSubjectToLoan[#Headers])-1))))</f>
        <v>0</v>
      </c>
      <c r="C7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9" s="14">
        <f>IF(tblSubjectToLoan[[#This Row],[Payment]]=0,0,MAX(0,MIN(tblSubjectToLoan[[#This Row],[Beginning Balance]],tblSubjectToLoan[[#This Row],[Payment]]-tblSubjectToLoan[[#This Row],[Int]])))</f>
        <v>0</v>
      </c>
      <c r="E719" s="14">
        <f>IF(tblSubjectToLoan[[#This Row],[Date]]="",0,ROUND(tblSubjectToLoan[[#This Row],[Beginning Balance]]*(subjectInterestRate/12),2))</f>
        <v>0</v>
      </c>
      <c r="H719" s="14">
        <f>SUM(tblSubjectToLoan[[#This Row],[Princ]],tblSubjectToLoan[[#This Row],[Int]],tblSubjectToLoan[[#This Row],[Ins]],tblSubjectToLoan[[#This Row],[Taxes]])</f>
        <v>0</v>
      </c>
      <c r="I7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9" s="276">
        <f>IF(tblSubjectToLoan[[#This Row],[Date]]="",IF(ROW()=ROW(tblSubjectToLoan[#Headers])+1,0,INDEX(tblSubjectToLoan[Interest],ROW()-ROW(tblSubjectToLoan[#Headers])-1)),tblSubjectToLoan[[#This Row],[Int]]+IF(ROW()=ROW(tblSubjectToLoan[#Headers])+1,0,INDEX(tblSubjectToLoan[Interest],ROW()-ROW(tblSubjectToLoan[#Headers])-1)))</f>
        <v>36068.259999999973</v>
      </c>
      <c r="K719" s="969">
        <f>IF(tblSubjectToLoan[[#This Row],[Date]]="",0,MAX(0,tblSubjectToLoan[[#This Row],[Beginning Balance]]-tblSubjectToLoan[[#This Row],[Princ]]))</f>
        <v>0</v>
      </c>
      <c r="L719" s="394">
        <f t="shared" si="51"/>
        <v>0</v>
      </c>
      <c r="M719" s="394">
        <f t="shared" si="50"/>
        <v>0</v>
      </c>
      <c r="N719" s="613" t="str">
        <f>INDEX(tblSubjectToLoan[Date],ROW()-ROW(tblContractForDeed[#Headers]))</f>
        <v/>
      </c>
      <c r="O719" s="276">
        <f>IF(ROW()=ROW(tblContractForDeed[#Headers])+1,$O$6,IF(INDEX(tblContractForDeed[End Bal],ROW()-ROW(tblContractForDeed[#Headers])-1)&lt;0,0,INDEX(tblContractForDeed[End Bal],ROW()-ROW(tblContractForDeed[#Headers])-1)))</f>
        <v>0</v>
      </c>
      <c r="P719" s="454"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9" s="276">
        <f>IF(INDEX(tblContractForDeed[End Bal],ROW()-ROW(tblBuyerOutputs[#Headers]))&lt;=0,0,($O$6+IF(ROW()=ROW(tblBuyerOutputs[#Headers])+1,0,INDEX(tblBuyerOutputs[Cumul Appr],ROW()-ROW(tblBuyerOutputs[#Headers])-1)))*$O$2/12)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13" t="str">
        <f>IF(ROW()=ROW(tblSubjectToLoan[#Headers])+1,subjectKnownBalanceDate,IF(OR(INDEX(tblSubjectToLoan[Date],ROW()-ROW(tblSubjectToLoan[#Headers])-1)="",INDEX(tblSubjectToLoan[Date],ROW()-ROW(tblSubjectToLoan[#Headers])-1)&gt;=subjectMortgageEndDate),"",EDATE(INDEX(tblSubjectToLoan[Date],ROW()-ROW(tblSubjectToLoan[#Headers])-1),1)))</f>
        <v/>
      </c>
      <c r="B720" s="276">
        <f>IF(tblSubjectToLoan[[#This Row],[Date]]="",0,IF(ROW()=ROW(tblSubjectToLoan[#Headers])+1,subjectKnownBalance,MAX(0,INDEX(tblSubjectToLoan[Ending Balance],ROW()-ROW(tblSubjectToLoan[#Headers])-1))))</f>
        <v>0</v>
      </c>
      <c r="C7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0" s="14">
        <f>IF(tblSubjectToLoan[[#This Row],[Payment]]=0,0,MAX(0,MIN(tblSubjectToLoan[[#This Row],[Beginning Balance]],tblSubjectToLoan[[#This Row],[Payment]]-tblSubjectToLoan[[#This Row],[Int]])))</f>
        <v>0</v>
      </c>
      <c r="E720" s="14">
        <f>IF(tblSubjectToLoan[[#This Row],[Date]]="",0,ROUND(tblSubjectToLoan[[#This Row],[Beginning Balance]]*(subjectInterestRate/12),2))</f>
        <v>0</v>
      </c>
      <c r="H720" s="14">
        <f>SUM(tblSubjectToLoan[[#This Row],[Princ]],tblSubjectToLoan[[#This Row],[Int]],tblSubjectToLoan[[#This Row],[Ins]],tblSubjectToLoan[[#This Row],[Taxes]])</f>
        <v>0</v>
      </c>
      <c r="I7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0" s="276">
        <f>IF(tblSubjectToLoan[[#This Row],[Date]]="",IF(ROW()=ROW(tblSubjectToLoan[#Headers])+1,0,INDEX(tblSubjectToLoan[Interest],ROW()-ROW(tblSubjectToLoan[#Headers])-1)),tblSubjectToLoan[[#This Row],[Int]]+IF(ROW()=ROW(tblSubjectToLoan[#Headers])+1,0,INDEX(tblSubjectToLoan[Interest],ROW()-ROW(tblSubjectToLoan[#Headers])-1)))</f>
        <v>36068.259999999973</v>
      </c>
      <c r="K720" s="969">
        <f>IF(tblSubjectToLoan[[#This Row],[Date]]="",0,MAX(0,tblSubjectToLoan[[#This Row],[Beginning Balance]]-tblSubjectToLoan[[#This Row],[Princ]]))</f>
        <v>0</v>
      </c>
      <c r="L720" s="394">
        <f t="shared" si="51"/>
        <v>0</v>
      </c>
      <c r="M720" s="394">
        <f t="shared" si="50"/>
        <v>0</v>
      </c>
      <c r="N720" s="613" t="str">
        <f>INDEX(tblSubjectToLoan[Date],ROW()-ROW(tblContractForDeed[#Headers]))</f>
        <v/>
      </c>
      <c r="O720" s="276">
        <f>IF(ROW()=ROW(tblContractForDeed[#Headers])+1,$O$6,IF(INDEX(tblContractForDeed[End Bal],ROW()-ROW(tblContractForDeed[#Headers])-1)&lt;0,0,INDEX(tblContractForDeed[End Bal],ROW()-ROW(tblContractForDeed[#Headers])-1)))</f>
        <v>0</v>
      </c>
      <c r="P720" s="454"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0" s="276">
        <f>IF(INDEX(tblContractForDeed[End Bal],ROW()-ROW(tblBuyerOutputs[#Headers]))&lt;=0,0,($O$6+IF(ROW()=ROW(tblBuyerOutputs[#Headers])+1,0,INDEX(tblBuyerOutputs[Cumul Appr],ROW()-ROW(tblBuyerOutputs[#Headers])-1)))*$O$2/12)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13" t="str">
        <f>IF(ROW()=ROW(tblSubjectToLoan[#Headers])+1,subjectKnownBalanceDate,IF(OR(INDEX(tblSubjectToLoan[Date],ROW()-ROW(tblSubjectToLoan[#Headers])-1)="",INDEX(tblSubjectToLoan[Date],ROW()-ROW(tblSubjectToLoan[#Headers])-1)&gt;=subjectMortgageEndDate),"",EDATE(INDEX(tblSubjectToLoan[Date],ROW()-ROW(tblSubjectToLoan[#Headers])-1),1)))</f>
        <v/>
      </c>
      <c r="B721" s="276">
        <f>IF(tblSubjectToLoan[[#This Row],[Date]]="",0,IF(ROW()=ROW(tblSubjectToLoan[#Headers])+1,subjectKnownBalance,MAX(0,INDEX(tblSubjectToLoan[Ending Balance],ROW()-ROW(tblSubjectToLoan[#Headers])-1))))</f>
        <v>0</v>
      </c>
      <c r="C7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1" s="14">
        <f>IF(tblSubjectToLoan[[#This Row],[Payment]]=0,0,MAX(0,MIN(tblSubjectToLoan[[#This Row],[Beginning Balance]],tblSubjectToLoan[[#This Row],[Payment]]-tblSubjectToLoan[[#This Row],[Int]])))</f>
        <v>0</v>
      </c>
      <c r="E721" s="14">
        <f>IF(tblSubjectToLoan[[#This Row],[Date]]="",0,ROUND(tblSubjectToLoan[[#This Row],[Beginning Balance]]*(subjectInterestRate/12),2))</f>
        <v>0</v>
      </c>
      <c r="H721" s="14">
        <f>SUM(tblSubjectToLoan[[#This Row],[Princ]],tblSubjectToLoan[[#This Row],[Int]],tblSubjectToLoan[[#This Row],[Ins]],tblSubjectToLoan[[#This Row],[Taxes]])</f>
        <v>0</v>
      </c>
      <c r="I7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1" s="276">
        <f>IF(tblSubjectToLoan[[#This Row],[Date]]="",IF(ROW()=ROW(tblSubjectToLoan[#Headers])+1,0,INDEX(tblSubjectToLoan[Interest],ROW()-ROW(tblSubjectToLoan[#Headers])-1)),tblSubjectToLoan[[#This Row],[Int]]+IF(ROW()=ROW(tblSubjectToLoan[#Headers])+1,0,INDEX(tblSubjectToLoan[Interest],ROW()-ROW(tblSubjectToLoan[#Headers])-1)))</f>
        <v>36068.259999999973</v>
      </c>
      <c r="K721" s="969">
        <f>IF(tblSubjectToLoan[[#This Row],[Date]]="",0,MAX(0,tblSubjectToLoan[[#This Row],[Beginning Balance]]-tblSubjectToLoan[[#This Row],[Princ]]))</f>
        <v>0</v>
      </c>
      <c r="L721" s="394">
        <f t="shared" si="51"/>
        <v>0</v>
      </c>
      <c r="M721" s="394">
        <f t="shared" si="50"/>
        <v>0</v>
      </c>
      <c r="N721" s="613" t="str">
        <f>INDEX(tblSubjectToLoan[Date],ROW()-ROW(tblContractForDeed[#Headers]))</f>
        <v/>
      </c>
      <c r="O721" s="276">
        <f>IF(ROW()=ROW(tblContractForDeed[#Headers])+1,$O$6,IF(INDEX(tblContractForDeed[End Bal],ROW()-ROW(tblContractForDeed[#Headers])-1)&lt;0,0,INDEX(tblContractForDeed[End Bal],ROW()-ROW(tblContractForDeed[#Headers])-1)))</f>
        <v>0</v>
      </c>
      <c r="P721" s="454"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1" s="276">
        <f>IF(INDEX(tblContractForDeed[End Bal],ROW()-ROW(tblBuyerOutputs[#Headers]))&lt;=0,0,($O$6+IF(ROW()=ROW(tblBuyerOutputs[#Headers])+1,0,INDEX(tblBuyerOutputs[Cumul Appr],ROW()-ROW(tblBuyerOutputs[#Headers])-1)))*$O$2/12)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13" t="str">
        <f>IF(ROW()=ROW(tblSubjectToLoan[#Headers])+1,subjectKnownBalanceDate,IF(OR(INDEX(tblSubjectToLoan[Date],ROW()-ROW(tblSubjectToLoan[#Headers])-1)="",INDEX(tblSubjectToLoan[Date],ROW()-ROW(tblSubjectToLoan[#Headers])-1)&gt;=subjectMortgageEndDate),"",EDATE(INDEX(tblSubjectToLoan[Date],ROW()-ROW(tblSubjectToLoan[#Headers])-1),1)))</f>
        <v/>
      </c>
      <c r="B722" s="276">
        <f>IF(tblSubjectToLoan[[#This Row],[Date]]="",0,IF(ROW()=ROW(tblSubjectToLoan[#Headers])+1,subjectKnownBalance,MAX(0,INDEX(tblSubjectToLoan[Ending Balance],ROW()-ROW(tblSubjectToLoan[#Headers])-1))))</f>
        <v>0</v>
      </c>
      <c r="C7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2" s="14">
        <f>IF(tblSubjectToLoan[[#This Row],[Payment]]=0,0,MAX(0,MIN(tblSubjectToLoan[[#This Row],[Beginning Balance]],tblSubjectToLoan[[#This Row],[Payment]]-tblSubjectToLoan[[#This Row],[Int]])))</f>
        <v>0</v>
      </c>
      <c r="E722" s="14">
        <f>IF(tblSubjectToLoan[[#This Row],[Date]]="",0,ROUND(tblSubjectToLoan[[#This Row],[Beginning Balance]]*(subjectInterestRate/12),2))</f>
        <v>0</v>
      </c>
      <c r="H722" s="14">
        <f>SUM(tblSubjectToLoan[[#This Row],[Princ]],tblSubjectToLoan[[#This Row],[Int]],tblSubjectToLoan[[#This Row],[Ins]],tblSubjectToLoan[[#This Row],[Taxes]])</f>
        <v>0</v>
      </c>
      <c r="I7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2" s="276">
        <f>IF(tblSubjectToLoan[[#This Row],[Date]]="",IF(ROW()=ROW(tblSubjectToLoan[#Headers])+1,0,INDEX(tblSubjectToLoan[Interest],ROW()-ROW(tblSubjectToLoan[#Headers])-1)),tblSubjectToLoan[[#This Row],[Int]]+IF(ROW()=ROW(tblSubjectToLoan[#Headers])+1,0,INDEX(tblSubjectToLoan[Interest],ROW()-ROW(tblSubjectToLoan[#Headers])-1)))</f>
        <v>36068.259999999973</v>
      </c>
      <c r="K722" s="969">
        <f>IF(tblSubjectToLoan[[#This Row],[Date]]="",0,MAX(0,tblSubjectToLoan[[#This Row],[Beginning Balance]]-tblSubjectToLoan[[#This Row],[Princ]]))</f>
        <v>0</v>
      </c>
      <c r="L722" s="394">
        <f t="shared" si="51"/>
        <v>0</v>
      </c>
      <c r="M722" s="394">
        <f t="shared" si="50"/>
        <v>0</v>
      </c>
      <c r="N722" s="613" t="str">
        <f>INDEX(tblSubjectToLoan[Date],ROW()-ROW(tblContractForDeed[#Headers]))</f>
        <v/>
      </c>
      <c r="O722" s="276">
        <f>IF(ROW()=ROW(tblContractForDeed[#Headers])+1,$O$6,IF(INDEX(tblContractForDeed[End Bal],ROW()-ROW(tblContractForDeed[#Headers])-1)&lt;0,0,INDEX(tblContractForDeed[End Bal],ROW()-ROW(tblContractForDeed[#Headers])-1)))</f>
        <v>0</v>
      </c>
      <c r="P722" s="454"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2" s="276">
        <f>IF(INDEX(tblContractForDeed[End Bal],ROW()-ROW(tblBuyerOutputs[#Headers]))&lt;=0,0,($O$6+IF(ROW()=ROW(tblBuyerOutputs[#Headers])+1,0,INDEX(tblBuyerOutputs[Cumul Appr],ROW()-ROW(tblBuyerOutputs[#Headers])-1)))*$O$2/12)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13" t="str">
        <f>IF(ROW()=ROW(tblSubjectToLoan[#Headers])+1,subjectKnownBalanceDate,IF(OR(INDEX(tblSubjectToLoan[Date],ROW()-ROW(tblSubjectToLoan[#Headers])-1)="",INDEX(tblSubjectToLoan[Date],ROW()-ROW(tblSubjectToLoan[#Headers])-1)&gt;=subjectMortgageEndDate),"",EDATE(INDEX(tblSubjectToLoan[Date],ROW()-ROW(tblSubjectToLoan[#Headers])-1),1)))</f>
        <v/>
      </c>
      <c r="B723" s="276">
        <f>IF(tblSubjectToLoan[[#This Row],[Date]]="",0,IF(ROW()=ROW(tblSubjectToLoan[#Headers])+1,subjectKnownBalance,MAX(0,INDEX(tblSubjectToLoan[Ending Balance],ROW()-ROW(tblSubjectToLoan[#Headers])-1))))</f>
        <v>0</v>
      </c>
      <c r="C7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3" s="14">
        <f>IF(tblSubjectToLoan[[#This Row],[Payment]]=0,0,MAX(0,MIN(tblSubjectToLoan[[#This Row],[Beginning Balance]],tblSubjectToLoan[[#This Row],[Payment]]-tblSubjectToLoan[[#This Row],[Int]])))</f>
        <v>0</v>
      </c>
      <c r="E723" s="14">
        <f>IF(tblSubjectToLoan[[#This Row],[Date]]="",0,ROUND(tblSubjectToLoan[[#This Row],[Beginning Balance]]*(subjectInterestRate/12),2))</f>
        <v>0</v>
      </c>
      <c r="H723" s="14">
        <f>SUM(tblSubjectToLoan[[#This Row],[Princ]],tblSubjectToLoan[[#This Row],[Int]],tblSubjectToLoan[[#This Row],[Ins]],tblSubjectToLoan[[#This Row],[Taxes]])</f>
        <v>0</v>
      </c>
      <c r="I7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3" s="276">
        <f>IF(tblSubjectToLoan[[#This Row],[Date]]="",IF(ROW()=ROW(tblSubjectToLoan[#Headers])+1,0,INDEX(tblSubjectToLoan[Interest],ROW()-ROW(tblSubjectToLoan[#Headers])-1)),tblSubjectToLoan[[#This Row],[Int]]+IF(ROW()=ROW(tblSubjectToLoan[#Headers])+1,0,INDEX(tblSubjectToLoan[Interest],ROW()-ROW(tblSubjectToLoan[#Headers])-1)))</f>
        <v>36068.259999999973</v>
      </c>
      <c r="K723" s="969">
        <f>IF(tblSubjectToLoan[[#This Row],[Date]]="",0,MAX(0,tblSubjectToLoan[[#This Row],[Beginning Balance]]-tblSubjectToLoan[[#This Row],[Princ]]))</f>
        <v>0</v>
      </c>
      <c r="L723" s="394">
        <f t="shared" si="51"/>
        <v>0</v>
      </c>
      <c r="M723" s="394">
        <f t="shared" si="50"/>
        <v>0</v>
      </c>
      <c r="N723" s="613" t="str">
        <f>INDEX(tblSubjectToLoan[Date],ROW()-ROW(tblContractForDeed[#Headers]))</f>
        <v/>
      </c>
      <c r="O723" s="276">
        <f>IF(ROW()=ROW(tblContractForDeed[#Headers])+1,$O$6,IF(INDEX(tblContractForDeed[End Bal],ROW()-ROW(tblContractForDeed[#Headers])-1)&lt;0,0,INDEX(tblContractForDeed[End Bal],ROW()-ROW(tblContractForDeed[#Headers])-1)))</f>
        <v>0</v>
      </c>
      <c r="P723" s="454"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3" s="276">
        <f>IF(INDEX(tblContractForDeed[End Bal],ROW()-ROW(tblBuyerOutputs[#Headers]))&lt;=0,0,($O$6+IF(ROW()=ROW(tblBuyerOutputs[#Headers])+1,0,INDEX(tblBuyerOutputs[Cumul Appr],ROW()-ROW(tblBuyerOutputs[#Headers])-1)))*$O$2/12)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13" t="str">
        <f>IF(ROW()=ROW(tblSubjectToLoan[#Headers])+1,subjectKnownBalanceDate,IF(OR(INDEX(tblSubjectToLoan[Date],ROW()-ROW(tblSubjectToLoan[#Headers])-1)="",INDEX(tblSubjectToLoan[Date],ROW()-ROW(tblSubjectToLoan[#Headers])-1)&gt;=subjectMortgageEndDate),"",EDATE(INDEX(tblSubjectToLoan[Date],ROW()-ROW(tblSubjectToLoan[#Headers])-1),1)))</f>
        <v/>
      </c>
      <c r="B724" s="276">
        <f>IF(tblSubjectToLoan[[#This Row],[Date]]="",0,IF(ROW()=ROW(tblSubjectToLoan[#Headers])+1,subjectKnownBalance,MAX(0,INDEX(tblSubjectToLoan[Ending Balance],ROW()-ROW(tblSubjectToLoan[#Headers])-1))))</f>
        <v>0</v>
      </c>
      <c r="C7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4" s="14">
        <f>IF(tblSubjectToLoan[[#This Row],[Payment]]=0,0,MAX(0,MIN(tblSubjectToLoan[[#This Row],[Beginning Balance]],tblSubjectToLoan[[#This Row],[Payment]]-tblSubjectToLoan[[#This Row],[Int]])))</f>
        <v>0</v>
      </c>
      <c r="E724" s="14">
        <f>IF(tblSubjectToLoan[[#This Row],[Date]]="",0,ROUND(tblSubjectToLoan[[#This Row],[Beginning Balance]]*(subjectInterestRate/12),2))</f>
        <v>0</v>
      </c>
      <c r="H724" s="14">
        <f>SUM(tblSubjectToLoan[[#This Row],[Princ]],tblSubjectToLoan[[#This Row],[Int]],tblSubjectToLoan[[#This Row],[Ins]],tblSubjectToLoan[[#This Row],[Taxes]])</f>
        <v>0</v>
      </c>
      <c r="I7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4" s="276">
        <f>IF(tblSubjectToLoan[[#This Row],[Date]]="",IF(ROW()=ROW(tblSubjectToLoan[#Headers])+1,0,INDEX(tblSubjectToLoan[Interest],ROW()-ROW(tblSubjectToLoan[#Headers])-1)),tblSubjectToLoan[[#This Row],[Int]]+IF(ROW()=ROW(tblSubjectToLoan[#Headers])+1,0,INDEX(tblSubjectToLoan[Interest],ROW()-ROW(tblSubjectToLoan[#Headers])-1)))</f>
        <v>36068.259999999973</v>
      </c>
      <c r="K724" s="969">
        <f>IF(tblSubjectToLoan[[#This Row],[Date]]="",0,MAX(0,tblSubjectToLoan[[#This Row],[Beginning Balance]]-tblSubjectToLoan[[#This Row],[Princ]]))</f>
        <v>0</v>
      </c>
      <c r="L724" s="394">
        <f t="shared" si="51"/>
        <v>0</v>
      </c>
      <c r="M724" s="394">
        <f t="shared" si="50"/>
        <v>0</v>
      </c>
      <c r="N724" s="613" t="str">
        <f>INDEX(tblSubjectToLoan[Date],ROW()-ROW(tblContractForDeed[#Headers]))</f>
        <v/>
      </c>
      <c r="O724" s="276">
        <f>IF(ROW()=ROW(tblContractForDeed[#Headers])+1,$O$6,IF(INDEX(tblContractForDeed[End Bal],ROW()-ROW(tblContractForDeed[#Headers])-1)&lt;0,0,INDEX(tblContractForDeed[End Bal],ROW()-ROW(tblContractForDeed[#Headers])-1)))</f>
        <v>0</v>
      </c>
      <c r="P724" s="454"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4" s="276">
        <f>IF(INDEX(tblContractForDeed[End Bal],ROW()-ROW(tblBuyerOutputs[#Headers]))&lt;=0,0,($O$6+IF(ROW()=ROW(tblBuyerOutputs[#Headers])+1,0,INDEX(tblBuyerOutputs[Cumul Appr],ROW()-ROW(tblBuyerOutputs[#Headers])-1)))*$O$2/12)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13" t="str">
        <f>IF(ROW()=ROW(tblSubjectToLoan[#Headers])+1,subjectKnownBalanceDate,IF(OR(INDEX(tblSubjectToLoan[Date],ROW()-ROW(tblSubjectToLoan[#Headers])-1)="",INDEX(tblSubjectToLoan[Date],ROW()-ROW(tblSubjectToLoan[#Headers])-1)&gt;=subjectMortgageEndDate),"",EDATE(INDEX(tblSubjectToLoan[Date],ROW()-ROW(tblSubjectToLoan[#Headers])-1),1)))</f>
        <v/>
      </c>
      <c r="B725" s="276">
        <f>IF(tblSubjectToLoan[[#This Row],[Date]]="",0,IF(ROW()=ROW(tblSubjectToLoan[#Headers])+1,subjectKnownBalance,MAX(0,INDEX(tblSubjectToLoan[Ending Balance],ROW()-ROW(tblSubjectToLoan[#Headers])-1))))</f>
        <v>0</v>
      </c>
      <c r="C7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5" s="14">
        <f>IF(tblSubjectToLoan[[#This Row],[Payment]]=0,0,MAX(0,MIN(tblSubjectToLoan[[#This Row],[Beginning Balance]],tblSubjectToLoan[[#This Row],[Payment]]-tblSubjectToLoan[[#This Row],[Int]])))</f>
        <v>0</v>
      </c>
      <c r="E725" s="14">
        <f>IF(tblSubjectToLoan[[#This Row],[Date]]="",0,ROUND(tblSubjectToLoan[[#This Row],[Beginning Balance]]*(subjectInterestRate/12),2))</f>
        <v>0</v>
      </c>
      <c r="H725" s="14">
        <f>SUM(tblSubjectToLoan[[#This Row],[Princ]],tblSubjectToLoan[[#This Row],[Int]],tblSubjectToLoan[[#This Row],[Ins]],tblSubjectToLoan[[#This Row],[Taxes]])</f>
        <v>0</v>
      </c>
      <c r="I7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5" s="276">
        <f>IF(tblSubjectToLoan[[#This Row],[Date]]="",IF(ROW()=ROW(tblSubjectToLoan[#Headers])+1,0,INDEX(tblSubjectToLoan[Interest],ROW()-ROW(tblSubjectToLoan[#Headers])-1)),tblSubjectToLoan[[#This Row],[Int]]+IF(ROW()=ROW(tblSubjectToLoan[#Headers])+1,0,INDEX(tblSubjectToLoan[Interest],ROW()-ROW(tblSubjectToLoan[#Headers])-1)))</f>
        <v>36068.259999999973</v>
      </c>
      <c r="K725" s="969">
        <f>IF(tblSubjectToLoan[[#This Row],[Date]]="",0,MAX(0,tblSubjectToLoan[[#This Row],[Beginning Balance]]-tblSubjectToLoan[[#This Row],[Princ]]))</f>
        <v>0</v>
      </c>
      <c r="L725" s="394">
        <f t="shared" si="51"/>
        <v>0</v>
      </c>
      <c r="M725" s="394">
        <f t="shared" ref="M725:M788" si="52">IF($A725&lt;&gt;"",M724+1,0)</f>
        <v>0</v>
      </c>
      <c r="N725" s="613" t="str">
        <f>INDEX(tblSubjectToLoan[Date],ROW()-ROW(tblContractForDeed[#Headers]))</f>
        <v/>
      </c>
      <c r="O725" s="276">
        <f>IF(ROW()=ROW(tblContractForDeed[#Headers])+1,$O$6,IF(INDEX(tblContractForDeed[End Bal],ROW()-ROW(tblContractForDeed[#Headers])-1)&lt;0,0,INDEX(tblContractForDeed[End Bal],ROW()-ROW(tblContractForDeed[#Headers])-1)))</f>
        <v>0</v>
      </c>
      <c r="P725" s="454"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5" s="276">
        <f>IF(INDEX(tblContractForDeed[End Bal],ROW()-ROW(tblBuyerOutputs[#Headers]))&lt;=0,0,($O$6+IF(ROW()=ROW(tblBuyerOutputs[#Headers])+1,0,INDEX(tblBuyerOutputs[Cumul Appr],ROW()-ROW(tblBuyerOutputs[#Headers])-1)))*$O$2/12)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13" t="str">
        <f>IF(ROW()=ROW(tblSubjectToLoan[#Headers])+1,subjectKnownBalanceDate,IF(OR(INDEX(tblSubjectToLoan[Date],ROW()-ROW(tblSubjectToLoan[#Headers])-1)="",INDEX(tblSubjectToLoan[Date],ROW()-ROW(tblSubjectToLoan[#Headers])-1)&gt;=subjectMortgageEndDate),"",EDATE(INDEX(tblSubjectToLoan[Date],ROW()-ROW(tblSubjectToLoan[#Headers])-1),1)))</f>
        <v/>
      </c>
      <c r="B726" s="276">
        <f>IF(tblSubjectToLoan[[#This Row],[Date]]="",0,IF(ROW()=ROW(tblSubjectToLoan[#Headers])+1,subjectKnownBalance,MAX(0,INDEX(tblSubjectToLoan[Ending Balance],ROW()-ROW(tblSubjectToLoan[#Headers])-1))))</f>
        <v>0</v>
      </c>
      <c r="C7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6" s="14">
        <f>IF(tblSubjectToLoan[[#This Row],[Payment]]=0,0,MAX(0,MIN(tblSubjectToLoan[[#This Row],[Beginning Balance]],tblSubjectToLoan[[#This Row],[Payment]]-tblSubjectToLoan[[#This Row],[Int]])))</f>
        <v>0</v>
      </c>
      <c r="E726" s="14">
        <f>IF(tblSubjectToLoan[[#This Row],[Date]]="",0,ROUND(tblSubjectToLoan[[#This Row],[Beginning Balance]]*(subjectInterestRate/12),2))</f>
        <v>0</v>
      </c>
      <c r="H726" s="14">
        <f>SUM(tblSubjectToLoan[[#This Row],[Princ]],tblSubjectToLoan[[#This Row],[Int]],tblSubjectToLoan[[#This Row],[Ins]],tblSubjectToLoan[[#This Row],[Taxes]])</f>
        <v>0</v>
      </c>
      <c r="I7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6" s="276">
        <f>IF(tblSubjectToLoan[[#This Row],[Date]]="",IF(ROW()=ROW(tblSubjectToLoan[#Headers])+1,0,INDEX(tblSubjectToLoan[Interest],ROW()-ROW(tblSubjectToLoan[#Headers])-1)),tblSubjectToLoan[[#This Row],[Int]]+IF(ROW()=ROW(tblSubjectToLoan[#Headers])+1,0,INDEX(tblSubjectToLoan[Interest],ROW()-ROW(tblSubjectToLoan[#Headers])-1)))</f>
        <v>36068.259999999973</v>
      </c>
      <c r="K726" s="969">
        <f>IF(tblSubjectToLoan[[#This Row],[Date]]="",0,MAX(0,tblSubjectToLoan[[#This Row],[Beginning Balance]]-tblSubjectToLoan[[#This Row],[Princ]]))</f>
        <v>0</v>
      </c>
      <c r="L726" s="394">
        <f t="shared" si="51"/>
        <v>0</v>
      </c>
      <c r="M726" s="394">
        <f t="shared" si="52"/>
        <v>0</v>
      </c>
      <c r="N726" s="613" t="str">
        <f>INDEX(tblSubjectToLoan[Date],ROW()-ROW(tblContractForDeed[#Headers]))</f>
        <v/>
      </c>
      <c r="O726" s="276">
        <f>IF(ROW()=ROW(tblContractForDeed[#Headers])+1,$O$6,IF(INDEX(tblContractForDeed[End Bal],ROW()-ROW(tblContractForDeed[#Headers])-1)&lt;0,0,INDEX(tblContractForDeed[End Bal],ROW()-ROW(tblContractForDeed[#Headers])-1)))</f>
        <v>0</v>
      </c>
      <c r="P726" s="454"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6" s="276">
        <f>IF(INDEX(tblContractForDeed[End Bal],ROW()-ROW(tblBuyerOutputs[#Headers]))&lt;=0,0,($O$6+IF(ROW()=ROW(tblBuyerOutputs[#Headers])+1,0,INDEX(tblBuyerOutputs[Cumul Appr],ROW()-ROW(tblBuyerOutputs[#Headers])-1)))*$O$2/12)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14" t="str">
        <f>IF(ROW()=ROW(tblSubjectToLoan[#Headers])+1,subjectKnownBalanceDate,IF(OR(INDEX(tblSubjectToLoan[Date],ROW()-ROW(tblSubjectToLoan[#Headers])-1)="",INDEX(tblSubjectToLoan[Date],ROW()-ROW(tblSubjectToLoan[#Headers])-1)&gt;=subjectMortgageEndDate),"",EDATE(INDEX(tblSubjectToLoan[Date],ROW()-ROW(tblSubjectToLoan[#Headers])-1),1)))</f>
        <v/>
      </c>
      <c r="B727" s="332">
        <f>IF(tblSubjectToLoan[[#This Row],[Date]]="",0,IF(ROW()=ROW(tblSubjectToLoan[#Headers])+1,subjectKnownBalance,MAX(0,INDEX(tblSubjectToLoan[Ending Balance],ROW()-ROW(tblSubjectToLoan[#Headers])-1))))</f>
        <v>0</v>
      </c>
      <c r="C72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7" s="21">
        <f>IF(tblSubjectToLoan[[#This Row],[Payment]]=0,0,MAX(0,MIN(tblSubjectToLoan[[#This Row],[Beginning Balance]],tblSubjectToLoan[[#This Row],[Payment]]-tblSubjectToLoan[[#This Row],[Int]])))</f>
        <v>0</v>
      </c>
      <c r="E727" s="21">
        <f>IF(tblSubjectToLoan[[#This Row],[Date]]="",0,ROUND(tblSubjectToLoan[[#This Row],[Beginning Balance]]*(subjectInterestRate/12),2))</f>
        <v>0</v>
      </c>
      <c r="F727" s="21"/>
      <c r="G727" s="21"/>
      <c r="H727" s="21">
        <f>SUM(tblSubjectToLoan[[#This Row],[Princ]],tblSubjectToLoan[[#This Row],[Int]],tblSubjectToLoan[[#This Row],[Ins]],tblSubjectToLoan[[#This Row],[Taxes]])</f>
        <v>0</v>
      </c>
      <c r="I72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27" s="332">
        <f>IF(tblSubjectToLoan[[#This Row],[Date]]="",IF(ROW()=ROW(tblSubjectToLoan[#Headers])+1,0,INDEX(tblSubjectToLoan[Interest],ROW()-ROW(tblSubjectToLoan[#Headers])-1)),tblSubjectToLoan[[#This Row],[Int]]+IF(ROW()=ROW(tblSubjectToLoan[#Headers])+1,0,INDEX(tblSubjectToLoan[Interest],ROW()-ROW(tblSubjectToLoan[#Headers])-1)))</f>
        <v>36068.259999999973</v>
      </c>
      <c r="K727" s="970">
        <f>IF(tblSubjectToLoan[[#This Row],[Date]]="",0,MAX(0,tblSubjectToLoan[[#This Row],[Beginning Balance]]-tblSubjectToLoan[[#This Row],[Princ]]))</f>
        <v>0</v>
      </c>
      <c r="L727" s="395">
        <f t="shared" si="51"/>
        <v>0</v>
      </c>
      <c r="M727" s="395">
        <f t="shared" si="52"/>
        <v>0</v>
      </c>
      <c r="N727" s="614" t="str">
        <f>INDEX(tblSubjectToLoan[Date],ROW()-ROW(tblContractForDeed[#Headers]))</f>
        <v/>
      </c>
      <c r="O727" s="332">
        <f>IF(ROW()=ROW(tblContractForDeed[#Headers])+1,$O$6,IF(INDEX(tblContractForDeed[End Bal],ROW()-ROW(tblContractForDeed[#Headers])-1)&lt;0,0,INDEX(tblContractForDeed[End Bal],ROW()-ROW(tblContractForDeed[#Headers])-1)))</f>
        <v>0</v>
      </c>
      <c r="P727" s="454"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7" s="332">
        <f>IF(INDEX(tblContractForDeed[End Bal],ROW()-ROW(tblBuyerOutputs[#Headers]))&lt;=0,0,($O$6+IF(ROW()=ROW(tblBuyerOutputs[#Headers])+1,0,INDEX(tblBuyerOutputs[Cumul Appr],ROW()-ROW(tblBuyerOutputs[#Headers])-1)))*$O$2/12)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13" t="str">
        <f>IF(ROW()=ROW(tblSubjectToLoan[#Headers])+1,subjectKnownBalanceDate,IF(OR(INDEX(tblSubjectToLoan[Date],ROW()-ROW(tblSubjectToLoan[#Headers])-1)="",INDEX(tblSubjectToLoan[Date],ROW()-ROW(tblSubjectToLoan[#Headers])-1)&gt;=subjectMortgageEndDate),"",EDATE(INDEX(tblSubjectToLoan[Date],ROW()-ROW(tblSubjectToLoan[#Headers])-1),1)))</f>
        <v/>
      </c>
      <c r="B728" s="276">
        <f>IF(tblSubjectToLoan[[#This Row],[Date]]="",0,IF(ROW()=ROW(tblSubjectToLoan[#Headers])+1,subjectKnownBalance,MAX(0,INDEX(tblSubjectToLoan[Ending Balance],ROW()-ROW(tblSubjectToLoan[#Headers])-1))))</f>
        <v>0</v>
      </c>
      <c r="C7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8" s="14">
        <f>IF(tblSubjectToLoan[[#This Row],[Payment]]=0,0,MAX(0,MIN(tblSubjectToLoan[[#This Row],[Beginning Balance]],tblSubjectToLoan[[#This Row],[Payment]]-tblSubjectToLoan[[#This Row],[Int]])))</f>
        <v>0</v>
      </c>
      <c r="E728" s="14">
        <f>IF(tblSubjectToLoan[[#This Row],[Date]]="",0,ROUND(tblSubjectToLoan[[#This Row],[Beginning Balance]]*(subjectInterestRate/12),2))</f>
        <v>0</v>
      </c>
      <c r="H728" s="14">
        <f>SUM(tblSubjectToLoan[[#This Row],[Princ]],tblSubjectToLoan[[#This Row],[Int]],tblSubjectToLoan[[#This Row],[Ins]],tblSubjectToLoan[[#This Row],[Taxes]])</f>
        <v>0</v>
      </c>
      <c r="I7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8" s="276">
        <f>IF(tblSubjectToLoan[[#This Row],[Date]]="",IF(ROW()=ROW(tblSubjectToLoan[#Headers])+1,0,INDEX(tblSubjectToLoan[Interest],ROW()-ROW(tblSubjectToLoan[#Headers])-1)),tblSubjectToLoan[[#This Row],[Int]]+IF(ROW()=ROW(tblSubjectToLoan[#Headers])+1,0,INDEX(tblSubjectToLoan[Interest],ROW()-ROW(tblSubjectToLoan[#Headers])-1)))</f>
        <v>36068.259999999973</v>
      </c>
      <c r="K728" s="969">
        <f>IF(tblSubjectToLoan[[#This Row],[Date]]="",0,MAX(0,tblSubjectToLoan[[#This Row],[Beginning Balance]]-tblSubjectToLoan[[#This Row],[Princ]]))</f>
        <v>0</v>
      </c>
      <c r="L728" s="394">
        <f t="shared" si="51"/>
        <v>0</v>
      </c>
      <c r="M728" s="394">
        <f t="shared" si="52"/>
        <v>0</v>
      </c>
      <c r="N728" s="613" t="str">
        <f>INDEX(tblSubjectToLoan[Date],ROW()-ROW(tblContractForDeed[#Headers]))</f>
        <v/>
      </c>
      <c r="O728" s="276">
        <f>IF(ROW()=ROW(tblContractForDeed[#Headers])+1,$O$6,IF(INDEX(tblContractForDeed[End Bal],ROW()-ROW(tblContractForDeed[#Headers])-1)&lt;0,0,INDEX(tblContractForDeed[End Bal],ROW()-ROW(tblContractForDeed[#Headers])-1)))</f>
        <v>0</v>
      </c>
      <c r="P728" s="454"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8" s="276">
        <f>IF(INDEX(tblContractForDeed[End Bal],ROW()-ROW(tblBuyerOutputs[#Headers]))&lt;=0,0,($O$6+IF(ROW()=ROW(tblBuyerOutputs[#Headers])+1,0,INDEX(tblBuyerOutputs[Cumul Appr],ROW()-ROW(tblBuyerOutputs[#Headers])-1)))*$O$2/12)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13" t="str">
        <f>IF(ROW()=ROW(tblSubjectToLoan[#Headers])+1,subjectKnownBalanceDate,IF(OR(INDEX(tblSubjectToLoan[Date],ROW()-ROW(tblSubjectToLoan[#Headers])-1)="",INDEX(tblSubjectToLoan[Date],ROW()-ROW(tblSubjectToLoan[#Headers])-1)&gt;=subjectMortgageEndDate),"",EDATE(INDEX(tblSubjectToLoan[Date],ROW()-ROW(tblSubjectToLoan[#Headers])-1),1)))</f>
        <v/>
      </c>
      <c r="B729" s="276">
        <f>IF(tblSubjectToLoan[[#This Row],[Date]]="",0,IF(ROW()=ROW(tblSubjectToLoan[#Headers])+1,subjectKnownBalance,MAX(0,INDEX(tblSubjectToLoan[Ending Balance],ROW()-ROW(tblSubjectToLoan[#Headers])-1))))</f>
        <v>0</v>
      </c>
      <c r="C7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9" s="14">
        <f>IF(tblSubjectToLoan[[#This Row],[Payment]]=0,0,MAX(0,MIN(tblSubjectToLoan[[#This Row],[Beginning Balance]],tblSubjectToLoan[[#This Row],[Payment]]-tblSubjectToLoan[[#This Row],[Int]])))</f>
        <v>0</v>
      </c>
      <c r="E729" s="14">
        <f>IF(tblSubjectToLoan[[#This Row],[Date]]="",0,ROUND(tblSubjectToLoan[[#This Row],[Beginning Balance]]*(subjectInterestRate/12),2))</f>
        <v>0</v>
      </c>
      <c r="H729" s="14">
        <f>SUM(tblSubjectToLoan[[#This Row],[Princ]],tblSubjectToLoan[[#This Row],[Int]],tblSubjectToLoan[[#This Row],[Ins]],tblSubjectToLoan[[#This Row],[Taxes]])</f>
        <v>0</v>
      </c>
      <c r="I7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9" s="276">
        <f>IF(tblSubjectToLoan[[#This Row],[Date]]="",IF(ROW()=ROW(tblSubjectToLoan[#Headers])+1,0,INDEX(tblSubjectToLoan[Interest],ROW()-ROW(tblSubjectToLoan[#Headers])-1)),tblSubjectToLoan[[#This Row],[Int]]+IF(ROW()=ROW(tblSubjectToLoan[#Headers])+1,0,INDEX(tblSubjectToLoan[Interest],ROW()-ROW(tblSubjectToLoan[#Headers])-1)))</f>
        <v>36068.259999999973</v>
      </c>
      <c r="K729" s="969">
        <f>IF(tblSubjectToLoan[[#This Row],[Date]]="",0,MAX(0,tblSubjectToLoan[[#This Row],[Beginning Balance]]-tblSubjectToLoan[[#This Row],[Princ]]))</f>
        <v>0</v>
      </c>
      <c r="L729" s="394">
        <f t="shared" si="51"/>
        <v>0</v>
      </c>
      <c r="M729" s="394">
        <f t="shared" si="52"/>
        <v>0</v>
      </c>
      <c r="N729" s="613" t="str">
        <f>INDEX(tblSubjectToLoan[Date],ROW()-ROW(tblContractForDeed[#Headers]))</f>
        <v/>
      </c>
      <c r="O729" s="276">
        <f>IF(ROW()=ROW(tblContractForDeed[#Headers])+1,$O$6,IF(INDEX(tblContractForDeed[End Bal],ROW()-ROW(tblContractForDeed[#Headers])-1)&lt;0,0,INDEX(tblContractForDeed[End Bal],ROW()-ROW(tblContractForDeed[#Headers])-1)))</f>
        <v>0</v>
      </c>
      <c r="P729" s="454"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9" s="276">
        <f>IF(INDEX(tblContractForDeed[End Bal],ROW()-ROW(tblBuyerOutputs[#Headers]))&lt;=0,0,($O$6+IF(ROW()=ROW(tblBuyerOutputs[#Headers])+1,0,INDEX(tblBuyerOutputs[Cumul Appr],ROW()-ROW(tblBuyerOutputs[#Headers])-1)))*$O$2/12)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13" t="str">
        <f>IF(ROW()=ROW(tblSubjectToLoan[#Headers])+1,subjectKnownBalanceDate,IF(OR(INDEX(tblSubjectToLoan[Date],ROW()-ROW(tblSubjectToLoan[#Headers])-1)="",INDEX(tblSubjectToLoan[Date],ROW()-ROW(tblSubjectToLoan[#Headers])-1)&gt;=subjectMortgageEndDate),"",EDATE(INDEX(tblSubjectToLoan[Date],ROW()-ROW(tblSubjectToLoan[#Headers])-1),1)))</f>
        <v/>
      </c>
      <c r="B730" s="276">
        <f>IF(tblSubjectToLoan[[#This Row],[Date]]="",0,IF(ROW()=ROW(tblSubjectToLoan[#Headers])+1,subjectKnownBalance,MAX(0,INDEX(tblSubjectToLoan[Ending Balance],ROW()-ROW(tblSubjectToLoan[#Headers])-1))))</f>
        <v>0</v>
      </c>
      <c r="C7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0" s="14">
        <f>IF(tblSubjectToLoan[[#This Row],[Payment]]=0,0,MAX(0,MIN(tblSubjectToLoan[[#This Row],[Beginning Balance]],tblSubjectToLoan[[#This Row],[Payment]]-tblSubjectToLoan[[#This Row],[Int]])))</f>
        <v>0</v>
      </c>
      <c r="E730" s="14">
        <f>IF(tblSubjectToLoan[[#This Row],[Date]]="",0,ROUND(tblSubjectToLoan[[#This Row],[Beginning Balance]]*(subjectInterestRate/12),2))</f>
        <v>0</v>
      </c>
      <c r="H730" s="14">
        <f>SUM(tblSubjectToLoan[[#This Row],[Princ]],tblSubjectToLoan[[#This Row],[Int]],tblSubjectToLoan[[#This Row],[Ins]],tblSubjectToLoan[[#This Row],[Taxes]])</f>
        <v>0</v>
      </c>
      <c r="I7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0" s="276">
        <f>IF(tblSubjectToLoan[[#This Row],[Date]]="",IF(ROW()=ROW(tblSubjectToLoan[#Headers])+1,0,INDEX(tblSubjectToLoan[Interest],ROW()-ROW(tblSubjectToLoan[#Headers])-1)),tblSubjectToLoan[[#This Row],[Int]]+IF(ROW()=ROW(tblSubjectToLoan[#Headers])+1,0,INDEX(tblSubjectToLoan[Interest],ROW()-ROW(tblSubjectToLoan[#Headers])-1)))</f>
        <v>36068.259999999973</v>
      </c>
      <c r="K730" s="969">
        <f>IF(tblSubjectToLoan[[#This Row],[Date]]="",0,MAX(0,tblSubjectToLoan[[#This Row],[Beginning Balance]]-tblSubjectToLoan[[#This Row],[Princ]]))</f>
        <v>0</v>
      </c>
      <c r="L730" s="394">
        <f t="shared" si="51"/>
        <v>0</v>
      </c>
      <c r="M730" s="394">
        <f t="shared" si="52"/>
        <v>0</v>
      </c>
      <c r="N730" s="613" t="str">
        <f>INDEX(tblSubjectToLoan[Date],ROW()-ROW(tblContractForDeed[#Headers]))</f>
        <v/>
      </c>
      <c r="O730" s="276">
        <f>IF(ROW()=ROW(tblContractForDeed[#Headers])+1,$O$6,IF(INDEX(tblContractForDeed[End Bal],ROW()-ROW(tblContractForDeed[#Headers])-1)&lt;0,0,INDEX(tblContractForDeed[End Bal],ROW()-ROW(tblContractForDeed[#Headers])-1)))</f>
        <v>0</v>
      </c>
      <c r="P730" s="454"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0" s="276">
        <f>IF(INDEX(tblContractForDeed[End Bal],ROW()-ROW(tblBuyerOutputs[#Headers]))&lt;=0,0,($O$6+IF(ROW()=ROW(tblBuyerOutputs[#Headers])+1,0,INDEX(tblBuyerOutputs[Cumul Appr],ROW()-ROW(tblBuyerOutputs[#Headers])-1)))*$O$2/12)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13" t="str">
        <f>IF(ROW()=ROW(tblSubjectToLoan[#Headers])+1,subjectKnownBalanceDate,IF(OR(INDEX(tblSubjectToLoan[Date],ROW()-ROW(tblSubjectToLoan[#Headers])-1)="",INDEX(tblSubjectToLoan[Date],ROW()-ROW(tblSubjectToLoan[#Headers])-1)&gt;=subjectMortgageEndDate),"",EDATE(INDEX(tblSubjectToLoan[Date],ROW()-ROW(tblSubjectToLoan[#Headers])-1),1)))</f>
        <v/>
      </c>
      <c r="B731" s="276">
        <f>IF(tblSubjectToLoan[[#This Row],[Date]]="",0,IF(ROW()=ROW(tblSubjectToLoan[#Headers])+1,subjectKnownBalance,MAX(0,INDEX(tblSubjectToLoan[Ending Balance],ROW()-ROW(tblSubjectToLoan[#Headers])-1))))</f>
        <v>0</v>
      </c>
      <c r="C7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1" s="14">
        <f>IF(tblSubjectToLoan[[#This Row],[Payment]]=0,0,MAX(0,MIN(tblSubjectToLoan[[#This Row],[Beginning Balance]],tblSubjectToLoan[[#This Row],[Payment]]-tblSubjectToLoan[[#This Row],[Int]])))</f>
        <v>0</v>
      </c>
      <c r="E731" s="14">
        <f>IF(tblSubjectToLoan[[#This Row],[Date]]="",0,ROUND(tblSubjectToLoan[[#This Row],[Beginning Balance]]*(subjectInterestRate/12),2))</f>
        <v>0</v>
      </c>
      <c r="H731" s="14">
        <f>SUM(tblSubjectToLoan[[#This Row],[Princ]],tblSubjectToLoan[[#This Row],[Int]],tblSubjectToLoan[[#This Row],[Ins]],tblSubjectToLoan[[#This Row],[Taxes]])</f>
        <v>0</v>
      </c>
      <c r="I7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1" s="276">
        <f>IF(tblSubjectToLoan[[#This Row],[Date]]="",IF(ROW()=ROW(tblSubjectToLoan[#Headers])+1,0,INDEX(tblSubjectToLoan[Interest],ROW()-ROW(tblSubjectToLoan[#Headers])-1)),tblSubjectToLoan[[#This Row],[Int]]+IF(ROW()=ROW(tblSubjectToLoan[#Headers])+1,0,INDEX(tblSubjectToLoan[Interest],ROW()-ROW(tblSubjectToLoan[#Headers])-1)))</f>
        <v>36068.259999999973</v>
      </c>
      <c r="K731" s="969">
        <f>IF(tblSubjectToLoan[[#This Row],[Date]]="",0,MAX(0,tblSubjectToLoan[[#This Row],[Beginning Balance]]-tblSubjectToLoan[[#This Row],[Princ]]))</f>
        <v>0</v>
      </c>
      <c r="L731" s="394">
        <f t="shared" si="51"/>
        <v>0</v>
      </c>
      <c r="M731" s="394">
        <f t="shared" si="52"/>
        <v>0</v>
      </c>
      <c r="N731" s="613" t="str">
        <f>INDEX(tblSubjectToLoan[Date],ROW()-ROW(tblContractForDeed[#Headers]))</f>
        <v/>
      </c>
      <c r="O731" s="276">
        <f>IF(ROW()=ROW(tblContractForDeed[#Headers])+1,$O$6,IF(INDEX(tblContractForDeed[End Bal],ROW()-ROW(tblContractForDeed[#Headers])-1)&lt;0,0,INDEX(tblContractForDeed[End Bal],ROW()-ROW(tblContractForDeed[#Headers])-1)))</f>
        <v>0</v>
      </c>
      <c r="P731" s="454"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1" s="276">
        <f>IF(INDEX(tblContractForDeed[End Bal],ROW()-ROW(tblBuyerOutputs[#Headers]))&lt;=0,0,($O$6+IF(ROW()=ROW(tblBuyerOutputs[#Headers])+1,0,INDEX(tblBuyerOutputs[Cumul Appr],ROW()-ROW(tblBuyerOutputs[#Headers])-1)))*$O$2/12)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13" t="str">
        <f>IF(ROW()=ROW(tblSubjectToLoan[#Headers])+1,subjectKnownBalanceDate,IF(OR(INDEX(tblSubjectToLoan[Date],ROW()-ROW(tblSubjectToLoan[#Headers])-1)="",INDEX(tblSubjectToLoan[Date],ROW()-ROW(tblSubjectToLoan[#Headers])-1)&gt;=subjectMortgageEndDate),"",EDATE(INDEX(tblSubjectToLoan[Date],ROW()-ROW(tblSubjectToLoan[#Headers])-1),1)))</f>
        <v/>
      </c>
      <c r="B732" s="276">
        <f>IF(tblSubjectToLoan[[#This Row],[Date]]="",0,IF(ROW()=ROW(tblSubjectToLoan[#Headers])+1,subjectKnownBalance,MAX(0,INDEX(tblSubjectToLoan[Ending Balance],ROW()-ROW(tblSubjectToLoan[#Headers])-1))))</f>
        <v>0</v>
      </c>
      <c r="C7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2" s="14">
        <f>IF(tblSubjectToLoan[[#This Row],[Payment]]=0,0,MAX(0,MIN(tblSubjectToLoan[[#This Row],[Beginning Balance]],tblSubjectToLoan[[#This Row],[Payment]]-tblSubjectToLoan[[#This Row],[Int]])))</f>
        <v>0</v>
      </c>
      <c r="E732" s="14">
        <f>IF(tblSubjectToLoan[[#This Row],[Date]]="",0,ROUND(tblSubjectToLoan[[#This Row],[Beginning Balance]]*(subjectInterestRate/12),2))</f>
        <v>0</v>
      </c>
      <c r="H732" s="14">
        <f>SUM(tblSubjectToLoan[[#This Row],[Princ]],tblSubjectToLoan[[#This Row],[Int]],tblSubjectToLoan[[#This Row],[Ins]],tblSubjectToLoan[[#This Row],[Taxes]])</f>
        <v>0</v>
      </c>
      <c r="I7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2" s="276">
        <f>IF(tblSubjectToLoan[[#This Row],[Date]]="",IF(ROW()=ROW(tblSubjectToLoan[#Headers])+1,0,INDEX(tblSubjectToLoan[Interest],ROW()-ROW(tblSubjectToLoan[#Headers])-1)),tblSubjectToLoan[[#This Row],[Int]]+IF(ROW()=ROW(tblSubjectToLoan[#Headers])+1,0,INDEX(tblSubjectToLoan[Interest],ROW()-ROW(tblSubjectToLoan[#Headers])-1)))</f>
        <v>36068.259999999973</v>
      </c>
      <c r="K732" s="969">
        <f>IF(tblSubjectToLoan[[#This Row],[Date]]="",0,MAX(0,tblSubjectToLoan[[#This Row],[Beginning Balance]]-tblSubjectToLoan[[#This Row],[Princ]]))</f>
        <v>0</v>
      </c>
      <c r="L732" s="394">
        <f t="shared" si="51"/>
        <v>0</v>
      </c>
      <c r="M732" s="394">
        <f t="shared" si="52"/>
        <v>0</v>
      </c>
      <c r="N732" s="613" t="str">
        <f>INDEX(tblSubjectToLoan[Date],ROW()-ROW(tblContractForDeed[#Headers]))</f>
        <v/>
      </c>
      <c r="O732" s="276">
        <f>IF(ROW()=ROW(tblContractForDeed[#Headers])+1,$O$6,IF(INDEX(tblContractForDeed[End Bal],ROW()-ROW(tblContractForDeed[#Headers])-1)&lt;0,0,INDEX(tblContractForDeed[End Bal],ROW()-ROW(tblContractForDeed[#Headers])-1)))</f>
        <v>0</v>
      </c>
      <c r="P732" s="454"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2" s="276">
        <f>IF(INDEX(tblContractForDeed[End Bal],ROW()-ROW(tblBuyerOutputs[#Headers]))&lt;=0,0,($O$6+IF(ROW()=ROW(tblBuyerOutputs[#Headers])+1,0,INDEX(tblBuyerOutputs[Cumul Appr],ROW()-ROW(tblBuyerOutputs[#Headers])-1)))*$O$2/12)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13" t="str">
        <f>IF(ROW()=ROW(tblSubjectToLoan[#Headers])+1,subjectKnownBalanceDate,IF(OR(INDEX(tblSubjectToLoan[Date],ROW()-ROW(tblSubjectToLoan[#Headers])-1)="",INDEX(tblSubjectToLoan[Date],ROW()-ROW(tblSubjectToLoan[#Headers])-1)&gt;=subjectMortgageEndDate),"",EDATE(INDEX(tblSubjectToLoan[Date],ROW()-ROW(tblSubjectToLoan[#Headers])-1),1)))</f>
        <v/>
      </c>
      <c r="B733" s="276">
        <f>IF(tblSubjectToLoan[[#This Row],[Date]]="",0,IF(ROW()=ROW(tblSubjectToLoan[#Headers])+1,subjectKnownBalance,MAX(0,INDEX(tblSubjectToLoan[Ending Balance],ROW()-ROW(tblSubjectToLoan[#Headers])-1))))</f>
        <v>0</v>
      </c>
      <c r="C7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3" s="14">
        <f>IF(tblSubjectToLoan[[#This Row],[Payment]]=0,0,MAX(0,MIN(tblSubjectToLoan[[#This Row],[Beginning Balance]],tblSubjectToLoan[[#This Row],[Payment]]-tblSubjectToLoan[[#This Row],[Int]])))</f>
        <v>0</v>
      </c>
      <c r="E733" s="14">
        <f>IF(tblSubjectToLoan[[#This Row],[Date]]="",0,ROUND(tblSubjectToLoan[[#This Row],[Beginning Balance]]*(subjectInterestRate/12),2))</f>
        <v>0</v>
      </c>
      <c r="H733" s="14">
        <f>SUM(tblSubjectToLoan[[#This Row],[Princ]],tblSubjectToLoan[[#This Row],[Int]],tblSubjectToLoan[[#This Row],[Ins]],tblSubjectToLoan[[#This Row],[Taxes]])</f>
        <v>0</v>
      </c>
      <c r="I7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3" s="276">
        <f>IF(tblSubjectToLoan[[#This Row],[Date]]="",IF(ROW()=ROW(tblSubjectToLoan[#Headers])+1,0,INDEX(tblSubjectToLoan[Interest],ROW()-ROW(tblSubjectToLoan[#Headers])-1)),tblSubjectToLoan[[#This Row],[Int]]+IF(ROW()=ROW(tblSubjectToLoan[#Headers])+1,0,INDEX(tblSubjectToLoan[Interest],ROW()-ROW(tblSubjectToLoan[#Headers])-1)))</f>
        <v>36068.259999999973</v>
      </c>
      <c r="K733" s="969">
        <f>IF(tblSubjectToLoan[[#This Row],[Date]]="",0,MAX(0,tblSubjectToLoan[[#This Row],[Beginning Balance]]-tblSubjectToLoan[[#This Row],[Princ]]))</f>
        <v>0</v>
      </c>
      <c r="L733" s="394">
        <f t="shared" si="51"/>
        <v>0</v>
      </c>
      <c r="M733" s="394">
        <f t="shared" si="52"/>
        <v>0</v>
      </c>
      <c r="N733" s="613" t="str">
        <f>INDEX(tblSubjectToLoan[Date],ROW()-ROW(tblContractForDeed[#Headers]))</f>
        <v/>
      </c>
      <c r="O733" s="276">
        <f>IF(ROW()=ROW(tblContractForDeed[#Headers])+1,$O$6,IF(INDEX(tblContractForDeed[End Bal],ROW()-ROW(tblContractForDeed[#Headers])-1)&lt;0,0,INDEX(tblContractForDeed[End Bal],ROW()-ROW(tblContractForDeed[#Headers])-1)))</f>
        <v>0</v>
      </c>
      <c r="P733" s="454"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3" s="276">
        <f>IF(INDEX(tblContractForDeed[End Bal],ROW()-ROW(tblBuyerOutputs[#Headers]))&lt;=0,0,($O$6+IF(ROW()=ROW(tblBuyerOutputs[#Headers])+1,0,INDEX(tblBuyerOutputs[Cumul Appr],ROW()-ROW(tblBuyerOutputs[#Headers])-1)))*$O$2/12)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13" t="str">
        <f>IF(ROW()=ROW(tblSubjectToLoan[#Headers])+1,subjectKnownBalanceDate,IF(OR(INDEX(tblSubjectToLoan[Date],ROW()-ROW(tblSubjectToLoan[#Headers])-1)="",INDEX(tblSubjectToLoan[Date],ROW()-ROW(tblSubjectToLoan[#Headers])-1)&gt;=subjectMortgageEndDate),"",EDATE(INDEX(tblSubjectToLoan[Date],ROW()-ROW(tblSubjectToLoan[#Headers])-1),1)))</f>
        <v/>
      </c>
      <c r="B734" s="276">
        <f>IF(tblSubjectToLoan[[#This Row],[Date]]="",0,IF(ROW()=ROW(tblSubjectToLoan[#Headers])+1,subjectKnownBalance,MAX(0,INDEX(tblSubjectToLoan[Ending Balance],ROW()-ROW(tblSubjectToLoan[#Headers])-1))))</f>
        <v>0</v>
      </c>
      <c r="C7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4" s="14">
        <f>IF(tblSubjectToLoan[[#This Row],[Payment]]=0,0,MAX(0,MIN(tblSubjectToLoan[[#This Row],[Beginning Balance]],tblSubjectToLoan[[#This Row],[Payment]]-tblSubjectToLoan[[#This Row],[Int]])))</f>
        <v>0</v>
      </c>
      <c r="E734" s="14">
        <f>IF(tblSubjectToLoan[[#This Row],[Date]]="",0,ROUND(tblSubjectToLoan[[#This Row],[Beginning Balance]]*(subjectInterestRate/12),2))</f>
        <v>0</v>
      </c>
      <c r="H734" s="14">
        <f>SUM(tblSubjectToLoan[[#This Row],[Princ]],tblSubjectToLoan[[#This Row],[Int]],tblSubjectToLoan[[#This Row],[Ins]],tblSubjectToLoan[[#This Row],[Taxes]])</f>
        <v>0</v>
      </c>
      <c r="I7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4" s="276">
        <f>IF(tblSubjectToLoan[[#This Row],[Date]]="",IF(ROW()=ROW(tblSubjectToLoan[#Headers])+1,0,INDEX(tblSubjectToLoan[Interest],ROW()-ROW(tblSubjectToLoan[#Headers])-1)),tblSubjectToLoan[[#This Row],[Int]]+IF(ROW()=ROW(tblSubjectToLoan[#Headers])+1,0,INDEX(tblSubjectToLoan[Interest],ROW()-ROW(tblSubjectToLoan[#Headers])-1)))</f>
        <v>36068.259999999973</v>
      </c>
      <c r="K734" s="969">
        <f>IF(tblSubjectToLoan[[#This Row],[Date]]="",0,MAX(0,tblSubjectToLoan[[#This Row],[Beginning Balance]]-tblSubjectToLoan[[#This Row],[Princ]]))</f>
        <v>0</v>
      </c>
      <c r="L734" s="394">
        <f t="shared" si="51"/>
        <v>0</v>
      </c>
      <c r="M734" s="394">
        <f t="shared" si="52"/>
        <v>0</v>
      </c>
      <c r="N734" s="613" t="str">
        <f>INDEX(tblSubjectToLoan[Date],ROW()-ROW(tblContractForDeed[#Headers]))</f>
        <v/>
      </c>
      <c r="O734" s="276">
        <f>IF(ROW()=ROW(tblContractForDeed[#Headers])+1,$O$6,IF(INDEX(tblContractForDeed[End Bal],ROW()-ROW(tblContractForDeed[#Headers])-1)&lt;0,0,INDEX(tblContractForDeed[End Bal],ROW()-ROW(tblContractForDeed[#Headers])-1)))</f>
        <v>0</v>
      </c>
      <c r="P734" s="454"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4" s="276">
        <f>IF(INDEX(tblContractForDeed[End Bal],ROW()-ROW(tblBuyerOutputs[#Headers]))&lt;=0,0,($O$6+IF(ROW()=ROW(tblBuyerOutputs[#Headers])+1,0,INDEX(tblBuyerOutputs[Cumul Appr],ROW()-ROW(tblBuyerOutputs[#Headers])-1)))*$O$2/12)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13" t="str">
        <f>IF(ROW()=ROW(tblSubjectToLoan[#Headers])+1,subjectKnownBalanceDate,IF(OR(INDEX(tblSubjectToLoan[Date],ROW()-ROW(tblSubjectToLoan[#Headers])-1)="",INDEX(tblSubjectToLoan[Date],ROW()-ROW(tblSubjectToLoan[#Headers])-1)&gt;=subjectMortgageEndDate),"",EDATE(INDEX(tblSubjectToLoan[Date],ROW()-ROW(tblSubjectToLoan[#Headers])-1),1)))</f>
        <v/>
      </c>
      <c r="B735" s="276">
        <f>IF(tblSubjectToLoan[[#This Row],[Date]]="",0,IF(ROW()=ROW(tblSubjectToLoan[#Headers])+1,subjectKnownBalance,MAX(0,INDEX(tblSubjectToLoan[Ending Balance],ROW()-ROW(tblSubjectToLoan[#Headers])-1))))</f>
        <v>0</v>
      </c>
      <c r="C7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5" s="14">
        <f>IF(tblSubjectToLoan[[#This Row],[Payment]]=0,0,MAX(0,MIN(tblSubjectToLoan[[#This Row],[Beginning Balance]],tblSubjectToLoan[[#This Row],[Payment]]-tblSubjectToLoan[[#This Row],[Int]])))</f>
        <v>0</v>
      </c>
      <c r="E735" s="14">
        <f>IF(tblSubjectToLoan[[#This Row],[Date]]="",0,ROUND(tblSubjectToLoan[[#This Row],[Beginning Balance]]*(subjectInterestRate/12),2))</f>
        <v>0</v>
      </c>
      <c r="H735" s="14">
        <f>SUM(tblSubjectToLoan[[#This Row],[Princ]],tblSubjectToLoan[[#This Row],[Int]],tblSubjectToLoan[[#This Row],[Ins]],tblSubjectToLoan[[#This Row],[Taxes]])</f>
        <v>0</v>
      </c>
      <c r="I7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5" s="276">
        <f>IF(tblSubjectToLoan[[#This Row],[Date]]="",IF(ROW()=ROW(tblSubjectToLoan[#Headers])+1,0,INDEX(tblSubjectToLoan[Interest],ROW()-ROW(tblSubjectToLoan[#Headers])-1)),tblSubjectToLoan[[#This Row],[Int]]+IF(ROW()=ROW(tblSubjectToLoan[#Headers])+1,0,INDEX(tblSubjectToLoan[Interest],ROW()-ROW(tblSubjectToLoan[#Headers])-1)))</f>
        <v>36068.259999999973</v>
      </c>
      <c r="K735" s="969">
        <f>IF(tblSubjectToLoan[[#This Row],[Date]]="",0,MAX(0,tblSubjectToLoan[[#This Row],[Beginning Balance]]-tblSubjectToLoan[[#This Row],[Princ]]))</f>
        <v>0</v>
      </c>
      <c r="L735" s="394">
        <f t="shared" si="51"/>
        <v>0</v>
      </c>
      <c r="M735" s="394">
        <f t="shared" si="52"/>
        <v>0</v>
      </c>
      <c r="N735" s="613" t="str">
        <f>INDEX(tblSubjectToLoan[Date],ROW()-ROW(tblContractForDeed[#Headers]))</f>
        <v/>
      </c>
      <c r="O735" s="276">
        <f>IF(ROW()=ROW(tblContractForDeed[#Headers])+1,$O$6,IF(INDEX(tblContractForDeed[End Bal],ROW()-ROW(tblContractForDeed[#Headers])-1)&lt;0,0,INDEX(tblContractForDeed[End Bal],ROW()-ROW(tblContractForDeed[#Headers])-1)))</f>
        <v>0</v>
      </c>
      <c r="P735" s="454"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5" s="276">
        <f>IF(INDEX(tblContractForDeed[End Bal],ROW()-ROW(tblBuyerOutputs[#Headers]))&lt;=0,0,($O$6+IF(ROW()=ROW(tblBuyerOutputs[#Headers])+1,0,INDEX(tblBuyerOutputs[Cumul Appr],ROW()-ROW(tblBuyerOutputs[#Headers])-1)))*$O$2/12)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13" t="str">
        <f>IF(ROW()=ROW(tblSubjectToLoan[#Headers])+1,subjectKnownBalanceDate,IF(OR(INDEX(tblSubjectToLoan[Date],ROW()-ROW(tblSubjectToLoan[#Headers])-1)="",INDEX(tblSubjectToLoan[Date],ROW()-ROW(tblSubjectToLoan[#Headers])-1)&gt;=subjectMortgageEndDate),"",EDATE(INDEX(tblSubjectToLoan[Date],ROW()-ROW(tblSubjectToLoan[#Headers])-1),1)))</f>
        <v/>
      </c>
      <c r="B736" s="276">
        <f>IF(tblSubjectToLoan[[#This Row],[Date]]="",0,IF(ROW()=ROW(tblSubjectToLoan[#Headers])+1,subjectKnownBalance,MAX(0,INDEX(tblSubjectToLoan[Ending Balance],ROW()-ROW(tblSubjectToLoan[#Headers])-1))))</f>
        <v>0</v>
      </c>
      <c r="C7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6" s="14">
        <f>IF(tblSubjectToLoan[[#This Row],[Payment]]=0,0,MAX(0,MIN(tblSubjectToLoan[[#This Row],[Beginning Balance]],tblSubjectToLoan[[#This Row],[Payment]]-tblSubjectToLoan[[#This Row],[Int]])))</f>
        <v>0</v>
      </c>
      <c r="E736" s="14">
        <f>IF(tblSubjectToLoan[[#This Row],[Date]]="",0,ROUND(tblSubjectToLoan[[#This Row],[Beginning Balance]]*(subjectInterestRate/12),2))</f>
        <v>0</v>
      </c>
      <c r="H736" s="14">
        <f>SUM(tblSubjectToLoan[[#This Row],[Princ]],tblSubjectToLoan[[#This Row],[Int]],tblSubjectToLoan[[#This Row],[Ins]],tblSubjectToLoan[[#This Row],[Taxes]])</f>
        <v>0</v>
      </c>
      <c r="I7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6" s="276">
        <f>IF(tblSubjectToLoan[[#This Row],[Date]]="",IF(ROW()=ROW(tblSubjectToLoan[#Headers])+1,0,INDEX(tblSubjectToLoan[Interest],ROW()-ROW(tblSubjectToLoan[#Headers])-1)),tblSubjectToLoan[[#This Row],[Int]]+IF(ROW()=ROW(tblSubjectToLoan[#Headers])+1,0,INDEX(tblSubjectToLoan[Interest],ROW()-ROW(tblSubjectToLoan[#Headers])-1)))</f>
        <v>36068.259999999973</v>
      </c>
      <c r="K736" s="969">
        <f>IF(tblSubjectToLoan[[#This Row],[Date]]="",0,MAX(0,tblSubjectToLoan[[#This Row],[Beginning Balance]]-tblSubjectToLoan[[#This Row],[Princ]]))</f>
        <v>0</v>
      </c>
      <c r="L736" s="394">
        <f t="shared" si="51"/>
        <v>0</v>
      </c>
      <c r="M736" s="394">
        <f t="shared" si="52"/>
        <v>0</v>
      </c>
      <c r="N736" s="613" t="str">
        <f>INDEX(tblSubjectToLoan[Date],ROW()-ROW(tblContractForDeed[#Headers]))</f>
        <v/>
      </c>
      <c r="O736" s="276">
        <f>IF(ROW()=ROW(tblContractForDeed[#Headers])+1,$O$6,IF(INDEX(tblContractForDeed[End Bal],ROW()-ROW(tblContractForDeed[#Headers])-1)&lt;0,0,INDEX(tblContractForDeed[End Bal],ROW()-ROW(tblContractForDeed[#Headers])-1)))</f>
        <v>0</v>
      </c>
      <c r="P736" s="454"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6" s="276">
        <f>IF(INDEX(tblContractForDeed[End Bal],ROW()-ROW(tblBuyerOutputs[#Headers]))&lt;=0,0,($O$6+IF(ROW()=ROW(tblBuyerOutputs[#Headers])+1,0,INDEX(tblBuyerOutputs[Cumul Appr],ROW()-ROW(tblBuyerOutputs[#Headers])-1)))*$O$2/12)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13" t="str">
        <f>IF(ROW()=ROW(tblSubjectToLoan[#Headers])+1,subjectKnownBalanceDate,IF(OR(INDEX(tblSubjectToLoan[Date],ROW()-ROW(tblSubjectToLoan[#Headers])-1)="",INDEX(tblSubjectToLoan[Date],ROW()-ROW(tblSubjectToLoan[#Headers])-1)&gt;=subjectMortgageEndDate),"",EDATE(INDEX(tblSubjectToLoan[Date],ROW()-ROW(tblSubjectToLoan[#Headers])-1),1)))</f>
        <v/>
      </c>
      <c r="B737" s="276">
        <f>IF(tblSubjectToLoan[[#This Row],[Date]]="",0,IF(ROW()=ROW(tblSubjectToLoan[#Headers])+1,subjectKnownBalance,MAX(0,INDEX(tblSubjectToLoan[Ending Balance],ROW()-ROW(tblSubjectToLoan[#Headers])-1))))</f>
        <v>0</v>
      </c>
      <c r="C7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7" s="14">
        <f>IF(tblSubjectToLoan[[#This Row],[Payment]]=0,0,MAX(0,MIN(tblSubjectToLoan[[#This Row],[Beginning Balance]],tblSubjectToLoan[[#This Row],[Payment]]-tblSubjectToLoan[[#This Row],[Int]])))</f>
        <v>0</v>
      </c>
      <c r="E737" s="14">
        <f>IF(tblSubjectToLoan[[#This Row],[Date]]="",0,ROUND(tblSubjectToLoan[[#This Row],[Beginning Balance]]*(subjectInterestRate/12),2))</f>
        <v>0</v>
      </c>
      <c r="H737" s="14">
        <f>SUM(tblSubjectToLoan[[#This Row],[Princ]],tblSubjectToLoan[[#This Row],[Int]],tblSubjectToLoan[[#This Row],[Ins]],tblSubjectToLoan[[#This Row],[Taxes]])</f>
        <v>0</v>
      </c>
      <c r="I7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7" s="276">
        <f>IF(tblSubjectToLoan[[#This Row],[Date]]="",IF(ROW()=ROW(tblSubjectToLoan[#Headers])+1,0,INDEX(tblSubjectToLoan[Interest],ROW()-ROW(tblSubjectToLoan[#Headers])-1)),tblSubjectToLoan[[#This Row],[Int]]+IF(ROW()=ROW(tblSubjectToLoan[#Headers])+1,0,INDEX(tblSubjectToLoan[Interest],ROW()-ROW(tblSubjectToLoan[#Headers])-1)))</f>
        <v>36068.259999999973</v>
      </c>
      <c r="K737" s="969">
        <f>IF(tblSubjectToLoan[[#This Row],[Date]]="",0,MAX(0,tblSubjectToLoan[[#This Row],[Beginning Balance]]-tblSubjectToLoan[[#This Row],[Princ]]))</f>
        <v>0</v>
      </c>
      <c r="L737" s="394">
        <f t="shared" si="51"/>
        <v>0</v>
      </c>
      <c r="M737" s="394">
        <f t="shared" si="52"/>
        <v>0</v>
      </c>
      <c r="N737" s="613" t="str">
        <f>INDEX(tblSubjectToLoan[Date],ROW()-ROW(tblContractForDeed[#Headers]))</f>
        <v/>
      </c>
      <c r="O737" s="276">
        <f>IF(ROW()=ROW(tblContractForDeed[#Headers])+1,$O$6,IF(INDEX(tblContractForDeed[End Bal],ROW()-ROW(tblContractForDeed[#Headers])-1)&lt;0,0,INDEX(tblContractForDeed[End Bal],ROW()-ROW(tblContractForDeed[#Headers])-1)))</f>
        <v>0</v>
      </c>
      <c r="P737" s="454"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7" s="276">
        <f>IF(INDEX(tblContractForDeed[End Bal],ROW()-ROW(tblBuyerOutputs[#Headers]))&lt;=0,0,($O$6+IF(ROW()=ROW(tblBuyerOutputs[#Headers])+1,0,INDEX(tblBuyerOutputs[Cumul Appr],ROW()-ROW(tblBuyerOutputs[#Headers])-1)))*$O$2/12)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13" t="str">
        <f>IF(ROW()=ROW(tblSubjectToLoan[#Headers])+1,subjectKnownBalanceDate,IF(OR(INDEX(tblSubjectToLoan[Date],ROW()-ROW(tblSubjectToLoan[#Headers])-1)="",INDEX(tblSubjectToLoan[Date],ROW()-ROW(tblSubjectToLoan[#Headers])-1)&gt;=subjectMortgageEndDate),"",EDATE(INDEX(tblSubjectToLoan[Date],ROW()-ROW(tblSubjectToLoan[#Headers])-1),1)))</f>
        <v/>
      </c>
      <c r="B738" s="276">
        <f>IF(tblSubjectToLoan[[#This Row],[Date]]="",0,IF(ROW()=ROW(tblSubjectToLoan[#Headers])+1,subjectKnownBalance,MAX(0,INDEX(tblSubjectToLoan[Ending Balance],ROW()-ROW(tblSubjectToLoan[#Headers])-1))))</f>
        <v>0</v>
      </c>
      <c r="C7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8" s="14">
        <f>IF(tblSubjectToLoan[[#This Row],[Payment]]=0,0,MAX(0,MIN(tblSubjectToLoan[[#This Row],[Beginning Balance]],tblSubjectToLoan[[#This Row],[Payment]]-tblSubjectToLoan[[#This Row],[Int]])))</f>
        <v>0</v>
      </c>
      <c r="E738" s="14">
        <f>IF(tblSubjectToLoan[[#This Row],[Date]]="",0,ROUND(tblSubjectToLoan[[#This Row],[Beginning Balance]]*(subjectInterestRate/12),2))</f>
        <v>0</v>
      </c>
      <c r="H738" s="14">
        <f>SUM(tblSubjectToLoan[[#This Row],[Princ]],tblSubjectToLoan[[#This Row],[Int]],tblSubjectToLoan[[#This Row],[Ins]],tblSubjectToLoan[[#This Row],[Taxes]])</f>
        <v>0</v>
      </c>
      <c r="I7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8" s="276">
        <f>IF(tblSubjectToLoan[[#This Row],[Date]]="",IF(ROW()=ROW(tblSubjectToLoan[#Headers])+1,0,INDEX(tblSubjectToLoan[Interest],ROW()-ROW(tblSubjectToLoan[#Headers])-1)),tblSubjectToLoan[[#This Row],[Int]]+IF(ROW()=ROW(tblSubjectToLoan[#Headers])+1,0,INDEX(tblSubjectToLoan[Interest],ROW()-ROW(tblSubjectToLoan[#Headers])-1)))</f>
        <v>36068.259999999973</v>
      </c>
      <c r="K738" s="969">
        <f>IF(tblSubjectToLoan[[#This Row],[Date]]="",0,MAX(0,tblSubjectToLoan[[#This Row],[Beginning Balance]]-tblSubjectToLoan[[#This Row],[Princ]]))</f>
        <v>0</v>
      </c>
      <c r="L738" s="394">
        <f t="shared" si="51"/>
        <v>0</v>
      </c>
      <c r="M738" s="394">
        <f t="shared" si="52"/>
        <v>0</v>
      </c>
      <c r="N738" s="613" t="str">
        <f>INDEX(tblSubjectToLoan[Date],ROW()-ROW(tblContractForDeed[#Headers]))</f>
        <v/>
      </c>
      <c r="O738" s="276">
        <f>IF(ROW()=ROW(tblContractForDeed[#Headers])+1,$O$6,IF(INDEX(tblContractForDeed[End Bal],ROW()-ROW(tblContractForDeed[#Headers])-1)&lt;0,0,INDEX(tblContractForDeed[End Bal],ROW()-ROW(tblContractForDeed[#Headers])-1)))</f>
        <v>0</v>
      </c>
      <c r="P738" s="454"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8" s="276">
        <f>IF(INDEX(tblContractForDeed[End Bal],ROW()-ROW(tblBuyerOutputs[#Headers]))&lt;=0,0,($O$6+IF(ROW()=ROW(tblBuyerOutputs[#Headers])+1,0,INDEX(tblBuyerOutputs[Cumul Appr],ROW()-ROW(tblBuyerOutputs[#Headers])-1)))*$O$2/12)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14" t="str">
        <f>IF(ROW()=ROW(tblSubjectToLoan[#Headers])+1,subjectKnownBalanceDate,IF(OR(INDEX(tblSubjectToLoan[Date],ROW()-ROW(tblSubjectToLoan[#Headers])-1)="",INDEX(tblSubjectToLoan[Date],ROW()-ROW(tblSubjectToLoan[#Headers])-1)&gt;=subjectMortgageEndDate),"",EDATE(INDEX(tblSubjectToLoan[Date],ROW()-ROW(tblSubjectToLoan[#Headers])-1),1)))</f>
        <v/>
      </c>
      <c r="B739" s="332">
        <f>IF(tblSubjectToLoan[[#This Row],[Date]]="",0,IF(ROW()=ROW(tblSubjectToLoan[#Headers])+1,subjectKnownBalance,MAX(0,INDEX(tblSubjectToLoan[Ending Balance],ROW()-ROW(tblSubjectToLoan[#Headers])-1))))</f>
        <v>0</v>
      </c>
      <c r="C73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9" s="21">
        <f>IF(tblSubjectToLoan[[#This Row],[Payment]]=0,0,MAX(0,MIN(tblSubjectToLoan[[#This Row],[Beginning Balance]],tblSubjectToLoan[[#This Row],[Payment]]-tblSubjectToLoan[[#This Row],[Int]])))</f>
        <v>0</v>
      </c>
      <c r="E739" s="21">
        <f>IF(tblSubjectToLoan[[#This Row],[Date]]="",0,ROUND(tblSubjectToLoan[[#This Row],[Beginning Balance]]*(subjectInterestRate/12),2))</f>
        <v>0</v>
      </c>
      <c r="F739" s="21"/>
      <c r="G739" s="21"/>
      <c r="H739" s="21">
        <f>SUM(tblSubjectToLoan[[#This Row],[Princ]],tblSubjectToLoan[[#This Row],[Int]],tblSubjectToLoan[[#This Row],[Ins]],tblSubjectToLoan[[#This Row],[Taxes]])</f>
        <v>0</v>
      </c>
      <c r="I73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39" s="332">
        <f>IF(tblSubjectToLoan[[#This Row],[Date]]="",IF(ROW()=ROW(tblSubjectToLoan[#Headers])+1,0,INDEX(tblSubjectToLoan[Interest],ROW()-ROW(tblSubjectToLoan[#Headers])-1)),tblSubjectToLoan[[#This Row],[Int]]+IF(ROW()=ROW(tblSubjectToLoan[#Headers])+1,0,INDEX(tblSubjectToLoan[Interest],ROW()-ROW(tblSubjectToLoan[#Headers])-1)))</f>
        <v>36068.259999999973</v>
      </c>
      <c r="K739" s="970">
        <f>IF(tblSubjectToLoan[[#This Row],[Date]]="",0,MAX(0,tblSubjectToLoan[[#This Row],[Beginning Balance]]-tblSubjectToLoan[[#This Row],[Princ]]))</f>
        <v>0</v>
      </c>
      <c r="L739" s="395">
        <f t="shared" si="51"/>
        <v>0</v>
      </c>
      <c r="M739" s="395">
        <f t="shared" si="52"/>
        <v>0</v>
      </c>
      <c r="N739" s="614" t="str">
        <f>INDEX(tblSubjectToLoan[Date],ROW()-ROW(tblContractForDeed[#Headers]))</f>
        <v/>
      </c>
      <c r="O739" s="332">
        <f>IF(ROW()=ROW(tblContractForDeed[#Headers])+1,$O$6,IF(INDEX(tblContractForDeed[End Bal],ROW()-ROW(tblContractForDeed[#Headers])-1)&lt;0,0,INDEX(tblContractForDeed[End Bal],ROW()-ROW(tblContractForDeed[#Headers])-1)))</f>
        <v>0</v>
      </c>
      <c r="P739" s="454"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9" s="332">
        <f>IF(INDEX(tblContractForDeed[End Bal],ROW()-ROW(tblBuyerOutputs[#Headers]))&lt;=0,0,($O$6+IF(ROW()=ROW(tblBuyerOutputs[#Headers])+1,0,INDEX(tblBuyerOutputs[Cumul Appr],ROW()-ROW(tblBuyerOutputs[#Headers])-1)))*$O$2/12)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13" t="str">
        <f>IF(ROW()=ROW(tblSubjectToLoan[#Headers])+1,subjectKnownBalanceDate,IF(OR(INDEX(tblSubjectToLoan[Date],ROW()-ROW(tblSubjectToLoan[#Headers])-1)="",INDEX(tblSubjectToLoan[Date],ROW()-ROW(tblSubjectToLoan[#Headers])-1)&gt;=subjectMortgageEndDate),"",EDATE(INDEX(tblSubjectToLoan[Date],ROW()-ROW(tblSubjectToLoan[#Headers])-1),1)))</f>
        <v/>
      </c>
      <c r="B740" s="276">
        <f>IF(tblSubjectToLoan[[#This Row],[Date]]="",0,IF(ROW()=ROW(tblSubjectToLoan[#Headers])+1,subjectKnownBalance,MAX(0,INDEX(tblSubjectToLoan[Ending Balance],ROW()-ROW(tblSubjectToLoan[#Headers])-1))))</f>
        <v>0</v>
      </c>
      <c r="C7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0" s="14">
        <f>IF(tblSubjectToLoan[[#This Row],[Payment]]=0,0,MAX(0,MIN(tblSubjectToLoan[[#This Row],[Beginning Balance]],tblSubjectToLoan[[#This Row],[Payment]]-tblSubjectToLoan[[#This Row],[Int]])))</f>
        <v>0</v>
      </c>
      <c r="E740" s="14">
        <f>IF(tblSubjectToLoan[[#This Row],[Date]]="",0,ROUND(tblSubjectToLoan[[#This Row],[Beginning Balance]]*(subjectInterestRate/12),2))</f>
        <v>0</v>
      </c>
      <c r="H740" s="14">
        <f>SUM(tblSubjectToLoan[[#This Row],[Princ]],tblSubjectToLoan[[#This Row],[Int]],tblSubjectToLoan[[#This Row],[Ins]],tblSubjectToLoan[[#This Row],[Taxes]])</f>
        <v>0</v>
      </c>
      <c r="I7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0" s="276">
        <f>IF(tblSubjectToLoan[[#This Row],[Date]]="",IF(ROW()=ROW(tblSubjectToLoan[#Headers])+1,0,INDEX(tblSubjectToLoan[Interest],ROW()-ROW(tblSubjectToLoan[#Headers])-1)),tblSubjectToLoan[[#This Row],[Int]]+IF(ROW()=ROW(tblSubjectToLoan[#Headers])+1,0,INDEX(tblSubjectToLoan[Interest],ROW()-ROW(tblSubjectToLoan[#Headers])-1)))</f>
        <v>36068.259999999973</v>
      </c>
      <c r="K740" s="969">
        <f>IF(tblSubjectToLoan[[#This Row],[Date]]="",0,MAX(0,tblSubjectToLoan[[#This Row],[Beginning Balance]]-tblSubjectToLoan[[#This Row],[Princ]]))</f>
        <v>0</v>
      </c>
      <c r="L740" s="394">
        <f t="shared" si="51"/>
        <v>0</v>
      </c>
      <c r="M740" s="394">
        <f t="shared" si="52"/>
        <v>0</v>
      </c>
      <c r="N740" s="613" t="str">
        <f>INDEX(tblSubjectToLoan[Date],ROW()-ROW(tblContractForDeed[#Headers]))</f>
        <v/>
      </c>
      <c r="O740" s="276">
        <f>IF(ROW()=ROW(tblContractForDeed[#Headers])+1,$O$6,IF(INDEX(tblContractForDeed[End Bal],ROW()-ROW(tblContractForDeed[#Headers])-1)&lt;0,0,INDEX(tblContractForDeed[End Bal],ROW()-ROW(tblContractForDeed[#Headers])-1)))</f>
        <v>0</v>
      </c>
      <c r="P740" s="454"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0" s="276">
        <f>IF(INDEX(tblContractForDeed[End Bal],ROW()-ROW(tblBuyerOutputs[#Headers]))&lt;=0,0,($O$6+IF(ROW()=ROW(tblBuyerOutputs[#Headers])+1,0,INDEX(tblBuyerOutputs[Cumul Appr],ROW()-ROW(tblBuyerOutputs[#Headers])-1)))*$O$2/12)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13" t="str">
        <f>IF(ROW()=ROW(tblSubjectToLoan[#Headers])+1,subjectKnownBalanceDate,IF(OR(INDEX(tblSubjectToLoan[Date],ROW()-ROW(tblSubjectToLoan[#Headers])-1)="",INDEX(tblSubjectToLoan[Date],ROW()-ROW(tblSubjectToLoan[#Headers])-1)&gt;=subjectMortgageEndDate),"",EDATE(INDEX(tblSubjectToLoan[Date],ROW()-ROW(tblSubjectToLoan[#Headers])-1),1)))</f>
        <v/>
      </c>
      <c r="B741" s="276">
        <f>IF(tblSubjectToLoan[[#This Row],[Date]]="",0,IF(ROW()=ROW(tblSubjectToLoan[#Headers])+1,subjectKnownBalance,MAX(0,INDEX(tblSubjectToLoan[Ending Balance],ROW()-ROW(tblSubjectToLoan[#Headers])-1))))</f>
        <v>0</v>
      </c>
      <c r="C7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1" s="14">
        <f>IF(tblSubjectToLoan[[#This Row],[Payment]]=0,0,MAX(0,MIN(tblSubjectToLoan[[#This Row],[Beginning Balance]],tblSubjectToLoan[[#This Row],[Payment]]-tblSubjectToLoan[[#This Row],[Int]])))</f>
        <v>0</v>
      </c>
      <c r="E741" s="14">
        <f>IF(tblSubjectToLoan[[#This Row],[Date]]="",0,ROUND(tblSubjectToLoan[[#This Row],[Beginning Balance]]*(subjectInterestRate/12),2))</f>
        <v>0</v>
      </c>
      <c r="H741" s="14">
        <f>SUM(tblSubjectToLoan[[#This Row],[Princ]],tblSubjectToLoan[[#This Row],[Int]],tblSubjectToLoan[[#This Row],[Ins]],tblSubjectToLoan[[#This Row],[Taxes]])</f>
        <v>0</v>
      </c>
      <c r="I7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1" s="276">
        <f>IF(tblSubjectToLoan[[#This Row],[Date]]="",IF(ROW()=ROW(tblSubjectToLoan[#Headers])+1,0,INDEX(tblSubjectToLoan[Interest],ROW()-ROW(tblSubjectToLoan[#Headers])-1)),tblSubjectToLoan[[#This Row],[Int]]+IF(ROW()=ROW(tblSubjectToLoan[#Headers])+1,0,INDEX(tblSubjectToLoan[Interest],ROW()-ROW(tblSubjectToLoan[#Headers])-1)))</f>
        <v>36068.259999999973</v>
      </c>
      <c r="K741" s="969">
        <f>IF(tblSubjectToLoan[[#This Row],[Date]]="",0,MAX(0,tblSubjectToLoan[[#This Row],[Beginning Balance]]-tblSubjectToLoan[[#This Row],[Princ]]))</f>
        <v>0</v>
      </c>
      <c r="L741" s="394">
        <f t="shared" si="51"/>
        <v>0</v>
      </c>
      <c r="M741" s="394">
        <f t="shared" si="52"/>
        <v>0</v>
      </c>
      <c r="N741" s="613" t="str">
        <f>INDEX(tblSubjectToLoan[Date],ROW()-ROW(tblContractForDeed[#Headers]))</f>
        <v/>
      </c>
      <c r="O741" s="276">
        <f>IF(ROW()=ROW(tblContractForDeed[#Headers])+1,$O$6,IF(INDEX(tblContractForDeed[End Bal],ROW()-ROW(tblContractForDeed[#Headers])-1)&lt;0,0,INDEX(tblContractForDeed[End Bal],ROW()-ROW(tblContractForDeed[#Headers])-1)))</f>
        <v>0</v>
      </c>
      <c r="P741" s="454"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1" s="276">
        <f>IF(INDEX(tblContractForDeed[End Bal],ROW()-ROW(tblBuyerOutputs[#Headers]))&lt;=0,0,($O$6+IF(ROW()=ROW(tblBuyerOutputs[#Headers])+1,0,INDEX(tblBuyerOutputs[Cumul Appr],ROW()-ROW(tblBuyerOutputs[#Headers])-1)))*$O$2/12)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13" t="str">
        <f>IF(ROW()=ROW(tblSubjectToLoan[#Headers])+1,subjectKnownBalanceDate,IF(OR(INDEX(tblSubjectToLoan[Date],ROW()-ROW(tblSubjectToLoan[#Headers])-1)="",INDEX(tblSubjectToLoan[Date],ROW()-ROW(tblSubjectToLoan[#Headers])-1)&gt;=subjectMortgageEndDate),"",EDATE(INDEX(tblSubjectToLoan[Date],ROW()-ROW(tblSubjectToLoan[#Headers])-1),1)))</f>
        <v/>
      </c>
      <c r="B742" s="276">
        <f>IF(tblSubjectToLoan[[#This Row],[Date]]="",0,IF(ROW()=ROW(tblSubjectToLoan[#Headers])+1,subjectKnownBalance,MAX(0,INDEX(tblSubjectToLoan[Ending Balance],ROW()-ROW(tblSubjectToLoan[#Headers])-1))))</f>
        <v>0</v>
      </c>
      <c r="C7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2" s="14">
        <f>IF(tblSubjectToLoan[[#This Row],[Payment]]=0,0,MAX(0,MIN(tblSubjectToLoan[[#This Row],[Beginning Balance]],tblSubjectToLoan[[#This Row],[Payment]]-tblSubjectToLoan[[#This Row],[Int]])))</f>
        <v>0</v>
      </c>
      <c r="E742" s="14">
        <f>IF(tblSubjectToLoan[[#This Row],[Date]]="",0,ROUND(tblSubjectToLoan[[#This Row],[Beginning Balance]]*(subjectInterestRate/12),2))</f>
        <v>0</v>
      </c>
      <c r="H742" s="14">
        <f>SUM(tblSubjectToLoan[[#This Row],[Princ]],tblSubjectToLoan[[#This Row],[Int]],tblSubjectToLoan[[#This Row],[Ins]],tblSubjectToLoan[[#This Row],[Taxes]])</f>
        <v>0</v>
      </c>
      <c r="I7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2" s="276">
        <f>IF(tblSubjectToLoan[[#This Row],[Date]]="",IF(ROW()=ROW(tblSubjectToLoan[#Headers])+1,0,INDEX(tblSubjectToLoan[Interest],ROW()-ROW(tblSubjectToLoan[#Headers])-1)),tblSubjectToLoan[[#This Row],[Int]]+IF(ROW()=ROW(tblSubjectToLoan[#Headers])+1,0,INDEX(tblSubjectToLoan[Interest],ROW()-ROW(tblSubjectToLoan[#Headers])-1)))</f>
        <v>36068.259999999973</v>
      </c>
      <c r="K742" s="969">
        <f>IF(tblSubjectToLoan[[#This Row],[Date]]="",0,MAX(0,tblSubjectToLoan[[#This Row],[Beginning Balance]]-tblSubjectToLoan[[#This Row],[Princ]]))</f>
        <v>0</v>
      </c>
      <c r="L742" s="394">
        <f t="shared" si="51"/>
        <v>0</v>
      </c>
      <c r="M742" s="394">
        <f t="shared" si="52"/>
        <v>0</v>
      </c>
      <c r="N742" s="613" t="str">
        <f>INDEX(tblSubjectToLoan[Date],ROW()-ROW(tblContractForDeed[#Headers]))</f>
        <v/>
      </c>
      <c r="O742" s="276">
        <f>IF(ROW()=ROW(tblContractForDeed[#Headers])+1,$O$6,IF(INDEX(tblContractForDeed[End Bal],ROW()-ROW(tblContractForDeed[#Headers])-1)&lt;0,0,INDEX(tblContractForDeed[End Bal],ROW()-ROW(tblContractForDeed[#Headers])-1)))</f>
        <v>0</v>
      </c>
      <c r="P742" s="454"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2" s="276">
        <f>IF(INDEX(tblContractForDeed[End Bal],ROW()-ROW(tblBuyerOutputs[#Headers]))&lt;=0,0,($O$6+IF(ROW()=ROW(tblBuyerOutputs[#Headers])+1,0,INDEX(tblBuyerOutputs[Cumul Appr],ROW()-ROW(tblBuyerOutputs[#Headers])-1)))*$O$2/12)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13" t="str">
        <f>IF(ROW()=ROW(tblSubjectToLoan[#Headers])+1,subjectKnownBalanceDate,IF(OR(INDEX(tblSubjectToLoan[Date],ROW()-ROW(tblSubjectToLoan[#Headers])-1)="",INDEX(tblSubjectToLoan[Date],ROW()-ROW(tblSubjectToLoan[#Headers])-1)&gt;=subjectMortgageEndDate),"",EDATE(INDEX(tblSubjectToLoan[Date],ROW()-ROW(tblSubjectToLoan[#Headers])-1),1)))</f>
        <v/>
      </c>
      <c r="B743" s="276">
        <f>IF(tblSubjectToLoan[[#This Row],[Date]]="",0,IF(ROW()=ROW(tblSubjectToLoan[#Headers])+1,subjectKnownBalance,MAX(0,INDEX(tblSubjectToLoan[Ending Balance],ROW()-ROW(tblSubjectToLoan[#Headers])-1))))</f>
        <v>0</v>
      </c>
      <c r="C7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3" s="14">
        <f>IF(tblSubjectToLoan[[#This Row],[Payment]]=0,0,MAX(0,MIN(tblSubjectToLoan[[#This Row],[Beginning Balance]],tblSubjectToLoan[[#This Row],[Payment]]-tblSubjectToLoan[[#This Row],[Int]])))</f>
        <v>0</v>
      </c>
      <c r="E743" s="14">
        <f>IF(tblSubjectToLoan[[#This Row],[Date]]="",0,ROUND(tblSubjectToLoan[[#This Row],[Beginning Balance]]*(subjectInterestRate/12),2))</f>
        <v>0</v>
      </c>
      <c r="H743" s="14">
        <f>SUM(tblSubjectToLoan[[#This Row],[Princ]],tblSubjectToLoan[[#This Row],[Int]],tblSubjectToLoan[[#This Row],[Ins]],tblSubjectToLoan[[#This Row],[Taxes]])</f>
        <v>0</v>
      </c>
      <c r="I7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3" s="276">
        <f>IF(tblSubjectToLoan[[#This Row],[Date]]="",IF(ROW()=ROW(tblSubjectToLoan[#Headers])+1,0,INDEX(tblSubjectToLoan[Interest],ROW()-ROW(tblSubjectToLoan[#Headers])-1)),tblSubjectToLoan[[#This Row],[Int]]+IF(ROW()=ROW(tblSubjectToLoan[#Headers])+1,0,INDEX(tblSubjectToLoan[Interest],ROW()-ROW(tblSubjectToLoan[#Headers])-1)))</f>
        <v>36068.259999999973</v>
      </c>
      <c r="K743" s="969">
        <f>IF(tblSubjectToLoan[[#This Row],[Date]]="",0,MAX(0,tblSubjectToLoan[[#This Row],[Beginning Balance]]-tblSubjectToLoan[[#This Row],[Princ]]))</f>
        <v>0</v>
      </c>
      <c r="L743" s="394">
        <f t="shared" si="51"/>
        <v>0</v>
      </c>
      <c r="M743" s="394">
        <f t="shared" si="52"/>
        <v>0</v>
      </c>
      <c r="N743" s="613" t="str">
        <f>INDEX(tblSubjectToLoan[Date],ROW()-ROW(tblContractForDeed[#Headers]))</f>
        <v/>
      </c>
      <c r="O743" s="276">
        <f>IF(ROW()=ROW(tblContractForDeed[#Headers])+1,$O$6,IF(INDEX(tblContractForDeed[End Bal],ROW()-ROW(tblContractForDeed[#Headers])-1)&lt;0,0,INDEX(tblContractForDeed[End Bal],ROW()-ROW(tblContractForDeed[#Headers])-1)))</f>
        <v>0</v>
      </c>
      <c r="P743" s="454"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3" s="276">
        <f>IF(INDEX(tblContractForDeed[End Bal],ROW()-ROW(tblBuyerOutputs[#Headers]))&lt;=0,0,($O$6+IF(ROW()=ROW(tblBuyerOutputs[#Headers])+1,0,INDEX(tblBuyerOutputs[Cumul Appr],ROW()-ROW(tblBuyerOutputs[#Headers])-1)))*$O$2/12)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13" t="str">
        <f>IF(ROW()=ROW(tblSubjectToLoan[#Headers])+1,subjectKnownBalanceDate,IF(OR(INDEX(tblSubjectToLoan[Date],ROW()-ROW(tblSubjectToLoan[#Headers])-1)="",INDEX(tblSubjectToLoan[Date],ROW()-ROW(tblSubjectToLoan[#Headers])-1)&gt;=subjectMortgageEndDate),"",EDATE(INDEX(tblSubjectToLoan[Date],ROW()-ROW(tblSubjectToLoan[#Headers])-1),1)))</f>
        <v/>
      </c>
      <c r="B744" s="276">
        <f>IF(tblSubjectToLoan[[#This Row],[Date]]="",0,IF(ROW()=ROW(tblSubjectToLoan[#Headers])+1,subjectKnownBalance,MAX(0,INDEX(tblSubjectToLoan[Ending Balance],ROW()-ROW(tblSubjectToLoan[#Headers])-1))))</f>
        <v>0</v>
      </c>
      <c r="C7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4" s="14">
        <f>IF(tblSubjectToLoan[[#This Row],[Payment]]=0,0,MAX(0,MIN(tblSubjectToLoan[[#This Row],[Beginning Balance]],tblSubjectToLoan[[#This Row],[Payment]]-tblSubjectToLoan[[#This Row],[Int]])))</f>
        <v>0</v>
      </c>
      <c r="E744" s="14">
        <f>IF(tblSubjectToLoan[[#This Row],[Date]]="",0,ROUND(tblSubjectToLoan[[#This Row],[Beginning Balance]]*(subjectInterestRate/12),2))</f>
        <v>0</v>
      </c>
      <c r="H744" s="14">
        <f>SUM(tblSubjectToLoan[[#This Row],[Princ]],tblSubjectToLoan[[#This Row],[Int]],tblSubjectToLoan[[#This Row],[Ins]],tblSubjectToLoan[[#This Row],[Taxes]])</f>
        <v>0</v>
      </c>
      <c r="I7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4" s="276">
        <f>IF(tblSubjectToLoan[[#This Row],[Date]]="",IF(ROW()=ROW(tblSubjectToLoan[#Headers])+1,0,INDEX(tblSubjectToLoan[Interest],ROW()-ROW(tblSubjectToLoan[#Headers])-1)),tblSubjectToLoan[[#This Row],[Int]]+IF(ROW()=ROW(tblSubjectToLoan[#Headers])+1,0,INDEX(tblSubjectToLoan[Interest],ROW()-ROW(tblSubjectToLoan[#Headers])-1)))</f>
        <v>36068.259999999973</v>
      </c>
      <c r="K744" s="969">
        <f>IF(tblSubjectToLoan[[#This Row],[Date]]="",0,MAX(0,tblSubjectToLoan[[#This Row],[Beginning Balance]]-tblSubjectToLoan[[#This Row],[Princ]]))</f>
        <v>0</v>
      </c>
      <c r="L744" s="394">
        <f t="shared" si="51"/>
        <v>0</v>
      </c>
      <c r="M744" s="394">
        <f t="shared" si="52"/>
        <v>0</v>
      </c>
      <c r="N744" s="613" t="str">
        <f>INDEX(tblSubjectToLoan[Date],ROW()-ROW(tblContractForDeed[#Headers]))</f>
        <v/>
      </c>
      <c r="O744" s="276">
        <f>IF(ROW()=ROW(tblContractForDeed[#Headers])+1,$O$6,IF(INDEX(tblContractForDeed[End Bal],ROW()-ROW(tblContractForDeed[#Headers])-1)&lt;0,0,INDEX(tblContractForDeed[End Bal],ROW()-ROW(tblContractForDeed[#Headers])-1)))</f>
        <v>0</v>
      </c>
      <c r="P744" s="454"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4" s="276">
        <f>IF(INDEX(tblContractForDeed[End Bal],ROW()-ROW(tblBuyerOutputs[#Headers]))&lt;=0,0,($O$6+IF(ROW()=ROW(tblBuyerOutputs[#Headers])+1,0,INDEX(tblBuyerOutputs[Cumul Appr],ROW()-ROW(tblBuyerOutputs[#Headers])-1)))*$O$2/12)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13" t="str">
        <f>IF(ROW()=ROW(tblSubjectToLoan[#Headers])+1,subjectKnownBalanceDate,IF(OR(INDEX(tblSubjectToLoan[Date],ROW()-ROW(tblSubjectToLoan[#Headers])-1)="",INDEX(tblSubjectToLoan[Date],ROW()-ROW(tblSubjectToLoan[#Headers])-1)&gt;=subjectMortgageEndDate),"",EDATE(INDEX(tblSubjectToLoan[Date],ROW()-ROW(tblSubjectToLoan[#Headers])-1),1)))</f>
        <v/>
      </c>
      <c r="B745" s="276">
        <f>IF(tblSubjectToLoan[[#This Row],[Date]]="",0,IF(ROW()=ROW(tblSubjectToLoan[#Headers])+1,subjectKnownBalance,MAX(0,INDEX(tblSubjectToLoan[Ending Balance],ROW()-ROW(tblSubjectToLoan[#Headers])-1))))</f>
        <v>0</v>
      </c>
      <c r="C7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5" s="14">
        <f>IF(tblSubjectToLoan[[#This Row],[Payment]]=0,0,MAX(0,MIN(tblSubjectToLoan[[#This Row],[Beginning Balance]],tblSubjectToLoan[[#This Row],[Payment]]-tblSubjectToLoan[[#This Row],[Int]])))</f>
        <v>0</v>
      </c>
      <c r="E745" s="14">
        <f>IF(tblSubjectToLoan[[#This Row],[Date]]="",0,ROUND(tblSubjectToLoan[[#This Row],[Beginning Balance]]*(subjectInterestRate/12),2))</f>
        <v>0</v>
      </c>
      <c r="H745" s="14">
        <f>SUM(tblSubjectToLoan[[#This Row],[Princ]],tblSubjectToLoan[[#This Row],[Int]],tblSubjectToLoan[[#This Row],[Ins]],tblSubjectToLoan[[#This Row],[Taxes]])</f>
        <v>0</v>
      </c>
      <c r="I7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5" s="276">
        <f>IF(tblSubjectToLoan[[#This Row],[Date]]="",IF(ROW()=ROW(tblSubjectToLoan[#Headers])+1,0,INDEX(tblSubjectToLoan[Interest],ROW()-ROW(tblSubjectToLoan[#Headers])-1)),tblSubjectToLoan[[#This Row],[Int]]+IF(ROW()=ROW(tblSubjectToLoan[#Headers])+1,0,INDEX(tblSubjectToLoan[Interest],ROW()-ROW(tblSubjectToLoan[#Headers])-1)))</f>
        <v>36068.259999999973</v>
      </c>
      <c r="K745" s="969">
        <f>IF(tblSubjectToLoan[[#This Row],[Date]]="",0,MAX(0,tblSubjectToLoan[[#This Row],[Beginning Balance]]-tblSubjectToLoan[[#This Row],[Princ]]))</f>
        <v>0</v>
      </c>
      <c r="L745" s="394">
        <f t="shared" si="51"/>
        <v>0</v>
      </c>
      <c r="M745" s="394">
        <f t="shared" si="52"/>
        <v>0</v>
      </c>
      <c r="N745" s="613" t="str">
        <f>INDEX(tblSubjectToLoan[Date],ROW()-ROW(tblContractForDeed[#Headers]))</f>
        <v/>
      </c>
      <c r="O745" s="276">
        <f>IF(ROW()=ROW(tblContractForDeed[#Headers])+1,$O$6,IF(INDEX(tblContractForDeed[End Bal],ROW()-ROW(tblContractForDeed[#Headers])-1)&lt;0,0,INDEX(tblContractForDeed[End Bal],ROW()-ROW(tblContractForDeed[#Headers])-1)))</f>
        <v>0</v>
      </c>
      <c r="P745" s="454"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5" s="276">
        <f>IF(INDEX(tblContractForDeed[End Bal],ROW()-ROW(tblBuyerOutputs[#Headers]))&lt;=0,0,($O$6+IF(ROW()=ROW(tblBuyerOutputs[#Headers])+1,0,INDEX(tblBuyerOutputs[Cumul Appr],ROW()-ROW(tblBuyerOutputs[#Headers])-1)))*$O$2/12)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13" t="str">
        <f>IF(ROW()=ROW(tblSubjectToLoan[#Headers])+1,subjectKnownBalanceDate,IF(OR(INDEX(tblSubjectToLoan[Date],ROW()-ROW(tblSubjectToLoan[#Headers])-1)="",INDEX(tblSubjectToLoan[Date],ROW()-ROW(tblSubjectToLoan[#Headers])-1)&gt;=subjectMortgageEndDate),"",EDATE(INDEX(tblSubjectToLoan[Date],ROW()-ROW(tblSubjectToLoan[#Headers])-1),1)))</f>
        <v/>
      </c>
      <c r="B746" s="276">
        <f>IF(tblSubjectToLoan[[#This Row],[Date]]="",0,IF(ROW()=ROW(tblSubjectToLoan[#Headers])+1,subjectKnownBalance,MAX(0,INDEX(tblSubjectToLoan[Ending Balance],ROW()-ROW(tblSubjectToLoan[#Headers])-1))))</f>
        <v>0</v>
      </c>
      <c r="C7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6" s="14">
        <f>IF(tblSubjectToLoan[[#This Row],[Payment]]=0,0,MAX(0,MIN(tblSubjectToLoan[[#This Row],[Beginning Balance]],tblSubjectToLoan[[#This Row],[Payment]]-tblSubjectToLoan[[#This Row],[Int]])))</f>
        <v>0</v>
      </c>
      <c r="E746" s="14">
        <f>IF(tblSubjectToLoan[[#This Row],[Date]]="",0,ROUND(tblSubjectToLoan[[#This Row],[Beginning Balance]]*(subjectInterestRate/12),2))</f>
        <v>0</v>
      </c>
      <c r="H746" s="14">
        <f>SUM(tblSubjectToLoan[[#This Row],[Princ]],tblSubjectToLoan[[#This Row],[Int]],tblSubjectToLoan[[#This Row],[Ins]],tblSubjectToLoan[[#This Row],[Taxes]])</f>
        <v>0</v>
      </c>
      <c r="I7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6" s="276">
        <f>IF(tblSubjectToLoan[[#This Row],[Date]]="",IF(ROW()=ROW(tblSubjectToLoan[#Headers])+1,0,INDEX(tblSubjectToLoan[Interest],ROW()-ROW(tblSubjectToLoan[#Headers])-1)),tblSubjectToLoan[[#This Row],[Int]]+IF(ROW()=ROW(tblSubjectToLoan[#Headers])+1,0,INDEX(tblSubjectToLoan[Interest],ROW()-ROW(tblSubjectToLoan[#Headers])-1)))</f>
        <v>36068.259999999973</v>
      </c>
      <c r="K746" s="969">
        <f>IF(tblSubjectToLoan[[#This Row],[Date]]="",0,MAX(0,tblSubjectToLoan[[#This Row],[Beginning Balance]]-tblSubjectToLoan[[#This Row],[Princ]]))</f>
        <v>0</v>
      </c>
      <c r="L746" s="394">
        <f t="shared" si="51"/>
        <v>0</v>
      </c>
      <c r="M746" s="394">
        <f t="shared" si="52"/>
        <v>0</v>
      </c>
      <c r="N746" s="613" t="str">
        <f>INDEX(tblSubjectToLoan[Date],ROW()-ROW(tblContractForDeed[#Headers]))</f>
        <v/>
      </c>
      <c r="O746" s="276">
        <f>IF(ROW()=ROW(tblContractForDeed[#Headers])+1,$O$6,IF(INDEX(tblContractForDeed[End Bal],ROW()-ROW(tblContractForDeed[#Headers])-1)&lt;0,0,INDEX(tblContractForDeed[End Bal],ROW()-ROW(tblContractForDeed[#Headers])-1)))</f>
        <v>0</v>
      </c>
      <c r="P746" s="454"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6" s="276">
        <f>IF(INDEX(tblContractForDeed[End Bal],ROW()-ROW(tblBuyerOutputs[#Headers]))&lt;=0,0,($O$6+IF(ROW()=ROW(tblBuyerOutputs[#Headers])+1,0,INDEX(tblBuyerOutputs[Cumul Appr],ROW()-ROW(tblBuyerOutputs[#Headers])-1)))*$O$2/12)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13" t="str">
        <f>IF(ROW()=ROW(tblSubjectToLoan[#Headers])+1,subjectKnownBalanceDate,IF(OR(INDEX(tblSubjectToLoan[Date],ROW()-ROW(tblSubjectToLoan[#Headers])-1)="",INDEX(tblSubjectToLoan[Date],ROW()-ROW(tblSubjectToLoan[#Headers])-1)&gt;=subjectMortgageEndDate),"",EDATE(INDEX(tblSubjectToLoan[Date],ROW()-ROW(tblSubjectToLoan[#Headers])-1),1)))</f>
        <v/>
      </c>
      <c r="B747" s="276">
        <f>IF(tblSubjectToLoan[[#This Row],[Date]]="",0,IF(ROW()=ROW(tblSubjectToLoan[#Headers])+1,subjectKnownBalance,MAX(0,INDEX(tblSubjectToLoan[Ending Balance],ROW()-ROW(tblSubjectToLoan[#Headers])-1))))</f>
        <v>0</v>
      </c>
      <c r="C7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7" s="14">
        <f>IF(tblSubjectToLoan[[#This Row],[Payment]]=0,0,MAX(0,MIN(tblSubjectToLoan[[#This Row],[Beginning Balance]],tblSubjectToLoan[[#This Row],[Payment]]-tblSubjectToLoan[[#This Row],[Int]])))</f>
        <v>0</v>
      </c>
      <c r="E747" s="14">
        <f>IF(tblSubjectToLoan[[#This Row],[Date]]="",0,ROUND(tblSubjectToLoan[[#This Row],[Beginning Balance]]*(subjectInterestRate/12),2))</f>
        <v>0</v>
      </c>
      <c r="H747" s="14">
        <f>SUM(tblSubjectToLoan[[#This Row],[Princ]],tblSubjectToLoan[[#This Row],[Int]],tblSubjectToLoan[[#This Row],[Ins]],tblSubjectToLoan[[#This Row],[Taxes]])</f>
        <v>0</v>
      </c>
      <c r="I7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7" s="276">
        <f>IF(tblSubjectToLoan[[#This Row],[Date]]="",IF(ROW()=ROW(tblSubjectToLoan[#Headers])+1,0,INDEX(tblSubjectToLoan[Interest],ROW()-ROW(tblSubjectToLoan[#Headers])-1)),tblSubjectToLoan[[#This Row],[Int]]+IF(ROW()=ROW(tblSubjectToLoan[#Headers])+1,0,INDEX(tblSubjectToLoan[Interest],ROW()-ROW(tblSubjectToLoan[#Headers])-1)))</f>
        <v>36068.259999999973</v>
      </c>
      <c r="K747" s="969">
        <f>IF(tblSubjectToLoan[[#This Row],[Date]]="",0,MAX(0,tblSubjectToLoan[[#This Row],[Beginning Balance]]-tblSubjectToLoan[[#This Row],[Princ]]))</f>
        <v>0</v>
      </c>
      <c r="L747" s="394">
        <f t="shared" si="51"/>
        <v>0</v>
      </c>
      <c r="M747" s="394">
        <f t="shared" si="52"/>
        <v>0</v>
      </c>
      <c r="N747" s="613" t="str">
        <f>INDEX(tblSubjectToLoan[Date],ROW()-ROW(tblContractForDeed[#Headers]))</f>
        <v/>
      </c>
      <c r="O747" s="276">
        <f>IF(ROW()=ROW(tblContractForDeed[#Headers])+1,$O$6,IF(INDEX(tblContractForDeed[End Bal],ROW()-ROW(tblContractForDeed[#Headers])-1)&lt;0,0,INDEX(tblContractForDeed[End Bal],ROW()-ROW(tblContractForDeed[#Headers])-1)))</f>
        <v>0</v>
      </c>
      <c r="P747" s="454"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7" s="276">
        <f>IF(INDEX(tblContractForDeed[End Bal],ROW()-ROW(tblBuyerOutputs[#Headers]))&lt;=0,0,($O$6+IF(ROW()=ROW(tblBuyerOutputs[#Headers])+1,0,INDEX(tblBuyerOutputs[Cumul Appr],ROW()-ROW(tblBuyerOutputs[#Headers])-1)))*$O$2/12)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13" t="str">
        <f>IF(ROW()=ROW(tblSubjectToLoan[#Headers])+1,subjectKnownBalanceDate,IF(OR(INDEX(tblSubjectToLoan[Date],ROW()-ROW(tblSubjectToLoan[#Headers])-1)="",INDEX(tblSubjectToLoan[Date],ROW()-ROW(tblSubjectToLoan[#Headers])-1)&gt;=subjectMortgageEndDate),"",EDATE(INDEX(tblSubjectToLoan[Date],ROW()-ROW(tblSubjectToLoan[#Headers])-1),1)))</f>
        <v/>
      </c>
      <c r="B748" s="276">
        <f>IF(tblSubjectToLoan[[#This Row],[Date]]="",0,IF(ROW()=ROW(tblSubjectToLoan[#Headers])+1,subjectKnownBalance,MAX(0,INDEX(tblSubjectToLoan[Ending Balance],ROW()-ROW(tblSubjectToLoan[#Headers])-1))))</f>
        <v>0</v>
      </c>
      <c r="C7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8" s="14">
        <f>IF(tblSubjectToLoan[[#This Row],[Payment]]=0,0,MAX(0,MIN(tblSubjectToLoan[[#This Row],[Beginning Balance]],tblSubjectToLoan[[#This Row],[Payment]]-tblSubjectToLoan[[#This Row],[Int]])))</f>
        <v>0</v>
      </c>
      <c r="E748" s="14">
        <f>IF(tblSubjectToLoan[[#This Row],[Date]]="",0,ROUND(tblSubjectToLoan[[#This Row],[Beginning Balance]]*(subjectInterestRate/12),2))</f>
        <v>0</v>
      </c>
      <c r="H748" s="14">
        <f>SUM(tblSubjectToLoan[[#This Row],[Princ]],tblSubjectToLoan[[#This Row],[Int]],tblSubjectToLoan[[#This Row],[Ins]],tblSubjectToLoan[[#This Row],[Taxes]])</f>
        <v>0</v>
      </c>
      <c r="I7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8" s="276">
        <f>IF(tblSubjectToLoan[[#This Row],[Date]]="",IF(ROW()=ROW(tblSubjectToLoan[#Headers])+1,0,INDEX(tblSubjectToLoan[Interest],ROW()-ROW(tblSubjectToLoan[#Headers])-1)),tblSubjectToLoan[[#This Row],[Int]]+IF(ROW()=ROW(tblSubjectToLoan[#Headers])+1,0,INDEX(tblSubjectToLoan[Interest],ROW()-ROW(tblSubjectToLoan[#Headers])-1)))</f>
        <v>36068.259999999973</v>
      </c>
      <c r="K748" s="969">
        <f>IF(tblSubjectToLoan[[#This Row],[Date]]="",0,MAX(0,tblSubjectToLoan[[#This Row],[Beginning Balance]]-tblSubjectToLoan[[#This Row],[Princ]]))</f>
        <v>0</v>
      </c>
      <c r="L748" s="394">
        <f t="shared" si="51"/>
        <v>0</v>
      </c>
      <c r="M748" s="394">
        <f t="shared" si="52"/>
        <v>0</v>
      </c>
      <c r="N748" s="613" t="str">
        <f>INDEX(tblSubjectToLoan[Date],ROW()-ROW(tblContractForDeed[#Headers]))</f>
        <v/>
      </c>
      <c r="O748" s="276">
        <f>IF(ROW()=ROW(tblContractForDeed[#Headers])+1,$O$6,IF(INDEX(tblContractForDeed[End Bal],ROW()-ROW(tblContractForDeed[#Headers])-1)&lt;0,0,INDEX(tblContractForDeed[End Bal],ROW()-ROW(tblContractForDeed[#Headers])-1)))</f>
        <v>0</v>
      </c>
      <c r="P748" s="454"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8" s="276">
        <f>IF(INDEX(tblContractForDeed[End Bal],ROW()-ROW(tblBuyerOutputs[#Headers]))&lt;=0,0,($O$6+IF(ROW()=ROW(tblBuyerOutputs[#Headers])+1,0,INDEX(tblBuyerOutputs[Cumul Appr],ROW()-ROW(tblBuyerOutputs[#Headers])-1)))*$O$2/12)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13" t="str">
        <f>IF(ROW()=ROW(tblSubjectToLoan[#Headers])+1,subjectKnownBalanceDate,IF(OR(INDEX(tblSubjectToLoan[Date],ROW()-ROW(tblSubjectToLoan[#Headers])-1)="",INDEX(tblSubjectToLoan[Date],ROW()-ROW(tblSubjectToLoan[#Headers])-1)&gt;=subjectMortgageEndDate),"",EDATE(INDEX(tblSubjectToLoan[Date],ROW()-ROW(tblSubjectToLoan[#Headers])-1),1)))</f>
        <v/>
      </c>
      <c r="B749" s="276">
        <f>IF(tblSubjectToLoan[[#This Row],[Date]]="",0,IF(ROW()=ROW(tblSubjectToLoan[#Headers])+1,subjectKnownBalance,MAX(0,INDEX(tblSubjectToLoan[Ending Balance],ROW()-ROW(tblSubjectToLoan[#Headers])-1))))</f>
        <v>0</v>
      </c>
      <c r="C7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9" s="14">
        <f>IF(tblSubjectToLoan[[#This Row],[Payment]]=0,0,MAX(0,MIN(tblSubjectToLoan[[#This Row],[Beginning Balance]],tblSubjectToLoan[[#This Row],[Payment]]-tblSubjectToLoan[[#This Row],[Int]])))</f>
        <v>0</v>
      </c>
      <c r="E749" s="14">
        <f>IF(tblSubjectToLoan[[#This Row],[Date]]="",0,ROUND(tblSubjectToLoan[[#This Row],[Beginning Balance]]*(subjectInterestRate/12),2))</f>
        <v>0</v>
      </c>
      <c r="H749" s="14">
        <f>SUM(tblSubjectToLoan[[#This Row],[Princ]],tblSubjectToLoan[[#This Row],[Int]],tblSubjectToLoan[[#This Row],[Ins]],tblSubjectToLoan[[#This Row],[Taxes]])</f>
        <v>0</v>
      </c>
      <c r="I7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9" s="276">
        <f>IF(tblSubjectToLoan[[#This Row],[Date]]="",IF(ROW()=ROW(tblSubjectToLoan[#Headers])+1,0,INDEX(tblSubjectToLoan[Interest],ROW()-ROW(tblSubjectToLoan[#Headers])-1)),tblSubjectToLoan[[#This Row],[Int]]+IF(ROW()=ROW(tblSubjectToLoan[#Headers])+1,0,INDEX(tblSubjectToLoan[Interest],ROW()-ROW(tblSubjectToLoan[#Headers])-1)))</f>
        <v>36068.259999999973</v>
      </c>
      <c r="K749" s="969">
        <f>IF(tblSubjectToLoan[[#This Row],[Date]]="",0,MAX(0,tblSubjectToLoan[[#This Row],[Beginning Balance]]-tblSubjectToLoan[[#This Row],[Princ]]))</f>
        <v>0</v>
      </c>
      <c r="L749" s="394">
        <f t="shared" si="51"/>
        <v>0</v>
      </c>
      <c r="M749" s="394">
        <f t="shared" si="52"/>
        <v>0</v>
      </c>
      <c r="N749" s="613" t="str">
        <f>INDEX(tblSubjectToLoan[Date],ROW()-ROW(tblContractForDeed[#Headers]))</f>
        <v/>
      </c>
      <c r="O749" s="276">
        <f>IF(ROW()=ROW(tblContractForDeed[#Headers])+1,$O$6,IF(INDEX(tblContractForDeed[End Bal],ROW()-ROW(tblContractForDeed[#Headers])-1)&lt;0,0,INDEX(tblContractForDeed[End Bal],ROW()-ROW(tblContractForDeed[#Headers])-1)))</f>
        <v>0</v>
      </c>
      <c r="P749" s="454"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9" s="276">
        <f>IF(INDEX(tblContractForDeed[End Bal],ROW()-ROW(tblBuyerOutputs[#Headers]))&lt;=0,0,($O$6+IF(ROW()=ROW(tblBuyerOutputs[#Headers])+1,0,INDEX(tblBuyerOutputs[Cumul Appr],ROW()-ROW(tblBuyerOutputs[#Headers])-1)))*$O$2/12)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13" t="str">
        <f>IF(ROW()=ROW(tblSubjectToLoan[#Headers])+1,subjectKnownBalanceDate,IF(OR(INDEX(tblSubjectToLoan[Date],ROW()-ROW(tblSubjectToLoan[#Headers])-1)="",INDEX(tblSubjectToLoan[Date],ROW()-ROW(tblSubjectToLoan[#Headers])-1)&gt;=subjectMortgageEndDate),"",EDATE(INDEX(tblSubjectToLoan[Date],ROW()-ROW(tblSubjectToLoan[#Headers])-1),1)))</f>
        <v/>
      </c>
      <c r="B750" s="276">
        <f>IF(tblSubjectToLoan[[#This Row],[Date]]="",0,IF(ROW()=ROW(tblSubjectToLoan[#Headers])+1,subjectKnownBalance,MAX(0,INDEX(tblSubjectToLoan[Ending Balance],ROW()-ROW(tblSubjectToLoan[#Headers])-1))))</f>
        <v>0</v>
      </c>
      <c r="C7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0" s="14">
        <f>IF(tblSubjectToLoan[[#This Row],[Payment]]=0,0,MAX(0,MIN(tblSubjectToLoan[[#This Row],[Beginning Balance]],tblSubjectToLoan[[#This Row],[Payment]]-tblSubjectToLoan[[#This Row],[Int]])))</f>
        <v>0</v>
      </c>
      <c r="E750" s="14">
        <f>IF(tblSubjectToLoan[[#This Row],[Date]]="",0,ROUND(tblSubjectToLoan[[#This Row],[Beginning Balance]]*(subjectInterestRate/12),2))</f>
        <v>0</v>
      </c>
      <c r="H750" s="14">
        <f>SUM(tblSubjectToLoan[[#This Row],[Princ]],tblSubjectToLoan[[#This Row],[Int]],tblSubjectToLoan[[#This Row],[Ins]],tblSubjectToLoan[[#This Row],[Taxes]])</f>
        <v>0</v>
      </c>
      <c r="I7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0" s="276">
        <f>IF(tblSubjectToLoan[[#This Row],[Date]]="",IF(ROW()=ROW(tblSubjectToLoan[#Headers])+1,0,INDEX(tblSubjectToLoan[Interest],ROW()-ROW(tblSubjectToLoan[#Headers])-1)),tblSubjectToLoan[[#This Row],[Int]]+IF(ROW()=ROW(tblSubjectToLoan[#Headers])+1,0,INDEX(tblSubjectToLoan[Interest],ROW()-ROW(tblSubjectToLoan[#Headers])-1)))</f>
        <v>36068.259999999973</v>
      </c>
      <c r="K750" s="969">
        <f>IF(tblSubjectToLoan[[#This Row],[Date]]="",0,MAX(0,tblSubjectToLoan[[#This Row],[Beginning Balance]]-tblSubjectToLoan[[#This Row],[Princ]]))</f>
        <v>0</v>
      </c>
      <c r="L750" s="394">
        <f t="shared" si="51"/>
        <v>0</v>
      </c>
      <c r="M750" s="394">
        <f t="shared" si="52"/>
        <v>0</v>
      </c>
      <c r="N750" s="613" t="str">
        <f>INDEX(tblSubjectToLoan[Date],ROW()-ROW(tblContractForDeed[#Headers]))</f>
        <v/>
      </c>
      <c r="O750" s="276">
        <f>IF(ROW()=ROW(tblContractForDeed[#Headers])+1,$O$6,IF(INDEX(tblContractForDeed[End Bal],ROW()-ROW(tblContractForDeed[#Headers])-1)&lt;0,0,INDEX(tblContractForDeed[End Bal],ROW()-ROW(tblContractForDeed[#Headers])-1)))</f>
        <v>0</v>
      </c>
      <c r="P750" s="454"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0" s="276">
        <f>IF(INDEX(tblContractForDeed[End Bal],ROW()-ROW(tblBuyerOutputs[#Headers]))&lt;=0,0,($O$6+IF(ROW()=ROW(tblBuyerOutputs[#Headers])+1,0,INDEX(tblBuyerOutputs[Cumul Appr],ROW()-ROW(tblBuyerOutputs[#Headers])-1)))*$O$2/12)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14" t="str">
        <f>IF(ROW()=ROW(tblSubjectToLoan[#Headers])+1,subjectKnownBalanceDate,IF(OR(INDEX(tblSubjectToLoan[Date],ROW()-ROW(tblSubjectToLoan[#Headers])-1)="",INDEX(tblSubjectToLoan[Date],ROW()-ROW(tblSubjectToLoan[#Headers])-1)&gt;=subjectMortgageEndDate),"",EDATE(INDEX(tblSubjectToLoan[Date],ROW()-ROW(tblSubjectToLoan[#Headers])-1),1)))</f>
        <v/>
      </c>
      <c r="B751" s="332">
        <f>IF(tblSubjectToLoan[[#This Row],[Date]]="",0,IF(ROW()=ROW(tblSubjectToLoan[#Headers])+1,subjectKnownBalance,MAX(0,INDEX(tblSubjectToLoan[Ending Balance],ROW()-ROW(tblSubjectToLoan[#Headers])-1))))</f>
        <v>0</v>
      </c>
      <c r="C75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1" s="21">
        <f>IF(tblSubjectToLoan[[#This Row],[Payment]]=0,0,MAX(0,MIN(tblSubjectToLoan[[#This Row],[Beginning Balance]],tblSubjectToLoan[[#This Row],[Payment]]-tblSubjectToLoan[[#This Row],[Int]])))</f>
        <v>0</v>
      </c>
      <c r="E751" s="21">
        <f>IF(tblSubjectToLoan[[#This Row],[Date]]="",0,ROUND(tblSubjectToLoan[[#This Row],[Beginning Balance]]*(subjectInterestRate/12),2))</f>
        <v>0</v>
      </c>
      <c r="F751" s="21"/>
      <c r="G751" s="21"/>
      <c r="H751" s="21">
        <f>SUM(tblSubjectToLoan[[#This Row],[Princ]],tblSubjectToLoan[[#This Row],[Int]],tblSubjectToLoan[[#This Row],[Ins]],tblSubjectToLoan[[#This Row],[Taxes]])</f>
        <v>0</v>
      </c>
      <c r="I75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51" s="332">
        <f>IF(tblSubjectToLoan[[#This Row],[Date]]="",IF(ROW()=ROW(tblSubjectToLoan[#Headers])+1,0,INDEX(tblSubjectToLoan[Interest],ROW()-ROW(tblSubjectToLoan[#Headers])-1)),tblSubjectToLoan[[#This Row],[Int]]+IF(ROW()=ROW(tblSubjectToLoan[#Headers])+1,0,INDEX(tblSubjectToLoan[Interest],ROW()-ROW(tblSubjectToLoan[#Headers])-1)))</f>
        <v>36068.259999999973</v>
      </c>
      <c r="K751" s="970">
        <f>IF(tblSubjectToLoan[[#This Row],[Date]]="",0,MAX(0,tblSubjectToLoan[[#This Row],[Beginning Balance]]-tblSubjectToLoan[[#This Row],[Princ]]))</f>
        <v>0</v>
      </c>
      <c r="L751" s="395">
        <f t="shared" si="51"/>
        <v>0</v>
      </c>
      <c r="M751" s="395">
        <f t="shared" si="52"/>
        <v>0</v>
      </c>
      <c r="N751" s="614" t="str">
        <f>INDEX(tblSubjectToLoan[Date],ROW()-ROW(tblContractForDeed[#Headers]))</f>
        <v/>
      </c>
      <c r="O751" s="332">
        <f>IF(ROW()=ROW(tblContractForDeed[#Headers])+1,$O$6,IF(INDEX(tblContractForDeed[End Bal],ROW()-ROW(tblContractForDeed[#Headers])-1)&lt;0,0,INDEX(tblContractForDeed[End Bal],ROW()-ROW(tblContractForDeed[#Headers])-1)))</f>
        <v>0</v>
      </c>
      <c r="P751" s="454"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1" s="332">
        <f>IF(INDEX(tblContractForDeed[End Bal],ROW()-ROW(tblBuyerOutputs[#Headers]))&lt;=0,0,($O$6+IF(ROW()=ROW(tblBuyerOutputs[#Headers])+1,0,INDEX(tblBuyerOutputs[Cumul Appr],ROW()-ROW(tblBuyerOutputs[#Headers])-1)))*$O$2/12)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13" t="str">
        <f>IF(ROW()=ROW(tblSubjectToLoan[#Headers])+1,subjectKnownBalanceDate,IF(OR(INDEX(tblSubjectToLoan[Date],ROW()-ROW(tblSubjectToLoan[#Headers])-1)="",INDEX(tblSubjectToLoan[Date],ROW()-ROW(tblSubjectToLoan[#Headers])-1)&gt;=subjectMortgageEndDate),"",EDATE(INDEX(tblSubjectToLoan[Date],ROW()-ROW(tblSubjectToLoan[#Headers])-1),1)))</f>
        <v/>
      </c>
      <c r="B752" s="276">
        <f>IF(tblSubjectToLoan[[#This Row],[Date]]="",0,IF(ROW()=ROW(tblSubjectToLoan[#Headers])+1,subjectKnownBalance,MAX(0,INDEX(tblSubjectToLoan[Ending Balance],ROW()-ROW(tblSubjectToLoan[#Headers])-1))))</f>
        <v>0</v>
      </c>
      <c r="C7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2" s="14">
        <f>IF(tblSubjectToLoan[[#This Row],[Payment]]=0,0,MAX(0,MIN(tblSubjectToLoan[[#This Row],[Beginning Balance]],tblSubjectToLoan[[#This Row],[Payment]]-tblSubjectToLoan[[#This Row],[Int]])))</f>
        <v>0</v>
      </c>
      <c r="E752" s="14">
        <f>IF(tblSubjectToLoan[[#This Row],[Date]]="",0,ROUND(tblSubjectToLoan[[#This Row],[Beginning Balance]]*(subjectInterestRate/12),2))</f>
        <v>0</v>
      </c>
      <c r="H752" s="14">
        <f>SUM(tblSubjectToLoan[[#This Row],[Princ]],tblSubjectToLoan[[#This Row],[Int]],tblSubjectToLoan[[#This Row],[Ins]],tblSubjectToLoan[[#This Row],[Taxes]])</f>
        <v>0</v>
      </c>
      <c r="I7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2" s="276">
        <f>IF(tblSubjectToLoan[[#This Row],[Date]]="",IF(ROW()=ROW(tblSubjectToLoan[#Headers])+1,0,INDEX(tblSubjectToLoan[Interest],ROW()-ROW(tblSubjectToLoan[#Headers])-1)),tblSubjectToLoan[[#This Row],[Int]]+IF(ROW()=ROW(tblSubjectToLoan[#Headers])+1,0,INDEX(tblSubjectToLoan[Interest],ROW()-ROW(tblSubjectToLoan[#Headers])-1)))</f>
        <v>36068.259999999973</v>
      </c>
      <c r="K752" s="969">
        <f>IF(tblSubjectToLoan[[#This Row],[Date]]="",0,MAX(0,tblSubjectToLoan[[#This Row],[Beginning Balance]]-tblSubjectToLoan[[#This Row],[Princ]]))</f>
        <v>0</v>
      </c>
      <c r="L752" s="394">
        <f t="shared" si="51"/>
        <v>0</v>
      </c>
      <c r="M752" s="394">
        <f t="shared" si="52"/>
        <v>0</v>
      </c>
      <c r="N752" s="613" t="str">
        <f>INDEX(tblSubjectToLoan[Date],ROW()-ROW(tblContractForDeed[#Headers]))</f>
        <v/>
      </c>
      <c r="O752" s="276">
        <f>IF(ROW()=ROW(tblContractForDeed[#Headers])+1,$O$6,IF(INDEX(tblContractForDeed[End Bal],ROW()-ROW(tblContractForDeed[#Headers])-1)&lt;0,0,INDEX(tblContractForDeed[End Bal],ROW()-ROW(tblContractForDeed[#Headers])-1)))</f>
        <v>0</v>
      </c>
      <c r="P752" s="454"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2" s="276">
        <f>IF(INDEX(tblContractForDeed[End Bal],ROW()-ROW(tblBuyerOutputs[#Headers]))&lt;=0,0,($O$6+IF(ROW()=ROW(tblBuyerOutputs[#Headers])+1,0,INDEX(tblBuyerOutputs[Cumul Appr],ROW()-ROW(tblBuyerOutputs[#Headers])-1)))*$O$2/12)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13" t="str">
        <f>IF(ROW()=ROW(tblSubjectToLoan[#Headers])+1,subjectKnownBalanceDate,IF(OR(INDEX(tblSubjectToLoan[Date],ROW()-ROW(tblSubjectToLoan[#Headers])-1)="",INDEX(tblSubjectToLoan[Date],ROW()-ROW(tblSubjectToLoan[#Headers])-1)&gt;=subjectMortgageEndDate),"",EDATE(INDEX(tblSubjectToLoan[Date],ROW()-ROW(tblSubjectToLoan[#Headers])-1),1)))</f>
        <v/>
      </c>
      <c r="B753" s="276">
        <f>IF(tblSubjectToLoan[[#This Row],[Date]]="",0,IF(ROW()=ROW(tblSubjectToLoan[#Headers])+1,subjectKnownBalance,MAX(0,INDEX(tblSubjectToLoan[Ending Balance],ROW()-ROW(tblSubjectToLoan[#Headers])-1))))</f>
        <v>0</v>
      </c>
      <c r="C7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3" s="14">
        <f>IF(tblSubjectToLoan[[#This Row],[Payment]]=0,0,MAX(0,MIN(tblSubjectToLoan[[#This Row],[Beginning Balance]],tblSubjectToLoan[[#This Row],[Payment]]-tblSubjectToLoan[[#This Row],[Int]])))</f>
        <v>0</v>
      </c>
      <c r="E753" s="14">
        <f>IF(tblSubjectToLoan[[#This Row],[Date]]="",0,ROUND(tblSubjectToLoan[[#This Row],[Beginning Balance]]*(subjectInterestRate/12),2))</f>
        <v>0</v>
      </c>
      <c r="H753" s="14">
        <f>SUM(tblSubjectToLoan[[#This Row],[Princ]],tblSubjectToLoan[[#This Row],[Int]],tblSubjectToLoan[[#This Row],[Ins]],tblSubjectToLoan[[#This Row],[Taxes]])</f>
        <v>0</v>
      </c>
      <c r="I7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3" s="276">
        <f>IF(tblSubjectToLoan[[#This Row],[Date]]="",IF(ROW()=ROW(tblSubjectToLoan[#Headers])+1,0,INDEX(tblSubjectToLoan[Interest],ROW()-ROW(tblSubjectToLoan[#Headers])-1)),tblSubjectToLoan[[#This Row],[Int]]+IF(ROW()=ROW(tblSubjectToLoan[#Headers])+1,0,INDEX(tblSubjectToLoan[Interest],ROW()-ROW(tblSubjectToLoan[#Headers])-1)))</f>
        <v>36068.259999999973</v>
      </c>
      <c r="K753" s="969">
        <f>IF(tblSubjectToLoan[[#This Row],[Date]]="",0,MAX(0,tblSubjectToLoan[[#This Row],[Beginning Balance]]-tblSubjectToLoan[[#This Row],[Princ]]))</f>
        <v>0</v>
      </c>
      <c r="L753" s="394">
        <f t="shared" si="51"/>
        <v>0</v>
      </c>
      <c r="M753" s="394">
        <f t="shared" si="52"/>
        <v>0</v>
      </c>
      <c r="N753" s="613" t="str">
        <f>INDEX(tblSubjectToLoan[Date],ROW()-ROW(tblContractForDeed[#Headers]))</f>
        <v/>
      </c>
      <c r="O753" s="276">
        <f>IF(ROW()=ROW(tblContractForDeed[#Headers])+1,$O$6,IF(INDEX(tblContractForDeed[End Bal],ROW()-ROW(tblContractForDeed[#Headers])-1)&lt;0,0,INDEX(tblContractForDeed[End Bal],ROW()-ROW(tblContractForDeed[#Headers])-1)))</f>
        <v>0</v>
      </c>
      <c r="P753" s="454"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3" s="276">
        <f>IF(INDEX(tblContractForDeed[End Bal],ROW()-ROW(tblBuyerOutputs[#Headers]))&lt;=0,0,($O$6+IF(ROW()=ROW(tblBuyerOutputs[#Headers])+1,0,INDEX(tblBuyerOutputs[Cumul Appr],ROW()-ROW(tblBuyerOutputs[#Headers])-1)))*$O$2/12)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13" t="str">
        <f>IF(ROW()=ROW(tblSubjectToLoan[#Headers])+1,subjectKnownBalanceDate,IF(OR(INDEX(tblSubjectToLoan[Date],ROW()-ROW(tblSubjectToLoan[#Headers])-1)="",INDEX(tblSubjectToLoan[Date],ROW()-ROW(tblSubjectToLoan[#Headers])-1)&gt;=subjectMortgageEndDate),"",EDATE(INDEX(tblSubjectToLoan[Date],ROW()-ROW(tblSubjectToLoan[#Headers])-1),1)))</f>
        <v/>
      </c>
      <c r="B754" s="276">
        <f>IF(tblSubjectToLoan[[#This Row],[Date]]="",0,IF(ROW()=ROW(tblSubjectToLoan[#Headers])+1,subjectKnownBalance,MAX(0,INDEX(tblSubjectToLoan[Ending Balance],ROW()-ROW(tblSubjectToLoan[#Headers])-1))))</f>
        <v>0</v>
      </c>
      <c r="C7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4" s="14">
        <f>IF(tblSubjectToLoan[[#This Row],[Payment]]=0,0,MAX(0,MIN(tblSubjectToLoan[[#This Row],[Beginning Balance]],tblSubjectToLoan[[#This Row],[Payment]]-tblSubjectToLoan[[#This Row],[Int]])))</f>
        <v>0</v>
      </c>
      <c r="E754" s="14">
        <f>IF(tblSubjectToLoan[[#This Row],[Date]]="",0,ROUND(tblSubjectToLoan[[#This Row],[Beginning Balance]]*(subjectInterestRate/12),2))</f>
        <v>0</v>
      </c>
      <c r="H754" s="14">
        <f>SUM(tblSubjectToLoan[[#This Row],[Princ]],tblSubjectToLoan[[#This Row],[Int]],tblSubjectToLoan[[#This Row],[Ins]],tblSubjectToLoan[[#This Row],[Taxes]])</f>
        <v>0</v>
      </c>
      <c r="I7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4" s="276">
        <f>IF(tblSubjectToLoan[[#This Row],[Date]]="",IF(ROW()=ROW(tblSubjectToLoan[#Headers])+1,0,INDEX(tblSubjectToLoan[Interest],ROW()-ROW(tblSubjectToLoan[#Headers])-1)),tblSubjectToLoan[[#This Row],[Int]]+IF(ROW()=ROW(tblSubjectToLoan[#Headers])+1,0,INDEX(tblSubjectToLoan[Interest],ROW()-ROW(tblSubjectToLoan[#Headers])-1)))</f>
        <v>36068.259999999973</v>
      </c>
      <c r="K754" s="969">
        <f>IF(tblSubjectToLoan[[#This Row],[Date]]="",0,MAX(0,tblSubjectToLoan[[#This Row],[Beginning Balance]]-tblSubjectToLoan[[#This Row],[Princ]]))</f>
        <v>0</v>
      </c>
      <c r="L754" s="394">
        <f t="shared" si="51"/>
        <v>0</v>
      </c>
      <c r="M754" s="394">
        <f t="shared" si="52"/>
        <v>0</v>
      </c>
      <c r="N754" s="613" t="str">
        <f>INDEX(tblSubjectToLoan[Date],ROW()-ROW(tblContractForDeed[#Headers]))</f>
        <v/>
      </c>
      <c r="O754" s="276">
        <f>IF(ROW()=ROW(tblContractForDeed[#Headers])+1,$O$6,IF(INDEX(tblContractForDeed[End Bal],ROW()-ROW(tblContractForDeed[#Headers])-1)&lt;0,0,INDEX(tblContractForDeed[End Bal],ROW()-ROW(tblContractForDeed[#Headers])-1)))</f>
        <v>0</v>
      </c>
      <c r="P754" s="454"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4" s="276">
        <f>IF(INDEX(tblContractForDeed[End Bal],ROW()-ROW(tblBuyerOutputs[#Headers]))&lt;=0,0,($O$6+IF(ROW()=ROW(tblBuyerOutputs[#Headers])+1,0,INDEX(tblBuyerOutputs[Cumul Appr],ROW()-ROW(tblBuyerOutputs[#Headers])-1)))*$O$2/12)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13" t="str">
        <f>IF(ROW()=ROW(tblSubjectToLoan[#Headers])+1,subjectKnownBalanceDate,IF(OR(INDEX(tblSubjectToLoan[Date],ROW()-ROW(tblSubjectToLoan[#Headers])-1)="",INDEX(tblSubjectToLoan[Date],ROW()-ROW(tblSubjectToLoan[#Headers])-1)&gt;=subjectMortgageEndDate),"",EDATE(INDEX(tblSubjectToLoan[Date],ROW()-ROW(tblSubjectToLoan[#Headers])-1),1)))</f>
        <v/>
      </c>
      <c r="B755" s="276">
        <f>IF(tblSubjectToLoan[[#This Row],[Date]]="",0,IF(ROW()=ROW(tblSubjectToLoan[#Headers])+1,subjectKnownBalance,MAX(0,INDEX(tblSubjectToLoan[Ending Balance],ROW()-ROW(tblSubjectToLoan[#Headers])-1))))</f>
        <v>0</v>
      </c>
      <c r="C7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5" s="14">
        <f>IF(tblSubjectToLoan[[#This Row],[Payment]]=0,0,MAX(0,MIN(tblSubjectToLoan[[#This Row],[Beginning Balance]],tblSubjectToLoan[[#This Row],[Payment]]-tblSubjectToLoan[[#This Row],[Int]])))</f>
        <v>0</v>
      </c>
      <c r="E755" s="14">
        <f>IF(tblSubjectToLoan[[#This Row],[Date]]="",0,ROUND(tblSubjectToLoan[[#This Row],[Beginning Balance]]*(subjectInterestRate/12),2))</f>
        <v>0</v>
      </c>
      <c r="H755" s="14">
        <f>SUM(tblSubjectToLoan[[#This Row],[Princ]],tblSubjectToLoan[[#This Row],[Int]],tblSubjectToLoan[[#This Row],[Ins]],tblSubjectToLoan[[#This Row],[Taxes]])</f>
        <v>0</v>
      </c>
      <c r="I7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5" s="276">
        <f>IF(tblSubjectToLoan[[#This Row],[Date]]="",IF(ROW()=ROW(tblSubjectToLoan[#Headers])+1,0,INDEX(tblSubjectToLoan[Interest],ROW()-ROW(tblSubjectToLoan[#Headers])-1)),tblSubjectToLoan[[#This Row],[Int]]+IF(ROW()=ROW(tblSubjectToLoan[#Headers])+1,0,INDEX(tblSubjectToLoan[Interest],ROW()-ROW(tblSubjectToLoan[#Headers])-1)))</f>
        <v>36068.259999999973</v>
      </c>
      <c r="K755" s="969">
        <f>IF(tblSubjectToLoan[[#This Row],[Date]]="",0,MAX(0,tblSubjectToLoan[[#This Row],[Beginning Balance]]-tblSubjectToLoan[[#This Row],[Princ]]))</f>
        <v>0</v>
      </c>
      <c r="L755" s="394">
        <f t="shared" si="51"/>
        <v>0</v>
      </c>
      <c r="M755" s="394">
        <f t="shared" si="52"/>
        <v>0</v>
      </c>
      <c r="N755" s="613" t="str">
        <f>INDEX(tblSubjectToLoan[Date],ROW()-ROW(tblContractForDeed[#Headers]))</f>
        <v/>
      </c>
      <c r="O755" s="276">
        <f>IF(ROW()=ROW(tblContractForDeed[#Headers])+1,$O$6,IF(INDEX(tblContractForDeed[End Bal],ROW()-ROW(tblContractForDeed[#Headers])-1)&lt;0,0,INDEX(tblContractForDeed[End Bal],ROW()-ROW(tblContractForDeed[#Headers])-1)))</f>
        <v>0</v>
      </c>
      <c r="P755" s="454"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5" s="276">
        <f>IF(INDEX(tblContractForDeed[End Bal],ROW()-ROW(tblBuyerOutputs[#Headers]))&lt;=0,0,($O$6+IF(ROW()=ROW(tblBuyerOutputs[#Headers])+1,0,INDEX(tblBuyerOutputs[Cumul Appr],ROW()-ROW(tblBuyerOutputs[#Headers])-1)))*$O$2/12)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13" t="str">
        <f>IF(ROW()=ROW(tblSubjectToLoan[#Headers])+1,subjectKnownBalanceDate,IF(OR(INDEX(tblSubjectToLoan[Date],ROW()-ROW(tblSubjectToLoan[#Headers])-1)="",INDEX(tblSubjectToLoan[Date],ROW()-ROW(tblSubjectToLoan[#Headers])-1)&gt;=subjectMortgageEndDate),"",EDATE(INDEX(tblSubjectToLoan[Date],ROW()-ROW(tblSubjectToLoan[#Headers])-1),1)))</f>
        <v/>
      </c>
      <c r="B756" s="276">
        <f>IF(tblSubjectToLoan[[#This Row],[Date]]="",0,IF(ROW()=ROW(tblSubjectToLoan[#Headers])+1,subjectKnownBalance,MAX(0,INDEX(tblSubjectToLoan[Ending Balance],ROW()-ROW(tblSubjectToLoan[#Headers])-1))))</f>
        <v>0</v>
      </c>
      <c r="C7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6" s="14">
        <f>IF(tblSubjectToLoan[[#This Row],[Payment]]=0,0,MAX(0,MIN(tblSubjectToLoan[[#This Row],[Beginning Balance]],tblSubjectToLoan[[#This Row],[Payment]]-tblSubjectToLoan[[#This Row],[Int]])))</f>
        <v>0</v>
      </c>
      <c r="E756" s="14">
        <f>IF(tblSubjectToLoan[[#This Row],[Date]]="",0,ROUND(tblSubjectToLoan[[#This Row],[Beginning Balance]]*(subjectInterestRate/12),2))</f>
        <v>0</v>
      </c>
      <c r="H756" s="14">
        <f>SUM(tblSubjectToLoan[[#This Row],[Princ]],tblSubjectToLoan[[#This Row],[Int]],tblSubjectToLoan[[#This Row],[Ins]],tblSubjectToLoan[[#This Row],[Taxes]])</f>
        <v>0</v>
      </c>
      <c r="I7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6" s="276">
        <f>IF(tblSubjectToLoan[[#This Row],[Date]]="",IF(ROW()=ROW(tblSubjectToLoan[#Headers])+1,0,INDEX(tblSubjectToLoan[Interest],ROW()-ROW(tblSubjectToLoan[#Headers])-1)),tblSubjectToLoan[[#This Row],[Int]]+IF(ROW()=ROW(tblSubjectToLoan[#Headers])+1,0,INDEX(tblSubjectToLoan[Interest],ROW()-ROW(tblSubjectToLoan[#Headers])-1)))</f>
        <v>36068.259999999973</v>
      </c>
      <c r="K756" s="969">
        <f>IF(tblSubjectToLoan[[#This Row],[Date]]="",0,MAX(0,tblSubjectToLoan[[#This Row],[Beginning Balance]]-tblSubjectToLoan[[#This Row],[Princ]]))</f>
        <v>0</v>
      </c>
      <c r="L756" s="394">
        <f t="shared" ref="L756:L787" si="53">IF(MOD(M756,12)=0,M756/12,L755)</f>
        <v>0</v>
      </c>
      <c r="M756" s="394">
        <f t="shared" si="52"/>
        <v>0</v>
      </c>
      <c r="N756" s="613" t="str">
        <f>INDEX(tblSubjectToLoan[Date],ROW()-ROW(tblContractForDeed[#Headers]))</f>
        <v/>
      </c>
      <c r="O756" s="276">
        <f>IF(ROW()=ROW(tblContractForDeed[#Headers])+1,$O$6,IF(INDEX(tblContractForDeed[End Bal],ROW()-ROW(tblContractForDeed[#Headers])-1)&lt;0,0,INDEX(tblContractForDeed[End Bal],ROW()-ROW(tblContractForDeed[#Headers])-1)))</f>
        <v>0</v>
      </c>
      <c r="P756" s="454"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6" s="276">
        <f>IF(INDEX(tblContractForDeed[End Bal],ROW()-ROW(tblBuyerOutputs[#Headers]))&lt;=0,0,($O$6+IF(ROW()=ROW(tblBuyerOutputs[#Headers])+1,0,INDEX(tblBuyerOutputs[Cumul Appr],ROW()-ROW(tblBuyerOutputs[#Headers])-1)))*$O$2/12)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13" t="str">
        <f>IF(ROW()=ROW(tblSubjectToLoan[#Headers])+1,subjectKnownBalanceDate,IF(OR(INDEX(tblSubjectToLoan[Date],ROW()-ROW(tblSubjectToLoan[#Headers])-1)="",INDEX(tblSubjectToLoan[Date],ROW()-ROW(tblSubjectToLoan[#Headers])-1)&gt;=subjectMortgageEndDate),"",EDATE(INDEX(tblSubjectToLoan[Date],ROW()-ROW(tblSubjectToLoan[#Headers])-1),1)))</f>
        <v/>
      </c>
      <c r="B757" s="276">
        <f>IF(tblSubjectToLoan[[#This Row],[Date]]="",0,IF(ROW()=ROW(tblSubjectToLoan[#Headers])+1,subjectKnownBalance,MAX(0,INDEX(tblSubjectToLoan[Ending Balance],ROW()-ROW(tblSubjectToLoan[#Headers])-1))))</f>
        <v>0</v>
      </c>
      <c r="C7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7" s="14">
        <f>IF(tblSubjectToLoan[[#This Row],[Payment]]=0,0,MAX(0,MIN(tblSubjectToLoan[[#This Row],[Beginning Balance]],tblSubjectToLoan[[#This Row],[Payment]]-tblSubjectToLoan[[#This Row],[Int]])))</f>
        <v>0</v>
      </c>
      <c r="E757" s="14">
        <f>IF(tblSubjectToLoan[[#This Row],[Date]]="",0,ROUND(tblSubjectToLoan[[#This Row],[Beginning Balance]]*(subjectInterestRate/12),2))</f>
        <v>0</v>
      </c>
      <c r="H757" s="14">
        <f>SUM(tblSubjectToLoan[[#This Row],[Princ]],tblSubjectToLoan[[#This Row],[Int]],tblSubjectToLoan[[#This Row],[Ins]],tblSubjectToLoan[[#This Row],[Taxes]])</f>
        <v>0</v>
      </c>
      <c r="I7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7" s="276">
        <f>IF(tblSubjectToLoan[[#This Row],[Date]]="",IF(ROW()=ROW(tblSubjectToLoan[#Headers])+1,0,INDEX(tblSubjectToLoan[Interest],ROW()-ROW(tblSubjectToLoan[#Headers])-1)),tblSubjectToLoan[[#This Row],[Int]]+IF(ROW()=ROW(tblSubjectToLoan[#Headers])+1,0,INDEX(tblSubjectToLoan[Interest],ROW()-ROW(tblSubjectToLoan[#Headers])-1)))</f>
        <v>36068.259999999973</v>
      </c>
      <c r="K757" s="969">
        <f>IF(tblSubjectToLoan[[#This Row],[Date]]="",0,MAX(0,tblSubjectToLoan[[#This Row],[Beginning Balance]]-tblSubjectToLoan[[#This Row],[Princ]]))</f>
        <v>0</v>
      </c>
      <c r="L757" s="394">
        <f t="shared" si="53"/>
        <v>0</v>
      </c>
      <c r="M757" s="394">
        <f t="shared" si="52"/>
        <v>0</v>
      </c>
      <c r="N757" s="613" t="str">
        <f>INDEX(tblSubjectToLoan[Date],ROW()-ROW(tblContractForDeed[#Headers]))</f>
        <v/>
      </c>
      <c r="O757" s="276">
        <f>IF(ROW()=ROW(tblContractForDeed[#Headers])+1,$O$6,IF(INDEX(tblContractForDeed[End Bal],ROW()-ROW(tblContractForDeed[#Headers])-1)&lt;0,0,INDEX(tblContractForDeed[End Bal],ROW()-ROW(tblContractForDeed[#Headers])-1)))</f>
        <v>0</v>
      </c>
      <c r="P757" s="454"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7" s="276">
        <f>IF(INDEX(tblContractForDeed[End Bal],ROW()-ROW(tblBuyerOutputs[#Headers]))&lt;=0,0,($O$6+IF(ROW()=ROW(tblBuyerOutputs[#Headers])+1,0,INDEX(tblBuyerOutputs[Cumul Appr],ROW()-ROW(tblBuyerOutputs[#Headers])-1)))*$O$2/12)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13" t="str">
        <f>IF(ROW()=ROW(tblSubjectToLoan[#Headers])+1,subjectKnownBalanceDate,IF(OR(INDEX(tblSubjectToLoan[Date],ROW()-ROW(tblSubjectToLoan[#Headers])-1)="",INDEX(tblSubjectToLoan[Date],ROW()-ROW(tblSubjectToLoan[#Headers])-1)&gt;=subjectMortgageEndDate),"",EDATE(INDEX(tblSubjectToLoan[Date],ROW()-ROW(tblSubjectToLoan[#Headers])-1),1)))</f>
        <v/>
      </c>
      <c r="B758" s="276">
        <f>IF(tblSubjectToLoan[[#This Row],[Date]]="",0,IF(ROW()=ROW(tblSubjectToLoan[#Headers])+1,subjectKnownBalance,MAX(0,INDEX(tblSubjectToLoan[Ending Balance],ROW()-ROW(tblSubjectToLoan[#Headers])-1))))</f>
        <v>0</v>
      </c>
      <c r="C7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8" s="14">
        <f>IF(tblSubjectToLoan[[#This Row],[Payment]]=0,0,MAX(0,MIN(tblSubjectToLoan[[#This Row],[Beginning Balance]],tblSubjectToLoan[[#This Row],[Payment]]-tblSubjectToLoan[[#This Row],[Int]])))</f>
        <v>0</v>
      </c>
      <c r="E758" s="14">
        <f>IF(tblSubjectToLoan[[#This Row],[Date]]="",0,ROUND(tblSubjectToLoan[[#This Row],[Beginning Balance]]*(subjectInterestRate/12),2))</f>
        <v>0</v>
      </c>
      <c r="H758" s="14">
        <f>SUM(tblSubjectToLoan[[#This Row],[Princ]],tblSubjectToLoan[[#This Row],[Int]],tblSubjectToLoan[[#This Row],[Ins]],tblSubjectToLoan[[#This Row],[Taxes]])</f>
        <v>0</v>
      </c>
      <c r="I7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8" s="276">
        <f>IF(tblSubjectToLoan[[#This Row],[Date]]="",IF(ROW()=ROW(tblSubjectToLoan[#Headers])+1,0,INDEX(tblSubjectToLoan[Interest],ROW()-ROW(tblSubjectToLoan[#Headers])-1)),tblSubjectToLoan[[#This Row],[Int]]+IF(ROW()=ROW(tblSubjectToLoan[#Headers])+1,0,INDEX(tblSubjectToLoan[Interest],ROW()-ROW(tblSubjectToLoan[#Headers])-1)))</f>
        <v>36068.259999999973</v>
      </c>
      <c r="K758" s="969">
        <f>IF(tblSubjectToLoan[[#This Row],[Date]]="",0,MAX(0,tblSubjectToLoan[[#This Row],[Beginning Balance]]-tblSubjectToLoan[[#This Row],[Princ]]))</f>
        <v>0</v>
      </c>
      <c r="L758" s="394">
        <f t="shared" si="53"/>
        <v>0</v>
      </c>
      <c r="M758" s="394">
        <f t="shared" si="52"/>
        <v>0</v>
      </c>
      <c r="N758" s="613" t="str">
        <f>INDEX(tblSubjectToLoan[Date],ROW()-ROW(tblContractForDeed[#Headers]))</f>
        <v/>
      </c>
      <c r="O758" s="276">
        <f>IF(ROW()=ROW(tblContractForDeed[#Headers])+1,$O$6,IF(INDEX(tblContractForDeed[End Bal],ROW()-ROW(tblContractForDeed[#Headers])-1)&lt;0,0,INDEX(tblContractForDeed[End Bal],ROW()-ROW(tblContractForDeed[#Headers])-1)))</f>
        <v>0</v>
      </c>
      <c r="P758" s="454"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8" s="276">
        <f>IF(INDEX(tblContractForDeed[End Bal],ROW()-ROW(tblBuyerOutputs[#Headers]))&lt;=0,0,($O$6+IF(ROW()=ROW(tblBuyerOutputs[#Headers])+1,0,INDEX(tblBuyerOutputs[Cumul Appr],ROW()-ROW(tblBuyerOutputs[#Headers])-1)))*$O$2/12)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13" t="str">
        <f>IF(ROW()=ROW(tblSubjectToLoan[#Headers])+1,subjectKnownBalanceDate,IF(OR(INDEX(tblSubjectToLoan[Date],ROW()-ROW(tblSubjectToLoan[#Headers])-1)="",INDEX(tblSubjectToLoan[Date],ROW()-ROW(tblSubjectToLoan[#Headers])-1)&gt;=subjectMortgageEndDate),"",EDATE(INDEX(tblSubjectToLoan[Date],ROW()-ROW(tblSubjectToLoan[#Headers])-1),1)))</f>
        <v/>
      </c>
      <c r="B759" s="276">
        <f>IF(tblSubjectToLoan[[#This Row],[Date]]="",0,IF(ROW()=ROW(tblSubjectToLoan[#Headers])+1,subjectKnownBalance,MAX(0,INDEX(tblSubjectToLoan[Ending Balance],ROW()-ROW(tblSubjectToLoan[#Headers])-1))))</f>
        <v>0</v>
      </c>
      <c r="C7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9" s="14">
        <f>IF(tblSubjectToLoan[[#This Row],[Payment]]=0,0,MAX(0,MIN(tblSubjectToLoan[[#This Row],[Beginning Balance]],tblSubjectToLoan[[#This Row],[Payment]]-tblSubjectToLoan[[#This Row],[Int]])))</f>
        <v>0</v>
      </c>
      <c r="E759" s="14">
        <f>IF(tblSubjectToLoan[[#This Row],[Date]]="",0,ROUND(tblSubjectToLoan[[#This Row],[Beginning Balance]]*(subjectInterestRate/12),2))</f>
        <v>0</v>
      </c>
      <c r="H759" s="14">
        <f>SUM(tblSubjectToLoan[[#This Row],[Princ]],tblSubjectToLoan[[#This Row],[Int]],tblSubjectToLoan[[#This Row],[Ins]],tblSubjectToLoan[[#This Row],[Taxes]])</f>
        <v>0</v>
      </c>
      <c r="I7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9" s="276">
        <f>IF(tblSubjectToLoan[[#This Row],[Date]]="",IF(ROW()=ROW(tblSubjectToLoan[#Headers])+1,0,INDEX(tblSubjectToLoan[Interest],ROW()-ROW(tblSubjectToLoan[#Headers])-1)),tblSubjectToLoan[[#This Row],[Int]]+IF(ROW()=ROW(tblSubjectToLoan[#Headers])+1,0,INDEX(tblSubjectToLoan[Interest],ROW()-ROW(tblSubjectToLoan[#Headers])-1)))</f>
        <v>36068.259999999973</v>
      </c>
      <c r="K759" s="969">
        <f>IF(tblSubjectToLoan[[#This Row],[Date]]="",0,MAX(0,tblSubjectToLoan[[#This Row],[Beginning Balance]]-tblSubjectToLoan[[#This Row],[Princ]]))</f>
        <v>0</v>
      </c>
      <c r="L759" s="394">
        <f t="shared" si="53"/>
        <v>0</v>
      </c>
      <c r="M759" s="394">
        <f t="shared" si="52"/>
        <v>0</v>
      </c>
      <c r="N759" s="613" t="str">
        <f>INDEX(tblSubjectToLoan[Date],ROW()-ROW(tblContractForDeed[#Headers]))</f>
        <v/>
      </c>
      <c r="O759" s="276">
        <f>IF(ROW()=ROW(tblContractForDeed[#Headers])+1,$O$6,IF(INDEX(tblContractForDeed[End Bal],ROW()-ROW(tblContractForDeed[#Headers])-1)&lt;0,0,INDEX(tblContractForDeed[End Bal],ROW()-ROW(tblContractForDeed[#Headers])-1)))</f>
        <v>0</v>
      </c>
      <c r="P759" s="454"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9" s="276">
        <f>IF(INDEX(tblContractForDeed[End Bal],ROW()-ROW(tblBuyerOutputs[#Headers]))&lt;=0,0,($O$6+IF(ROW()=ROW(tblBuyerOutputs[#Headers])+1,0,INDEX(tblBuyerOutputs[Cumul Appr],ROW()-ROW(tblBuyerOutputs[#Headers])-1)))*$O$2/12)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13" t="str">
        <f>IF(ROW()=ROW(tblSubjectToLoan[#Headers])+1,subjectKnownBalanceDate,IF(OR(INDEX(tblSubjectToLoan[Date],ROW()-ROW(tblSubjectToLoan[#Headers])-1)="",INDEX(tblSubjectToLoan[Date],ROW()-ROW(tblSubjectToLoan[#Headers])-1)&gt;=subjectMortgageEndDate),"",EDATE(INDEX(tblSubjectToLoan[Date],ROW()-ROW(tblSubjectToLoan[#Headers])-1),1)))</f>
        <v/>
      </c>
      <c r="B760" s="276">
        <f>IF(tblSubjectToLoan[[#This Row],[Date]]="",0,IF(ROW()=ROW(tblSubjectToLoan[#Headers])+1,subjectKnownBalance,MAX(0,INDEX(tblSubjectToLoan[Ending Balance],ROW()-ROW(tblSubjectToLoan[#Headers])-1))))</f>
        <v>0</v>
      </c>
      <c r="C7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0" s="14">
        <f>IF(tblSubjectToLoan[[#This Row],[Payment]]=0,0,MAX(0,MIN(tblSubjectToLoan[[#This Row],[Beginning Balance]],tblSubjectToLoan[[#This Row],[Payment]]-tblSubjectToLoan[[#This Row],[Int]])))</f>
        <v>0</v>
      </c>
      <c r="E760" s="14">
        <f>IF(tblSubjectToLoan[[#This Row],[Date]]="",0,ROUND(tblSubjectToLoan[[#This Row],[Beginning Balance]]*(subjectInterestRate/12),2))</f>
        <v>0</v>
      </c>
      <c r="H760" s="14">
        <f>SUM(tblSubjectToLoan[[#This Row],[Princ]],tblSubjectToLoan[[#This Row],[Int]],tblSubjectToLoan[[#This Row],[Ins]],tblSubjectToLoan[[#This Row],[Taxes]])</f>
        <v>0</v>
      </c>
      <c r="I7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0" s="276">
        <f>IF(tblSubjectToLoan[[#This Row],[Date]]="",IF(ROW()=ROW(tblSubjectToLoan[#Headers])+1,0,INDEX(tblSubjectToLoan[Interest],ROW()-ROW(tblSubjectToLoan[#Headers])-1)),tblSubjectToLoan[[#This Row],[Int]]+IF(ROW()=ROW(tblSubjectToLoan[#Headers])+1,0,INDEX(tblSubjectToLoan[Interest],ROW()-ROW(tblSubjectToLoan[#Headers])-1)))</f>
        <v>36068.259999999973</v>
      </c>
      <c r="K760" s="969">
        <f>IF(tblSubjectToLoan[[#This Row],[Date]]="",0,MAX(0,tblSubjectToLoan[[#This Row],[Beginning Balance]]-tblSubjectToLoan[[#This Row],[Princ]]))</f>
        <v>0</v>
      </c>
      <c r="L760" s="394">
        <f t="shared" si="53"/>
        <v>0</v>
      </c>
      <c r="M760" s="394">
        <f t="shared" si="52"/>
        <v>0</v>
      </c>
      <c r="N760" s="613" t="str">
        <f>INDEX(tblSubjectToLoan[Date],ROW()-ROW(tblContractForDeed[#Headers]))</f>
        <v/>
      </c>
      <c r="O760" s="276">
        <f>IF(ROW()=ROW(tblContractForDeed[#Headers])+1,$O$6,IF(INDEX(tblContractForDeed[End Bal],ROW()-ROW(tblContractForDeed[#Headers])-1)&lt;0,0,INDEX(tblContractForDeed[End Bal],ROW()-ROW(tblContractForDeed[#Headers])-1)))</f>
        <v>0</v>
      </c>
      <c r="P760" s="454"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0" s="276">
        <f>IF(INDEX(tblContractForDeed[End Bal],ROW()-ROW(tblBuyerOutputs[#Headers]))&lt;=0,0,($O$6+IF(ROW()=ROW(tblBuyerOutputs[#Headers])+1,0,INDEX(tblBuyerOutputs[Cumul Appr],ROW()-ROW(tblBuyerOutputs[#Headers])-1)))*$O$2/12)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13" t="str">
        <f>IF(ROW()=ROW(tblSubjectToLoan[#Headers])+1,subjectKnownBalanceDate,IF(OR(INDEX(tblSubjectToLoan[Date],ROW()-ROW(tblSubjectToLoan[#Headers])-1)="",INDEX(tblSubjectToLoan[Date],ROW()-ROW(tblSubjectToLoan[#Headers])-1)&gt;=subjectMortgageEndDate),"",EDATE(INDEX(tblSubjectToLoan[Date],ROW()-ROW(tblSubjectToLoan[#Headers])-1),1)))</f>
        <v/>
      </c>
      <c r="B761" s="276">
        <f>IF(tblSubjectToLoan[[#This Row],[Date]]="",0,IF(ROW()=ROW(tblSubjectToLoan[#Headers])+1,subjectKnownBalance,MAX(0,INDEX(tblSubjectToLoan[Ending Balance],ROW()-ROW(tblSubjectToLoan[#Headers])-1))))</f>
        <v>0</v>
      </c>
      <c r="C7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1" s="14">
        <f>IF(tblSubjectToLoan[[#This Row],[Payment]]=0,0,MAX(0,MIN(tblSubjectToLoan[[#This Row],[Beginning Balance]],tblSubjectToLoan[[#This Row],[Payment]]-tblSubjectToLoan[[#This Row],[Int]])))</f>
        <v>0</v>
      </c>
      <c r="E761" s="14">
        <f>IF(tblSubjectToLoan[[#This Row],[Date]]="",0,ROUND(tblSubjectToLoan[[#This Row],[Beginning Balance]]*(subjectInterestRate/12),2))</f>
        <v>0</v>
      </c>
      <c r="H761" s="14">
        <f>SUM(tblSubjectToLoan[[#This Row],[Princ]],tblSubjectToLoan[[#This Row],[Int]],tblSubjectToLoan[[#This Row],[Ins]],tblSubjectToLoan[[#This Row],[Taxes]])</f>
        <v>0</v>
      </c>
      <c r="I7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1" s="276">
        <f>IF(tblSubjectToLoan[[#This Row],[Date]]="",IF(ROW()=ROW(tblSubjectToLoan[#Headers])+1,0,INDEX(tblSubjectToLoan[Interest],ROW()-ROW(tblSubjectToLoan[#Headers])-1)),tblSubjectToLoan[[#This Row],[Int]]+IF(ROW()=ROW(tblSubjectToLoan[#Headers])+1,0,INDEX(tblSubjectToLoan[Interest],ROW()-ROW(tblSubjectToLoan[#Headers])-1)))</f>
        <v>36068.259999999973</v>
      </c>
      <c r="K761" s="969">
        <f>IF(tblSubjectToLoan[[#This Row],[Date]]="",0,MAX(0,tblSubjectToLoan[[#This Row],[Beginning Balance]]-tblSubjectToLoan[[#This Row],[Princ]]))</f>
        <v>0</v>
      </c>
      <c r="L761" s="394">
        <f t="shared" si="53"/>
        <v>0</v>
      </c>
      <c r="M761" s="394">
        <f t="shared" si="52"/>
        <v>0</v>
      </c>
      <c r="N761" s="613" t="str">
        <f>INDEX(tblSubjectToLoan[Date],ROW()-ROW(tblContractForDeed[#Headers]))</f>
        <v/>
      </c>
      <c r="O761" s="276">
        <f>IF(ROW()=ROW(tblContractForDeed[#Headers])+1,$O$6,IF(INDEX(tblContractForDeed[End Bal],ROW()-ROW(tblContractForDeed[#Headers])-1)&lt;0,0,INDEX(tblContractForDeed[End Bal],ROW()-ROW(tblContractForDeed[#Headers])-1)))</f>
        <v>0</v>
      </c>
      <c r="P761" s="454"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1" s="276">
        <f>IF(INDEX(tblContractForDeed[End Bal],ROW()-ROW(tblBuyerOutputs[#Headers]))&lt;=0,0,($O$6+IF(ROW()=ROW(tblBuyerOutputs[#Headers])+1,0,INDEX(tblBuyerOutputs[Cumul Appr],ROW()-ROW(tblBuyerOutputs[#Headers])-1)))*$O$2/12)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13" t="str">
        <f>IF(ROW()=ROW(tblSubjectToLoan[#Headers])+1,subjectKnownBalanceDate,IF(OR(INDEX(tblSubjectToLoan[Date],ROW()-ROW(tblSubjectToLoan[#Headers])-1)="",INDEX(tblSubjectToLoan[Date],ROW()-ROW(tblSubjectToLoan[#Headers])-1)&gt;=subjectMortgageEndDate),"",EDATE(INDEX(tblSubjectToLoan[Date],ROW()-ROW(tblSubjectToLoan[#Headers])-1),1)))</f>
        <v/>
      </c>
      <c r="B762" s="276">
        <f>IF(tblSubjectToLoan[[#This Row],[Date]]="",0,IF(ROW()=ROW(tblSubjectToLoan[#Headers])+1,subjectKnownBalance,MAX(0,INDEX(tblSubjectToLoan[Ending Balance],ROW()-ROW(tblSubjectToLoan[#Headers])-1))))</f>
        <v>0</v>
      </c>
      <c r="C7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2" s="14">
        <f>IF(tblSubjectToLoan[[#This Row],[Payment]]=0,0,MAX(0,MIN(tblSubjectToLoan[[#This Row],[Beginning Balance]],tblSubjectToLoan[[#This Row],[Payment]]-tblSubjectToLoan[[#This Row],[Int]])))</f>
        <v>0</v>
      </c>
      <c r="E762" s="14">
        <f>IF(tblSubjectToLoan[[#This Row],[Date]]="",0,ROUND(tblSubjectToLoan[[#This Row],[Beginning Balance]]*(subjectInterestRate/12),2))</f>
        <v>0</v>
      </c>
      <c r="H762" s="14">
        <f>SUM(tblSubjectToLoan[[#This Row],[Princ]],tblSubjectToLoan[[#This Row],[Int]],tblSubjectToLoan[[#This Row],[Ins]],tblSubjectToLoan[[#This Row],[Taxes]])</f>
        <v>0</v>
      </c>
      <c r="I7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2" s="276">
        <f>IF(tblSubjectToLoan[[#This Row],[Date]]="",IF(ROW()=ROW(tblSubjectToLoan[#Headers])+1,0,INDEX(tblSubjectToLoan[Interest],ROW()-ROW(tblSubjectToLoan[#Headers])-1)),tblSubjectToLoan[[#This Row],[Int]]+IF(ROW()=ROW(tblSubjectToLoan[#Headers])+1,0,INDEX(tblSubjectToLoan[Interest],ROW()-ROW(tblSubjectToLoan[#Headers])-1)))</f>
        <v>36068.259999999973</v>
      </c>
      <c r="K762" s="969">
        <f>IF(tblSubjectToLoan[[#This Row],[Date]]="",0,MAX(0,tblSubjectToLoan[[#This Row],[Beginning Balance]]-tblSubjectToLoan[[#This Row],[Princ]]))</f>
        <v>0</v>
      </c>
      <c r="L762" s="394">
        <f t="shared" si="53"/>
        <v>0</v>
      </c>
      <c r="M762" s="394">
        <f t="shared" si="52"/>
        <v>0</v>
      </c>
      <c r="N762" s="613" t="str">
        <f>INDEX(tblSubjectToLoan[Date],ROW()-ROW(tblContractForDeed[#Headers]))</f>
        <v/>
      </c>
      <c r="O762" s="276">
        <f>IF(ROW()=ROW(tblContractForDeed[#Headers])+1,$O$6,IF(INDEX(tblContractForDeed[End Bal],ROW()-ROW(tblContractForDeed[#Headers])-1)&lt;0,0,INDEX(tblContractForDeed[End Bal],ROW()-ROW(tblContractForDeed[#Headers])-1)))</f>
        <v>0</v>
      </c>
      <c r="P762" s="454"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2" s="276">
        <f>IF(INDEX(tblContractForDeed[End Bal],ROW()-ROW(tblBuyerOutputs[#Headers]))&lt;=0,0,($O$6+IF(ROW()=ROW(tblBuyerOutputs[#Headers])+1,0,INDEX(tblBuyerOutputs[Cumul Appr],ROW()-ROW(tblBuyerOutputs[#Headers])-1)))*$O$2/12)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14" t="str">
        <f>IF(ROW()=ROW(tblSubjectToLoan[#Headers])+1,subjectKnownBalanceDate,IF(OR(INDEX(tblSubjectToLoan[Date],ROW()-ROW(tblSubjectToLoan[#Headers])-1)="",INDEX(tblSubjectToLoan[Date],ROW()-ROW(tblSubjectToLoan[#Headers])-1)&gt;=subjectMortgageEndDate),"",EDATE(INDEX(tblSubjectToLoan[Date],ROW()-ROW(tblSubjectToLoan[#Headers])-1),1)))</f>
        <v/>
      </c>
      <c r="B763" s="332">
        <f>IF(tblSubjectToLoan[[#This Row],[Date]]="",0,IF(ROW()=ROW(tblSubjectToLoan[#Headers])+1,subjectKnownBalance,MAX(0,INDEX(tblSubjectToLoan[Ending Balance],ROW()-ROW(tblSubjectToLoan[#Headers])-1))))</f>
        <v>0</v>
      </c>
      <c r="C76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3" s="21">
        <f>IF(tblSubjectToLoan[[#This Row],[Payment]]=0,0,MAX(0,MIN(tblSubjectToLoan[[#This Row],[Beginning Balance]],tblSubjectToLoan[[#This Row],[Payment]]-tblSubjectToLoan[[#This Row],[Int]])))</f>
        <v>0</v>
      </c>
      <c r="E763" s="21">
        <f>IF(tblSubjectToLoan[[#This Row],[Date]]="",0,ROUND(tblSubjectToLoan[[#This Row],[Beginning Balance]]*(subjectInterestRate/12),2))</f>
        <v>0</v>
      </c>
      <c r="F763" s="21"/>
      <c r="G763" s="21"/>
      <c r="H763" s="21">
        <f>SUM(tblSubjectToLoan[[#This Row],[Princ]],tblSubjectToLoan[[#This Row],[Int]],tblSubjectToLoan[[#This Row],[Ins]],tblSubjectToLoan[[#This Row],[Taxes]])</f>
        <v>0</v>
      </c>
      <c r="I76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63" s="332">
        <f>IF(tblSubjectToLoan[[#This Row],[Date]]="",IF(ROW()=ROW(tblSubjectToLoan[#Headers])+1,0,INDEX(tblSubjectToLoan[Interest],ROW()-ROW(tblSubjectToLoan[#Headers])-1)),tblSubjectToLoan[[#This Row],[Int]]+IF(ROW()=ROW(tblSubjectToLoan[#Headers])+1,0,INDEX(tblSubjectToLoan[Interest],ROW()-ROW(tblSubjectToLoan[#Headers])-1)))</f>
        <v>36068.259999999973</v>
      </c>
      <c r="K763" s="970">
        <f>IF(tblSubjectToLoan[[#This Row],[Date]]="",0,MAX(0,tblSubjectToLoan[[#This Row],[Beginning Balance]]-tblSubjectToLoan[[#This Row],[Princ]]))</f>
        <v>0</v>
      </c>
      <c r="L763" s="395">
        <f t="shared" si="53"/>
        <v>0</v>
      </c>
      <c r="M763" s="395">
        <f t="shared" si="52"/>
        <v>0</v>
      </c>
      <c r="N763" s="614" t="str">
        <f>INDEX(tblSubjectToLoan[Date],ROW()-ROW(tblContractForDeed[#Headers]))</f>
        <v/>
      </c>
      <c r="O763" s="332">
        <f>IF(ROW()=ROW(tblContractForDeed[#Headers])+1,$O$6,IF(INDEX(tblContractForDeed[End Bal],ROW()-ROW(tblContractForDeed[#Headers])-1)&lt;0,0,INDEX(tblContractForDeed[End Bal],ROW()-ROW(tblContractForDeed[#Headers])-1)))</f>
        <v>0</v>
      </c>
      <c r="P763" s="454"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3" s="332">
        <f>IF(INDEX(tblContractForDeed[End Bal],ROW()-ROW(tblBuyerOutputs[#Headers]))&lt;=0,0,($O$6+IF(ROW()=ROW(tblBuyerOutputs[#Headers])+1,0,INDEX(tblBuyerOutputs[Cumul Appr],ROW()-ROW(tblBuyerOutputs[#Headers])-1)))*$O$2/12)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13" t="str">
        <f>IF(ROW()=ROW(tblSubjectToLoan[#Headers])+1,subjectKnownBalanceDate,IF(OR(INDEX(tblSubjectToLoan[Date],ROW()-ROW(tblSubjectToLoan[#Headers])-1)="",INDEX(tblSubjectToLoan[Date],ROW()-ROW(tblSubjectToLoan[#Headers])-1)&gt;=subjectMortgageEndDate),"",EDATE(INDEX(tblSubjectToLoan[Date],ROW()-ROW(tblSubjectToLoan[#Headers])-1),1)))</f>
        <v/>
      </c>
      <c r="B764" s="276">
        <f>IF(tblSubjectToLoan[[#This Row],[Date]]="",0,IF(ROW()=ROW(tblSubjectToLoan[#Headers])+1,subjectKnownBalance,MAX(0,INDEX(tblSubjectToLoan[Ending Balance],ROW()-ROW(tblSubjectToLoan[#Headers])-1))))</f>
        <v>0</v>
      </c>
      <c r="C7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4" s="14">
        <f>IF(tblSubjectToLoan[[#This Row],[Payment]]=0,0,MAX(0,MIN(tblSubjectToLoan[[#This Row],[Beginning Balance]],tblSubjectToLoan[[#This Row],[Payment]]-tblSubjectToLoan[[#This Row],[Int]])))</f>
        <v>0</v>
      </c>
      <c r="E764" s="14">
        <f>IF(tblSubjectToLoan[[#This Row],[Date]]="",0,ROUND(tblSubjectToLoan[[#This Row],[Beginning Balance]]*(subjectInterestRate/12),2))</f>
        <v>0</v>
      </c>
      <c r="H764" s="14">
        <f>SUM(tblSubjectToLoan[[#This Row],[Princ]],tblSubjectToLoan[[#This Row],[Int]],tblSubjectToLoan[[#This Row],[Ins]],tblSubjectToLoan[[#This Row],[Taxes]])</f>
        <v>0</v>
      </c>
      <c r="I7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4" s="276">
        <f>IF(tblSubjectToLoan[[#This Row],[Date]]="",IF(ROW()=ROW(tblSubjectToLoan[#Headers])+1,0,INDEX(tblSubjectToLoan[Interest],ROW()-ROW(tblSubjectToLoan[#Headers])-1)),tblSubjectToLoan[[#This Row],[Int]]+IF(ROW()=ROW(tblSubjectToLoan[#Headers])+1,0,INDEX(tblSubjectToLoan[Interest],ROW()-ROW(tblSubjectToLoan[#Headers])-1)))</f>
        <v>36068.259999999973</v>
      </c>
      <c r="K764" s="969">
        <f>IF(tblSubjectToLoan[[#This Row],[Date]]="",0,MAX(0,tblSubjectToLoan[[#This Row],[Beginning Balance]]-tblSubjectToLoan[[#This Row],[Princ]]))</f>
        <v>0</v>
      </c>
      <c r="L764" s="394">
        <f t="shared" si="53"/>
        <v>0</v>
      </c>
      <c r="M764" s="394">
        <f t="shared" si="52"/>
        <v>0</v>
      </c>
      <c r="N764" s="613" t="str">
        <f>INDEX(tblSubjectToLoan[Date],ROW()-ROW(tblContractForDeed[#Headers]))</f>
        <v/>
      </c>
      <c r="O764" s="276">
        <f>IF(ROW()=ROW(tblContractForDeed[#Headers])+1,$O$6,IF(INDEX(tblContractForDeed[End Bal],ROW()-ROW(tblContractForDeed[#Headers])-1)&lt;0,0,INDEX(tblContractForDeed[End Bal],ROW()-ROW(tblContractForDeed[#Headers])-1)))</f>
        <v>0</v>
      </c>
      <c r="P764" s="454"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4" s="276">
        <f>IF(INDEX(tblContractForDeed[End Bal],ROW()-ROW(tblBuyerOutputs[#Headers]))&lt;=0,0,($O$6+IF(ROW()=ROW(tblBuyerOutputs[#Headers])+1,0,INDEX(tblBuyerOutputs[Cumul Appr],ROW()-ROW(tblBuyerOutputs[#Headers])-1)))*$O$2/12)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13" t="str">
        <f>IF(ROW()=ROW(tblSubjectToLoan[#Headers])+1,subjectKnownBalanceDate,IF(OR(INDEX(tblSubjectToLoan[Date],ROW()-ROW(tblSubjectToLoan[#Headers])-1)="",INDEX(tblSubjectToLoan[Date],ROW()-ROW(tblSubjectToLoan[#Headers])-1)&gt;=subjectMortgageEndDate),"",EDATE(INDEX(tblSubjectToLoan[Date],ROW()-ROW(tblSubjectToLoan[#Headers])-1),1)))</f>
        <v/>
      </c>
      <c r="B765" s="276">
        <f>IF(tblSubjectToLoan[[#This Row],[Date]]="",0,IF(ROW()=ROW(tblSubjectToLoan[#Headers])+1,subjectKnownBalance,MAX(0,INDEX(tblSubjectToLoan[Ending Balance],ROW()-ROW(tblSubjectToLoan[#Headers])-1))))</f>
        <v>0</v>
      </c>
      <c r="C7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5" s="14">
        <f>IF(tblSubjectToLoan[[#This Row],[Payment]]=0,0,MAX(0,MIN(tblSubjectToLoan[[#This Row],[Beginning Balance]],tblSubjectToLoan[[#This Row],[Payment]]-tblSubjectToLoan[[#This Row],[Int]])))</f>
        <v>0</v>
      </c>
      <c r="E765" s="14">
        <f>IF(tblSubjectToLoan[[#This Row],[Date]]="",0,ROUND(tblSubjectToLoan[[#This Row],[Beginning Balance]]*(subjectInterestRate/12),2))</f>
        <v>0</v>
      </c>
      <c r="H765" s="14">
        <f>SUM(tblSubjectToLoan[[#This Row],[Princ]],tblSubjectToLoan[[#This Row],[Int]],tblSubjectToLoan[[#This Row],[Ins]],tblSubjectToLoan[[#This Row],[Taxes]])</f>
        <v>0</v>
      </c>
      <c r="I7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5" s="276">
        <f>IF(tblSubjectToLoan[[#This Row],[Date]]="",IF(ROW()=ROW(tblSubjectToLoan[#Headers])+1,0,INDEX(tblSubjectToLoan[Interest],ROW()-ROW(tblSubjectToLoan[#Headers])-1)),tblSubjectToLoan[[#This Row],[Int]]+IF(ROW()=ROW(tblSubjectToLoan[#Headers])+1,0,INDEX(tblSubjectToLoan[Interest],ROW()-ROW(tblSubjectToLoan[#Headers])-1)))</f>
        <v>36068.259999999973</v>
      </c>
      <c r="K765" s="969">
        <f>IF(tblSubjectToLoan[[#This Row],[Date]]="",0,MAX(0,tblSubjectToLoan[[#This Row],[Beginning Balance]]-tblSubjectToLoan[[#This Row],[Princ]]))</f>
        <v>0</v>
      </c>
      <c r="L765" s="394">
        <f t="shared" si="53"/>
        <v>0</v>
      </c>
      <c r="M765" s="394">
        <f t="shared" si="52"/>
        <v>0</v>
      </c>
      <c r="N765" s="613" t="str">
        <f>INDEX(tblSubjectToLoan[Date],ROW()-ROW(tblContractForDeed[#Headers]))</f>
        <v/>
      </c>
      <c r="O765" s="276">
        <f>IF(ROW()=ROW(tblContractForDeed[#Headers])+1,$O$6,IF(INDEX(tblContractForDeed[End Bal],ROW()-ROW(tblContractForDeed[#Headers])-1)&lt;0,0,INDEX(tblContractForDeed[End Bal],ROW()-ROW(tblContractForDeed[#Headers])-1)))</f>
        <v>0</v>
      </c>
      <c r="P765" s="454"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5" s="276">
        <f>IF(INDEX(tblContractForDeed[End Bal],ROW()-ROW(tblBuyerOutputs[#Headers]))&lt;=0,0,($O$6+IF(ROW()=ROW(tblBuyerOutputs[#Headers])+1,0,INDEX(tblBuyerOutputs[Cumul Appr],ROW()-ROW(tblBuyerOutputs[#Headers])-1)))*$O$2/12)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13" t="str">
        <f>IF(ROW()=ROW(tblSubjectToLoan[#Headers])+1,subjectKnownBalanceDate,IF(OR(INDEX(tblSubjectToLoan[Date],ROW()-ROW(tblSubjectToLoan[#Headers])-1)="",INDEX(tblSubjectToLoan[Date],ROW()-ROW(tblSubjectToLoan[#Headers])-1)&gt;=subjectMortgageEndDate),"",EDATE(INDEX(tblSubjectToLoan[Date],ROW()-ROW(tblSubjectToLoan[#Headers])-1),1)))</f>
        <v/>
      </c>
      <c r="B766" s="276">
        <f>IF(tblSubjectToLoan[[#This Row],[Date]]="",0,IF(ROW()=ROW(tblSubjectToLoan[#Headers])+1,subjectKnownBalance,MAX(0,INDEX(tblSubjectToLoan[Ending Balance],ROW()-ROW(tblSubjectToLoan[#Headers])-1))))</f>
        <v>0</v>
      </c>
      <c r="C7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6" s="14">
        <f>IF(tblSubjectToLoan[[#This Row],[Payment]]=0,0,MAX(0,MIN(tblSubjectToLoan[[#This Row],[Beginning Balance]],tblSubjectToLoan[[#This Row],[Payment]]-tblSubjectToLoan[[#This Row],[Int]])))</f>
        <v>0</v>
      </c>
      <c r="E766" s="14">
        <f>IF(tblSubjectToLoan[[#This Row],[Date]]="",0,ROUND(tblSubjectToLoan[[#This Row],[Beginning Balance]]*(subjectInterestRate/12),2))</f>
        <v>0</v>
      </c>
      <c r="H766" s="14">
        <f>SUM(tblSubjectToLoan[[#This Row],[Princ]],tblSubjectToLoan[[#This Row],[Int]],tblSubjectToLoan[[#This Row],[Ins]],tblSubjectToLoan[[#This Row],[Taxes]])</f>
        <v>0</v>
      </c>
      <c r="I7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6" s="276">
        <f>IF(tblSubjectToLoan[[#This Row],[Date]]="",IF(ROW()=ROW(tblSubjectToLoan[#Headers])+1,0,INDEX(tblSubjectToLoan[Interest],ROW()-ROW(tblSubjectToLoan[#Headers])-1)),tblSubjectToLoan[[#This Row],[Int]]+IF(ROW()=ROW(tblSubjectToLoan[#Headers])+1,0,INDEX(tblSubjectToLoan[Interest],ROW()-ROW(tblSubjectToLoan[#Headers])-1)))</f>
        <v>36068.259999999973</v>
      </c>
      <c r="K766" s="969">
        <f>IF(tblSubjectToLoan[[#This Row],[Date]]="",0,MAX(0,tblSubjectToLoan[[#This Row],[Beginning Balance]]-tblSubjectToLoan[[#This Row],[Princ]]))</f>
        <v>0</v>
      </c>
      <c r="L766" s="394">
        <f t="shared" si="53"/>
        <v>0</v>
      </c>
      <c r="M766" s="394">
        <f t="shared" si="52"/>
        <v>0</v>
      </c>
      <c r="N766" s="613" t="str">
        <f>INDEX(tblSubjectToLoan[Date],ROW()-ROW(tblContractForDeed[#Headers]))</f>
        <v/>
      </c>
      <c r="O766" s="276">
        <f>IF(ROW()=ROW(tblContractForDeed[#Headers])+1,$O$6,IF(INDEX(tblContractForDeed[End Bal],ROW()-ROW(tblContractForDeed[#Headers])-1)&lt;0,0,INDEX(tblContractForDeed[End Bal],ROW()-ROW(tblContractForDeed[#Headers])-1)))</f>
        <v>0</v>
      </c>
      <c r="P766" s="454"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6" s="276">
        <f>IF(INDEX(tblContractForDeed[End Bal],ROW()-ROW(tblBuyerOutputs[#Headers]))&lt;=0,0,($O$6+IF(ROW()=ROW(tblBuyerOutputs[#Headers])+1,0,INDEX(tblBuyerOutputs[Cumul Appr],ROW()-ROW(tblBuyerOutputs[#Headers])-1)))*$O$2/12)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13" t="str">
        <f>IF(ROW()=ROW(tblSubjectToLoan[#Headers])+1,subjectKnownBalanceDate,IF(OR(INDEX(tblSubjectToLoan[Date],ROW()-ROW(tblSubjectToLoan[#Headers])-1)="",INDEX(tblSubjectToLoan[Date],ROW()-ROW(tblSubjectToLoan[#Headers])-1)&gt;=subjectMortgageEndDate),"",EDATE(INDEX(tblSubjectToLoan[Date],ROW()-ROW(tblSubjectToLoan[#Headers])-1),1)))</f>
        <v/>
      </c>
      <c r="B767" s="276">
        <f>IF(tblSubjectToLoan[[#This Row],[Date]]="",0,IF(ROW()=ROW(tblSubjectToLoan[#Headers])+1,subjectKnownBalance,MAX(0,INDEX(tblSubjectToLoan[Ending Balance],ROW()-ROW(tblSubjectToLoan[#Headers])-1))))</f>
        <v>0</v>
      </c>
      <c r="C7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7" s="14">
        <f>IF(tblSubjectToLoan[[#This Row],[Payment]]=0,0,MAX(0,MIN(tblSubjectToLoan[[#This Row],[Beginning Balance]],tblSubjectToLoan[[#This Row],[Payment]]-tblSubjectToLoan[[#This Row],[Int]])))</f>
        <v>0</v>
      </c>
      <c r="E767" s="14">
        <f>IF(tblSubjectToLoan[[#This Row],[Date]]="",0,ROUND(tblSubjectToLoan[[#This Row],[Beginning Balance]]*(subjectInterestRate/12),2))</f>
        <v>0</v>
      </c>
      <c r="H767" s="14">
        <f>SUM(tblSubjectToLoan[[#This Row],[Princ]],tblSubjectToLoan[[#This Row],[Int]],tblSubjectToLoan[[#This Row],[Ins]],tblSubjectToLoan[[#This Row],[Taxes]])</f>
        <v>0</v>
      </c>
      <c r="I7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7" s="276">
        <f>IF(tblSubjectToLoan[[#This Row],[Date]]="",IF(ROW()=ROW(tblSubjectToLoan[#Headers])+1,0,INDEX(tblSubjectToLoan[Interest],ROW()-ROW(tblSubjectToLoan[#Headers])-1)),tblSubjectToLoan[[#This Row],[Int]]+IF(ROW()=ROW(tblSubjectToLoan[#Headers])+1,0,INDEX(tblSubjectToLoan[Interest],ROW()-ROW(tblSubjectToLoan[#Headers])-1)))</f>
        <v>36068.259999999973</v>
      </c>
      <c r="K767" s="969">
        <f>IF(tblSubjectToLoan[[#This Row],[Date]]="",0,MAX(0,tblSubjectToLoan[[#This Row],[Beginning Balance]]-tblSubjectToLoan[[#This Row],[Princ]]))</f>
        <v>0</v>
      </c>
      <c r="L767" s="394">
        <f t="shared" si="53"/>
        <v>0</v>
      </c>
      <c r="M767" s="394">
        <f t="shared" si="52"/>
        <v>0</v>
      </c>
      <c r="N767" s="613" t="str">
        <f>INDEX(tblSubjectToLoan[Date],ROW()-ROW(tblContractForDeed[#Headers]))</f>
        <v/>
      </c>
      <c r="O767" s="276">
        <f>IF(ROW()=ROW(tblContractForDeed[#Headers])+1,$O$6,IF(INDEX(tblContractForDeed[End Bal],ROW()-ROW(tblContractForDeed[#Headers])-1)&lt;0,0,INDEX(tblContractForDeed[End Bal],ROW()-ROW(tblContractForDeed[#Headers])-1)))</f>
        <v>0</v>
      </c>
      <c r="P767" s="454"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7" s="276">
        <f>IF(INDEX(tblContractForDeed[End Bal],ROW()-ROW(tblBuyerOutputs[#Headers]))&lt;=0,0,($O$6+IF(ROW()=ROW(tblBuyerOutputs[#Headers])+1,0,INDEX(tblBuyerOutputs[Cumul Appr],ROW()-ROW(tblBuyerOutputs[#Headers])-1)))*$O$2/12)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13" t="str">
        <f>IF(ROW()=ROW(tblSubjectToLoan[#Headers])+1,subjectKnownBalanceDate,IF(OR(INDEX(tblSubjectToLoan[Date],ROW()-ROW(tblSubjectToLoan[#Headers])-1)="",INDEX(tblSubjectToLoan[Date],ROW()-ROW(tblSubjectToLoan[#Headers])-1)&gt;=subjectMortgageEndDate),"",EDATE(INDEX(tblSubjectToLoan[Date],ROW()-ROW(tblSubjectToLoan[#Headers])-1),1)))</f>
        <v/>
      </c>
      <c r="B768" s="276">
        <f>IF(tblSubjectToLoan[[#This Row],[Date]]="",0,IF(ROW()=ROW(tblSubjectToLoan[#Headers])+1,subjectKnownBalance,MAX(0,INDEX(tblSubjectToLoan[Ending Balance],ROW()-ROW(tblSubjectToLoan[#Headers])-1))))</f>
        <v>0</v>
      </c>
      <c r="C7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8" s="14">
        <f>IF(tblSubjectToLoan[[#This Row],[Payment]]=0,0,MAX(0,MIN(tblSubjectToLoan[[#This Row],[Beginning Balance]],tblSubjectToLoan[[#This Row],[Payment]]-tblSubjectToLoan[[#This Row],[Int]])))</f>
        <v>0</v>
      </c>
      <c r="E768" s="14">
        <f>IF(tblSubjectToLoan[[#This Row],[Date]]="",0,ROUND(tblSubjectToLoan[[#This Row],[Beginning Balance]]*(subjectInterestRate/12),2))</f>
        <v>0</v>
      </c>
      <c r="H768" s="14">
        <f>SUM(tblSubjectToLoan[[#This Row],[Princ]],tblSubjectToLoan[[#This Row],[Int]],tblSubjectToLoan[[#This Row],[Ins]],tblSubjectToLoan[[#This Row],[Taxes]])</f>
        <v>0</v>
      </c>
      <c r="I7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8" s="276">
        <f>IF(tblSubjectToLoan[[#This Row],[Date]]="",IF(ROW()=ROW(tblSubjectToLoan[#Headers])+1,0,INDEX(tblSubjectToLoan[Interest],ROW()-ROW(tblSubjectToLoan[#Headers])-1)),tblSubjectToLoan[[#This Row],[Int]]+IF(ROW()=ROW(tblSubjectToLoan[#Headers])+1,0,INDEX(tblSubjectToLoan[Interest],ROW()-ROW(tblSubjectToLoan[#Headers])-1)))</f>
        <v>36068.259999999973</v>
      </c>
      <c r="K768" s="969">
        <f>IF(tblSubjectToLoan[[#This Row],[Date]]="",0,MAX(0,tblSubjectToLoan[[#This Row],[Beginning Balance]]-tblSubjectToLoan[[#This Row],[Princ]]))</f>
        <v>0</v>
      </c>
      <c r="L768" s="394">
        <f t="shared" si="53"/>
        <v>0</v>
      </c>
      <c r="M768" s="394">
        <f t="shared" si="52"/>
        <v>0</v>
      </c>
      <c r="N768" s="613" t="str">
        <f>INDEX(tblSubjectToLoan[Date],ROW()-ROW(tblContractForDeed[#Headers]))</f>
        <v/>
      </c>
      <c r="O768" s="276">
        <f>IF(ROW()=ROW(tblContractForDeed[#Headers])+1,$O$6,IF(INDEX(tblContractForDeed[End Bal],ROW()-ROW(tblContractForDeed[#Headers])-1)&lt;0,0,INDEX(tblContractForDeed[End Bal],ROW()-ROW(tblContractForDeed[#Headers])-1)))</f>
        <v>0</v>
      </c>
      <c r="P768" s="454"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8" s="276">
        <f>IF(INDEX(tblContractForDeed[End Bal],ROW()-ROW(tblBuyerOutputs[#Headers]))&lt;=0,0,($O$6+IF(ROW()=ROW(tblBuyerOutputs[#Headers])+1,0,INDEX(tblBuyerOutputs[Cumul Appr],ROW()-ROW(tblBuyerOutputs[#Headers])-1)))*$O$2/12)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13" t="str">
        <f>IF(ROW()=ROW(tblSubjectToLoan[#Headers])+1,subjectKnownBalanceDate,IF(OR(INDEX(tblSubjectToLoan[Date],ROW()-ROW(tblSubjectToLoan[#Headers])-1)="",INDEX(tblSubjectToLoan[Date],ROW()-ROW(tblSubjectToLoan[#Headers])-1)&gt;=subjectMortgageEndDate),"",EDATE(INDEX(tblSubjectToLoan[Date],ROW()-ROW(tblSubjectToLoan[#Headers])-1),1)))</f>
        <v/>
      </c>
      <c r="B769" s="276">
        <f>IF(tblSubjectToLoan[[#This Row],[Date]]="",0,IF(ROW()=ROW(tblSubjectToLoan[#Headers])+1,subjectKnownBalance,MAX(0,INDEX(tblSubjectToLoan[Ending Balance],ROW()-ROW(tblSubjectToLoan[#Headers])-1))))</f>
        <v>0</v>
      </c>
      <c r="C7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9" s="14">
        <f>IF(tblSubjectToLoan[[#This Row],[Payment]]=0,0,MAX(0,MIN(tblSubjectToLoan[[#This Row],[Beginning Balance]],tblSubjectToLoan[[#This Row],[Payment]]-tblSubjectToLoan[[#This Row],[Int]])))</f>
        <v>0</v>
      </c>
      <c r="E769" s="14">
        <f>IF(tblSubjectToLoan[[#This Row],[Date]]="",0,ROUND(tblSubjectToLoan[[#This Row],[Beginning Balance]]*(subjectInterestRate/12),2))</f>
        <v>0</v>
      </c>
      <c r="H769" s="14">
        <f>SUM(tblSubjectToLoan[[#This Row],[Princ]],tblSubjectToLoan[[#This Row],[Int]],tblSubjectToLoan[[#This Row],[Ins]],tblSubjectToLoan[[#This Row],[Taxes]])</f>
        <v>0</v>
      </c>
      <c r="I7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9" s="276">
        <f>IF(tblSubjectToLoan[[#This Row],[Date]]="",IF(ROW()=ROW(tblSubjectToLoan[#Headers])+1,0,INDEX(tblSubjectToLoan[Interest],ROW()-ROW(tblSubjectToLoan[#Headers])-1)),tblSubjectToLoan[[#This Row],[Int]]+IF(ROW()=ROW(tblSubjectToLoan[#Headers])+1,0,INDEX(tblSubjectToLoan[Interest],ROW()-ROW(tblSubjectToLoan[#Headers])-1)))</f>
        <v>36068.259999999973</v>
      </c>
      <c r="K769" s="969">
        <f>IF(tblSubjectToLoan[[#This Row],[Date]]="",0,MAX(0,tblSubjectToLoan[[#This Row],[Beginning Balance]]-tblSubjectToLoan[[#This Row],[Princ]]))</f>
        <v>0</v>
      </c>
      <c r="L769" s="394">
        <f t="shared" si="53"/>
        <v>0</v>
      </c>
      <c r="M769" s="394">
        <f t="shared" si="52"/>
        <v>0</v>
      </c>
      <c r="N769" s="613" t="str">
        <f>INDEX(tblSubjectToLoan[Date],ROW()-ROW(tblContractForDeed[#Headers]))</f>
        <v/>
      </c>
      <c r="O769" s="276">
        <f>IF(ROW()=ROW(tblContractForDeed[#Headers])+1,$O$6,IF(INDEX(tblContractForDeed[End Bal],ROW()-ROW(tblContractForDeed[#Headers])-1)&lt;0,0,INDEX(tblContractForDeed[End Bal],ROW()-ROW(tblContractForDeed[#Headers])-1)))</f>
        <v>0</v>
      </c>
      <c r="P769" s="454"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9" s="276">
        <f>IF(INDEX(tblContractForDeed[End Bal],ROW()-ROW(tblBuyerOutputs[#Headers]))&lt;=0,0,($O$6+IF(ROW()=ROW(tblBuyerOutputs[#Headers])+1,0,INDEX(tblBuyerOutputs[Cumul Appr],ROW()-ROW(tblBuyerOutputs[#Headers])-1)))*$O$2/12)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13" t="str">
        <f>IF(ROW()=ROW(tblSubjectToLoan[#Headers])+1,subjectKnownBalanceDate,IF(OR(INDEX(tblSubjectToLoan[Date],ROW()-ROW(tblSubjectToLoan[#Headers])-1)="",INDEX(tblSubjectToLoan[Date],ROW()-ROW(tblSubjectToLoan[#Headers])-1)&gt;=subjectMortgageEndDate),"",EDATE(INDEX(tblSubjectToLoan[Date],ROW()-ROW(tblSubjectToLoan[#Headers])-1),1)))</f>
        <v/>
      </c>
      <c r="B770" s="276">
        <f>IF(tblSubjectToLoan[[#This Row],[Date]]="",0,IF(ROW()=ROW(tblSubjectToLoan[#Headers])+1,subjectKnownBalance,MAX(0,INDEX(tblSubjectToLoan[Ending Balance],ROW()-ROW(tblSubjectToLoan[#Headers])-1))))</f>
        <v>0</v>
      </c>
      <c r="C7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0" s="14">
        <f>IF(tblSubjectToLoan[[#This Row],[Payment]]=0,0,MAX(0,MIN(tblSubjectToLoan[[#This Row],[Beginning Balance]],tblSubjectToLoan[[#This Row],[Payment]]-tblSubjectToLoan[[#This Row],[Int]])))</f>
        <v>0</v>
      </c>
      <c r="E770" s="14">
        <f>IF(tblSubjectToLoan[[#This Row],[Date]]="",0,ROUND(tblSubjectToLoan[[#This Row],[Beginning Balance]]*(subjectInterestRate/12),2))</f>
        <v>0</v>
      </c>
      <c r="H770" s="14">
        <f>SUM(tblSubjectToLoan[[#This Row],[Princ]],tblSubjectToLoan[[#This Row],[Int]],tblSubjectToLoan[[#This Row],[Ins]],tblSubjectToLoan[[#This Row],[Taxes]])</f>
        <v>0</v>
      </c>
      <c r="I7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0" s="276">
        <f>IF(tblSubjectToLoan[[#This Row],[Date]]="",IF(ROW()=ROW(tblSubjectToLoan[#Headers])+1,0,INDEX(tblSubjectToLoan[Interest],ROW()-ROW(tblSubjectToLoan[#Headers])-1)),tblSubjectToLoan[[#This Row],[Int]]+IF(ROW()=ROW(tblSubjectToLoan[#Headers])+1,0,INDEX(tblSubjectToLoan[Interest],ROW()-ROW(tblSubjectToLoan[#Headers])-1)))</f>
        <v>36068.259999999973</v>
      </c>
      <c r="K770" s="969">
        <f>IF(tblSubjectToLoan[[#This Row],[Date]]="",0,MAX(0,tblSubjectToLoan[[#This Row],[Beginning Balance]]-tblSubjectToLoan[[#This Row],[Princ]]))</f>
        <v>0</v>
      </c>
      <c r="L770" s="394">
        <f t="shared" si="53"/>
        <v>0</v>
      </c>
      <c r="M770" s="394">
        <f t="shared" si="52"/>
        <v>0</v>
      </c>
      <c r="N770" s="613" t="str">
        <f>INDEX(tblSubjectToLoan[Date],ROW()-ROW(tblContractForDeed[#Headers]))</f>
        <v/>
      </c>
      <c r="O770" s="276">
        <f>IF(ROW()=ROW(tblContractForDeed[#Headers])+1,$O$6,IF(INDEX(tblContractForDeed[End Bal],ROW()-ROW(tblContractForDeed[#Headers])-1)&lt;0,0,INDEX(tblContractForDeed[End Bal],ROW()-ROW(tblContractForDeed[#Headers])-1)))</f>
        <v>0</v>
      </c>
      <c r="P770" s="454"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0" s="276">
        <f>IF(INDEX(tblContractForDeed[End Bal],ROW()-ROW(tblBuyerOutputs[#Headers]))&lt;=0,0,($O$6+IF(ROW()=ROW(tblBuyerOutputs[#Headers])+1,0,INDEX(tblBuyerOutputs[Cumul Appr],ROW()-ROW(tblBuyerOutputs[#Headers])-1)))*$O$2/12)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13" t="str">
        <f>IF(ROW()=ROW(tblSubjectToLoan[#Headers])+1,subjectKnownBalanceDate,IF(OR(INDEX(tblSubjectToLoan[Date],ROW()-ROW(tblSubjectToLoan[#Headers])-1)="",INDEX(tblSubjectToLoan[Date],ROW()-ROW(tblSubjectToLoan[#Headers])-1)&gt;=subjectMortgageEndDate),"",EDATE(INDEX(tblSubjectToLoan[Date],ROW()-ROW(tblSubjectToLoan[#Headers])-1),1)))</f>
        <v/>
      </c>
      <c r="B771" s="276">
        <f>IF(tblSubjectToLoan[[#This Row],[Date]]="",0,IF(ROW()=ROW(tblSubjectToLoan[#Headers])+1,subjectKnownBalance,MAX(0,INDEX(tblSubjectToLoan[Ending Balance],ROW()-ROW(tblSubjectToLoan[#Headers])-1))))</f>
        <v>0</v>
      </c>
      <c r="C7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1" s="14">
        <f>IF(tblSubjectToLoan[[#This Row],[Payment]]=0,0,MAX(0,MIN(tblSubjectToLoan[[#This Row],[Beginning Balance]],tblSubjectToLoan[[#This Row],[Payment]]-tblSubjectToLoan[[#This Row],[Int]])))</f>
        <v>0</v>
      </c>
      <c r="E771" s="14">
        <f>IF(tblSubjectToLoan[[#This Row],[Date]]="",0,ROUND(tblSubjectToLoan[[#This Row],[Beginning Balance]]*(subjectInterestRate/12),2))</f>
        <v>0</v>
      </c>
      <c r="H771" s="14">
        <f>SUM(tblSubjectToLoan[[#This Row],[Princ]],tblSubjectToLoan[[#This Row],[Int]],tblSubjectToLoan[[#This Row],[Ins]],tblSubjectToLoan[[#This Row],[Taxes]])</f>
        <v>0</v>
      </c>
      <c r="I7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1" s="276">
        <f>IF(tblSubjectToLoan[[#This Row],[Date]]="",IF(ROW()=ROW(tblSubjectToLoan[#Headers])+1,0,INDEX(tblSubjectToLoan[Interest],ROW()-ROW(tblSubjectToLoan[#Headers])-1)),tblSubjectToLoan[[#This Row],[Int]]+IF(ROW()=ROW(tblSubjectToLoan[#Headers])+1,0,INDEX(tblSubjectToLoan[Interest],ROW()-ROW(tblSubjectToLoan[#Headers])-1)))</f>
        <v>36068.259999999973</v>
      </c>
      <c r="K771" s="969">
        <f>IF(tblSubjectToLoan[[#This Row],[Date]]="",0,MAX(0,tblSubjectToLoan[[#This Row],[Beginning Balance]]-tblSubjectToLoan[[#This Row],[Princ]]))</f>
        <v>0</v>
      </c>
      <c r="L771" s="394">
        <f t="shared" si="53"/>
        <v>0</v>
      </c>
      <c r="M771" s="394">
        <f t="shared" si="52"/>
        <v>0</v>
      </c>
      <c r="N771" s="613" t="str">
        <f>INDEX(tblSubjectToLoan[Date],ROW()-ROW(tblContractForDeed[#Headers]))</f>
        <v/>
      </c>
      <c r="O771" s="276">
        <f>IF(ROW()=ROW(tblContractForDeed[#Headers])+1,$O$6,IF(INDEX(tblContractForDeed[End Bal],ROW()-ROW(tblContractForDeed[#Headers])-1)&lt;0,0,INDEX(tblContractForDeed[End Bal],ROW()-ROW(tblContractForDeed[#Headers])-1)))</f>
        <v>0</v>
      </c>
      <c r="P771" s="454"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1" s="276">
        <f>IF(INDEX(tblContractForDeed[End Bal],ROW()-ROW(tblBuyerOutputs[#Headers]))&lt;=0,0,($O$6+IF(ROW()=ROW(tblBuyerOutputs[#Headers])+1,0,INDEX(tblBuyerOutputs[Cumul Appr],ROW()-ROW(tblBuyerOutputs[#Headers])-1)))*$O$2/12)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13" t="str">
        <f>IF(ROW()=ROW(tblSubjectToLoan[#Headers])+1,subjectKnownBalanceDate,IF(OR(INDEX(tblSubjectToLoan[Date],ROW()-ROW(tblSubjectToLoan[#Headers])-1)="",INDEX(tblSubjectToLoan[Date],ROW()-ROW(tblSubjectToLoan[#Headers])-1)&gt;=subjectMortgageEndDate),"",EDATE(INDEX(tblSubjectToLoan[Date],ROW()-ROW(tblSubjectToLoan[#Headers])-1),1)))</f>
        <v/>
      </c>
      <c r="B772" s="276">
        <f>IF(tblSubjectToLoan[[#This Row],[Date]]="",0,IF(ROW()=ROW(tblSubjectToLoan[#Headers])+1,subjectKnownBalance,MAX(0,INDEX(tblSubjectToLoan[Ending Balance],ROW()-ROW(tblSubjectToLoan[#Headers])-1))))</f>
        <v>0</v>
      </c>
      <c r="C7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2" s="14">
        <f>IF(tblSubjectToLoan[[#This Row],[Payment]]=0,0,MAX(0,MIN(tblSubjectToLoan[[#This Row],[Beginning Balance]],tblSubjectToLoan[[#This Row],[Payment]]-tblSubjectToLoan[[#This Row],[Int]])))</f>
        <v>0</v>
      </c>
      <c r="E772" s="14">
        <f>IF(tblSubjectToLoan[[#This Row],[Date]]="",0,ROUND(tblSubjectToLoan[[#This Row],[Beginning Balance]]*(subjectInterestRate/12),2))</f>
        <v>0</v>
      </c>
      <c r="H772" s="14">
        <f>SUM(tblSubjectToLoan[[#This Row],[Princ]],tblSubjectToLoan[[#This Row],[Int]],tblSubjectToLoan[[#This Row],[Ins]],tblSubjectToLoan[[#This Row],[Taxes]])</f>
        <v>0</v>
      </c>
      <c r="I7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2" s="276">
        <f>IF(tblSubjectToLoan[[#This Row],[Date]]="",IF(ROW()=ROW(tblSubjectToLoan[#Headers])+1,0,INDEX(tblSubjectToLoan[Interest],ROW()-ROW(tblSubjectToLoan[#Headers])-1)),tblSubjectToLoan[[#This Row],[Int]]+IF(ROW()=ROW(tblSubjectToLoan[#Headers])+1,0,INDEX(tblSubjectToLoan[Interest],ROW()-ROW(tblSubjectToLoan[#Headers])-1)))</f>
        <v>36068.259999999973</v>
      </c>
      <c r="K772" s="969">
        <f>IF(tblSubjectToLoan[[#This Row],[Date]]="",0,MAX(0,tblSubjectToLoan[[#This Row],[Beginning Balance]]-tblSubjectToLoan[[#This Row],[Princ]]))</f>
        <v>0</v>
      </c>
      <c r="L772" s="394">
        <f t="shared" si="53"/>
        <v>0</v>
      </c>
      <c r="M772" s="394">
        <f t="shared" si="52"/>
        <v>0</v>
      </c>
      <c r="N772" s="613" t="str">
        <f>INDEX(tblSubjectToLoan[Date],ROW()-ROW(tblContractForDeed[#Headers]))</f>
        <v/>
      </c>
      <c r="O772" s="276">
        <f>IF(ROW()=ROW(tblContractForDeed[#Headers])+1,$O$6,IF(INDEX(tblContractForDeed[End Bal],ROW()-ROW(tblContractForDeed[#Headers])-1)&lt;0,0,INDEX(tblContractForDeed[End Bal],ROW()-ROW(tblContractForDeed[#Headers])-1)))</f>
        <v>0</v>
      </c>
      <c r="P772" s="454"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2" s="276">
        <f>IF(INDEX(tblContractForDeed[End Bal],ROW()-ROW(tblBuyerOutputs[#Headers]))&lt;=0,0,($O$6+IF(ROW()=ROW(tblBuyerOutputs[#Headers])+1,0,INDEX(tblBuyerOutputs[Cumul Appr],ROW()-ROW(tblBuyerOutputs[#Headers])-1)))*$O$2/12)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13" t="str">
        <f>IF(ROW()=ROW(tblSubjectToLoan[#Headers])+1,subjectKnownBalanceDate,IF(OR(INDEX(tblSubjectToLoan[Date],ROW()-ROW(tblSubjectToLoan[#Headers])-1)="",INDEX(tblSubjectToLoan[Date],ROW()-ROW(tblSubjectToLoan[#Headers])-1)&gt;=subjectMortgageEndDate),"",EDATE(INDEX(tblSubjectToLoan[Date],ROW()-ROW(tblSubjectToLoan[#Headers])-1),1)))</f>
        <v/>
      </c>
      <c r="B773" s="276">
        <f>IF(tblSubjectToLoan[[#This Row],[Date]]="",0,IF(ROW()=ROW(tblSubjectToLoan[#Headers])+1,subjectKnownBalance,MAX(0,INDEX(tblSubjectToLoan[Ending Balance],ROW()-ROW(tblSubjectToLoan[#Headers])-1))))</f>
        <v>0</v>
      </c>
      <c r="C7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3" s="14">
        <f>IF(tblSubjectToLoan[[#This Row],[Payment]]=0,0,MAX(0,MIN(tblSubjectToLoan[[#This Row],[Beginning Balance]],tblSubjectToLoan[[#This Row],[Payment]]-tblSubjectToLoan[[#This Row],[Int]])))</f>
        <v>0</v>
      </c>
      <c r="E773" s="14">
        <f>IF(tblSubjectToLoan[[#This Row],[Date]]="",0,ROUND(tblSubjectToLoan[[#This Row],[Beginning Balance]]*(subjectInterestRate/12),2))</f>
        <v>0</v>
      </c>
      <c r="H773" s="14">
        <f>SUM(tblSubjectToLoan[[#This Row],[Princ]],tblSubjectToLoan[[#This Row],[Int]],tblSubjectToLoan[[#This Row],[Ins]],tblSubjectToLoan[[#This Row],[Taxes]])</f>
        <v>0</v>
      </c>
      <c r="I7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3" s="276">
        <f>IF(tblSubjectToLoan[[#This Row],[Date]]="",IF(ROW()=ROW(tblSubjectToLoan[#Headers])+1,0,INDEX(tblSubjectToLoan[Interest],ROW()-ROW(tblSubjectToLoan[#Headers])-1)),tblSubjectToLoan[[#This Row],[Int]]+IF(ROW()=ROW(tblSubjectToLoan[#Headers])+1,0,INDEX(tblSubjectToLoan[Interest],ROW()-ROW(tblSubjectToLoan[#Headers])-1)))</f>
        <v>36068.259999999973</v>
      </c>
      <c r="K773" s="969">
        <f>IF(tblSubjectToLoan[[#This Row],[Date]]="",0,MAX(0,tblSubjectToLoan[[#This Row],[Beginning Balance]]-tblSubjectToLoan[[#This Row],[Princ]]))</f>
        <v>0</v>
      </c>
      <c r="L773" s="394">
        <f t="shared" si="53"/>
        <v>0</v>
      </c>
      <c r="M773" s="394">
        <f t="shared" si="52"/>
        <v>0</v>
      </c>
      <c r="N773" s="613" t="str">
        <f>INDEX(tblSubjectToLoan[Date],ROW()-ROW(tblContractForDeed[#Headers]))</f>
        <v/>
      </c>
      <c r="O773" s="276">
        <f>IF(ROW()=ROW(tblContractForDeed[#Headers])+1,$O$6,IF(INDEX(tblContractForDeed[End Bal],ROW()-ROW(tblContractForDeed[#Headers])-1)&lt;0,0,INDEX(tblContractForDeed[End Bal],ROW()-ROW(tblContractForDeed[#Headers])-1)))</f>
        <v>0</v>
      </c>
      <c r="P773" s="454"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3" s="276">
        <f>IF(INDEX(tblContractForDeed[End Bal],ROW()-ROW(tblBuyerOutputs[#Headers]))&lt;=0,0,($O$6+IF(ROW()=ROW(tblBuyerOutputs[#Headers])+1,0,INDEX(tblBuyerOutputs[Cumul Appr],ROW()-ROW(tblBuyerOutputs[#Headers])-1)))*$O$2/12)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13" t="str">
        <f>IF(ROW()=ROW(tblSubjectToLoan[#Headers])+1,subjectKnownBalanceDate,IF(OR(INDEX(tblSubjectToLoan[Date],ROW()-ROW(tblSubjectToLoan[#Headers])-1)="",INDEX(tblSubjectToLoan[Date],ROW()-ROW(tblSubjectToLoan[#Headers])-1)&gt;=subjectMortgageEndDate),"",EDATE(INDEX(tblSubjectToLoan[Date],ROW()-ROW(tblSubjectToLoan[#Headers])-1),1)))</f>
        <v/>
      </c>
      <c r="B774" s="276">
        <f>IF(tblSubjectToLoan[[#This Row],[Date]]="",0,IF(ROW()=ROW(tblSubjectToLoan[#Headers])+1,subjectKnownBalance,MAX(0,INDEX(tblSubjectToLoan[Ending Balance],ROW()-ROW(tblSubjectToLoan[#Headers])-1))))</f>
        <v>0</v>
      </c>
      <c r="C7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4" s="14">
        <f>IF(tblSubjectToLoan[[#This Row],[Payment]]=0,0,MAX(0,MIN(tblSubjectToLoan[[#This Row],[Beginning Balance]],tblSubjectToLoan[[#This Row],[Payment]]-tblSubjectToLoan[[#This Row],[Int]])))</f>
        <v>0</v>
      </c>
      <c r="E774" s="14">
        <f>IF(tblSubjectToLoan[[#This Row],[Date]]="",0,ROUND(tblSubjectToLoan[[#This Row],[Beginning Balance]]*(subjectInterestRate/12),2))</f>
        <v>0</v>
      </c>
      <c r="H774" s="14">
        <f>SUM(tblSubjectToLoan[[#This Row],[Princ]],tblSubjectToLoan[[#This Row],[Int]],tblSubjectToLoan[[#This Row],[Ins]],tblSubjectToLoan[[#This Row],[Taxes]])</f>
        <v>0</v>
      </c>
      <c r="I7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4" s="276">
        <f>IF(tblSubjectToLoan[[#This Row],[Date]]="",IF(ROW()=ROW(tblSubjectToLoan[#Headers])+1,0,INDEX(tblSubjectToLoan[Interest],ROW()-ROW(tblSubjectToLoan[#Headers])-1)),tblSubjectToLoan[[#This Row],[Int]]+IF(ROW()=ROW(tblSubjectToLoan[#Headers])+1,0,INDEX(tblSubjectToLoan[Interest],ROW()-ROW(tblSubjectToLoan[#Headers])-1)))</f>
        <v>36068.259999999973</v>
      </c>
      <c r="K774" s="969">
        <f>IF(tblSubjectToLoan[[#This Row],[Date]]="",0,MAX(0,tblSubjectToLoan[[#This Row],[Beginning Balance]]-tblSubjectToLoan[[#This Row],[Princ]]))</f>
        <v>0</v>
      </c>
      <c r="L774" s="394">
        <f t="shared" si="53"/>
        <v>0</v>
      </c>
      <c r="M774" s="394">
        <f t="shared" si="52"/>
        <v>0</v>
      </c>
      <c r="N774" s="613" t="str">
        <f>INDEX(tblSubjectToLoan[Date],ROW()-ROW(tblContractForDeed[#Headers]))</f>
        <v/>
      </c>
      <c r="O774" s="276">
        <f>IF(ROW()=ROW(tblContractForDeed[#Headers])+1,$O$6,IF(INDEX(tblContractForDeed[End Bal],ROW()-ROW(tblContractForDeed[#Headers])-1)&lt;0,0,INDEX(tblContractForDeed[End Bal],ROW()-ROW(tblContractForDeed[#Headers])-1)))</f>
        <v>0</v>
      </c>
      <c r="P774" s="454"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4" s="276">
        <f>IF(INDEX(tblContractForDeed[End Bal],ROW()-ROW(tblBuyerOutputs[#Headers]))&lt;=0,0,($O$6+IF(ROW()=ROW(tblBuyerOutputs[#Headers])+1,0,INDEX(tblBuyerOutputs[Cumul Appr],ROW()-ROW(tblBuyerOutputs[#Headers])-1)))*$O$2/12)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14" t="str">
        <f>IF(ROW()=ROW(tblSubjectToLoan[#Headers])+1,subjectKnownBalanceDate,IF(OR(INDEX(tblSubjectToLoan[Date],ROW()-ROW(tblSubjectToLoan[#Headers])-1)="",INDEX(tblSubjectToLoan[Date],ROW()-ROW(tblSubjectToLoan[#Headers])-1)&gt;=subjectMortgageEndDate),"",EDATE(INDEX(tblSubjectToLoan[Date],ROW()-ROW(tblSubjectToLoan[#Headers])-1),1)))</f>
        <v/>
      </c>
      <c r="B775" s="332">
        <f>IF(tblSubjectToLoan[[#This Row],[Date]]="",0,IF(ROW()=ROW(tblSubjectToLoan[#Headers])+1,subjectKnownBalance,MAX(0,INDEX(tblSubjectToLoan[Ending Balance],ROW()-ROW(tblSubjectToLoan[#Headers])-1))))</f>
        <v>0</v>
      </c>
      <c r="C77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5" s="21">
        <f>IF(tblSubjectToLoan[[#This Row],[Payment]]=0,0,MAX(0,MIN(tblSubjectToLoan[[#This Row],[Beginning Balance]],tblSubjectToLoan[[#This Row],[Payment]]-tblSubjectToLoan[[#This Row],[Int]])))</f>
        <v>0</v>
      </c>
      <c r="E775" s="21">
        <f>IF(tblSubjectToLoan[[#This Row],[Date]]="",0,ROUND(tblSubjectToLoan[[#This Row],[Beginning Balance]]*(subjectInterestRate/12),2))</f>
        <v>0</v>
      </c>
      <c r="F775" s="21"/>
      <c r="G775" s="21"/>
      <c r="H775" s="21">
        <f>SUM(tblSubjectToLoan[[#This Row],[Princ]],tblSubjectToLoan[[#This Row],[Int]],tblSubjectToLoan[[#This Row],[Ins]],tblSubjectToLoan[[#This Row],[Taxes]])</f>
        <v>0</v>
      </c>
      <c r="I77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75" s="332">
        <f>IF(tblSubjectToLoan[[#This Row],[Date]]="",IF(ROW()=ROW(tblSubjectToLoan[#Headers])+1,0,INDEX(tblSubjectToLoan[Interest],ROW()-ROW(tblSubjectToLoan[#Headers])-1)),tblSubjectToLoan[[#This Row],[Int]]+IF(ROW()=ROW(tblSubjectToLoan[#Headers])+1,0,INDEX(tblSubjectToLoan[Interest],ROW()-ROW(tblSubjectToLoan[#Headers])-1)))</f>
        <v>36068.259999999973</v>
      </c>
      <c r="K775" s="970">
        <f>IF(tblSubjectToLoan[[#This Row],[Date]]="",0,MAX(0,tblSubjectToLoan[[#This Row],[Beginning Balance]]-tblSubjectToLoan[[#This Row],[Princ]]))</f>
        <v>0</v>
      </c>
      <c r="L775" s="395">
        <f t="shared" si="53"/>
        <v>0</v>
      </c>
      <c r="M775" s="395">
        <f t="shared" si="52"/>
        <v>0</v>
      </c>
      <c r="N775" s="614" t="str">
        <f>INDEX(tblSubjectToLoan[Date],ROW()-ROW(tblContractForDeed[#Headers]))</f>
        <v/>
      </c>
      <c r="O775" s="332">
        <f>IF(ROW()=ROW(tblContractForDeed[#Headers])+1,$O$6,IF(INDEX(tblContractForDeed[End Bal],ROW()-ROW(tblContractForDeed[#Headers])-1)&lt;0,0,INDEX(tblContractForDeed[End Bal],ROW()-ROW(tblContractForDeed[#Headers])-1)))</f>
        <v>0</v>
      </c>
      <c r="P775" s="454"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5" s="332">
        <f>IF(INDEX(tblContractForDeed[End Bal],ROW()-ROW(tblBuyerOutputs[#Headers]))&lt;=0,0,($O$6+IF(ROW()=ROW(tblBuyerOutputs[#Headers])+1,0,INDEX(tblBuyerOutputs[Cumul Appr],ROW()-ROW(tblBuyerOutputs[#Headers])-1)))*$O$2/12)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13" t="str">
        <f>IF(ROW()=ROW(tblSubjectToLoan[#Headers])+1,subjectKnownBalanceDate,IF(OR(INDEX(tblSubjectToLoan[Date],ROW()-ROW(tblSubjectToLoan[#Headers])-1)="",INDEX(tblSubjectToLoan[Date],ROW()-ROW(tblSubjectToLoan[#Headers])-1)&gt;=subjectMortgageEndDate),"",EDATE(INDEX(tblSubjectToLoan[Date],ROW()-ROW(tblSubjectToLoan[#Headers])-1),1)))</f>
        <v/>
      </c>
      <c r="B776" s="276">
        <f>IF(tblSubjectToLoan[[#This Row],[Date]]="",0,IF(ROW()=ROW(tblSubjectToLoan[#Headers])+1,subjectKnownBalance,MAX(0,INDEX(tblSubjectToLoan[Ending Balance],ROW()-ROW(tblSubjectToLoan[#Headers])-1))))</f>
        <v>0</v>
      </c>
      <c r="C7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6" s="14">
        <f>IF(tblSubjectToLoan[[#This Row],[Payment]]=0,0,MAX(0,MIN(tblSubjectToLoan[[#This Row],[Beginning Balance]],tblSubjectToLoan[[#This Row],[Payment]]-tblSubjectToLoan[[#This Row],[Int]])))</f>
        <v>0</v>
      </c>
      <c r="E776" s="14">
        <f>IF(tblSubjectToLoan[[#This Row],[Date]]="",0,ROUND(tblSubjectToLoan[[#This Row],[Beginning Balance]]*(subjectInterestRate/12),2))</f>
        <v>0</v>
      </c>
      <c r="H776" s="14">
        <f>SUM(tblSubjectToLoan[[#This Row],[Princ]],tblSubjectToLoan[[#This Row],[Int]],tblSubjectToLoan[[#This Row],[Ins]],tblSubjectToLoan[[#This Row],[Taxes]])</f>
        <v>0</v>
      </c>
      <c r="I7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6" s="276">
        <f>IF(tblSubjectToLoan[[#This Row],[Date]]="",IF(ROW()=ROW(tblSubjectToLoan[#Headers])+1,0,INDEX(tblSubjectToLoan[Interest],ROW()-ROW(tblSubjectToLoan[#Headers])-1)),tblSubjectToLoan[[#This Row],[Int]]+IF(ROW()=ROW(tblSubjectToLoan[#Headers])+1,0,INDEX(tblSubjectToLoan[Interest],ROW()-ROW(tblSubjectToLoan[#Headers])-1)))</f>
        <v>36068.259999999973</v>
      </c>
      <c r="K776" s="969">
        <f>IF(tblSubjectToLoan[[#This Row],[Date]]="",0,MAX(0,tblSubjectToLoan[[#This Row],[Beginning Balance]]-tblSubjectToLoan[[#This Row],[Princ]]))</f>
        <v>0</v>
      </c>
      <c r="L776" s="394">
        <f t="shared" si="53"/>
        <v>0</v>
      </c>
      <c r="M776" s="394">
        <f t="shared" si="52"/>
        <v>0</v>
      </c>
      <c r="N776" s="613" t="str">
        <f>INDEX(tblSubjectToLoan[Date],ROW()-ROW(tblContractForDeed[#Headers]))</f>
        <v/>
      </c>
      <c r="O776" s="276">
        <f>IF(ROW()=ROW(tblContractForDeed[#Headers])+1,$O$6,IF(INDEX(tblContractForDeed[End Bal],ROW()-ROW(tblContractForDeed[#Headers])-1)&lt;0,0,INDEX(tblContractForDeed[End Bal],ROW()-ROW(tblContractForDeed[#Headers])-1)))</f>
        <v>0</v>
      </c>
      <c r="P776" s="454"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6" s="276">
        <f>IF(INDEX(tblContractForDeed[End Bal],ROW()-ROW(tblBuyerOutputs[#Headers]))&lt;=0,0,($O$6+IF(ROW()=ROW(tblBuyerOutputs[#Headers])+1,0,INDEX(tblBuyerOutputs[Cumul Appr],ROW()-ROW(tblBuyerOutputs[#Headers])-1)))*$O$2/12)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13" t="str">
        <f>IF(ROW()=ROW(tblSubjectToLoan[#Headers])+1,subjectKnownBalanceDate,IF(OR(INDEX(tblSubjectToLoan[Date],ROW()-ROW(tblSubjectToLoan[#Headers])-1)="",INDEX(tblSubjectToLoan[Date],ROW()-ROW(tblSubjectToLoan[#Headers])-1)&gt;=subjectMortgageEndDate),"",EDATE(INDEX(tblSubjectToLoan[Date],ROW()-ROW(tblSubjectToLoan[#Headers])-1),1)))</f>
        <v/>
      </c>
      <c r="B777" s="276">
        <f>IF(tblSubjectToLoan[[#This Row],[Date]]="",0,IF(ROW()=ROW(tblSubjectToLoan[#Headers])+1,subjectKnownBalance,MAX(0,INDEX(tblSubjectToLoan[Ending Balance],ROW()-ROW(tblSubjectToLoan[#Headers])-1))))</f>
        <v>0</v>
      </c>
      <c r="C7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7" s="14">
        <f>IF(tblSubjectToLoan[[#This Row],[Payment]]=0,0,MAX(0,MIN(tblSubjectToLoan[[#This Row],[Beginning Balance]],tblSubjectToLoan[[#This Row],[Payment]]-tblSubjectToLoan[[#This Row],[Int]])))</f>
        <v>0</v>
      </c>
      <c r="E777" s="14">
        <f>IF(tblSubjectToLoan[[#This Row],[Date]]="",0,ROUND(tblSubjectToLoan[[#This Row],[Beginning Balance]]*(subjectInterestRate/12),2))</f>
        <v>0</v>
      </c>
      <c r="H777" s="14">
        <f>SUM(tblSubjectToLoan[[#This Row],[Princ]],tblSubjectToLoan[[#This Row],[Int]],tblSubjectToLoan[[#This Row],[Ins]],tblSubjectToLoan[[#This Row],[Taxes]])</f>
        <v>0</v>
      </c>
      <c r="I7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7" s="276">
        <f>IF(tblSubjectToLoan[[#This Row],[Date]]="",IF(ROW()=ROW(tblSubjectToLoan[#Headers])+1,0,INDEX(tblSubjectToLoan[Interest],ROW()-ROW(tblSubjectToLoan[#Headers])-1)),tblSubjectToLoan[[#This Row],[Int]]+IF(ROW()=ROW(tblSubjectToLoan[#Headers])+1,0,INDEX(tblSubjectToLoan[Interest],ROW()-ROW(tblSubjectToLoan[#Headers])-1)))</f>
        <v>36068.259999999973</v>
      </c>
      <c r="K777" s="969">
        <f>IF(tblSubjectToLoan[[#This Row],[Date]]="",0,MAX(0,tblSubjectToLoan[[#This Row],[Beginning Balance]]-tblSubjectToLoan[[#This Row],[Princ]]))</f>
        <v>0</v>
      </c>
      <c r="L777" s="394">
        <f t="shared" si="53"/>
        <v>0</v>
      </c>
      <c r="M777" s="394">
        <f t="shared" si="52"/>
        <v>0</v>
      </c>
      <c r="N777" s="613" t="str">
        <f>INDEX(tblSubjectToLoan[Date],ROW()-ROW(tblContractForDeed[#Headers]))</f>
        <v/>
      </c>
      <c r="O777" s="276">
        <f>IF(ROW()=ROW(tblContractForDeed[#Headers])+1,$O$6,IF(INDEX(tblContractForDeed[End Bal],ROW()-ROW(tblContractForDeed[#Headers])-1)&lt;0,0,INDEX(tblContractForDeed[End Bal],ROW()-ROW(tblContractForDeed[#Headers])-1)))</f>
        <v>0</v>
      </c>
      <c r="P777" s="454"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7" s="276">
        <f>IF(INDEX(tblContractForDeed[End Bal],ROW()-ROW(tblBuyerOutputs[#Headers]))&lt;=0,0,($O$6+IF(ROW()=ROW(tblBuyerOutputs[#Headers])+1,0,INDEX(tblBuyerOutputs[Cumul Appr],ROW()-ROW(tblBuyerOutputs[#Headers])-1)))*$O$2/12)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13" t="str">
        <f>IF(ROW()=ROW(tblSubjectToLoan[#Headers])+1,subjectKnownBalanceDate,IF(OR(INDEX(tblSubjectToLoan[Date],ROW()-ROW(tblSubjectToLoan[#Headers])-1)="",INDEX(tblSubjectToLoan[Date],ROW()-ROW(tblSubjectToLoan[#Headers])-1)&gt;=subjectMortgageEndDate),"",EDATE(INDEX(tblSubjectToLoan[Date],ROW()-ROW(tblSubjectToLoan[#Headers])-1),1)))</f>
        <v/>
      </c>
      <c r="B778" s="276">
        <f>IF(tblSubjectToLoan[[#This Row],[Date]]="",0,IF(ROW()=ROW(tblSubjectToLoan[#Headers])+1,subjectKnownBalance,MAX(0,INDEX(tblSubjectToLoan[Ending Balance],ROW()-ROW(tblSubjectToLoan[#Headers])-1))))</f>
        <v>0</v>
      </c>
      <c r="C7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8" s="14">
        <f>IF(tblSubjectToLoan[[#This Row],[Payment]]=0,0,MAX(0,MIN(tblSubjectToLoan[[#This Row],[Beginning Balance]],tblSubjectToLoan[[#This Row],[Payment]]-tblSubjectToLoan[[#This Row],[Int]])))</f>
        <v>0</v>
      </c>
      <c r="E778" s="14">
        <f>IF(tblSubjectToLoan[[#This Row],[Date]]="",0,ROUND(tblSubjectToLoan[[#This Row],[Beginning Balance]]*(subjectInterestRate/12),2))</f>
        <v>0</v>
      </c>
      <c r="H778" s="14">
        <f>SUM(tblSubjectToLoan[[#This Row],[Princ]],tblSubjectToLoan[[#This Row],[Int]],tblSubjectToLoan[[#This Row],[Ins]],tblSubjectToLoan[[#This Row],[Taxes]])</f>
        <v>0</v>
      </c>
      <c r="I7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8" s="276">
        <f>IF(tblSubjectToLoan[[#This Row],[Date]]="",IF(ROW()=ROW(tblSubjectToLoan[#Headers])+1,0,INDEX(tblSubjectToLoan[Interest],ROW()-ROW(tblSubjectToLoan[#Headers])-1)),tblSubjectToLoan[[#This Row],[Int]]+IF(ROW()=ROW(tblSubjectToLoan[#Headers])+1,0,INDEX(tblSubjectToLoan[Interest],ROW()-ROW(tblSubjectToLoan[#Headers])-1)))</f>
        <v>36068.259999999973</v>
      </c>
      <c r="K778" s="969">
        <f>IF(tblSubjectToLoan[[#This Row],[Date]]="",0,MAX(0,tblSubjectToLoan[[#This Row],[Beginning Balance]]-tblSubjectToLoan[[#This Row],[Princ]]))</f>
        <v>0</v>
      </c>
      <c r="L778" s="394">
        <f t="shared" si="53"/>
        <v>0</v>
      </c>
      <c r="M778" s="394">
        <f t="shared" si="52"/>
        <v>0</v>
      </c>
      <c r="N778" s="613" t="str">
        <f>INDEX(tblSubjectToLoan[Date],ROW()-ROW(tblContractForDeed[#Headers]))</f>
        <v/>
      </c>
      <c r="O778" s="276">
        <f>IF(ROW()=ROW(tblContractForDeed[#Headers])+1,$O$6,IF(INDEX(tblContractForDeed[End Bal],ROW()-ROW(tblContractForDeed[#Headers])-1)&lt;0,0,INDEX(tblContractForDeed[End Bal],ROW()-ROW(tblContractForDeed[#Headers])-1)))</f>
        <v>0</v>
      </c>
      <c r="P778" s="454"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8" s="276">
        <f>IF(INDEX(tblContractForDeed[End Bal],ROW()-ROW(tblBuyerOutputs[#Headers]))&lt;=0,0,($O$6+IF(ROW()=ROW(tblBuyerOutputs[#Headers])+1,0,INDEX(tblBuyerOutputs[Cumul Appr],ROW()-ROW(tblBuyerOutputs[#Headers])-1)))*$O$2/12)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13" t="str">
        <f>IF(ROW()=ROW(tblSubjectToLoan[#Headers])+1,subjectKnownBalanceDate,IF(OR(INDEX(tblSubjectToLoan[Date],ROW()-ROW(tblSubjectToLoan[#Headers])-1)="",INDEX(tblSubjectToLoan[Date],ROW()-ROW(tblSubjectToLoan[#Headers])-1)&gt;=subjectMortgageEndDate),"",EDATE(INDEX(tblSubjectToLoan[Date],ROW()-ROW(tblSubjectToLoan[#Headers])-1),1)))</f>
        <v/>
      </c>
      <c r="B779" s="276">
        <f>IF(tblSubjectToLoan[[#This Row],[Date]]="",0,IF(ROW()=ROW(tblSubjectToLoan[#Headers])+1,subjectKnownBalance,MAX(0,INDEX(tblSubjectToLoan[Ending Balance],ROW()-ROW(tblSubjectToLoan[#Headers])-1))))</f>
        <v>0</v>
      </c>
      <c r="C7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9" s="14">
        <f>IF(tblSubjectToLoan[[#This Row],[Payment]]=0,0,MAX(0,MIN(tblSubjectToLoan[[#This Row],[Beginning Balance]],tblSubjectToLoan[[#This Row],[Payment]]-tblSubjectToLoan[[#This Row],[Int]])))</f>
        <v>0</v>
      </c>
      <c r="E779" s="14">
        <f>IF(tblSubjectToLoan[[#This Row],[Date]]="",0,ROUND(tblSubjectToLoan[[#This Row],[Beginning Balance]]*(subjectInterestRate/12),2))</f>
        <v>0</v>
      </c>
      <c r="H779" s="14">
        <f>SUM(tblSubjectToLoan[[#This Row],[Princ]],tblSubjectToLoan[[#This Row],[Int]],tblSubjectToLoan[[#This Row],[Ins]],tblSubjectToLoan[[#This Row],[Taxes]])</f>
        <v>0</v>
      </c>
      <c r="I7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9" s="276">
        <f>IF(tblSubjectToLoan[[#This Row],[Date]]="",IF(ROW()=ROW(tblSubjectToLoan[#Headers])+1,0,INDEX(tblSubjectToLoan[Interest],ROW()-ROW(tblSubjectToLoan[#Headers])-1)),tblSubjectToLoan[[#This Row],[Int]]+IF(ROW()=ROW(tblSubjectToLoan[#Headers])+1,0,INDEX(tblSubjectToLoan[Interest],ROW()-ROW(tblSubjectToLoan[#Headers])-1)))</f>
        <v>36068.259999999973</v>
      </c>
      <c r="K779" s="969">
        <f>IF(tblSubjectToLoan[[#This Row],[Date]]="",0,MAX(0,tblSubjectToLoan[[#This Row],[Beginning Balance]]-tblSubjectToLoan[[#This Row],[Princ]]))</f>
        <v>0</v>
      </c>
      <c r="L779" s="394">
        <f t="shared" si="53"/>
        <v>0</v>
      </c>
      <c r="M779" s="394">
        <f t="shared" si="52"/>
        <v>0</v>
      </c>
      <c r="N779" s="613" t="str">
        <f>INDEX(tblSubjectToLoan[Date],ROW()-ROW(tblContractForDeed[#Headers]))</f>
        <v/>
      </c>
      <c r="O779" s="276">
        <f>IF(ROW()=ROW(tblContractForDeed[#Headers])+1,$O$6,IF(INDEX(tblContractForDeed[End Bal],ROW()-ROW(tblContractForDeed[#Headers])-1)&lt;0,0,INDEX(tblContractForDeed[End Bal],ROW()-ROW(tblContractForDeed[#Headers])-1)))</f>
        <v>0</v>
      </c>
      <c r="P779" s="454"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9" s="276">
        <f>IF(INDEX(tblContractForDeed[End Bal],ROW()-ROW(tblBuyerOutputs[#Headers]))&lt;=0,0,($O$6+IF(ROW()=ROW(tblBuyerOutputs[#Headers])+1,0,INDEX(tblBuyerOutputs[Cumul Appr],ROW()-ROW(tblBuyerOutputs[#Headers])-1)))*$O$2/12)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13" t="str">
        <f>IF(ROW()=ROW(tblSubjectToLoan[#Headers])+1,subjectKnownBalanceDate,IF(OR(INDEX(tblSubjectToLoan[Date],ROW()-ROW(tblSubjectToLoan[#Headers])-1)="",INDEX(tblSubjectToLoan[Date],ROW()-ROW(tblSubjectToLoan[#Headers])-1)&gt;=subjectMortgageEndDate),"",EDATE(INDEX(tblSubjectToLoan[Date],ROW()-ROW(tblSubjectToLoan[#Headers])-1),1)))</f>
        <v/>
      </c>
      <c r="B780" s="276">
        <f>IF(tblSubjectToLoan[[#This Row],[Date]]="",0,IF(ROW()=ROW(tblSubjectToLoan[#Headers])+1,subjectKnownBalance,MAX(0,INDEX(tblSubjectToLoan[Ending Balance],ROW()-ROW(tblSubjectToLoan[#Headers])-1))))</f>
        <v>0</v>
      </c>
      <c r="C7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0" s="14">
        <f>IF(tblSubjectToLoan[[#This Row],[Payment]]=0,0,MAX(0,MIN(tblSubjectToLoan[[#This Row],[Beginning Balance]],tblSubjectToLoan[[#This Row],[Payment]]-tblSubjectToLoan[[#This Row],[Int]])))</f>
        <v>0</v>
      </c>
      <c r="E780" s="14">
        <f>IF(tblSubjectToLoan[[#This Row],[Date]]="",0,ROUND(tblSubjectToLoan[[#This Row],[Beginning Balance]]*(subjectInterestRate/12),2))</f>
        <v>0</v>
      </c>
      <c r="H780" s="14">
        <f>SUM(tblSubjectToLoan[[#This Row],[Princ]],tblSubjectToLoan[[#This Row],[Int]],tblSubjectToLoan[[#This Row],[Ins]],tblSubjectToLoan[[#This Row],[Taxes]])</f>
        <v>0</v>
      </c>
      <c r="I7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0" s="276">
        <f>IF(tblSubjectToLoan[[#This Row],[Date]]="",IF(ROW()=ROW(tblSubjectToLoan[#Headers])+1,0,INDEX(tblSubjectToLoan[Interest],ROW()-ROW(tblSubjectToLoan[#Headers])-1)),tblSubjectToLoan[[#This Row],[Int]]+IF(ROW()=ROW(tblSubjectToLoan[#Headers])+1,0,INDEX(tblSubjectToLoan[Interest],ROW()-ROW(tblSubjectToLoan[#Headers])-1)))</f>
        <v>36068.259999999973</v>
      </c>
      <c r="K780" s="969">
        <f>IF(tblSubjectToLoan[[#This Row],[Date]]="",0,MAX(0,tblSubjectToLoan[[#This Row],[Beginning Balance]]-tblSubjectToLoan[[#This Row],[Princ]]))</f>
        <v>0</v>
      </c>
      <c r="L780" s="394">
        <f t="shared" si="53"/>
        <v>0</v>
      </c>
      <c r="M780" s="394">
        <f t="shared" si="52"/>
        <v>0</v>
      </c>
      <c r="N780" s="613" t="str">
        <f>INDEX(tblSubjectToLoan[Date],ROW()-ROW(tblContractForDeed[#Headers]))</f>
        <v/>
      </c>
      <c r="O780" s="276">
        <f>IF(ROW()=ROW(tblContractForDeed[#Headers])+1,$O$6,IF(INDEX(tblContractForDeed[End Bal],ROW()-ROW(tblContractForDeed[#Headers])-1)&lt;0,0,INDEX(tblContractForDeed[End Bal],ROW()-ROW(tblContractForDeed[#Headers])-1)))</f>
        <v>0</v>
      </c>
      <c r="P780" s="454"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0" s="276">
        <f>IF(INDEX(tblContractForDeed[End Bal],ROW()-ROW(tblBuyerOutputs[#Headers]))&lt;=0,0,($O$6+IF(ROW()=ROW(tblBuyerOutputs[#Headers])+1,0,INDEX(tblBuyerOutputs[Cumul Appr],ROW()-ROW(tblBuyerOutputs[#Headers])-1)))*$O$2/12)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13" t="str">
        <f>IF(ROW()=ROW(tblSubjectToLoan[#Headers])+1,subjectKnownBalanceDate,IF(OR(INDEX(tblSubjectToLoan[Date],ROW()-ROW(tblSubjectToLoan[#Headers])-1)="",INDEX(tblSubjectToLoan[Date],ROW()-ROW(tblSubjectToLoan[#Headers])-1)&gt;=subjectMortgageEndDate),"",EDATE(INDEX(tblSubjectToLoan[Date],ROW()-ROW(tblSubjectToLoan[#Headers])-1),1)))</f>
        <v/>
      </c>
      <c r="B781" s="276">
        <f>IF(tblSubjectToLoan[[#This Row],[Date]]="",0,IF(ROW()=ROW(tblSubjectToLoan[#Headers])+1,subjectKnownBalance,MAX(0,INDEX(tblSubjectToLoan[Ending Balance],ROW()-ROW(tblSubjectToLoan[#Headers])-1))))</f>
        <v>0</v>
      </c>
      <c r="C7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1" s="14">
        <f>IF(tblSubjectToLoan[[#This Row],[Payment]]=0,0,MAX(0,MIN(tblSubjectToLoan[[#This Row],[Beginning Balance]],tblSubjectToLoan[[#This Row],[Payment]]-tblSubjectToLoan[[#This Row],[Int]])))</f>
        <v>0</v>
      </c>
      <c r="E781" s="14">
        <f>IF(tblSubjectToLoan[[#This Row],[Date]]="",0,ROUND(tblSubjectToLoan[[#This Row],[Beginning Balance]]*(subjectInterestRate/12),2))</f>
        <v>0</v>
      </c>
      <c r="H781" s="14">
        <f>SUM(tblSubjectToLoan[[#This Row],[Princ]],tblSubjectToLoan[[#This Row],[Int]],tblSubjectToLoan[[#This Row],[Ins]],tblSubjectToLoan[[#This Row],[Taxes]])</f>
        <v>0</v>
      </c>
      <c r="I7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1" s="276">
        <f>IF(tblSubjectToLoan[[#This Row],[Date]]="",IF(ROW()=ROW(tblSubjectToLoan[#Headers])+1,0,INDEX(tblSubjectToLoan[Interest],ROW()-ROW(tblSubjectToLoan[#Headers])-1)),tblSubjectToLoan[[#This Row],[Int]]+IF(ROW()=ROW(tblSubjectToLoan[#Headers])+1,0,INDEX(tblSubjectToLoan[Interest],ROW()-ROW(tblSubjectToLoan[#Headers])-1)))</f>
        <v>36068.259999999973</v>
      </c>
      <c r="K781" s="969">
        <f>IF(tblSubjectToLoan[[#This Row],[Date]]="",0,MAX(0,tblSubjectToLoan[[#This Row],[Beginning Balance]]-tblSubjectToLoan[[#This Row],[Princ]]))</f>
        <v>0</v>
      </c>
      <c r="L781" s="394">
        <f t="shared" si="53"/>
        <v>0</v>
      </c>
      <c r="M781" s="394">
        <f t="shared" si="52"/>
        <v>0</v>
      </c>
      <c r="N781" s="613" t="str">
        <f>INDEX(tblSubjectToLoan[Date],ROW()-ROW(tblContractForDeed[#Headers]))</f>
        <v/>
      </c>
      <c r="O781" s="276">
        <f>IF(ROW()=ROW(tblContractForDeed[#Headers])+1,$O$6,IF(INDEX(tblContractForDeed[End Bal],ROW()-ROW(tblContractForDeed[#Headers])-1)&lt;0,0,INDEX(tblContractForDeed[End Bal],ROW()-ROW(tblContractForDeed[#Headers])-1)))</f>
        <v>0</v>
      </c>
      <c r="P781" s="454"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1" s="276">
        <f>IF(INDEX(tblContractForDeed[End Bal],ROW()-ROW(tblBuyerOutputs[#Headers]))&lt;=0,0,($O$6+IF(ROW()=ROW(tblBuyerOutputs[#Headers])+1,0,INDEX(tblBuyerOutputs[Cumul Appr],ROW()-ROW(tblBuyerOutputs[#Headers])-1)))*$O$2/12)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13" t="str">
        <f>IF(ROW()=ROW(tblSubjectToLoan[#Headers])+1,subjectKnownBalanceDate,IF(OR(INDEX(tblSubjectToLoan[Date],ROW()-ROW(tblSubjectToLoan[#Headers])-1)="",INDEX(tblSubjectToLoan[Date],ROW()-ROW(tblSubjectToLoan[#Headers])-1)&gt;=subjectMortgageEndDate),"",EDATE(INDEX(tblSubjectToLoan[Date],ROW()-ROW(tblSubjectToLoan[#Headers])-1),1)))</f>
        <v/>
      </c>
      <c r="B782" s="276">
        <f>IF(tblSubjectToLoan[[#This Row],[Date]]="",0,IF(ROW()=ROW(tblSubjectToLoan[#Headers])+1,subjectKnownBalance,MAX(0,INDEX(tblSubjectToLoan[Ending Balance],ROW()-ROW(tblSubjectToLoan[#Headers])-1))))</f>
        <v>0</v>
      </c>
      <c r="C7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2" s="14">
        <f>IF(tblSubjectToLoan[[#This Row],[Payment]]=0,0,MAX(0,MIN(tblSubjectToLoan[[#This Row],[Beginning Balance]],tblSubjectToLoan[[#This Row],[Payment]]-tblSubjectToLoan[[#This Row],[Int]])))</f>
        <v>0</v>
      </c>
      <c r="E782" s="14">
        <f>IF(tblSubjectToLoan[[#This Row],[Date]]="",0,ROUND(tblSubjectToLoan[[#This Row],[Beginning Balance]]*(subjectInterestRate/12),2))</f>
        <v>0</v>
      </c>
      <c r="H782" s="14">
        <f>SUM(tblSubjectToLoan[[#This Row],[Princ]],tblSubjectToLoan[[#This Row],[Int]],tblSubjectToLoan[[#This Row],[Ins]],tblSubjectToLoan[[#This Row],[Taxes]])</f>
        <v>0</v>
      </c>
      <c r="I7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2" s="276">
        <f>IF(tblSubjectToLoan[[#This Row],[Date]]="",IF(ROW()=ROW(tblSubjectToLoan[#Headers])+1,0,INDEX(tblSubjectToLoan[Interest],ROW()-ROW(tblSubjectToLoan[#Headers])-1)),tblSubjectToLoan[[#This Row],[Int]]+IF(ROW()=ROW(tblSubjectToLoan[#Headers])+1,0,INDEX(tblSubjectToLoan[Interest],ROW()-ROW(tblSubjectToLoan[#Headers])-1)))</f>
        <v>36068.259999999973</v>
      </c>
      <c r="K782" s="969">
        <f>IF(tblSubjectToLoan[[#This Row],[Date]]="",0,MAX(0,tblSubjectToLoan[[#This Row],[Beginning Balance]]-tblSubjectToLoan[[#This Row],[Princ]]))</f>
        <v>0</v>
      </c>
      <c r="L782" s="394">
        <f t="shared" si="53"/>
        <v>0</v>
      </c>
      <c r="M782" s="394">
        <f t="shared" si="52"/>
        <v>0</v>
      </c>
      <c r="N782" s="613" t="str">
        <f>INDEX(tblSubjectToLoan[Date],ROW()-ROW(tblContractForDeed[#Headers]))</f>
        <v/>
      </c>
      <c r="O782" s="276">
        <f>IF(ROW()=ROW(tblContractForDeed[#Headers])+1,$O$6,IF(INDEX(tblContractForDeed[End Bal],ROW()-ROW(tblContractForDeed[#Headers])-1)&lt;0,0,INDEX(tblContractForDeed[End Bal],ROW()-ROW(tblContractForDeed[#Headers])-1)))</f>
        <v>0</v>
      </c>
      <c r="P782" s="454"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2" s="276">
        <f>IF(INDEX(tblContractForDeed[End Bal],ROW()-ROW(tblBuyerOutputs[#Headers]))&lt;=0,0,($O$6+IF(ROW()=ROW(tblBuyerOutputs[#Headers])+1,0,INDEX(tblBuyerOutputs[Cumul Appr],ROW()-ROW(tblBuyerOutputs[#Headers])-1)))*$O$2/12)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13" t="str">
        <f>IF(ROW()=ROW(tblSubjectToLoan[#Headers])+1,subjectKnownBalanceDate,IF(OR(INDEX(tblSubjectToLoan[Date],ROW()-ROW(tblSubjectToLoan[#Headers])-1)="",INDEX(tblSubjectToLoan[Date],ROW()-ROW(tblSubjectToLoan[#Headers])-1)&gt;=subjectMortgageEndDate),"",EDATE(INDEX(tblSubjectToLoan[Date],ROW()-ROW(tblSubjectToLoan[#Headers])-1),1)))</f>
        <v/>
      </c>
      <c r="B783" s="276">
        <f>IF(tblSubjectToLoan[[#This Row],[Date]]="",0,IF(ROW()=ROW(tblSubjectToLoan[#Headers])+1,subjectKnownBalance,MAX(0,INDEX(tblSubjectToLoan[Ending Balance],ROW()-ROW(tblSubjectToLoan[#Headers])-1))))</f>
        <v>0</v>
      </c>
      <c r="C7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3" s="14">
        <f>IF(tblSubjectToLoan[[#This Row],[Payment]]=0,0,MAX(0,MIN(tblSubjectToLoan[[#This Row],[Beginning Balance]],tblSubjectToLoan[[#This Row],[Payment]]-tblSubjectToLoan[[#This Row],[Int]])))</f>
        <v>0</v>
      </c>
      <c r="E783" s="14">
        <f>IF(tblSubjectToLoan[[#This Row],[Date]]="",0,ROUND(tblSubjectToLoan[[#This Row],[Beginning Balance]]*(subjectInterestRate/12),2))</f>
        <v>0</v>
      </c>
      <c r="H783" s="14">
        <f>SUM(tblSubjectToLoan[[#This Row],[Princ]],tblSubjectToLoan[[#This Row],[Int]],tblSubjectToLoan[[#This Row],[Ins]],tblSubjectToLoan[[#This Row],[Taxes]])</f>
        <v>0</v>
      </c>
      <c r="I7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3" s="276">
        <f>IF(tblSubjectToLoan[[#This Row],[Date]]="",IF(ROW()=ROW(tblSubjectToLoan[#Headers])+1,0,INDEX(tblSubjectToLoan[Interest],ROW()-ROW(tblSubjectToLoan[#Headers])-1)),tblSubjectToLoan[[#This Row],[Int]]+IF(ROW()=ROW(tblSubjectToLoan[#Headers])+1,0,INDEX(tblSubjectToLoan[Interest],ROW()-ROW(tblSubjectToLoan[#Headers])-1)))</f>
        <v>36068.259999999973</v>
      </c>
      <c r="K783" s="969">
        <f>IF(tblSubjectToLoan[[#This Row],[Date]]="",0,MAX(0,tblSubjectToLoan[[#This Row],[Beginning Balance]]-tblSubjectToLoan[[#This Row],[Princ]]))</f>
        <v>0</v>
      </c>
      <c r="L783" s="394">
        <f t="shared" si="53"/>
        <v>0</v>
      </c>
      <c r="M783" s="394">
        <f t="shared" si="52"/>
        <v>0</v>
      </c>
      <c r="N783" s="613" t="str">
        <f>INDEX(tblSubjectToLoan[Date],ROW()-ROW(tblContractForDeed[#Headers]))</f>
        <v/>
      </c>
      <c r="O783" s="276">
        <f>IF(ROW()=ROW(tblContractForDeed[#Headers])+1,$O$6,IF(INDEX(tblContractForDeed[End Bal],ROW()-ROW(tblContractForDeed[#Headers])-1)&lt;0,0,INDEX(tblContractForDeed[End Bal],ROW()-ROW(tblContractForDeed[#Headers])-1)))</f>
        <v>0</v>
      </c>
      <c r="P783" s="454"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3" s="276">
        <f>IF(INDEX(tblContractForDeed[End Bal],ROW()-ROW(tblBuyerOutputs[#Headers]))&lt;=0,0,($O$6+IF(ROW()=ROW(tblBuyerOutputs[#Headers])+1,0,INDEX(tblBuyerOutputs[Cumul Appr],ROW()-ROW(tblBuyerOutputs[#Headers])-1)))*$O$2/12)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13" t="str">
        <f>IF(ROW()=ROW(tblSubjectToLoan[#Headers])+1,subjectKnownBalanceDate,IF(OR(INDEX(tblSubjectToLoan[Date],ROW()-ROW(tblSubjectToLoan[#Headers])-1)="",INDEX(tblSubjectToLoan[Date],ROW()-ROW(tblSubjectToLoan[#Headers])-1)&gt;=subjectMortgageEndDate),"",EDATE(INDEX(tblSubjectToLoan[Date],ROW()-ROW(tblSubjectToLoan[#Headers])-1),1)))</f>
        <v/>
      </c>
      <c r="B784" s="276">
        <f>IF(tblSubjectToLoan[[#This Row],[Date]]="",0,IF(ROW()=ROW(tblSubjectToLoan[#Headers])+1,subjectKnownBalance,MAX(0,INDEX(tblSubjectToLoan[Ending Balance],ROW()-ROW(tblSubjectToLoan[#Headers])-1))))</f>
        <v>0</v>
      </c>
      <c r="C7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4" s="14">
        <f>IF(tblSubjectToLoan[[#This Row],[Payment]]=0,0,MAX(0,MIN(tblSubjectToLoan[[#This Row],[Beginning Balance]],tblSubjectToLoan[[#This Row],[Payment]]-tblSubjectToLoan[[#This Row],[Int]])))</f>
        <v>0</v>
      </c>
      <c r="E784" s="14">
        <f>IF(tblSubjectToLoan[[#This Row],[Date]]="",0,ROUND(tblSubjectToLoan[[#This Row],[Beginning Balance]]*(subjectInterestRate/12),2))</f>
        <v>0</v>
      </c>
      <c r="H784" s="14">
        <f>SUM(tblSubjectToLoan[[#This Row],[Princ]],tblSubjectToLoan[[#This Row],[Int]],tblSubjectToLoan[[#This Row],[Ins]],tblSubjectToLoan[[#This Row],[Taxes]])</f>
        <v>0</v>
      </c>
      <c r="I7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4" s="276">
        <f>IF(tblSubjectToLoan[[#This Row],[Date]]="",IF(ROW()=ROW(tblSubjectToLoan[#Headers])+1,0,INDEX(tblSubjectToLoan[Interest],ROW()-ROW(tblSubjectToLoan[#Headers])-1)),tblSubjectToLoan[[#This Row],[Int]]+IF(ROW()=ROW(tblSubjectToLoan[#Headers])+1,0,INDEX(tblSubjectToLoan[Interest],ROW()-ROW(tblSubjectToLoan[#Headers])-1)))</f>
        <v>36068.259999999973</v>
      </c>
      <c r="K784" s="969">
        <f>IF(tblSubjectToLoan[[#This Row],[Date]]="",0,MAX(0,tblSubjectToLoan[[#This Row],[Beginning Balance]]-tblSubjectToLoan[[#This Row],[Princ]]))</f>
        <v>0</v>
      </c>
      <c r="L784" s="394">
        <f t="shared" si="53"/>
        <v>0</v>
      </c>
      <c r="M784" s="394">
        <f t="shared" si="52"/>
        <v>0</v>
      </c>
      <c r="N784" s="613" t="str">
        <f>INDEX(tblSubjectToLoan[Date],ROW()-ROW(tblContractForDeed[#Headers]))</f>
        <v/>
      </c>
      <c r="O784" s="276">
        <f>IF(ROW()=ROW(tblContractForDeed[#Headers])+1,$O$6,IF(INDEX(tblContractForDeed[End Bal],ROW()-ROW(tblContractForDeed[#Headers])-1)&lt;0,0,INDEX(tblContractForDeed[End Bal],ROW()-ROW(tblContractForDeed[#Headers])-1)))</f>
        <v>0</v>
      </c>
      <c r="P784" s="454"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4" s="276">
        <f>IF(INDEX(tblContractForDeed[End Bal],ROW()-ROW(tblBuyerOutputs[#Headers]))&lt;=0,0,($O$6+IF(ROW()=ROW(tblBuyerOutputs[#Headers])+1,0,INDEX(tblBuyerOutputs[Cumul Appr],ROW()-ROW(tblBuyerOutputs[#Headers])-1)))*$O$2/12)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13" t="str">
        <f>IF(ROW()=ROW(tblSubjectToLoan[#Headers])+1,subjectKnownBalanceDate,IF(OR(INDEX(tblSubjectToLoan[Date],ROW()-ROW(tblSubjectToLoan[#Headers])-1)="",INDEX(tblSubjectToLoan[Date],ROW()-ROW(tblSubjectToLoan[#Headers])-1)&gt;=subjectMortgageEndDate),"",EDATE(INDEX(tblSubjectToLoan[Date],ROW()-ROW(tblSubjectToLoan[#Headers])-1),1)))</f>
        <v/>
      </c>
      <c r="B785" s="276">
        <f>IF(tblSubjectToLoan[[#This Row],[Date]]="",0,IF(ROW()=ROW(tblSubjectToLoan[#Headers])+1,subjectKnownBalance,MAX(0,INDEX(tblSubjectToLoan[Ending Balance],ROW()-ROW(tblSubjectToLoan[#Headers])-1))))</f>
        <v>0</v>
      </c>
      <c r="C7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5" s="14">
        <f>IF(tblSubjectToLoan[[#This Row],[Payment]]=0,0,MAX(0,MIN(tblSubjectToLoan[[#This Row],[Beginning Balance]],tblSubjectToLoan[[#This Row],[Payment]]-tblSubjectToLoan[[#This Row],[Int]])))</f>
        <v>0</v>
      </c>
      <c r="E785" s="14">
        <f>IF(tblSubjectToLoan[[#This Row],[Date]]="",0,ROUND(tblSubjectToLoan[[#This Row],[Beginning Balance]]*(subjectInterestRate/12),2))</f>
        <v>0</v>
      </c>
      <c r="H785" s="14">
        <f>SUM(tblSubjectToLoan[[#This Row],[Princ]],tblSubjectToLoan[[#This Row],[Int]],tblSubjectToLoan[[#This Row],[Ins]],tblSubjectToLoan[[#This Row],[Taxes]])</f>
        <v>0</v>
      </c>
      <c r="I7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5" s="276">
        <f>IF(tblSubjectToLoan[[#This Row],[Date]]="",IF(ROW()=ROW(tblSubjectToLoan[#Headers])+1,0,INDEX(tblSubjectToLoan[Interest],ROW()-ROW(tblSubjectToLoan[#Headers])-1)),tblSubjectToLoan[[#This Row],[Int]]+IF(ROW()=ROW(tblSubjectToLoan[#Headers])+1,0,INDEX(tblSubjectToLoan[Interest],ROW()-ROW(tblSubjectToLoan[#Headers])-1)))</f>
        <v>36068.259999999973</v>
      </c>
      <c r="K785" s="969">
        <f>IF(tblSubjectToLoan[[#This Row],[Date]]="",0,MAX(0,tblSubjectToLoan[[#This Row],[Beginning Balance]]-tblSubjectToLoan[[#This Row],[Princ]]))</f>
        <v>0</v>
      </c>
      <c r="L785" s="394">
        <f t="shared" si="53"/>
        <v>0</v>
      </c>
      <c r="M785" s="394">
        <f t="shared" si="52"/>
        <v>0</v>
      </c>
      <c r="N785" s="613" t="str">
        <f>INDEX(tblSubjectToLoan[Date],ROW()-ROW(tblContractForDeed[#Headers]))</f>
        <v/>
      </c>
      <c r="O785" s="276">
        <f>IF(ROW()=ROW(tblContractForDeed[#Headers])+1,$O$6,IF(INDEX(tblContractForDeed[End Bal],ROW()-ROW(tblContractForDeed[#Headers])-1)&lt;0,0,INDEX(tblContractForDeed[End Bal],ROW()-ROW(tblContractForDeed[#Headers])-1)))</f>
        <v>0</v>
      </c>
      <c r="P785" s="454"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5" s="276">
        <f>IF(INDEX(tblContractForDeed[End Bal],ROW()-ROW(tblBuyerOutputs[#Headers]))&lt;=0,0,($O$6+IF(ROW()=ROW(tblBuyerOutputs[#Headers])+1,0,INDEX(tblBuyerOutputs[Cumul Appr],ROW()-ROW(tblBuyerOutputs[#Headers])-1)))*$O$2/12)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13" t="str">
        <f>IF(ROW()=ROW(tblSubjectToLoan[#Headers])+1,subjectKnownBalanceDate,IF(OR(INDEX(tblSubjectToLoan[Date],ROW()-ROW(tblSubjectToLoan[#Headers])-1)="",INDEX(tblSubjectToLoan[Date],ROW()-ROW(tblSubjectToLoan[#Headers])-1)&gt;=subjectMortgageEndDate),"",EDATE(INDEX(tblSubjectToLoan[Date],ROW()-ROW(tblSubjectToLoan[#Headers])-1),1)))</f>
        <v/>
      </c>
      <c r="B786" s="276">
        <f>IF(tblSubjectToLoan[[#This Row],[Date]]="",0,IF(ROW()=ROW(tblSubjectToLoan[#Headers])+1,subjectKnownBalance,MAX(0,INDEX(tblSubjectToLoan[Ending Balance],ROW()-ROW(tblSubjectToLoan[#Headers])-1))))</f>
        <v>0</v>
      </c>
      <c r="C7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6" s="14">
        <f>IF(tblSubjectToLoan[[#This Row],[Payment]]=0,0,MAX(0,MIN(tblSubjectToLoan[[#This Row],[Beginning Balance]],tblSubjectToLoan[[#This Row],[Payment]]-tblSubjectToLoan[[#This Row],[Int]])))</f>
        <v>0</v>
      </c>
      <c r="E786" s="14">
        <f>IF(tblSubjectToLoan[[#This Row],[Date]]="",0,ROUND(tblSubjectToLoan[[#This Row],[Beginning Balance]]*(subjectInterestRate/12),2))</f>
        <v>0</v>
      </c>
      <c r="H786" s="14">
        <f>SUM(tblSubjectToLoan[[#This Row],[Princ]],tblSubjectToLoan[[#This Row],[Int]],tblSubjectToLoan[[#This Row],[Ins]],tblSubjectToLoan[[#This Row],[Taxes]])</f>
        <v>0</v>
      </c>
      <c r="I7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6" s="276">
        <f>IF(tblSubjectToLoan[[#This Row],[Date]]="",IF(ROW()=ROW(tblSubjectToLoan[#Headers])+1,0,INDEX(tblSubjectToLoan[Interest],ROW()-ROW(tblSubjectToLoan[#Headers])-1)),tblSubjectToLoan[[#This Row],[Int]]+IF(ROW()=ROW(tblSubjectToLoan[#Headers])+1,0,INDEX(tblSubjectToLoan[Interest],ROW()-ROW(tblSubjectToLoan[#Headers])-1)))</f>
        <v>36068.259999999973</v>
      </c>
      <c r="K786" s="969">
        <f>IF(tblSubjectToLoan[[#This Row],[Date]]="",0,MAX(0,tblSubjectToLoan[[#This Row],[Beginning Balance]]-tblSubjectToLoan[[#This Row],[Princ]]))</f>
        <v>0</v>
      </c>
      <c r="L786" s="394">
        <f t="shared" si="53"/>
        <v>0</v>
      </c>
      <c r="M786" s="394">
        <f t="shared" si="52"/>
        <v>0</v>
      </c>
      <c r="N786" s="613" t="str">
        <f>INDEX(tblSubjectToLoan[Date],ROW()-ROW(tblContractForDeed[#Headers]))</f>
        <v/>
      </c>
      <c r="O786" s="276">
        <f>IF(ROW()=ROW(tblContractForDeed[#Headers])+1,$O$6,IF(INDEX(tblContractForDeed[End Bal],ROW()-ROW(tblContractForDeed[#Headers])-1)&lt;0,0,INDEX(tblContractForDeed[End Bal],ROW()-ROW(tblContractForDeed[#Headers])-1)))</f>
        <v>0</v>
      </c>
      <c r="P786" s="454"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6" s="276">
        <f>IF(INDEX(tblContractForDeed[End Bal],ROW()-ROW(tblBuyerOutputs[#Headers]))&lt;=0,0,($O$6+IF(ROW()=ROW(tblBuyerOutputs[#Headers])+1,0,INDEX(tblBuyerOutputs[Cumul Appr],ROW()-ROW(tblBuyerOutputs[#Headers])-1)))*$O$2/12)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14" t="str">
        <f>IF(ROW()=ROW(tblSubjectToLoan[#Headers])+1,subjectKnownBalanceDate,IF(OR(INDEX(tblSubjectToLoan[Date],ROW()-ROW(tblSubjectToLoan[#Headers])-1)="",INDEX(tblSubjectToLoan[Date],ROW()-ROW(tblSubjectToLoan[#Headers])-1)&gt;=subjectMortgageEndDate),"",EDATE(INDEX(tblSubjectToLoan[Date],ROW()-ROW(tblSubjectToLoan[#Headers])-1),1)))</f>
        <v/>
      </c>
      <c r="B787" s="332">
        <f>IF(tblSubjectToLoan[[#This Row],[Date]]="",0,IF(ROW()=ROW(tblSubjectToLoan[#Headers])+1,subjectKnownBalance,MAX(0,INDEX(tblSubjectToLoan[Ending Balance],ROW()-ROW(tblSubjectToLoan[#Headers])-1))))</f>
        <v>0</v>
      </c>
      <c r="C78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7" s="21">
        <f>IF(tblSubjectToLoan[[#This Row],[Payment]]=0,0,MAX(0,MIN(tblSubjectToLoan[[#This Row],[Beginning Balance]],tblSubjectToLoan[[#This Row],[Payment]]-tblSubjectToLoan[[#This Row],[Int]])))</f>
        <v>0</v>
      </c>
      <c r="E787" s="21">
        <f>IF(tblSubjectToLoan[[#This Row],[Date]]="",0,ROUND(tblSubjectToLoan[[#This Row],[Beginning Balance]]*(subjectInterestRate/12),2))</f>
        <v>0</v>
      </c>
      <c r="F787" s="21"/>
      <c r="G787" s="21"/>
      <c r="H787" s="21">
        <f>SUM(tblSubjectToLoan[[#This Row],[Princ]],tblSubjectToLoan[[#This Row],[Int]],tblSubjectToLoan[[#This Row],[Ins]],tblSubjectToLoan[[#This Row],[Taxes]])</f>
        <v>0</v>
      </c>
      <c r="I78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87" s="332">
        <f>IF(tblSubjectToLoan[[#This Row],[Date]]="",IF(ROW()=ROW(tblSubjectToLoan[#Headers])+1,0,INDEX(tblSubjectToLoan[Interest],ROW()-ROW(tblSubjectToLoan[#Headers])-1)),tblSubjectToLoan[[#This Row],[Int]]+IF(ROW()=ROW(tblSubjectToLoan[#Headers])+1,0,INDEX(tblSubjectToLoan[Interest],ROW()-ROW(tblSubjectToLoan[#Headers])-1)))</f>
        <v>36068.259999999973</v>
      </c>
      <c r="K787" s="970">
        <f>IF(tblSubjectToLoan[[#This Row],[Date]]="",0,MAX(0,tblSubjectToLoan[[#This Row],[Beginning Balance]]-tblSubjectToLoan[[#This Row],[Princ]]))</f>
        <v>0</v>
      </c>
      <c r="L787" s="395">
        <f t="shared" si="53"/>
        <v>0</v>
      </c>
      <c r="M787" s="395">
        <f t="shared" si="52"/>
        <v>0</v>
      </c>
      <c r="N787" s="614" t="str">
        <f>INDEX(tblSubjectToLoan[Date],ROW()-ROW(tblContractForDeed[#Headers]))</f>
        <v/>
      </c>
      <c r="O787" s="332">
        <f>IF(ROW()=ROW(tblContractForDeed[#Headers])+1,$O$6,IF(INDEX(tblContractForDeed[End Bal],ROW()-ROW(tblContractForDeed[#Headers])-1)&lt;0,0,INDEX(tblContractForDeed[End Bal],ROW()-ROW(tblContractForDeed[#Headers])-1)))</f>
        <v>0</v>
      </c>
      <c r="P787" s="454"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7" s="332">
        <f>IF(INDEX(tblContractForDeed[End Bal],ROW()-ROW(tblBuyerOutputs[#Headers]))&lt;=0,0,($O$6+IF(ROW()=ROW(tblBuyerOutputs[#Headers])+1,0,INDEX(tblBuyerOutputs[Cumul Appr],ROW()-ROW(tblBuyerOutputs[#Headers])-1)))*$O$2/12)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15" t="str">
        <f>IF(ROW()=ROW(tblSubjectToLoan[#Headers])+1,subjectKnownBalanceDate,IF(OR(INDEX(tblSubjectToLoan[Date],ROW()-ROW(tblSubjectToLoan[#Headers])-1)="",INDEX(tblSubjectToLoan[Date],ROW()-ROW(tblSubjectToLoan[#Headers])-1)&gt;=subjectMortgageEndDate),"",EDATE(INDEX(tblSubjectToLoan[Date],ROW()-ROW(tblSubjectToLoan[#Headers])-1),1)))</f>
        <v/>
      </c>
      <c r="B788" s="276">
        <f>IF(tblSubjectToLoan[[#This Row],[Date]]="",0,IF(ROW()=ROW(tblSubjectToLoan[#Headers])+1,subjectKnownBalance,MAX(0,INDEX(tblSubjectToLoan[Ending Balance],ROW()-ROW(tblSubjectToLoan[#Headers])-1))))</f>
        <v>0</v>
      </c>
      <c r="C7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8" s="14">
        <f>IF(tblSubjectToLoan[[#This Row],[Payment]]=0,0,MAX(0,MIN(tblSubjectToLoan[[#This Row],[Beginning Balance]],tblSubjectToLoan[[#This Row],[Payment]]-tblSubjectToLoan[[#This Row],[Int]])))</f>
        <v>0</v>
      </c>
      <c r="E788" s="14">
        <f>IF(tblSubjectToLoan[[#This Row],[Date]]="",0,ROUND(tblSubjectToLoan[[#This Row],[Beginning Balance]]*(subjectInterestRate/12),2))</f>
        <v>0</v>
      </c>
      <c r="H788" s="14">
        <f>SUM(tblSubjectToLoan[[#This Row],[Princ]],tblSubjectToLoan[[#This Row],[Int]],tblSubjectToLoan[[#This Row],[Ins]],tblSubjectToLoan[[#This Row],[Taxes]])</f>
        <v>0</v>
      </c>
      <c r="I7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8" s="276">
        <f>IF(tblSubjectToLoan[[#This Row],[Date]]="",IF(ROW()=ROW(tblSubjectToLoan[#Headers])+1,0,INDEX(tblSubjectToLoan[Interest],ROW()-ROW(tblSubjectToLoan[#Headers])-1)),tblSubjectToLoan[[#This Row],[Int]]+IF(ROW()=ROW(tblSubjectToLoan[#Headers])+1,0,INDEX(tblSubjectToLoan[Interest],ROW()-ROW(tblSubjectToLoan[#Headers])-1)))</f>
        <v>36068.259999999973</v>
      </c>
      <c r="K788" s="969">
        <f>IF(tblSubjectToLoan[[#This Row],[Date]]="",0,MAX(0,tblSubjectToLoan[[#This Row],[Beginning Balance]]-tblSubjectToLoan[[#This Row],[Princ]]))</f>
        <v>0</v>
      </c>
      <c r="M788" s="22">
        <f t="shared" si="52"/>
        <v>0</v>
      </c>
      <c r="N788" s="615" t="str">
        <f>INDEX(tblSubjectToLoan[Date],ROW()-ROW(tblContractForDeed[#Headers]))</f>
        <v/>
      </c>
      <c r="O788" s="276">
        <f>IF(ROW()=ROW(tblContractForDeed[#Headers])+1,$O$6,IF(INDEX(tblContractForDeed[End Bal],ROW()-ROW(tblContractForDeed[#Headers])-1)&lt;0,0,INDEX(tblContractForDeed[End Bal],ROW()-ROW(tblContractForDeed[#Headers])-1)))</f>
        <v>0</v>
      </c>
      <c r="P788" s="454"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8" s="276">
        <f>IF(INDEX(tblContractForDeed[End Bal],ROW()-ROW(tblBuyerOutputs[#Headers]))&lt;=0,0,($O$6+IF(ROW()=ROW(tblBuyerOutputs[#Headers])+1,0,INDEX(tblBuyerOutputs[Cumul Appr],ROW()-ROW(tblBuyerOutputs[#Headers])-1)))*$O$2/12)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15" t="str">
        <f>IF(ROW()=ROW(tblSubjectToLoan[#Headers])+1,subjectKnownBalanceDate,IF(OR(INDEX(tblSubjectToLoan[Date],ROW()-ROW(tblSubjectToLoan[#Headers])-1)="",INDEX(tblSubjectToLoan[Date],ROW()-ROW(tblSubjectToLoan[#Headers])-1)&gt;=subjectMortgageEndDate),"",EDATE(INDEX(tblSubjectToLoan[Date],ROW()-ROW(tblSubjectToLoan[#Headers])-1),1)))</f>
        <v/>
      </c>
      <c r="B789" s="276">
        <f>IF(tblSubjectToLoan[[#This Row],[Date]]="",0,IF(ROW()=ROW(tblSubjectToLoan[#Headers])+1,subjectKnownBalance,MAX(0,INDEX(tblSubjectToLoan[Ending Balance],ROW()-ROW(tblSubjectToLoan[#Headers])-1))))</f>
        <v>0</v>
      </c>
      <c r="C7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9" s="14">
        <f>IF(tblSubjectToLoan[[#This Row],[Payment]]=0,0,MAX(0,MIN(tblSubjectToLoan[[#This Row],[Beginning Balance]],tblSubjectToLoan[[#This Row],[Payment]]-tblSubjectToLoan[[#This Row],[Int]])))</f>
        <v>0</v>
      </c>
      <c r="E789" s="14">
        <f>IF(tblSubjectToLoan[[#This Row],[Date]]="",0,ROUND(tblSubjectToLoan[[#This Row],[Beginning Balance]]*(subjectInterestRate/12),2))</f>
        <v>0</v>
      </c>
      <c r="H789" s="14">
        <f>SUM(tblSubjectToLoan[[#This Row],[Princ]],tblSubjectToLoan[[#This Row],[Int]],tblSubjectToLoan[[#This Row],[Ins]],tblSubjectToLoan[[#This Row],[Taxes]])</f>
        <v>0</v>
      </c>
      <c r="I7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9" s="276">
        <f>IF(tblSubjectToLoan[[#This Row],[Date]]="",IF(ROW()=ROW(tblSubjectToLoan[#Headers])+1,0,INDEX(tblSubjectToLoan[Interest],ROW()-ROW(tblSubjectToLoan[#Headers])-1)),tblSubjectToLoan[[#This Row],[Int]]+IF(ROW()=ROW(tblSubjectToLoan[#Headers])+1,0,INDEX(tblSubjectToLoan[Interest],ROW()-ROW(tblSubjectToLoan[#Headers])-1)))</f>
        <v>36068.259999999973</v>
      </c>
      <c r="K789" s="969">
        <f>IF(tblSubjectToLoan[[#This Row],[Date]]="",0,MAX(0,tblSubjectToLoan[[#This Row],[Beginning Balance]]-tblSubjectToLoan[[#This Row],[Princ]]))</f>
        <v>0</v>
      </c>
      <c r="M789" s="22">
        <f t="shared" ref="M789:M833" si="54">IF($A789&lt;&gt;"",M788+1,0)</f>
        <v>0</v>
      </c>
      <c r="N789" s="615" t="str">
        <f>INDEX(tblSubjectToLoan[Date],ROW()-ROW(tblContractForDeed[#Headers]))</f>
        <v/>
      </c>
      <c r="O789" s="276">
        <f>IF(ROW()=ROW(tblContractForDeed[#Headers])+1,$O$6,IF(INDEX(tblContractForDeed[End Bal],ROW()-ROW(tblContractForDeed[#Headers])-1)&lt;0,0,INDEX(tblContractForDeed[End Bal],ROW()-ROW(tblContractForDeed[#Headers])-1)))</f>
        <v>0</v>
      </c>
      <c r="P789" s="454"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9" s="276">
        <f>IF(INDEX(tblContractForDeed[End Bal],ROW()-ROW(tblBuyerOutputs[#Headers]))&lt;=0,0,($O$6+IF(ROW()=ROW(tblBuyerOutputs[#Headers])+1,0,INDEX(tblBuyerOutputs[Cumul Appr],ROW()-ROW(tblBuyerOutputs[#Headers])-1)))*$O$2/12)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15" t="str">
        <f>IF(ROW()=ROW(tblSubjectToLoan[#Headers])+1,subjectKnownBalanceDate,IF(OR(INDEX(tblSubjectToLoan[Date],ROW()-ROW(tblSubjectToLoan[#Headers])-1)="",INDEX(tblSubjectToLoan[Date],ROW()-ROW(tblSubjectToLoan[#Headers])-1)&gt;=subjectMortgageEndDate),"",EDATE(INDEX(tblSubjectToLoan[Date],ROW()-ROW(tblSubjectToLoan[#Headers])-1),1)))</f>
        <v/>
      </c>
      <c r="B790" s="276">
        <f>IF(tblSubjectToLoan[[#This Row],[Date]]="",0,IF(ROW()=ROW(tblSubjectToLoan[#Headers])+1,subjectKnownBalance,MAX(0,INDEX(tblSubjectToLoan[Ending Balance],ROW()-ROW(tblSubjectToLoan[#Headers])-1))))</f>
        <v>0</v>
      </c>
      <c r="C7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0" s="14">
        <f>IF(tblSubjectToLoan[[#This Row],[Payment]]=0,0,MAX(0,MIN(tblSubjectToLoan[[#This Row],[Beginning Balance]],tblSubjectToLoan[[#This Row],[Payment]]-tblSubjectToLoan[[#This Row],[Int]])))</f>
        <v>0</v>
      </c>
      <c r="E790" s="14">
        <f>IF(tblSubjectToLoan[[#This Row],[Date]]="",0,ROUND(tblSubjectToLoan[[#This Row],[Beginning Balance]]*(subjectInterestRate/12),2))</f>
        <v>0</v>
      </c>
      <c r="H790" s="14">
        <f>SUM(tblSubjectToLoan[[#This Row],[Princ]],tblSubjectToLoan[[#This Row],[Int]],tblSubjectToLoan[[#This Row],[Ins]],tblSubjectToLoan[[#This Row],[Taxes]])</f>
        <v>0</v>
      </c>
      <c r="I7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0" s="276">
        <f>IF(tblSubjectToLoan[[#This Row],[Date]]="",IF(ROW()=ROW(tblSubjectToLoan[#Headers])+1,0,INDEX(tblSubjectToLoan[Interest],ROW()-ROW(tblSubjectToLoan[#Headers])-1)),tblSubjectToLoan[[#This Row],[Int]]+IF(ROW()=ROW(tblSubjectToLoan[#Headers])+1,0,INDEX(tblSubjectToLoan[Interest],ROW()-ROW(tblSubjectToLoan[#Headers])-1)))</f>
        <v>36068.259999999973</v>
      </c>
      <c r="K790" s="969">
        <f>IF(tblSubjectToLoan[[#This Row],[Date]]="",0,MAX(0,tblSubjectToLoan[[#This Row],[Beginning Balance]]-tblSubjectToLoan[[#This Row],[Princ]]))</f>
        <v>0</v>
      </c>
      <c r="M790" s="22">
        <f t="shared" si="54"/>
        <v>0</v>
      </c>
      <c r="N790" s="615" t="str">
        <f>INDEX(tblSubjectToLoan[Date],ROW()-ROW(tblContractForDeed[#Headers]))</f>
        <v/>
      </c>
      <c r="O790" s="276">
        <f>IF(ROW()=ROW(tblContractForDeed[#Headers])+1,$O$6,IF(INDEX(tblContractForDeed[End Bal],ROW()-ROW(tblContractForDeed[#Headers])-1)&lt;0,0,INDEX(tblContractForDeed[End Bal],ROW()-ROW(tblContractForDeed[#Headers])-1)))</f>
        <v>0</v>
      </c>
      <c r="P790" s="454"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0" s="276">
        <f>IF(INDEX(tblContractForDeed[End Bal],ROW()-ROW(tblBuyerOutputs[#Headers]))&lt;=0,0,($O$6+IF(ROW()=ROW(tblBuyerOutputs[#Headers])+1,0,INDEX(tblBuyerOutputs[Cumul Appr],ROW()-ROW(tblBuyerOutputs[#Headers])-1)))*$O$2/12)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15" t="str">
        <f>IF(ROW()=ROW(tblSubjectToLoan[#Headers])+1,subjectKnownBalanceDate,IF(OR(INDEX(tblSubjectToLoan[Date],ROW()-ROW(tblSubjectToLoan[#Headers])-1)="",INDEX(tblSubjectToLoan[Date],ROW()-ROW(tblSubjectToLoan[#Headers])-1)&gt;=subjectMortgageEndDate),"",EDATE(INDEX(tblSubjectToLoan[Date],ROW()-ROW(tblSubjectToLoan[#Headers])-1),1)))</f>
        <v/>
      </c>
      <c r="B791" s="276">
        <f>IF(tblSubjectToLoan[[#This Row],[Date]]="",0,IF(ROW()=ROW(tblSubjectToLoan[#Headers])+1,subjectKnownBalance,MAX(0,INDEX(tblSubjectToLoan[Ending Balance],ROW()-ROW(tblSubjectToLoan[#Headers])-1))))</f>
        <v>0</v>
      </c>
      <c r="C7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1" s="14">
        <f>IF(tblSubjectToLoan[[#This Row],[Payment]]=0,0,MAX(0,MIN(tblSubjectToLoan[[#This Row],[Beginning Balance]],tblSubjectToLoan[[#This Row],[Payment]]-tblSubjectToLoan[[#This Row],[Int]])))</f>
        <v>0</v>
      </c>
      <c r="E791" s="14">
        <f>IF(tblSubjectToLoan[[#This Row],[Date]]="",0,ROUND(tblSubjectToLoan[[#This Row],[Beginning Balance]]*(subjectInterestRate/12),2))</f>
        <v>0</v>
      </c>
      <c r="H791" s="14">
        <f>SUM(tblSubjectToLoan[[#This Row],[Princ]],tblSubjectToLoan[[#This Row],[Int]],tblSubjectToLoan[[#This Row],[Ins]],tblSubjectToLoan[[#This Row],[Taxes]])</f>
        <v>0</v>
      </c>
      <c r="I7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1" s="276">
        <f>IF(tblSubjectToLoan[[#This Row],[Date]]="",IF(ROW()=ROW(tblSubjectToLoan[#Headers])+1,0,INDEX(tblSubjectToLoan[Interest],ROW()-ROW(tblSubjectToLoan[#Headers])-1)),tblSubjectToLoan[[#This Row],[Int]]+IF(ROW()=ROW(tblSubjectToLoan[#Headers])+1,0,INDEX(tblSubjectToLoan[Interest],ROW()-ROW(tblSubjectToLoan[#Headers])-1)))</f>
        <v>36068.259999999973</v>
      </c>
      <c r="K791" s="969">
        <f>IF(tblSubjectToLoan[[#This Row],[Date]]="",0,MAX(0,tblSubjectToLoan[[#This Row],[Beginning Balance]]-tblSubjectToLoan[[#This Row],[Princ]]))</f>
        <v>0</v>
      </c>
      <c r="M791" s="22">
        <f t="shared" si="54"/>
        <v>0</v>
      </c>
      <c r="N791" s="615" t="str">
        <f>INDEX(tblSubjectToLoan[Date],ROW()-ROW(tblContractForDeed[#Headers]))</f>
        <v/>
      </c>
      <c r="O791" s="276">
        <f>IF(ROW()=ROW(tblContractForDeed[#Headers])+1,$O$6,IF(INDEX(tblContractForDeed[End Bal],ROW()-ROW(tblContractForDeed[#Headers])-1)&lt;0,0,INDEX(tblContractForDeed[End Bal],ROW()-ROW(tblContractForDeed[#Headers])-1)))</f>
        <v>0</v>
      </c>
      <c r="P791" s="454"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1" s="276">
        <f>IF(INDEX(tblContractForDeed[End Bal],ROW()-ROW(tblBuyerOutputs[#Headers]))&lt;=0,0,($O$6+IF(ROW()=ROW(tblBuyerOutputs[#Headers])+1,0,INDEX(tblBuyerOutputs[Cumul Appr],ROW()-ROW(tblBuyerOutputs[#Headers])-1)))*$O$2/12)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15" t="str">
        <f>IF(ROW()=ROW(tblSubjectToLoan[#Headers])+1,subjectKnownBalanceDate,IF(OR(INDEX(tblSubjectToLoan[Date],ROW()-ROW(tblSubjectToLoan[#Headers])-1)="",INDEX(tblSubjectToLoan[Date],ROW()-ROW(tblSubjectToLoan[#Headers])-1)&gt;=subjectMortgageEndDate),"",EDATE(INDEX(tblSubjectToLoan[Date],ROW()-ROW(tblSubjectToLoan[#Headers])-1),1)))</f>
        <v/>
      </c>
      <c r="B792" s="276">
        <f>IF(tblSubjectToLoan[[#This Row],[Date]]="",0,IF(ROW()=ROW(tblSubjectToLoan[#Headers])+1,subjectKnownBalance,MAX(0,INDEX(tblSubjectToLoan[Ending Balance],ROW()-ROW(tblSubjectToLoan[#Headers])-1))))</f>
        <v>0</v>
      </c>
      <c r="C7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2" s="14">
        <f>IF(tblSubjectToLoan[[#This Row],[Payment]]=0,0,MAX(0,MIN(tblSubjectToLoan[[#This Row],[Beginning Balance]],tblSubjectToLoan[[#This Row],[Payment]]-tblSubjectToLoan[[#This Row],[Int]])))</f>
        <v>0</v>
      </c>
      <c r="E792" s="14">
        <f>IF(tblSubjectToLoan[[#This Row],[Date]]="",0,ROUND(tblSubjectToLoan[[#This Row],[Beginning Balance]]*(subjectInterestRate/12),2))</f>
        <v>0</v>
      </c>
      <c r="H792" s="14">
        <f>SUM(tblSubjectToLoan[[#This Row],[Princ]],tblSubjectToLoan[[#This Row],[Int]],tblSubjectToLoan[[#This Row],[Ins]],tblSubjectToLoan[[#This Row],[Taxes]])</f>
        <v>0</v>
      </c>
      <c r="I7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2" s="276">
        <f>IF(tblSubjectToLoan[[#This Row],[Date]]="",IF(ROW()=ROW(tblSubjectToLoan[#Headers])+1,0,INDEX(tblSubjectToLoan[Interest],ROW()-ROW(tblSubjectToLoan[#Headers])-1)),tblSubjectToLoan[[#This Row],[Int]]+IF(ROW()=ROW(tblSubjectToLoan[#Headers])+1,0,INDEX(tblSubjectToLoan[Interest],ROW()-ROW(tblSubjectToLoan[#Headers])-1)))</f>
        <v>36068.259999999973</v>
      </c>
      <c r="K792" s="969">
        <f>IF(tblSubjectToLoan[[#This Row],[Date]]="",0,MAX(0,tblSubjectToLoan[[#This Row],[Beginning Balance]]-tblSubjectToLoan[[#This Row],[Princ]]))</f>
        <v>0</v>
      </c>
      <c r="M792" s="22">
        <f t="shared" si="54"/>
        <v>0</v>
      </c>
      <c r="N792" s="615" t="str">
        <f>INDEX(tblSubjectToLoan[Date],ROW()-ROW(tblContractForDeed[#Headers]))</f>
        <v/>
      </c>
      <c r="O792" s="276">
        <f>IF(ROW()=ROW(tblContractForDeed[#Headers])+1,$O$6,IF(INDEX(tblContractForDeed[End Bal],ROW()-ROW(tblContractForDeed[#Headers])-1)&lt;0,0,INDEX(tblContractForDeed[End Bal],ROW()-ROW(tblContractForDeed[#Headers])-1)))</f>
        <v>0</v>
      </c>
      <c r="P792" s="454"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2" s="276">
        <f>IF(INDEX(tblContractForDeed[End Bal],ROW()-ROW(tblBuyerOutputs[#Headers]))&lt;=0,0,($O$6+IF(ROW()=ROW(tblBuyerOutputs[#Headers])+1,0,INDEX(tblBuyerOutputs[Cumul Appr],ROW()-ROW(tblBuyerOutputs[#Headers])-1)))*$O$2/12)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15" t="str">
        <f>IF(ROW()=ROW(tblSubjectToLoan[#Headers])+1,subjectKnownBalanceDate,IF(OR(INDEX(tblSubjectToLoan[Date],ROW()-ROW(tblSubjectToLoan[#Headers])-1)="",INDEX(tblSubjectToLoan[Date],ROW()-ROW(tblSubjectToLoan[#Headers])-1)&gt;=subjectMortgageEndDate),"",EDATE(INDEX(tblSubjectToLoan[Date],ROW()-ROW(tblSubjectToLoan[#Headers])-1),1)))</f>
        <v/>
      </c>
      <c r="B793" s="276">
        <f>IF(tblSubjectToLoan[[#This Row],[Date]]="",0,IF(ROW()=ROW(tblSubjectToLoan[#Headers])+1,subjectKnownBalance,MAX(0,INDEX(tblSubjectToLoan[Ending Balance],ROW()-ROW(tblSubjectToLoan[#Headers])-1))))</f>
        <v>0</v>
      </c>
      <c r="C7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3" s="14">
        <f>IF(tblSubjectToLoan[[#This Row],[Payment]]=0,0,MAX(0,MIN(tblSubjectToLoan[[#This Row],[Beginning Balance]],tblSubjectToLoan[[#This Row],[Payment]]-tblSubjectToLoan[[#This Row],[Int]])))</f>
        <v>0</v>
      </c>
      <c r="E793" s="14">
        <f>IF(tblSubjectToLoan[[#This Row],[Date]]="",0,ROUND(tblSubjectToLoan[[#This Row],[Beginning Balance]]*(subjectInterestRate/12),2))</f>
        <v>0</v>
      </c>
      <c r="H793" s="14">
        <f>SUM(tblSubjectToLoan[[#This Row],[Princ]],tblSubjectToLoan[[#This Row],[Int]],tblSubjectToLoan[[#This Row],[Ins]],tblSubjectToLoan[[#This Row],[Taxes]])</f>
        <v>0</v>
      </c>
      <c r="I7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3" s="276">
        <f>IF(tblSubjectToLoan[[#This Row],[Date]]="",IF(ROW()=ROW(tblSubjectToLoan[#Headers])+1,0,INDEX(tblSubjectToLoan[Interest],ROW()-ROW(tblSubjectToLoan[#Headers])-1)),tblSubjectToLoan[[#This Row],[Int]]+IF(ROW()=ROW(tblSubjectToLoan[#Headers])+1,0,INDEX(tblSubjectToLoan[Interest],ROW()-ROW(tblSubjectToLoan[#Headers])-1)))</f>
        <v>36068.259999999973</v>
      </c>
      <c r="K793" s="969">
        <f>IF(tblSubjectToLoan[[#This Row],[Date]]="",0,MAX(0,tblSubjectToLoan[[#This Row],[Beginning Balance]]-tblSubjectToLoan[[#This Row],[Princ]]))</f>
        <v>0</v>
      </c>
      <c r="M793" s="22">
        <f t="shared" si="54"/>
        <v>0</v>
      </c>
      <c r="N793" s="615" t="str">
        <f>INDEX(tblSubjectToLoan[Date],ROW()-ROW(tblContractForDeed[#Headers]))</f>
        <v/>
      </c>
      <c r="O793" s="276">
        <f>IF(ROW()=ROW(tblContractForDeed[#Headers])+1,$O$6,IF(INDEX(tblContractForDeed[End Bal],ROW()-ROW(tblContractForDeed[#Headers])-1)&lt;0,0,INDEX(tblContractForDeed[End Bal],ROW()-ROW(tblContractForDeed[#Headers])-1)))</f>
        <v>0</v>
      </c>
      <c r="P793" s="454"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3" s="276">
        <f>IF(INDEX(tblContractForDeed[End Bal],ROW()-ROW(tblBuyerOutputs[#Headers]))&lt;=0,0,($O$6+IF(ROW()=ROW(tblBuyerOutputs[#Headers])+1,0,INDEX(tblBuyerOutputs[Cumul Appr],ROW()-ROW(tblBuyerOutputs[#Headers])-1)))*$O$2/12)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15" t="str">
        <f>IF(ROW()=ROW(tblSubjectToLoan[#Headers])+1,subjectKnownBalanceDate,IF(OR(INDEX(tblSubjectToLoan[Date],ROW()-ROW(tblSubjectToLoan[#Headers])-1)="",INDEX(tblSubjectToLoan[Date],ROW()-ROW(tblSubjectToLoan[#Headers])-1)&gt;=subjectMortgageEndDate),"",EDATE(INDEX(tblSubjectToLoan[Date],ROW()-ROW(tblSubjectToLoan[#Headers])-1),1)))</f>
        <v/>
      </c>
      <c r="B794" s="276">
        <f>IF(tblSubjectToLoan[[#This Row],[Date]]="",0,IF(ROW()=ROW(tblSubjectToLoan[#Headers])+1,subjectKnownBalance,MAX(0,INDEX(tblSubjectToLoan[Ending Balance],ROW()-ROW(tblSubjectToLoan[#Headers])-1))))</f>
        <v>0</v>
      </c>
      <c r="C7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4" s="14">
        <f>IF(tblSubjectToLoan[[#This Row],[Payment]]=0,0,MAX(0,MIN(tblSubjectToLoan[[#This Row],[Beginning Balance]],tblSubjectToLoan[[#This Row],[Payment]]-tblSubjectToLoan[[#This Row],[Int]])))</f>
        <v>0</v>
      </c>
      <c r="E794" s="14">
        <f>IF(tblSubjectToLoan[[#This Row],[Date]]="",0,ROUND(tblSubjectToLoan[[#This Row],[Beginning Balance]]*(subjectInterestRate/12),2))</f>
        <v>0</v>
      </c>
      <c r="H794" s="14">
        <f>SUM(tblSubjectToLoan[[#This Row],[Princ]],tblSubjectToLoan[[#This Row],[Int]],tblSubjectToLoan[[#This Row],[Ins]],tblSubjectToLoan[[#This Row],[Taxes]])</f>
        <v>0</v>
      </c>
      <c r="I7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4" s="276">
        <f>IF(tblSubjectToLoan[[#This Row],[Date]]="",IF(ROW()=ROW(tblSubjectToLoan[#Headers])+1,0,INDEX(tblSubjectToLoan[Interest],ROW()-ROW(tblSubjectToLoan[#Headers])-1)),tblSubjectToLoan[[#This Row],[Int]]+IF(ROW()=ROW(tblSubjectToLoan[#Headers])+1,0,INDEX(tblSubjectToLoan[Interest],ROW()-ROW(tblSubjectToLoan[#Headers])-1)))</f>
        <v>36068.259999999973</v>
      </c>
      <c r="K794" s="969">
        <f>IF(tblSubjectToLoan[[#This Row],[Date]]="",0,MAX(0,tblSubjectToLoan[[#This Row],[Beginning Balance]]-tblSubjectToLoan[[#This Row],[Princ]]))</f>
        <v>0</v>
      </c>
      <c r="M794" s="22">
        <f t="shared" si="54"/>
        <v>0</v>
      </c>
      <c r="N794" s="615" t="str">
        <f>INDEX(tblSubjectToLoan[Date],ROW()-ROW(tblContractForDeed[#Headers]))</f>
        <v/>
      </c>
      <c r="O794" s="276">
        <f>IF(ROW()=ROW(tblContractForDeed[#Headers])+1,$O$6,IF(INDEX(tblContractForDeed[End Bal],ROW()-ROW(tblContractForDeed[#Headers])-1)&lt;0,0,INDEX(tblContractForDeed[End Bal],ROW()-ROW(tblContractForDeed[#Headers])-1)))</f>
        <v>0</v>
      </c>
      <c r="P794" s="454"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4" s="276">
        <f>IF(INDEX(tblContractForDeed[End Bal],ROW()-ROW(tblBuyerOutputs[#Headers]))&lt;=0,0,($O$6+IF(ROW()=ROW(tblBuyerOutputs[#Headers])+1,0,INDEX(tblBuyerOutputs[Cumul Appr],ROW()-ROW(tblBuyerOutputs[#Headers])-1)))*$O$2/12)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15" t="str">
        <f>IF(ROW()=ROW(tblSubjectToLoan[#Headers])+1,subjectKnownBalanceDate,IF(OR(INDEX(tblSubjectToLoan[Date],ROW()-ROW(tblSubjectToLoan[#Headers])-1)="",INDEX(tblSubjectToLoan[Date],ROW()-ROW(tblSubjectToLoan[#Headers])-1)&gt;=subjectMortgageEndDate),"",EDATE(INDEX(tblSubjectToLoan[Date],ROW()-ROW(tblSubjectToLoan[#Headers])-1),1)))</f>
        <v/>
      </c>
      <c r="B795" s="276">
        <f>IF(tblSubjectToLoan[[#This Row],[Date]]="",0,IF(ROW()=ROW(tblSubjectToLoan[#Headers])+1,subjectKnownBalance,MAX(0,INDEX(tblSubjectToLoan[Ending Balance],ROW()-ROW(tblSubjectToLoan[#Headers])-1))))</f>
        <v>0</v>
      </c>
      <c r="C7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5" s="14">
        <f>IF(tblSubjectToLoan[[#This Row],[Payment]]=0,0,MAX(0,MIN(tblSubjectToLoan[[#This Row],[Beginning Balance]],tblSubjectToLoan[[#This Row],[Payment]]-tblSubjectToLoan[[#This Row],[Int]])))</f>
        <v>0</v>
      </c>
      <c r="E795" s="14">
        <f>IF(tblSubjectToLoan[[#This Row],[Date]]="",0,ROUND(tblSubjectToLoan[[#This Row],[Beginning Balance]]*(subjectInterestRate/12),2))</f>
        <v>0</v>
      </c>
      <c r="H795" s="14">
        <f>SUM(tblSubjectToLoan[[#This Row],[Princ]],tblSubjectToLoan[[#This Row],[Int]],tblSubjectToLoan[[#This Row],[Ins]],tblSubjectToLoan[[#This Row],[Taxes]])</f>
        <v>0</v>
      </c>
      <c r="I7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5" s="276">
        <f>IF(tblSubjectToLoan[[#This Row],[Date]]="",IF(ROW()=ROW(tblSubjectToLoan[#Headers])+1,0,INDEX(tblSubjectToLoan[Interest],ROW()-ROW(tblSubjectToLoan[#Headers])-1)),tblSubjectToLoan[[#This Row],[Int]]+IF(ROW()=ROW(tblSubjectToLoan[#Headers])+1,0,INDEX(tblSubjectToLoan[Interest],ROW()-ROW(tblSubjectToLoan[#Headers])-1)))</f>
        <v>36068.259999999973</v>
      </c>
      <c r="K795" s="969">
        <f>IF(tblSubjectToLoan[[#This Row],[Date]]="",0,MAX(0,tblSubjectToLoan[[#This Row],[Beginning Balance]]-tblSubjectToLoan[[#This Row],[Princ]]))</f>
        <v>0</v>
      </c>
      <c r="M795" s="22">
        <f t="shared" si="54"/>
        <v>0</v>
      </c>
      <c r="N795" s="615" t="str">
        <f>INDEX(tblSubjectToLoan[Date],ROW()-ROW(tblContractForDeed[#Headers]))</f>
        <v/>
      </c>
      <c r="O795" s="276">
        <f>IF(ROW()=ROW(tblContractForDeed[#Headers])+1,$O$6,IF(INDEX(tblContractForDeed[End Bal],ROW()-ROW(tblContractForDeed[#Headers])-1)&lt;0,0,INDEX(tblContractForDeed[End Bal],ROW()-ROW(tblContractForDeed[#Headers])-1)))</f>
        <v>0</v>
      </c>
      <c r="P795" s="454"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5" s="276">
        <f>IF(INDEX(tblContractForDeed[End Bal],ROW()-ROW(tblBuyerOutputs[#Headers]))&lt;=0,0,($O$6+IF(ROW()=ROW(tblBuyerOutputs[#Headers])+1,0,INDEX(tblBuyerOutputs[Cumul Appr],ROW()-ROW(tblBuyerOutputs[#Headers])-1)))*$O$2/12)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15" t="str">
        <f>IF(ROW()=ROW(tblSubjectToLoan[#Headers])+1,subjectKnownBalanceDate,IF(OR(INDEX(tblSubjectToLoan[Date],ROW()-ROW(tblSubjectToLoan[#Headers])-1)="",INDEX(tblSubjectToLoan[Date],ROW()-ROW(tblSubjectToLoan[#Headers])-1)&gt;=subjectMortgageEndDate),"",EDATE(INDEX(tblSubjectToLoan[Date],ROW()-ROW(tblSubjectToLoan[#Headers])-1),1)))</f>
        <v/>
      </c>
      <c r="B796" s="276">
        <f>IF(tblSubjectToLoan[[#This Row],[Date]]="",0,IF(ROW()=ROW(tblSubjectToLoan[#Headers])+1,subjectKnownBalance,MAX(0,INDEX(tblSubjectToLoan[Ending Balance],ROW()-ROW(tblSubjectToLoan[#Headers])-1))))</f>
        <v>0</v>
      </c>
      <c r="C7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6" s="14">
        <f>IF(tblSubjectToLoan[[#This Row],[Payment]]=0,0,MAX(0,MIN(tblSubjectToLoan[[#This Row],[Beginning Balance]],tblSubjectToLoan[[#This Row],[Payment]]-tblSubjectToLoan[[#This Row],[Int]])))</f>
        <v>0</v>
      </c>
      <c r="E796" s="14">
        <f>IF(tblSubjectToLoan[[#This Row],[Date]]="",0,ROUND(tblSubjectToLoan[[#This Row],[Beginning Balance]]*(subjectInterestRate/12),2))</f>
        <v>0</v>
      </c>
      <c r="H796" s="14">
        <f>SUM(tblSubjectToLoan[[#This Row],[Princ]],tblSubjectToLoan[[#This Row],[Int]],tblSubjectToLoan[[#This Row],[Ins]],tblSubjectToLoan[[#This Row],[Taxes]])</f>
        <v>0</v>
      </c>
      <c r="I7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6" s="276">
        <f>IF(tblSubjectToLoan[[#This Row],[Date]]="",IF(ROW()=ROW(tblSubjectToLoan[#Headers])+1,0,INDEX(tblSubjectToLoan[Interest],ROW()-ROW(tblSubjectToLoan[#Headers])-1)),tblSubjectToLoan[[#This Row],[Int]]+IF(ROW()=ROW(tblSubjectToLoan[#Headers])+1,0,INDEX(tblSubjectToLoan[Interest],ROW()-ROW(tblSubjectToLoan[#Headers])-1)))</f>
        <v>36068.259999999973</v>
      </c>
      <c r="K796" s="969">
        <f>IF(tblSubjectToLoan[[#This Row],[Date]]="",0,MAX(0,tblSubjectToLoan[[#This Row],[Beginning Balance]]-tblSubjectToLoan[[#This Row],[Princ]]))</f>
        <v>0</v>
      </c>
      <c r="M796" s="22">
        <f t="shared" si="54"/>
        <v>0</v>
      </c>
      <c r="N796" s="615" t="str">
        <f>INDEX(tblSubjectToLoan[Date],ROW()-ROW(tblContractForDeed[#Headers]))</f>
        <v/>
      </c>
      <c r="O796" s="276">
        <f>IF(ROW()=ROW(tblContractForDeed[#Headers])+1,$O$6,IF(INDEX(tblContractForDeed[End Bal],ROW()-ROW(tblContractForDeed[#Headers])-1)&lt;0,0,INDEX(tblContractForDeed[End Bal],ROW()-ROW(tblContractForDeed[#Headers])-1)))</f>
        <v>0</v>
      </c>
      <c r="P796" s="454"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6" s="276">
        <f>IF(INDEX(tblContractForDeed[End Bal],ROW()-ROW(tblBuyerOutputs[#Headers]))&lt;=0,0,($O$6+IF(ROW()=ROW(tblBuyerOutputs[#Headers])+1,0,INDEX(tblBuyerOutputs[Cumul Appr],ROW()-ROW(tblBuyerOutputs[#Headers])-1)))*$O$2/12)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15" t="str">
        <f>IF(ROW()=ROW(tblSubjectToLoan[#Headers])+1,subjectKnownBalanceDate,IF(OR(INDEX(tblSubjectToLoan[Date],ROW()-ROW(tblSubjectToLoan[#Headers])-1)="",INDEX(tblSubjectToLoan[Date],ROW()-ROW(tblSubjectToLoan[#Headers])-1)&gt;=subjectMortgageEndDate),"",EDATE(INDEX(tblSubjectToLoan[Date],ROW()-ROW(tblSubjectToLoan[#Headers])-1),1)))</f>
        <v/>
      </c>
      <c r="B797" s="276">
        <f>IF(tblSubjectToLoan[[#This Row],[Date]]="",0,IF(ROW()=ROW(tblSubjectToLoan[#Headers])+1,subjectKnownBalance,MAX(0,INDEX(tblSubjectToLoan[Ending Balance],ROW()-ROW(tblSubjectToLoan[#Headers])-1))))</f>
        <v>0</v>
      </c>
      <c r="C7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7" s="14">
        <f>IF(tblSubjectToLoan[[#This Row],[Payment]]=0,0,MAX(0,MIN(tblSubjectToLoan[[#This Row],[Beginning Balance]],tblSubjectToLoan[[#This Row],[Payment]]-tblSubjectToLoan[[#This Row],[Int]])))</f>
        <v>0</v>
      </c>
      <c r="E797" s="14">
        <f>IF(tblSubjectToLoan[[#This Row],[Date]]="",0,ROUND(tblSubjectToLoan[[#This Row],[Beginning Balance]]*(subjectInterestRate/12),2))</f>
        <v>0</v>
      </c>
      <c r="H797" s="14">
        <f>SUM(tblSubjectToLoan[[#This Row],[Princ]],tblSubjectToLoan[[#This Row],[Int]],tblSubjectToLoan[[#This Row],[Ins]],tblSubjectToLoan[[#This Row],[Taxes]])</f>
        <v>0</v>
      </c>
      <c r="I7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7" s="276">
        <f>IF(tblSubjectToLoan[[#This Row],[Date]]="",IF(ROW()=ROW(tblSubjectToLoan[#Headers])+1,0,INDEX(tblSubjectToLoan[Interest],ROW()-ROW(tblSubjectToLoan[#Headers])-1)),tblSubjectToLoan[[#This Row],[Int]]+IF(ROW()=ROW(tblSubjectToLoan[#Headers])+1,0,INDEX(tblSubjectToLoan[Interest],ROW()-ROW(tblSubjectToLoan[#Headers])-1)))</f>
        <v>36068.259999999973</v>
      </c>
      <c r="K797" s="969">
        <f>IF(tblSubjectToLoan[[#This Row],[Date]]="",0,MAX(0,tblSubjectToLoan[[#This Row],[Beginning Balance]]-tblSubjectToLoan[[#This Row],[Princ]]))</f>
        <v>0</v>
      </c>
      <c r="M797" s="22">
        <f t="shared" si="54"/>
        <v>0</v>
      </c>
      <c r="N797" s="615" t="str">
        <f>INDEX(tblSubjectToLoan[Date],ROW()-ROW(tblContractForDeed[#Headers]))</f>
        <v/>
      </c>
      <c r="O797" s="276">
        <f>IF(ROW()=ROW(tblContractForDeed[#Headers])+1,$O$6,IF(INDEX(tblContractForDeed[End Bal],ROW()-ROW(tblContractForDeed[#Headers])-1)&lt;0,0,INDEX(tblContractForDeed[End Bal],ROW()-ROW(tblContractForDeed[#Headers])-1)))</f>
        <v>0</v>
      </c>
      <c r="P797" s="454"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7" s="276">
        <f>IF(INDEX(tblContractForDeed[End Bal],ROW()-ROW(tblBuyerOutputs[#Headers]))&lt;=0,0,($O$6+IF(ROW()=ROW(tblBuyerOutputs[#Headers])+1,0,INDEX(tblBuyerOutputs[Cumul Appr],ROW()-ROW(tblBuyerOutputs[#Headers])-1)))*$O$2/12)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15" t="str">
        <f>IF(ROW()=ROW(tblSubjectToLoan[#Headers])+1,subjectKnownBalanceDate,IF(OR(INDEX(tblSubjectToLoan[Date],ROW()-ROW(tblSubjectToLoan[#Headers])-1)="",INDEX(tblSubjectToLoan[Date],ROW()-ROW(tblSubjectToLoan[#Headers])-1)&gt;=subjectMortgageEndDate),"",EDATE(INDEX(tblSubjectToLoan[Date],ROW()-ROW(tblSubjectToLoan[#Headers])-1),1)))</f>
        <v/>
      </c>
      <c r="B798" s="276">
        <f>IF(tblSubjectToLoan[[#This Row],[Date]]="",0,IF(ROW()=ROW(tblSubjectToLoan[#Headers])+1,subjectKnownBalance,MAX(0,INDEX(tblSubjectToLoan[Ending Balance],ROW()-ROW(tblSubjectToLoan[#Headers])-1))))</f>
        <v>0</v>
      </c>
      <c r="C7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8" s="14">
        <f>IF(tblSubjectToLoan[[#This Row],[Payment]]=0,0,MAX(0,MIN(tblSubjectToLoan[[#This Row],[Beginning Balance]],tblSubjectToLoan[[#This Row],[Payment]]-tblSubjectToLoan[[#This Row],[Int]])))</f>
        <v>0</v>
      </c>
      <c r="E798" s="14">
        <f>IF(tblSubjectToLoan[[#This Row],[Date]]="",0,ROUND(tblSubjectToLoan[[#This Row],[Beginning Balance]]*(subjectInterestRate/12),2))</f>
        <v>0</v>
      </c>
      <c r="H798" s="14">
        <f>SUM(tblSubjectToLoan[[#This Row],[Princ]],tblSubjectToLoan[[#This Row],[Int]],tblSubjectToLoan[[#This Row],[Ins]],tblSubjectToLoan[[#This Row],[Taxes]])</f>
        <v>0</v>
      </c>
      <c r="I7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8" s="276">
        <f>IF(tblSubjectToLoan[[#This Row],[Date]]="",IF(ROW()=ROW(tblSubjectToLoan[#Headers])+1,0,INDEX(tblSubjectToLoan[Interest],ROW()-ROW(tblSubjectToLoan[#Headers])-1)),tblSubjectToLoan[[#This Row],[Int]]+IF(ROW()=ROW(tblSubjectToLoan[#Headers])+1,0,INDEX(tblSubjectToLoan[Interest],ROW()-ROW(tblSubjectToLoan[#Headers])-1)))</f>
        <v>36068.259999999973</v>
      </c>
      <c r="K798" s="969">
        <f>IF(tblSubjectToLoan[[#This Row],[Date]]="",0,MAX(0,tblSubjectToLoan[[#This Row],[Beginning Balance]]-tblSubjectToLoan[[#This Row],[Princ]]))</f>
        <v>0</v>
      </c>
      <c r="M798" s="22">
        <f t="shared" si="54"/>
        <v>0</v>
      </c>
      <c r="N798" s="615" t="str">
        <f>INDEX(tblSubjectToLoan[Date],ROW()-ROW(tblContractForDeed[#Headers]))</f>
        <v/>
      </c>
      <c r="O798" s="276">
        <f>IF(ROW()=ROW(tblContractForDeed[#Headers])+1,$O$6,IF(INDEX(tblContractForDeed[End Bal],ROW()-ROW(tblContractForDeed[#Headers])-1)&lt;0,0,INDEX(tblContractForDeed[End Bal],ROW()-ROW(tblContractForDeed[#Headers])-1)))</f>
        <v>0</v>
      </c>
      <c r="P798" s="454"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8" s="276">
        <f>IF(INDEX(tblContractForDeed[End Bal],ROW()-ROW(tblBuyerOutputs[#Headers]))&lt;=0,0,($O$6+IF(ROW()=ROW(tblBuyerOutputs[#Headers])+1,0,INDEX(tblBuyerOutputs[Cumul Appr],ROW()-ROW(tblBuyerOutputs[#Headers])-1)))*$O$2/12)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15" t="str">
        <f>IF(ROW()=ROW(tblSubjectToLoan[#Headers])+1,subjectKnownBalanceDate,IF(OR(INDEX(tblSubjectToLoan[Date],ROW()-ROW(tblSubjectToLoan[#Headers])-1)="",INDEX(tblSubjectToLoan[Date],ROW()-ROW(tblSubjectToLoan[#Headers])-1)&gt;=subjectMortgageEndDate),"",EDATE(INDEX(tblSubjectToLoan[Date],ROW()-ROW(tblSubjectToLoan[#Headers])-1),1)))</f>
        <v/>
      </c>
      <c r="B799" s="276">
        <f>IF(tblSubjectToLoan[[#This Row],[Date]]="",0,IF(ROW()=ROW(tblSubjectToLoan[#Headers])+1,subjectKnownBalance,MAX(0,INDEX(tblSubjectToLoan[Ending Balance],ROW()-ROW(tblSubjectToLoan[#Headers])-1))))</f>
        <v>0</v>
      </c>
      <c r="C7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9" s="14">
        <f>IF(tblSubjectToLoan[[#This Row],[Payment]]=0,0,MAX(0,MIN(tblSubjectToLoan[[#This Row],[Beginning Balance]],tblSubjectToLoan[[#This Row],[Payment]]-tblSubjectToLoan[[#This Row],[Int]])))</f>
        <v>0</v>
      </c>
      <c r="E799" s="14">
        <f>IF(tblSubjectToLoan[[#This Row],[Date]]="",0,ROUND(tblSubjectToLoan[[#This Row],[Beginning Balance]]*(subjectInterestRate/12),2))</f>
        <v>0</v>
      </c>
      <c r="H799" s="14">
        <f>SUM(tblSubjectToLoan[[#This Row],[Princ]],tblSubjectToLoan[[#This Row],[Int]],tblSubjectToLoan[[#This Row],[Ins]],tblSubjectToLoan[[#This Row],[Taxes]])</f>
        <v>0</v>
      </c>
      <c r="I7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9" s="276">
        <f>IF(tblSubjectToLoan[[#This Row],[Date]]="",IF(ROW()=ROW(tblSubjectToLoan[#Headers])+1,0,INDEX(tblSubjectToLoan[Interest],ROW()-ROW(tblSubjectToLoan[#Headers])-1)),tblSubjectToLoan[[#This Row],[Int]]+IF(ROW()=ROW(tblSubjectToLoan[#Headers])+1,0,INDEX(tblSubjectToLoan[Interest],ROW()-ROW(tblSubjectToLoan[#Headers])-1)))</f>
        <v>36068.259999999973</v>
      </c>
      <c r="K799" s="969">
        <f>IF(tblSubjectToLoan[[#This Row],[Date]]="",0,MAX(0,tblSubjectToLoan[[#This Row],[Beginning Balance]]-tblSubjectToLoan[[#This Row],[Princ]]))</f>
        <v>0</v>
      </c>
      <c r="M799" s="22">
        <f t="shared" si="54"/>
        <v>0</v>
      </c>
      <c r="N799" s="615" t="str">
        <f>INDEX(tblSubjectToLoan[Date],ROW()-ROW(tblContractForDeed[#Headers]))</f>
        <v/>
      </c>
      <c r="O799" s="276">
        <f>IF(ROW()=ROW(tblContractForDeed[#Headers])+1,$O$6,IF(INDEX(tblContractForDeed[End Bal],ROW()-ROW(tblContractForDeed[#Headers])-1)&lt;0,0,INDEX(tblContractForDeed[End Bal],ROW()-ROW(tblContractForDeed[#Headers])-1)))</f>
        <v>0</v>
      </c>
      <c r="P799" s="454"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9" s="276">
        <f>IF(INDEX(tblContractForDeed[End Bal],ROW()-ROW(tblBuyerOutputs[#Headers]))&lt;=0,0,($O$6+IF(ROW()=ROW(tblBuyerOutputs[#Headers])+1,0,INDEX(tblBuyerOutputs[Cumul Appr],ROW()-ROW(tblBuyerOutputs[#Headers])-1)))*$O$2/12)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15" t="str">
        <f>IF(ROW()=ROW(tblSubjectToLoan[#Headers])+1,subjectKnownBalanceDate,IF(OR(INDEX(tblSubjectToLoan[Date],ROW()-ROW(tblSubjectToLoan[#Headers])-1)="",INDEX(tblSubjectToLoan[Date],ROW()-ROW(tblSubjectToLoan[#Headers])-1)&gt;=subjectMortgageEndDate),"",EDATE(INDEX(tblSubjectToLoan[Date],ROW()-ROW(tblSubjectToLoan[#Headers])-1),1)))</f>
        <v/>
      </c>
      <c r="B800" s="276">
        <f>IF(tblSubjectToLoan[[#This Row],[Date]]="",0,IF(ROW()=ROW(tblSubjectToLoan[#Headers])+1,subjectKnownBalance,MAX(0,INDEX(tblSubjectToLoan[Ending Balance],ROW()-ROW(tblSubjectToLoan[#Headers])-1))))</f>
        <v>0</v>
      </c>
      <c r="C8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0" s="14">
        <f>IF(tblSubjectToLoan[[#This Row],[Payment]]=0,0,MAX(0,MIN(tblSubjectToLoan[[#This Row],[Beginning Balance]],tblSubjectToLoan[[#This Row],[Payment]]-tblSubjectToLoan[[#This Row],[Int]])))</f>
        <v>0</v>
      </c>
      <c r="E800" s="14">
        <f>IF(tblSubjectToLoan[[#This Row],[Date]]="",0,ROUND(tblSubjectToLoan[[#This Row],[Beginning Balance]]*(subjectInterestRate/12),2))</f>
        <v>0</v>
      </c>
      <c r="H800" s="14">
        <f>SUM(tblSubjectToLoan[[#This Row],[Princ]],tblSubjectToLoan[[#This Row],[Int]],tblSubjectToLoan[[#This Row],[Ins]],tblSubjectToLoan[[#This Row],[Taxes]])</f>
        <v>0</v>
      </c>
      <c r="I8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0" s="276">
        <f>IF(tblSubjectToLoan[[#This Row],[Date]]="",IF(ROW()=ROW(tblSubjectToLoan[#Headers])+1,0,INDEX(tblSubjectToLoan[Interest],ROW()-ROW(tblSubjectToLoan[#Headers])-1)),tblSubjectToLoan[[#This Row],[Int]]+IF(ROW()=ROW(tblSubjectToLoan[#Headers])+1,0,INDEX(tblSubjectToLoan[Interest],ROW()-ROW(tblSubjectToLoan[#Headers])-1)))</f>
        <v>36068.259999999973</v>
      </c>
      <c r="K800" s="969">
        <f>IF(tblSubjectToLoan[[#This Row],[Date]]="",0,MAX(0,tblSubjectToLoan[[#This Row],[Beginning Balance]]-tblSubjectToLoan[[#This Row],[Princ]]))</f>
        <v>0</v>
      </c>
      <c r="M800" s="22">
        <f t="shared" si="54"/>
        <v>0</v>
      </c>
      <c r="N800" s="615" t="str">
        <f>INDEX(tblSubjectToLoan[Date],ROW()-ROW(tblContractForDeed[#Headers]))</f>
        <v/>
      </c>
      <c r="O800" s="276">
        <f>IF(ROW()=ROW(tblContractForDeed[#Headers])+1,$O$6,IF(INDEX(tblContractForDeed[End Bal],ROW()-ROW(tblContractForDeed[#Headers])-1)&lt;0,0,INDEX(tblContractForDeed[End Bal],ROW()-ROW(tblContractForDeed[#Headers])-1)))</f>
        <v>0</v>
      </c>
      <c r="P800" s="454"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0" s="276">
        <f>IF(INDEX(tblContractForDeed[End Bal],ROW()-ROW(tblBuyerOutputs[#Headers]))&lt;=0,0,($O$6+IF(ROW()=ROW(tblBuyerOutputs[#Headers])+1,0,INDEX(tblBuyerOutputs[Cumul Appr],ROW()-ROW(tblBuyerOutputs[#Headers])-1)))*$O$2/12)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15" t="str">
        <f>IF(ROW()=ROW(tblSubjectToLoan[#Headers])+1,subjectKnownBalanceDate,IF(OR(INDEX(tblSubjectToLoan[Date],ROW()-ROW(tblSubjectToLoan[#Headers])-1)="",INDEX(tblSubjectToLoan[Date],ROW()-ROW(tblSubjectToLoan[#Headers])-1)&gt;=subjectMortgageEndDate),"",EDATE(INDEX(tblSubjectToLoan[Date],ROW()-ROW(tblSubjectToLoan[#Headers])-1),1)))</f>
        <v/>
      </c>
      <c r="B801" s="276">
        <f>IF(tblSubjectToLoan[[#This Row],[Date]]="",0,IF(ROW()=ROW(tblSubjectToLoan[#Headers])+1,subjectKnownBalance,MAX(0,INDEX(tblSubjectToLoan[Ending Balance],ROW()-ROW(tblSubjectToLoan[#Headers])-1))))</f>
        <v>0</v>
      </c>
      <c r="C8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1" s="14">
        <f>IF(tblSubjectToLoan[[#This Row],[Payment]]=0,0,MAX(0,MIN(tblSubjectToLoan[[#This Row],[Beginning Balance]],tblSubjectToLoan[[#This Row],[Payment]]-tblSubjectToLoan[[#This Row],[Int]])))</f>
        <v>0</v>
      </c>
      <c r="E801" s="14">
        <f>IF(tblSubjectToLoan[[#This Row],[Date]]="",0,ROUND(tblSubjectToLoan[[#This Row],[Beginning Balance]]*(subjectInterestRate/12),2))</f>
        <v>0</v>
      </c>
      <c r="H801" s="14">
        <f>SUM(tblSubjectToLoan[[#This Row],[Princ]],tblSubjectToLoan[[#This Row],[Int]],tblSubjectToLoan[[#This Row],[Ins]],tblSubjectToLoan[[#This Row],[Taxes]])</f>
        <v>0</v>
      </c>
      <c r="I8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1" s="276">
        <f>IF(tblSubjectToLoan[[#This Row],[Date]]="",IF(ROW()=ROW(tblSubjectToLoan[#Headers])+1,0,INDEX(tblSubjectToLoan[Interest],ROW()-ROW(tblSubjectToLoan[#Headers])-1)),tblSubjectToLoan[[#This Row],[Int]]+IF(ROW()=ROW(tblSubjectToLoan[#Headers])+1,0,INDEX(tblSubjectToLoan[Interest],ROW()-ROW(tblSubjectToLoan[#Headers])-1)))</f>
        <v>36068.259999999973</v>
      </c>
      <c r="K801" s="969">
        <f>IF(tblSubjectToLoan[[#This Row],[Date]]="",0,MAX(0,tblSubjectToLoan[[#This Row],[Beginning Balance]]-tblSubjectToLoan[[#This Row],[Princ]]))</f>
        <v>0</v>
      </c>
      <c r="M801" s="22">
        <f t="shared" si="54"/>
        <v>0</v>
      </c>
      <c r="N801" s="615" t="str">
        <f>INDEX(tblSubjectToLoan[Date],ROW()-ROW(tblContractForDeed[#Headers]))</f>
        <v/>
      </c>
      <c r="O801" s="276">
        <f>IF(ROW()=ROW(tblContractForDeed[#Headers])+1,$O$6,IF(INDEX(tblContractForDeed[End Bal],ROW()-ROW(tblContractForDeed[#Headers])-1)&lt;0,0,INDEX(tblContractForDeed[End Bal],ROW()-ROW(tblContractForDeed[#Headers])-1)))</f>
        <v>0</v>
      </c>
      <c r="P801" s="454"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1" s="276">
        <f>IF(INDEX(tblContractForDeed[End Bal],ROW()-ROW(tblBuyerOutputs[#Headers]))&lt;=0,0,($O$6+IF(ROW()=ROW(tblBuyerOutputs[#Headers])+1,0,INDEX(tblBuyerOutputs[Cumul Appr],ROW()-ROW(tblBuyerOutputs[#Headers])-1)))*$O$2/12)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15" t="str">
        <f>IF(ROW()=ROW(tblSubjectToLoan[#Headers])+1,subjectKnownBalanceDate,IF(OR(INDEX(tblSubjectToLoan[Date],ROW()-ROW(tblSubjectToLoan[#Headers])-1)="",INDEX(tblSubjectToLoan[Date],ROW()-ROW(tblSubjectToLoan[#Headers])-1)&gt;=subjectMortgageEndDate),"",EDATE(INDEX(tblSubjectToLoan[Date],ROW()-ROW(tblSubjectToLoan[#Headers])-1),1)))</f>
        <v/>
      </c>
      <c r="B802" s="276">
        <f>IF(tblSubjectToLoan[[#This Row],[Date]]="",0,IF(ROW()=ROW(tblSubjectToLoan[#Headers])+1,subjectKnownBalance,MAX(0,INDEX(tblSubjectToLoan[Ending Balance],ROW()-ROW(tblSubjectToLoan[#Headers])-1))))</f>
        <v>0</v>
      </c>
      <c r="C8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2" s="14">
        <f>IF(tblSubjectToLoan[[#This Row],[Payment]]=0,0,MAX(0,MIN(tblSubjectToLoan[[#This Row],[Beginning Balance]],tblSubjectToLoan[[#This Row],[Payment]]-tblSubjectToLoan[[#This Row],[Int]])))</f>
        <v>0</v>
      </c>
      <c r="E802" s="14">
        <f>IF(tblSubjectToLoan[[#This Row],[Date]]="",0,ROUND(tblSubjectToLoan[[#This Row],[Beginning Balance]]*(subjectInterestRate/12),2))</f>
        <v>0</v>
      </c>
      <c r="H802" s="14">
        <f>SUM(tblSubjectToLoan[[#This Row],[Princ]],tblSubjectToLoan[[#This Row],[Int]],tblSubjectToLoan[[#This Row],[Ins]],tblSubjectToLoan[[#This Row],[Taxes]])</f>
        <v>0</v>
      </c>
      <c r="I8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2" s="276">
        <f>IF(tblSubjectToLoan[[#This Row],[Date]]="",IF(ROW()=ROW(tblSubjectToLoan[#Headers])+1,0,INDEX(tblSubjectToLoan[Interest],ROW()-ROW(tblSubjectToLoan[#Headers])-1)),tblSubjectToLoan[[#This Row],[Int]]+IF(ROW()=ROW(tblSubjectToLoan[#Headers])+1,0,INDEX(tblSubjectToLoan[Interest],ROW()-ROW(tblSubjectToLoan[#Headers])-1)))</f>
        <v>36068.259999999973</v>
      </c>
      <c r="K802" s="969">
        <f>IF(tblSubjectToLoan[[#This Row],[Date]]="",0,MAX(0,tblSubjectToLoan[[#This Row],[Beginning Balance]]-tblSubjectToLoan[[#This Row],[Princ]]))</f>
        <v>0</v>
      </c>
      <c r="M802" s="22">
        <f t="shared" si="54"/>
        <v>0</v>
      </c>
      <c r="N802" s="615" t="str">
        <f>INDEX(tblSubjectToLoan[Date],ROW()-ROW(tblContractForDeed[#Headers]))</f>
        <v/>
      </c>
      <c r="O802" s="276">
        <f>IF(ROW()=ROW(tblContractForDeed[#Headers])+1,$O$6,IF(INDEX(tblContractForDeed[End Bal],ROW()-ROW(tblContractForDeed[#Headers])-1)&lt;0,0,INDEX(tblContractForDeed[End Bal],ROW()-ROW(tblContractForDeed[#Headers])-1)))</f>
        <v>0</v>
      </c>
      <c r="P802" s="454"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2" s="276">
        <f>IF(INDEX(tblContractForDeed[End Bal],ROW()-ROW(tblBuyerOutputs[#Headers]))&lt;=0,0,($O$6+IF(ROW()=ROW(tblBuyerOutputs[#Headers])+1,0,INDEX(tblBuyerOutputs[Cumul Appr],ROW()-ROW(tblBuyerOutputs[#Headers])-1)))*$O$2/12)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15" t="str">
        <f>IF(ROW()=ROW(tblSubjectToLoan[#Headers])+1,subjectKnownBalanceDate,IF(OR(INDEX(tblSubjectToLoan[Date],ROW()-ROW(tblSubjectToLoan[#Headers])-1)="",INDEX(tblSubjectToLoan[Date],ROW()-ROW(tblSubjectToLoan[#Headers])-1)&gt;=subjectMortgageEndDate),"",EDATE(INDEX(tblSubjectToLoan[Date],ROW()-ROW(tblSubjectToLoan[#Headers])-1),1)))</f>
        <v/>
      </c>
      <c r="B803" s="276">
        <f>IF(tblSubjectToLoan[[#This Row],[Date]]="",0,IF(ROW()=ROW(tblSubjectToLoan[#Headers])+1,subjectKnownBalance,MAX(0,INDEX(tblSubjectToLoan[Ending Balance],ROW()-ROW(tblSubjectToLoan[#Headers])-1))))</f>
        <v>0</v>
      </c>
      <c r="C8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3" s="14">
        <f>IF(tblSubjectToLoan[[#This Row],[Payment]]=0,0,MAX(0,MIN(tblSubjectToLoan[[#This Row],[Beginning Balance]],tblSubjectToLoan[[#This Row],[Payment]]-tblSubjectToLoan[[#This Row],[Int]])))</f>
        <v>0</v>
      </c>
      <c r="E803" s="14">
        <f>IF(tblSubjectToLoan[[#This Row],[Date]]="",0,ROUND(tblSubjectToLoan[[#This Row],[Beginning Balance]]*(subjectInterestRate/12),2))</f>
        <v>0</v>
      </c>
      <c r="H803" s="14">
        <f>SUM(tblSubjectToLoan[[#This Row],[Princ]],tblSubjectToLoan[[#This Row],[Int]],tblSubjectToLoan[[#This Row],[Ins]],tblSubjectToLoan[[#This Row],[Taxes]])</f>
        <v>0</v>
      </c>
      <c r="I8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3" s="276">
        <f>IF(tblSubjectToLoan[[#This Row],[Date]]="",IF(ROW()=ROW(tblSubjectToLoan[#Headers])+1,0,INDEX(tblSubjectToLoan[Interest],ROW()-ROW(tblSubjectToLoan[#Headers])-1)),tblSubjectToLoan[[#This Row],[Int]]+IF(ROW()=ROW(tblSubjectToLoan[#Headers])+1,0,INDEX(tblSubjectToLoan[Interest],ROW()-ROW(tblSubjectToLoan[#Headers])-1)))</f>
        <v>36068.259999999973</v>
      </c>
      <c r="K803" s="969">
        <f>IF(tblSubjectToLoan[[#This Row],[Date]]="",0,MAX(0,tblSubjectToLoan[[#This Row],[Beginning Balance]]-tblSubjectToLoan[[#This Row],[Princ]]))</f>
        <v>0</v>
      </c>
      <c r="M803" s="22">
        <f t="shared" si="54"/>
        <v>0</v>
      </c>
      <c r="N803" s="615" t="str">
        <f>INDEX(tblSubjectToLoan[Date],ROW()-ROW(tblContractForDeed[#Headers]))</f>
        <v/>
      </c>
      <c r="O803" s="276">
        <f>IF(ROW()=ROW(tblContractForDeed[#Headers])+1,$O$6,IF(INDEX(tblContractForDeed[End Bal],ROW()-ROW(tblContractForDeed[#Headers])-1)&lt;0,0,INDEX(tblContractForDeed[End Bal],ROW()-ROW(tblContractForDeed[#Headers])-1)))</f>
        <v>0</v>
      </c>
      <c r="P803" s="454"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3" s="276">
        <f>IF(INDEX(tblContractForDeed[End Bal],ROW()-ROW(tblBuyerOutputs[#Headers]))&lt;=0,0,($O$6+IF(ROW()=ROW(tblBuyerOutputs[#Headers])+1,0,INDEX(tblBuyerOutputs[Cumul Appr],ROW()-ROW(tblBuyerOutputs[#Headers])-1)))*$O$2/12)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15" t="str">
        <f>IF(ROW()=ROW(tblSubjectToLoan[#Headers])+1,subjectKnownBalanceDate,IF(OR(INDEX(tblSubjectToLoan[Date],ROW()-ROW(tblSubjectToLoan[#Headers])-1)="",INDEX(tblSubjectToLoan[Date],ROW()-ROW(tblSubjectToLoan[#Headers])-1)&gt;=subjectMortgageEndDate),"",EDATE(INDEX(tblSubjectToLoan[Date],ROW()-ROW(tblSubjectToLoan[#Headers])-1),1)))</f>
        <v/>
      </c>
      <c r="B804" s="276">
        <f>IF(tblSubjectToLoan[[#This Row],[Date]]="",0,IF(ROW()=ROW(tblSubjectToLoan[#Headers])+1,subjectKnownBalance,MAX(0,INDEX(tblSubjectToLoan[Ending Balance],ROW()-ROW(tblSubjectToLoan[#Headers])-1))))</f>
        <v>0</v>
      </c>
      <c r="C8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4" s="14">
        <f>IF(tblSubjectToLoan[[#This Row],[Payment]]=0,0,MAX(0,MIN(tblSubjectToLoan[[#This Row],[Beginning Balance]],tblSubjectToLoan[[#This Row],[Payment]]-tblSubjectToLoan[[#This Row],[Int]])))</f>
        <v>0</v>
      </c>
      <c r="E804" s="14">
        <f>IF(tblSubjectToLoan[[#This Row],[Date]]="",0,ROUND(tblSubjectToLoan[[#This Row],[Beginning Balance]]*(subjectInterestRate/12),2))</f>
        <v>0</v>
      </c>
      <c r="H804" s="14">
        <f>SUM(tblSubjectToLoan[[#This Row],[Princ]],tblSubjectToLoan[[#This Row],[Int]],tblSubjectToLoan[[#This Row],[Ins]],tblSubjectToLoan[[#This Row],[Taxes]])</f>
        <v>0</v>
      </c>
      <c r="I8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4" s="276">
        <f>IF(tblSubjectToLoan[[#This Row],[Date]]="",IF(ROW()=ROW(tblSubjectToLoan[#Headers])+1,0,INDEX(tblSubjectToLoan[Interest],ROW()-ROW(tblSubjectToLoan[#Headers])-1)),tblSubjectToLoan[[#This Row],[Int]]+IF(ROW()=ROW(tblSubjectToLoan[#Headers])+1,0,INDEX(tblSubjectToLoan[Interest],ROW()-ROW(tblSubjectToLoan[#Headers])-1)))</f>
        <v>36068.259999999973</v>
      </c>
      <c r="K804" s="969">
        <f>IF(tblSubjectToLoan[[#This Row],[Date]]="",0,MAX(0,tblSubjectToLoan[[#This Row],[Beginning Balance]]-tblSubjectToLoan[[#This Row],[Princ]]))</f>
        <v>0</v>
      </c>
      <c r="M804" s="22">
        <f t="shared" si="54"/>
        <v>0</v>
      </c>
      <c r="N804" s="615" t="str">
        <f>INDEX(tblSubjectToLoan[Date],ROW()-ROW(tblContractForDeed[#Headers]))</f>
        <v/>
      </c>
      <c r="O804" s="276">
        <f>IF(ROW()=ROW(tblContractForDeed[#Headers])+1,$O$6,IF(INDEX(tblContractForDeed[End Bal],ROW()-ROW(tblContractForDeed[#Headers])-1)&lt;0,0,INDEX(tblContractForDeed[End Bal],ROW()-ROW(tblContractForDeed[#Headers])-1)))</f>
        <v>0</v>
      </c>
      <c r="P804" s="454"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4" s="276">
        <f>IF(INDEX(tblContractForDeed[End Bal],ROW()-ROW(tblBuyerOutputs[#Headers]))&lt;=0,0,($O$6+IF(ROW()=ROW(tblBuyerOutputs[#Headers])+1,0,INDEX(tblBuyerOutputs[Cumul Appr],ROW()-ROW(tblBuyerOutputs[#Headers])-1)))*$O$2/12)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15" t="str">
        <f>IF(ROW()=ROW(tblSubjectToLoan[#Headers])+1,subjectKnownBalanceDate,IF(OR(INDEX(tblSubjectToLoan[Date],ROW()-ROW(tblSubjectToLoan[#Headers])-1)="",INDEX(tblSubjectToLoan[Date],ROW()-ROW(tblSubjectToLoan[#Headers])-1)&gt;=subjectMortgageEndDate),"",EDATE(INDEX(tblSubjectToLoan[Date],ROW()-ROW(tblSubjectToLoan[#Headers])-1),1)))</f>
        <v/>
      </c>
      <c r="B805" s="276">
        <f>IF(tblSubjectToLoan[[#This Row],[Date]]="",0,IF(ROW()=ROW(tblSubjectToLoan[#Headers])+1,subjectKnownBalance,MAX(0,INDEX(tblSubjectToLoan[Ending Balance],ROW()-ROW(tblSubjectToLoan[#Headers])-1))))</f>
        <v>0</v>
      </c>
      <c r="C8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5" s="14">
        <f>IF(tblSubjectToLoan[[#This Row],[Payment]]=0,0,MAX(0,MIN(tblSubjectToLoan[[#This Row],[Beginning Balance]],tblSubjectToLoan[[#This Row],[Payment]]-tblSubjectToLoan[[#This Row],[Int]])))</f>
        <v>0</v>
      </c>
      <c r="E805" s="14">
        <f>IF(tblSubjectToLoan[[#This Row],[Date]]="",0,ROUND(tblSubjectToLoan[[#This Row],[Beginning Balance]]*(subjectInterestRate/12),2))</f>
        <v>0</v>
      </c>
      <c r="H805" s="14">
        <f>SUM(tblSubjectToLoan[[#This Row],[Princ]],tblSubjectToLoan[[#This Row],[Int]],tblSubjectToLoan[[#This Row],[Ins]],tblSubjectToLoan[[#This Row],[Taxes]])</f>
        <v>0</v>
      </c>
      <c r="I8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5" s="276">
        <f>IF(tblSubjectToLoan[[#This Row],[Date]]="",IF(ROW()=ROW(tblSubjectToLoan[#Headers])+1,0,INDEX(tblSubjectToLoan[Interest],ROW()-ROW(tblSubjectToLoan[#Headers])-1)),tblSubjectToLoan[[#This Row],[Int]]+IF(ROW()=ROW(tblSubjectToLoan[#Headers])+1,0,INDEX(tblSubjectToLoan[Interest],ROW()-ROW(tblSubjectToLoan[#Headers])-1)))</f>
        <v>36068.259999999973</v>
      </c>
      <c r="K805" s="969">
        <f>IF(tblSubjectToLoan[[#This Row],[Date]]="",0,MAX(0,tblSubjectToLoan[[#This Row],[Beginning Balance]]-tblSubjectToLoan[[#This Row],[Princ]]))</f>
        <v>0</v>
      </c>
      <c r="M805" s="22">
        <f t="shared" si="54"/>
        <v>0</v>
      </c>
      <c r="N805" s="615" t="str">
        <f>INDEX(tblSubjectToLoan[Date],ROW()-ROW(tblContractForDeed[#Headers]))</f>
        <v/>
      </c>
      <c r="O805" s="276">
        <f>IF(ROW()=ROW(tblContractForDeed[#Headers])+1,$O$6,IF(INDEX(tblContractForDeed[End Bal],ROW()-ROW(tblContractForDeed[#Headers])-1)&lt;0,0,INDEX(tblContractForDeed[End Bal],ROW()-ROW(tblContractForDeed[#Headers])-1)))</f>
        <v>0</v>
      </c>
      <c r="P805" s="454"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5" s="276">
        <f>IF(INDEX(tblContractForDeed[End Bal],ROW()-ROW(tblBuyerOutputs[#Headers]))&lt;=0,0,($O$6+IF(ROW()=ROW(tblBuyerOutputs[#Headers])+1,0,INDEX(tblBuyerOutputs[Cumul Appr],ROW()-ROW(tblBuyerOutputs[#Headers])-1)))*$O$2/12)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15" t="str">
        <f>IF(ROW()=ROW(tblSubjectToLoan[#Headers])+1,subjectKnownBalanceDate,IF(OR(INDEX(tblSubjectToLoan[Date],ROW()-ROW(tblSubjectToLoan[#Headers])-1)="",INDEX(tblSubjectToLoan[Date],ROW()-ROW(tblSubjectToLoan[#Headers])-1)&gt;=subjectMortgageEndDate),"",EDATE(INDEX(tblSubjectToLoan[Date],ROW()-ROW(tblSubjectToLoan[#Headers])-1),1)))</f>
        <v/>
      </c>
      <c r="B806" s="276">
        <f>IF(tblSubjectToLoan[[#This Row],[Date]]="",0,IF(ROW()=ROW(tblSubjectToLoan[#Headers])+1,subjectKnownBalance,MAX(0,INDEX(tblSubjectToLoan[Ending Balance],ROW()-ROW(tblSubjectToLoan[#Headers])-1))))</f>
        <v>0</v>
      </c>
      <c r="C8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6" s="14">
        <f>IF(tblSubjectToLoan[[#This Row],[Payment]]=0,0,MAX(0,MIN(tblSubjectToLoan[[#This Row],[Beginning Balance]],tblSubjectToLoan[[#This Row],[Payment]]-tblSubjectToLoan[[#This Row],[Int]])))</f>
        <v>0</v>
      </c>
      <c r="E806" s="14">
        <f>IF(tblSubjectToLoan[[#This Row],[Date]]="",0,ROUND(tblSubjectToLoan[[#This Row],[Beginning Balance]]*(subjectInterestRate/12),2))</f>
        <v>0</v>
      </c>
      <c r="H806" s="14">
        <f>SUM(tblSubjectToLoan[[#This Row],[Princ]],tblSubjectToLoan[[#This Row],[Int]],tblSubjectToLoan[[#This Row],[Ins]],tblSubjectToLoan[[#This Row],[Taxes]])</f>
        <v>0</v>
      </c>
      <c r="I8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6" s="276">
        <f>IF(tblSubjectToLoan[[#This Row],[Date]]="",IF(ROW()=ROW(tblSubjectToLoan[#Headers])+1,0,INDEX(tblSubjectToLoan[Interest],ROW()-ROW(tblSubjectToLoan[#Headers])-1)),tblSubjectToLoan[[#This Row],[Int]]+IF(ROW()=ROW(tblSubjectToLoan[#Headers])+1,0,INDEX(tblSubjectToLoan[Interest],ROW()-ROW(tblSubjectToLoan[#Headers])-1)))</f>
        <v>36068.259999999973</v>
      </c>
      <c r="K806" s="969">
        <f>IF(tblSubjectToLoan[[#This Row],[Date]]="",0,MAX(0,tblSubjectToLoan[[#This Row],[Beginning Balance]]-tblSubjectToLoan[[#This Row],[Princ]]))</f>
        <v>0</v>
      </c>
      <c r="M806" s="22">
        <f t="shared" si="54"/>
        <v>0</v>
      </c>
      <c r="N806" s="615" t="str">
        <f>INDEX(tblSubjectToLoan[Date],ROW()-ROW(tblContractForDeed[#Headers]))</f>
        <v/>
      </c>
      <c r="O806" s="276">
        <f>IF(ROW()=ROW(tblContractForDeed[#Headers])+1,$O$6,IF(INDEX(tblContractForDeed[End Bal],ROW()-ROW(tblContractForDeed[#Headers])-1)&lt;0,0,INDEX(tblContractForDeed[End Bal],ROW()-ROW(tblContractForDeed[#Headers])-1)))</f>
        <v>0</v>
      </c>
      <c r="P806" s="454"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6" s="276">
        <f>IF(INDEX(tblContractForDeed[End Bal],ROW()-ROW(tblBuyerOutputs[#Headers]))&lt;=0,0,($O$6+IF(ROW()=ROW(tblBuyerOutputs[#Headers])+1,0,INDEX(tblBuyerOutputs[Cumul Appr],ROW()-ROW(tblBuyerOutputs[#Headers])-1)))*$O$2/12)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15" t="str">
        <f>IF(ROW()=ROW(tblSubjectToLoan[#Headers])+1,subjectKnownBalanceDate,IF(OR(INDEX(tblSubjectToLoan[Date],ROW()-ROW(tblSubjectToLoan[#Headers])-1)="",INDEX(tblSubjectToLoan[Date],ROW()-ROW(tblSubjectToLoan[#Headers])-1)&gt;=subjectMortgageEndDate),"",EDATE(INDEX(tblSubjectToLoan[Date],ROW()-ROW(tblSubjectToLoan[#Headers])-1),1)))</f>
        <v/>
      </c>
      <c r="B807" s="276">
        <f>IF(tblSubjectToLoan[[#This Row],[Date]]="",0,IF(ROW()=ROW(tblSubjectToLoan[#Headers])+1,subjectKnownBalance,MAX(0,INDEX(tblSubjectToLoan[Ending Balance],ROW()-ROW(tblSubjectToLoan[#Headers])-1))))</f>
        <v>0</v>
      </c>
      <c r="C8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7" s="14">
        <f>IF(tblSubjectToLoan[[#This Row],[Payment]]=0,0,MAX(0,MIN(tblSubjectToLoan[[#This Row],[Beginning Balance]],tblSubjectToLoan[[#This Row],[Payment]]-tblSubjectToLoan[[#This Row],[Int]])))</f>
        <v>0</v>
      </c>
      <c r="E807" s="14">
        <f>IF(tblSubjectToLoan[[#This Row],[Date]]="",0,ROUND(tblSubjectToLoan[[#This Row],[Beginning Balance]]*(subjectInterestRate/12),2))</f>
        <v>0</v>
      </c>
      <c r="H807" s="14">
        <f>SUM(tblSubjectToLoan[[#This Row],[Princ]],tblSubjectToLoan[[#This Row],[Int]],tblSubjectToLoan[[#This Row],[Ins]],tblSubjectToLoan[[#This Row],[Taxes]])</f>
        <v>0</v>
      </c>
      <c r="I8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7" s="276">
        <f>IF(tblSubjectToLoan[[#This Row],[Date]]="",IF(ROW()=ROW(tblSubjectToLoan[#Headers])+1,0,INDEX(tblSubjectToLoan[Interest],ROW()-ROW(tblSubjectToLoan[#Headers])-1)),tblSubjectToLoan[[#This Row],[Int]]+IF(ROW()=ROW(tblSubjectToLoan[#Headers])+1,0,INDEX(tblSubjectToLoan[Interest],ROW()-ROW(tblSubjectToLoan[#Headers])-1)))</f>
        <v>36068.259999999973</v>
      </c>
      <c r="K807" s="969">
        <f>IF(tblSubjectToLoan[[#This Row],[Date]]="",0,MAX(0,tblSubjectToLoan[[#This Row],[Beginning Balance]]-tblSubjectToLoan[[#This Row],[Princ]]))</f>
        <v>0</v>
      </c>
      <c r="M807" s="22">
        <f t="shared" si="54"/>
        <v>0</v>
      </c>
      <c r="N807" s="615" t="str">
        <f>INDEX(tblSubjectToLoan[Date],ROW()-ROW(tblContractForDeed[#Headers]))</f>
        <v/>
      </c>
      <c r="O807" s="276">
        <f>IF(ROW()=ROW(tblContractForDeed[#Headers])+1,$O$6,IF(INDEX(tblContractForDeed[End Bal],ROW()-ROW(tblContractForDeed[#Headers])-1)&lt;0,0,INDEX(tblContractForDeed[End Bal],ROW()-ROW(tblContractForDeed[#Headers])-1)))</f>
        <v>0</v>
      </c>
      <c r="P807" s="454"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7" s="276">
        <f>IF(INDEX(tblContractForDeed[End Bal],ROW()-ROW(tblBuyerOutputs[#Headers]))&lt;=0,0,($O$6+IF(ROW()=ROW(tblBuyerOutputs[#Headers])+1,0,INDEX(tblBuyerOutputs[Cumul Appr],ROW()-ROW(tblBuyerOutputs[#Headers])-1)))*$O$2/12)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15" t="str">
        <f>IF(ROW()=ROW(tblSubjectToLoan[#Headers])+1,subjectKnownBalanceDate,IF(OR(INDEX(tblSubjectToLoan[Date],ROW()-ROW(tblSubjectToLoan[#Headers])-1)="",INDEX(tblSubjectToLoan[Date],ROW()-ROW(tblSubjectToLoan[#Headers])-1)&gt;=subjectMortgageEndDate),"",EDATE(INDEX(tblSubjectToLoan[Date],ROW()-ROW(tblSubjectToLoan[#Headers])-1),1)))</f>
        <v/>
      </c>
      <c r="B808" s="276">
        <f>IF(tblSubjectToLoan[[#This Row],[Date]]="",0,IF(ROW()=ROW(tblSubjectToLoan[#Headers])+1,subjectKnownBalance,MAX(0,INDEX(tblSubjectToLoan[Ending Balance],ROW()-ROW(tblSubjectToLoan[#Headers])-1))))</f>
        <v>0</v>
      </c>
      <c r="C8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8" s="14">
        <f>IF(tblSubjectToLoan[[#This Row],[Payment]]=0,0,MAX(0,MIN(tblSubjectToLoan[[#This Row],[Beginning Balance]],tblSubjectToLoan[[#This Row],[Payment]]-tblSubjectToLoan[[#This Row],[Int]])))</f>
        <v>0</v>
      </c>
      <c r="E808" s="14">
        <f>IF(tblSubjectToLoan[[#This Row],[Date]]="",0,ROUND(tblSubjectToLoan[[#This Row],[Beginning Balance]]*(subjectInterestRate/12),2))</f>
        <v>0</v>
      </c>
      <c r="H808" s="14">
        <f>SUM(tblSubjectToLoan[[#This Row],[Princ]],tblSubjectToLoan[[#This Row],[Int]],tblSubjectToLoan[[#This Row],[Ins]],tblSubjectToLoan[[#This Row],[Taxes]])</f>
        <v>0</v>
      </c>
      <c r="I8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8" s="276">
        <f>IF(tblSubjectToLoan[[#This Row],[Date]]="",IF(ROW()=ROW(tblSubjectToLoan[#Headers])+1,0,INDEX(tblSubjectToLoan[Interest],ROW()-ROW(tblSubjectToLoan[#Headers])-1)),tblSubjectToLoan[[#This Row],[Int]]+IF(ROW()=ROW(tblSubjectToLoan[#Headers])+1,0,INDEX(tblSubjectToLoan[Interest],ROW()-ROW(tblSubjectToLoan[#Headers])-1)))</f>
        <v>36068.259999999973</v>
      </c>
      <c r="K808" s="969">
        <f>IF(tblSubjectToLoan[[#This Row],[Date]]="",0,MAX(0,tblSubjectToLoan[[#This Row],[Beginning Balance]]-tblSubjectToLoan[[#This Row],[Princ]]))</f>
        <v>0</v>
      </c>
      <c r="M808" s="22">
        <f t="shared" si="54"/>
        <v>0</v>
      </c>
      <c r="N808" s="615" t="str">
        <f>INDEX(tblSubjectToLoan[Date],ROW()-ROW(tblContractForDeed[#Headers]))</f>
        <v/>
      </c>
      <c r="O808" s="276">
        <f>IF(ROW()=ROW(tblContractForDeed[#Headers])+1,$O$6,IF(INDEX(tblContractForDeed[End Bal],ROW()-ROW(tblContractForDeed[#Headers])-1)&lt;0,0,INDEX(tblContractForDeed[End Bal],ROW()-ROW(tblContractForDeed[#Headers])-1)))</f>
        <v>0</v>
      </c>
      <c r="P808" s="454"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8" s="276">
        <f>IF(INDEX(tblContractForDeed[End Bal],ROW()-ROW(tblBuyerOutputs[#Headers]))&lt;=0,0,($O$6+IF(ROW()=ROW(tblBuyerOutputs[#Headers])+1,0,INDEX(tblBuyerOutputs[Cumul Appr],ROW()-ROW(tblBuyerOutputs[#Headers])-1)))*$O$2/12)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15" t="str">
        <f>IF(ROW()=ROW(tblSubjectToLoan[#Headers])+1,subjectKnownBalanceDate,IF(OR(INDEX(tblSubjectToLoan[Date],ROW()-ROW(tblSubjectToLoan[#Headers])-1)="",INDEX(tblSubjectToLoan[Date],ROW()-ROW(tblSubjectToLoan[#Headers])-1)&gt;=subjectMortgageEndDate),"",EDATE(INDEX(tblSubjectToLoan[Date],ROW()-ROW(tblSubjectToLoan[#Headers])-1),1)))</f>
        <v/>
      </c>
      <c r="B809" s="276">
        <f>IF(tblSubjectToLoan[[#This Row],[Date]]="",0,IF(ROW()=ROW(tblSubjectToLoan[#Headers])+1,subjectKnownBalance,MAX(0,INDEX(tblSubjectToLoan[Ending Balance],ROW()-ROW(tblSubjectToLoan[#Headers])-1))))</f>
        <v>0</v>
      </c>
      <c r="C8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9" s="14">
        <f>IF(tblSubjectToLoan[[#This Row],[Payment]]=0,0,MAX(0,MIN(tblSubjectToLoan[[#This Row],[Beginning Balance]],tblSubjectToLoan[[#This Row],[Payment]]-tblSubjectToLoan[[#This Row],[Int]])))</f>
        <v>0</v>
      </c>
      <c r="E809" s="14">
        <f>IF(tblSubjectToLoan[[#This Row],[Date]]="",0,ROUND(tblSubjectToLoan[[#This Row],[Beginning Balance]]*(subjectInterestRate/12),2))</f>
        <v>0</v>
      </c>
      <c r="H809" s="14">
        <f>SUM(tblSubjectToLoan[[#This Row],[Princ]],tblSubjectToLoan[[#This Row],[Int]],tblSubjectToLoan[[#This Row],[Ins]],tblSubjectToLoan[[#This Row],[Taxes]])</f>
        <v>0</v>
      </c>
      <c r="I8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9" s="276">
        <f>IF(tblSubjectToLoan[[#This Row],[Date]]="",IF(ROW()=ROW(tblSubjectToLoan[#Headers])+1,0,INDEX(tblSubjectToLoan[Interest],ROW()-ROW(tblSubjectToLoan[#Headers])-1)),tblSubjectToLoan[[#This Row],[Int]]+IF(ROW()=ROW(tblSubjectToLoan[#Headers])+1,0,INDEX(tblSubjectToLoan[Interest],ROW()-ROW(tblSubjectToLoan[#Headers])-1)))</f>
        <v>36068.259999999973</v>
      </c>
      <c r="K809" s="969">
        <f>IF(tblSubjectToLoan[[#This Row],[Date]]="",0,MAX(0,tblSubjectToLoan[[#This Row],[Beginning Balance]]-tblSubjectToLoan[[#This Row],[Princ]]))</f>
        <v>0</v>
      </c>
      <c r="M809" s="22">
        <f t="shared" si="54"/>
        <v>0</v>
      </c>
      <c r="N809" s="615" t="str">
        <f>INDEX(tblSubjectToLoan[Date],ROW()-ROW(tblContractForDeed[#Headers]))</f>
        <v/>
      </c>
      <c r="O809" s="276">
        <f>IF(ROW()=ROW(tblContractForDeed[#Headers])+1,$O$6,IF(INDEX(tblContractForDeed[End Bal],ROW()-ROW(tblContractForDeed[#Headers])-1)&lt;0,0,INDEX(tblContractForDeed[End Bal],ROW()-ROW(tblContractForDeed[#Headers])-1)))</f>
        <v>0</v>
      </c>
      <c r="P809" s="454"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9" s="276">
        <f>IF(INDEX(tblContractForDeed[End Bal],ROW()-ROW(tblBuyerOutputs[#Headers]))&lt;=0,0,($O$6+IF(ROW()=ROW(tblBuyerOutputs[#Headers])+1,0,INDEX(tblBuyerOutputs[Cumul Appr],ROW()-ROW(tblBuyerOutputs[#Headers])-1)))*$O$2/12)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15" t="str">
        <f>IF(ROW()=ROW(tblSubjectToLoan[#Headers])+1,subjectKnownBalanceDate,IF(OR(INDEX(tblSubjectToLoan[Date],ROW()-ROW(tblSubjectToLoan[#Headers])-1)="",INDEX(tblSubjectToLoan[Date],ROW()-ROW(tblSubjectToLoan[#Headers])-1)&gt;=subjectMortgageEndDate),"",EDATE(INDEX(tblSubjectToLoan[Date],ROW()-ROW(tblSubjectToLoan[#Headers])-1),1)))</f>
        <v/>
      </c>
      <c r="B810" s="276">
        <f>IF(tblSubjectToLoan[[#This Row],[Date]]="",0,IF(ROW()=ROW(tblSubjectToLoan[#Headers])+1,subjectKnownBalance,MAX(0,INDEX(tblSubjectToLoan[Ending Balance],ROW()-ROW(tblSubjectToLoan[#Headers])-1))))</f>
        <v>0</v>
      </c>
      <c r="C8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0" s="14">
        <f>IF(tblSubjectToLoan[[#This Row],[Payment]]=0,0,MAX(0,MIN(tblSubjectToLoan[[#This Row],[Beginning Balance]],tblSubjectToLoan[[#This Row],[Payment]]-tblSubjectToLoan[[#This Row],[Int]])))</f>
        <v>0</v>
      </c>
      <c r="E810" s="14">
        <f>IF(tblSubjectToLoan[[#This Row],[Date]]="",0,ROUND(tblSubjectToLoan[[#This Row],[Beginning Balance]]*(subjectInterestRate/12),2))</f>
        <v>0</v>
      </c>
      <c r="H810" s="14">
        <f>SUM(tblSubjectToLoan[[#This Row],[Princ]],tblSubjectToLoan[[#This Row],[Int]],tblSubjectToLoan[[#This Row],[Ins]],tblSubjectToLoan[[#This Row],[Taxes]])</f>
        <v>0</v>
      </c>
      <c r="I8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0" s="276">
        <f>IF(tblSubjectToLoan[[#This Row],[Date]]="",IF(ROW()=ROW(tblSubjectToLoan[#Headers])+1,0,INDEX(tblSubjectToLoan[Interest],ROW()-ROW(tblSubjectToLoan[#Headers])-1)),tblSubjectToLoan[[#This Row],[Int]]+IF(ROW()=ROW(tblSubjectToLoan[#Headers])+1,0,INDEX(tblSubjectToLoan[Interest],ROW()-ROW(tblSubjectToLoan[#Headers])-1)))</f>
        <v>36068.259999999973</v>
      </c>
      <c r="K810" s="969">
        <f>IF(tblSubjectToLoan[[#This Row],[Date]]="",0,MAX(0,tblSubjectToLoan[[#This Row],[Beginning Balance]]-tblSubjectToLoan[[#This Row],[Princ]]))</f>
        <v>0</v>
      </c>
      <c r="M810" s="22">
        <f t="shared" si="54"/>
        <v>0</v>
      </c>
      <c r="N810" s="615" t="str">
        <f>INDEX(tblSubjectToLoan[Date],ROW()-ROW(tblContractForDeed[#Headers]))</f>
        <v/>
      </c>
      <c r="O810" s="276">
        <f>IF(ROW()=ROW(tblContractForDeed[#Headers])+1,$O$6,IF(INDEX(tblContractForDeed[End Bal],ROW()-ROW(tblContractForDeed[#Headers])-1)&lt;0,0,INDEX(tblContractForDeed[End Bal],ROW()-ROW(tblContractForDeed[#Headers])-1)))</f>
        <v>0</v>
      </c>
      <c r="P810" s="454"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0" s="276">
        <f>IF(INDEX(tblContractForDeed[End Bal],ROW()-ROW(tblBuyerOutputs[#Headers]))&lt;=0,0,($O$6+IF(ROW()=ROW(tblBuyerOutputs[#Headers])+1,0,INDEX(tblBuyerOutputs[Cumul Appr],ROW()-ROW(tblBuyerOutputs[#Headers])-1)))*$O$2/12)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15" t="str">
        <f>IF(ROW()=ROW(tblSubjectToLoan[#Headers])+1,subjectKnownBalanceDate,IF(OR(INDEX(tblSubjectToLoan[Date],ROW()-ROW(tblSubjectToLoan[#Headers])-1)="",INDEX(tblSubjectToLoan[Date],ROW()-ROW(tblSubjectToLoan[#Headers])-1)&gt;=subjectMortgageEndDate),"",EDATE(INDEX(tblSubjectToLoan[Date],ROW()-ROW(tblSubjectToLoan[#Headers])-1),1)))</f>
        <v/>
      </c>
      <c r="B811" s="276">
        <f>IF(tblSubjectToLoan[[#This Row],[Date]]="",0,IF(ROW()=ROW(tblSubjectToLoan[#Headers])+1,subjectKnownBalance,MAX(0,INDEX(tblSubjectToLoan[Ending Balance],ROW()-ROW(tblSubjectToLoan[#Headers])-1))))</f>
        <v>0</v>
      </c>
      <c r="C8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1" s="14">
        <f>IF(tblSubjectToLoan[[#This Row],[Payment]]=0,0,MAX(0,MIN(tblSubjectToLoan[[#This Row],[Beginning Balance]],tblSubjectToLoan[[#This Row],[Payment]]-tblSubjectToLoan[[#This Row],[Int]])))</f>
        <v>0</v>
      </c>
      <c r="E811" s="14">
        <f>IF(tblSubjectToLoan[[#This Row],[Date]]="",0,ROUND(tblSubjectToLoan[[#This Row],[Beginning Balance]]*(subjectInterestRate/12),2))</f>
        <v>0</v>
      </c>
      <c r="H811" s="14">
        <f>SUM(tblSubjectToLoan[[#This Row],[Princ]],tblSubjectToLoan[[#This Row],[Int]],tblSubjectToLoan[[#This Row],[Ins]],tblSubjectToLoan[[#This Row],[Taxes]])</f>
        <v>0</v>
      </c>
      <c r="I8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1" s="276">
        <f>IF(tblSubjectToLoan[[#This Row],[Date]]="",IF(ROW()=ROW(tblSubjectToLoan[#Headers])+1,0,INDEX(tblSubjectToLoan[Interest],ROW()-ROW(tblSubjectToLoan[#Headers])-1)),tblSubjectToLoan[[#This Row],[Int]]+IF(ROW()=ROW(tblSubjectToLoan[#Headers])+1,0,INDEX(tblSubjectToLoan[Interest],ROW()-ROW(tblSubjectToLoan[#Headers])-1)))</f>
        <v>36068.259999999973</v>
      </c>
      <c r="K811" s="969">
        <f>IF(tblSubjectToLoan[[#This Row],[Date]]="",0,MAX(0,tblSubjectToLoan[[#This Row],[Beginning Balance]]-tblSubjectToLoan[[#This Row],[Princ]]))</f>
        <v>0</v>
      </c>
      <c r="M811" s="22">
        <f t="shared" si="54"/>
        <v>0</v>
      </c>
      <c r="N811" s="615" t="str">
        <f>INDEX(tblSubjectToLoan[Date],ROW()-ROW(tblContractForDeed[#Headers]))</f>
        <v/>
      </c>
      <c r="O811" s="276">
        <f>IF(ROW()=ROW(tblContractForDeed[#Headers])+1,$O$6,IF(INDEX(tblContractForDeed[End Bal],ROW()-ROW(tblContractForDeed[#Headers])-1)&lt;0,0,INDEX(tblContractForDeed[End Bal],ROW()-ROW(tblContractForDeed[#Headers])-1)))</f>
        <v>0</v>
      </c>
      <c r="P811" s="454"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1" s="276">
        <f>IF(INDEX(tblContractForDeed[End Bal],ROW()-ROW(tblBuyerOutputs[#Headers]))&lt;=0,0,($O$6+IF(ROW()=ROW(tblBuyerOutputs[#Headers])+1,0,INDEX(tblBuyerOutputs[Cumul Appr],ROW()-ROW(tblBuyerOutputs[#Headers])-1)))*$O$2/12)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15" t="str">
        <f>IF(ROW()=ROW(tblSubjectToLoan[#Headers])+1,subjectKnownBalanceDate,IF(OR(INDEX(tblSubjectToLoan[Date],ROW()-ROW(tblSubjectToLoan[#Headers])-1)="",INDEX(tblSubjectToLoan[Date],ROW()-ROW(tblSubjectToLoan[#Headers])-1)&gt;=subjectMortgageEndDate),"",EDATE(INDEX(tblSubjectToLoan[Date],ROW()-ROW(tblSubjectToLoan[#Headers])-1),1)))</f>
        <v/>
      </c>
      <c r="B812" s="276">
        <f>IF(tblSubjectToLoan[[#This Row],[Date]]="",0,IF(ROW()=ROW(tblSubjectToLoan[#Headers])+1,subjectKnownBalance,MAX(0,INDEX(tblSubjectToLoan[Ending Balance],ROW()-ROW(tblSubjectToLoan[#Headers])-1))))</f>
        <v>0</v>
      </c>
      <c r="C8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2" s="14">
        <f>IF(tblSubjectToLoan[[#This Row],[Payment]]=0,0,MAX(0,MIN(tblSubjectToLoan[[#This Row],[Beginning Balance]],tblSubjectToLoan[[#This Row],[Payment]]-tblSubjectToLoan[[#This Row],[Int]])))</f>
        <v>0</v>
      </c>
      <c r="E812" s="14">
        <f>IF(tblSubjectToLoan[[#This Row],[Date]]="",0,ROUND(tblSubjectToLoan[[#This Row],[Beginning Balance]]*(subjectInterestRate/12),2))</f>
        <v>0</v>
      </c>
      <c r="H812" s="14">
        <f>SUM(tblSubjectToLoan[[#This Row],[Princ]],tblSubjectToLoan[[#This Row],[Int]],tblSubjectToLoan[[#This Row],[Ins]],tblSubjectToLoan[[#This Row],[Taxes]])</f>
        <v>0</v>
      </c>
      <c r="I8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2" s="276">
        <f>IF(tblSubjectToLoan[[#This Row],[Date]]="",IF(ROW()=ROW(tblSubjectToLoan[#Headers])+1,0,INDEX(tblSubjectToLoan[Interest],ROW()-ROW(tblSubjectToLoan[#Headers])-1)),tblSubjectToLoan[[#This Row],[Int]]+IF(ROW()=ROW(tblSubjectToLoan[#Headers])+1,0,INDEX(tblSubjectToLoan[Interest],ROW()-ROW(tblSubjectToLoan[#Headers])-1)))</f>
        <v>36068.259999999973</v>
      </c>
      <c r="K812" s="969">
        <f>IF(tblSubjectToLoan[[#This Row],[Date]]="",0,MAX(0,tblSubjectToLoan[[#This Row],[Beginning Balance]]-tblSubjectToLoan[[#This Row],[Princ]]))</f>
        <v>0</v>
      </c>
      <c r="M812" s="22">
        <f t="shared" si="54"/>
        <v>0</v>
      </c>
      <c r="N812" s="615" t="str">
        <f>INDEX(tblSubjectToLoan[Date],ROW()-ROW(tblContractForDeed[#Headers]))</f>
        <v/>
      </c>
      <c r="O812" s="276">
        <f>IF(ROW()=ROW(tblContractForDeed[#Headers])+1,$O$6,IF(INDEX(tblContractForDeed[End Bal],ROW()-ROW(tblContractForDeed[#Headers])-1)&lt;0,0,INDEX(tblContractForDeed[End Bal],ROW()-ROW(tblContractForDeed[#Headers])-1)))</f>
        <v>0</v>
      </c>
      <c r="P812" s="454"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2" s="276">
        <f>IF(INDEX(tblContractForDeed[End Bal],ROW()-ROW(tblBuyerOutputs[#Headers]))&lt;=0,0,($O$6+IF(ROW()=ROW(tblBuyerOutputs[#Headers])+1,0,INDEX(tblBuyerOutputs[Cumul Appr],ROW()-ROW(tblBuyerOutputs[#Headers])-1)))*$O$2/12)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15" t="str">
        <f>IF(ROW()=ROW(tblSubjectToLoan[#Headers])+1,subjectKnownBalanceDate,IF(OR(INDEX(tblSubjectToLoan[Date],ROW()-ROW(tblSubjectToLoan[#Headers])-1)="",INDEX(tblSubjectToLoan[Date],ROW()-ROW(tblSubjectToLoan[#Headers])-1)&gt;=subjectMortgageEndDate),"",EDATE(INDEX(tblSubjectToLoan[Date],ROW()-ROW(tblSubjectToLoan[#Headers])-1),1)))</f>
        <v/>
      </c>
      <c r="B813" s="276">
        <f>IF(tblSubjectToLoan[[#This Row],[Date]]="",0,IF(ROW()=ROW(tblSubjectToLoan[#Headers])+1,subjectKnownBalance,MAX(0,INDEX(tblSubjectToLoan[Ending Balance],ROW()-ROW(tblSubjectToLoan[#Headers])-1))))</f>
        <v>0</v>
      </c>
      <c r="C8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3" s="14">
        <f>IF(tblSubjectToLoan[[#This Row],[Payment]]=0,0,MAX(0,MIN(tblSubjectToLoan[[#This Row],[Beginning Balance]],tblSubjectToLoan[[#This Row],[Payment]]-tblSubjectToLoan[[#This Row],[Int]])))</f>
        <v>0</v>
      </c>
      <c r="E813" s="14">
        <f>IF(tblSubjectToLoan[[#This Row],[Date]]="",0,ROUND(tblSubjectToLoan[[#This Row],[Beginning Balance]]*(subjectInterestRate/12),2))</f>
        <v>0</v>
      </c>
      <c r="H813" s="14">
        <f>SUM(tblSubjectToLoan[[#This Row],[Princ]],tblSubjectToLoan[[#This Row],[Int]],tblSubjectToLoan[[#This Row],[Ins]],tblSubjectToLoan[[#This Row],[Taxes]])</f>
        <v>0</v>
      </c>
      <c r="I8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3" s="276">
        <f>IF(tblSubjectToLoan[[#This Row],[Date]]="",IF(ROW()=ROW(tblSubjectToLoan[#Headers])+1,0,INDEX(tblSubjectToLoan[Interest],ROW()-ROW(tblSubjectToLoan[#Headers])-1)),tblSubjectToLoan[[#This Row],[Int]]+IF(ROW()=ROW(tblSubjectToLoan[#Headers])+1,0,INDEX(tblSubjectToLoan[Interest],ROW()-ROW(tblSubjectToLoan[#Headers])-1)))</f>
        <v>36068.259999999973</v>
      </c>
      <c r="K813" s="969">
        <f>IF(tblSubjectToLoan[[#This Row],[Date]]="",0,MAX(0,tblSubjectToLoan[[#This Row],[Beginning Balance]]-tblSubjectToLoan[[#This Row],[Princ]]))</f>
        <v>0</v>
      </c>
      <c r="M813" s="22">
        <f t="shared" si="54"/>
        <v>0</v>
      </c>
      <c r="N813" s="615" t="str">
        <f>INDEX(tblSubjectToLoan[Date],ROW()-ROW(tblContractForDeed[#Headers]))</f>
        <v/>
      </c>
      <c r="O813" s="276">
        <f>IF(ROW()=ROW(tblContractForDeed[#Headers])+1,$O$6,IF(INDEX(tblContractForDeed[End Bal],ROW()-ROW(tblContractForDeed[#Headers])-1)&lt;0,0,INDEX(tblContractForDeed[End Bal],ROW()-ROW(tblContractForDeed[#Headers])-1)))</f>
        <v>0</v>
      </c>
      <c r="P813" s="454"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3" s="276">
        <f>IF(INDEX(tblContractForDeed[End Bal],ROW()-ROW(tblBuyerOutputs[#Headers]))&lt;=0,0,($O$6+IF(ROW()=ROW(tblBuyerOutputs[#Headers])+1,0,INDEX(tblBuyerOutputs[Cumul Appr],ROW()-ROW(tblBuyerOutputs[#Headers])-1)))*$O$2/12)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15" t="str">
        <f>IF(ROW()=ROW(tblSubjectToLoan[#Headers])+1,subjectKnownBalanceDate,IF(OR(INDEX(tblSubjectToLoan[Date],ROW()-ROW(tblSubjectToLoan[#Headers])-1)="",INDEX(tblSubjectToLoan[Date],ROW()-ROW(tblSubjectToLoan[#Headers])-1)&gt;=subjectMortgageEndDate),"",EDATE(INDEX(tblSubjectToLoan[Date],ROW()-ROW(tblSubjectToLoan[#Headers])-1),1)))</f>
        <v/>
      </c>
      <c r="B814" s="276">
        <f>IF(tblSubjectToLoan[[#This Row],[Date]]="",0,IF(ROW()=ROW(tblSubjectToLoan[#Headers])+1,subjectKnownBalance,MAX(0,INDEX(tblSubjectToLoan[Ending Balance],ROW()-ROW(tblSubjectToLoan[#Headers])-1))))</f>
        <v>0</v>
      </c>
      <c r="C8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4" s="14">
        <f>IF(tblSubjectToLoan[[#This Row],[Payment]]=0,0,MAX(0,MIN(tblSubjectToLoan[[#This Row],[Beginning Balance]],tblSubjectToLoan[[#This Row],[Payment]]-tblSubjectToLoan[[#This Row],[Int]])))</f>
        <v>0</v>
      </c>
      <c r="E814" s="14">
        <f>IF(tblSubjectToLoan[[#This Row],[Date]]="",0,ROUND(tblSubjectToLoan[[#This Row],[Beginning Balance]]*(subjectInterestRate/12),2))</f>
        <v>0</v>
      </c>
      <c r="H814" s="14">
        <f>SUM(tblSubjectToLoan[[#This Row],[Princ]],tblSubjectToLoan[[#This Row],[Int]],tblSubjectToLoan[[#This Row],[Ins]],tblSubjectToLoan[[#This Row],[Taxes]])</f>
        <v>0</v>
      </c>
      <c r="I8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4" s="276">
        <f>IF(tblSubjectToLoan[[#This Row],[Date]]="",IF(ROW()=ROW(tblSubjectToLoan[#Headers])+1,0,INDEX(tblSubjectToLoan[Interest],ROW()-ROW(tblSubjectToLoan[#Headers])-1)),tblSubjectToLoan[[#This Row],[Int]]+IF(ROW()=ROW(tblSubjectToLoan[#Headers])+1,0,INDEX(tblSubjectToLoan[Interest],ROW()-ROW(tblSubjectToLoan[#Headers])-1)))</f>
        <v>36068.259999999973</v>
      </c>
      <c r="K814" s="969">
        <f>IF(tblSubjectToLoan[[#This Row],[Date]]="",0,MAX(0,tblSubjectToLoan[[#This Row],[Beginning Balance]]-tblSubjectToLoan[[#This Row],[Princ]]))</f>
        <v>0</v>
      </c>
      <c r="M814" s="22">
        <f t="shared" si="54"/>
        <v>0</v>
      </c>
      <c r="N814" s="615" t="str">
        <f>INDEX(tblSubjectToLoan[Date],ROW()-ROW(tblContractForDeed[#Headers]))</f>
        <v/>
      </c>
      <c r="O814" s="276">
        <f>IF(ROW()=ROW(tblContractForDeed[#Headers])+1,$O$6,IF(INDEX(tblContractForDeed[End Bal],ROW()-ROW(tblContractForDeed[#Headers])-1)&lt;0,0,INDEX(tblContractForDeed[End Bal],ROW()-ROW(tblContractForDeed[#Headers])-1)))</f>
        <v>0</v>
      </c>
      <c r="P814" s="454"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4" s="276">
        <f>IF(INDEX(tblContractForDeed[End Bal],ROW()-ROW(tblBuyerOutputs[#Headers]))&lt;=0,0,($O$6+IF(ROW()=ROW(tblBuyerOutputs[#Headers])+1,0,INDEX(tblBuyerOutputs[Cumul Appr],ROW()-ROW(tblBuyerOutputs[#Headers])-1)))*$O$2/12)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15" t="str">
        <f>IF(ROW()=ROW(tblSubjectToLoan[#Headers])+1,subjectKnownBalanceDate,IF(OR(INDEX(tblSubjectToLoan[Date],ROW()-ROW(tblSubjectToLoan[#Headers])-1)="",INDEX(tblSubjectToLoan[Date],ROW()-ROW(tblSubjectToLoan[#Headers])-1)&gt;=subjectMortgageEndDate),"",EDATE(INDEX(tblSubjectToLoan[Date],ROW()-ROW(tblSubjectToLoan[#Headers])-1),1)))</f>
        <v/>
      </c>
      <c r="B815" s="276">
        <f>IF(tblSubjectToLoan[[#This Row],[Date]]="",0,IF(ROW()=ROW(tblSubjectToLoan[#Headers])+1,subjectKnownBalance,MAX(0,INDEX(tblSubjectToLoan[Ending Balance],ROW()-ROW(tblSubjectToLoan[#Headers])-1))))</f>
        <v>0</v>
      </c>
      <c r="C8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5" s="14">
        <f>IF(tblSubjectToLoan[[#This Row],[Payment]]=0,0,MAX(0,MIN(tblSubjectToLoan[[#This Row],[Beginning Balance]],tblSubjectToLoan[[#This Row],[Payment]]-tblSubjectToLoan[[#This Row],[Int]])))</f>
        <v>0</v>
      </c>
      <c r="E815" s="14">
        <f>IF(tblSubjectToLoan[[#This Row],[Date]]="",0,ROUND(tblSubjectToLoan[[#This Row],[Beginning Balance]]*(subjectInterestRate/12),2))</f>
        <v>0</v>
      </c>
      <c r="H815" s="14">
        <f>SUM(tblSubjectToLoan[[#This Row],[Princ]],tblSubjectToLoan[[#This Row],[Int]],tblSubjectToLoan[[#This Row],[Ins]],tblSubjectToLoan[[#This Row],[Taxes]])</f>
        <v>0</v>
      </c>
      <c r="I8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5" s="276">
        <f>IF(tblSubjectToLoan[[#This Row],[Date]]="",IF(ROW()=ROW(tblSubjectToLoan[#Headers])+1,0,INDEX(tblSubjectToLoan[Interest],ROW()-ROW(tblSubjectToLoan[#Headers])-1)),tblSubjectToLoan[[#This Row],[Int]]+IF(ROW()=ROW(tblSubjectToLoan[#Headers])+1,0,INDEX(tblSubjectToLoan[Interest],ROW()-ROW(tblSubjectToLoan[#Headers])-1)))</f>
        <v>36068.259999999973</v>
      </c>
      <c r="K815" s="969">
        <f>IF(tblSubjectToLoan[[#This Row],[Date]]="",0,MAX(0,tblSubjectToLoan[[#This Row],[Beginning Balance]]-tblSubjectToLoan[[#This Row],[Princ]]))</f>
        <v>0</v>
      </c>
      <c r="M815" s="22">
        <f t="shared" si="54"/>
        <v>0</v>
      </c>
      <c r="N815" s="615" t="str">
        <f>INDEX(tblSubjectToLoan[Date],ROW()-ROW(tblContractForDeed[#Headers]))</f>
        <v/>
      </c>
      <c r="O815" s="276">
        <f>IF(ROW()=ROW(tblContractForDeed[#Headers])+1,$O$6,IF(INDEX(tblContractForDeed[End Bal],ROW()-ROW(tblContractForDeed[#Headers])-1)&lt;0,0,INDEX(tblContractForDeed[End Bal],ROW()-ROW(tblContractForDeed[#Headers])-1)))</f>
        <v>0</v>
      </c>
      <c r="P815" s="454"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5" s="276">
        <f>IF(INDEX(tblContractForDeed[End Bal],ROW()-ROW(tblBuyerOutputs[#Headers]))&lt;=0,0,($O$6+IF(ROW()=ROW(tblBuyerOutputs[#Headers])+1,0,INDEX(tblBuyerOutputs[Cumul Appr],ROW()-ROW(tblBuyerOutputs[#Headers])-1)))*$O$2/12)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15" t="str">
        <f>IF(ROW()=ROW(tblSubjectToLoan[#Headers])+1,subjectKnownBalanceDate,IF(OR(INDEX(tblSubjectToLoan[Date],ROW()-ROW(tblSubjectToLoan[#Headers])-1)="",INDEX(tblSubjectToLoan[Date],ROW()-ROW(tblSubjectToLoan[#Headers])-1)&gt;=subjectMortgageEndDate),"",EDATE(INDEX(tblSubjectToLoan[Date],ROW()-ROW(tblSubjectToLoan[#Headers])-1),1)))</f>
        <v/>
      </c>
      <c r="B816" s="276">
        <f>IF(tblSubjectToLoan[[#This Row],[Date]]="",0,IF(ROW()=ROW(tblSubjectToLoan[#Headers])+1,subjectKnownBalance,MAX(0,INDEX(tblSubjectToLoan[Ending Balance],ROW()-ROW(tblSubjectToLoan[#Headers])-1))))</f>
        <v>0</v>
      </c>
      <c r="C8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6" s="14">
        <f>IF(tblSubjectToLoan[[#This Row],[Payment]]=0,0,MAX(0,MIN(tblSubjectToLoan[[#This Row],[Beginning Balance]],tblSubjectToLoan[[#This Row],[Payment]]-tblSubjectToLoan[[#This Row],[Int]])))</f>
        <v>0</v>
      </c>
      <c r="E816" s="14">
        <f>IF(tblSubjectToLoan[[#This Row],[Date]]="",0,ROUND(tblSubjectToLoan[[#This Row],[Beginning Balance]]*(subjectInterestRate/12),2))</f>
        <v>0</v>
      </c>
      <c r="H816" s="14">
        <f>SUM(tblSubjectToLoan[[#This Row],[Princ]],tblSubjectToLoan[[#This Row],[Int]],tblSubjectToLoan[[#This Row],[Ins]],tblSubjectToLoan[[#This Row],[Taxes]])</f>
        <v>0</v>
      </c>
      <c r="I8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6" s="276">
        <f>IF(tblSubjectToLoan[[#This Row],[Date]]="",IF(ROW()=ROW(tblSubjectToLoan[#Headers])+1,0,INDEX(tblSubjectToLoan[Interest],ROW()-ROW(tblSubjectToLoan[#Headers])-1)),tblSubjectToLoan[[#This Row],[Int]]+IF(ROW()=ROW(tblSubjectToLoan[#Headers])+1,0,INDEX(tblSubjectToLoan[Interest],ROW()-ROW(tblSubjectToLoan[#Headers])-1)))</f>
        <v>36068.259999999973</v>
      </c>
      <c r="K816" s="969">
        <f>IF(tblSubjectToLoan[[#This Row],[Date]]="",0,MAX(0,tblSubjectToLoan[[#This Row],[Beginning Balance]]-tblSubjectToLoan[[#This Row],[Princ]]))</f>
        <v>0</v>
      </c>
      <c r="M816" s="22">
        <f t="shared" si="54"/>
        <v>0</v>
      </c>
      <c r="N816" s="615" t="str">
        <f>INDEX(tblSubjectToLoan[Date],ROW()-ROW(tblContractForDeed[#Headers]))</f>
        <v/>
      </c>
      <c r="O816" s="276">
        <f>IF(ROW()=ROW(tblContractForDeed[#Headers])+1,$O$6,IF(INDEX(tblContractForDeed[End Bal],ROW()-ROW(tblContractForDeed[#Headers])-1)&lt;0,0,INDEX(tblContractForDeed[End Bal],ROW()-ROW(tblContractForDeed[#Headers])-1)))</f>
        <v>0</v>
      </c>
      <c r="P816" s="454"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6" s="276">
        <f>IF(INDEX(tblContractForDeed[End Bal],ROW()-ROW(tblBuyerOutputs[#Headers]))&lt;=0,0,($O$6+IF(ROW()=ROW(tblBuyerOutputs[#Headers])+1,0,INDEX(tblBuyerOutputs[Cumul Appr],ROW()-ROW(tblBuyerOutputs[#Headers])-1)))*$O$2/12)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15" t="str">
        <f>IF(ROW()=ROW(tblSubjectToLoan[#Headers])+1,subjectKnownBalanceDate,IF(OR(INDEX(tblSubjectToLoan[Date],ROW()-ROW(tblSubjectToLoan[#Headers])-1)="",INDEX(tblSubjectToLoan[Date],ROW()-ROW(tblSubjectToLoan[#Headers])-1)&gt;=subjectMortgageEndDate),"",EDATE(INDEX(tblSubjectToLoan[Date],ROW()-ROW(tblSubjectToLoan[#Headers])-1),1)))</f>
        <v/>
      </c>
      <c r="B817" s="276">
        <f>IF(tblSubjectToLoan[[#This Row],[Date]]="",0,IF(ROW()=ROW(tblSubjectToLoan[#Headers])+1,subjectKnownBalance,MAX(0,INDEX(tblSubjectToLoan[Ending Balance],ROW()-ROW(tblSubjectToLoan[#Headers])-1))))</f>
        <v>0</v>
      </c>
      <c r="C8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7" s="14">
        <f>IF(tblSubjectToLoan[[#This Row],[Payment]]=0,0,MAX(0,MIN(tblSubjectToLoan[[#This Row],[Beginning Balance]],tblSubjectToLoan[[#This Row],[Payment]]-tblSubjectToLoan[[#This Row],[Int]])))</f>
        <v>0</v>
      </c>
      <c r="E817" s="14">
        <f>IF(tblSubjectToLoan[[#This Row],[Date]]="",0,ROUND(tblSubjectToLoan[[#This Row],[Beginning Balance]]*(subjectInterestRate/12),2))</f>
        <v>0</v>
      </c>
      <c r="H817" s="14">
        <f>SUM(tblSubjectToLoan[[#This Row],[Princ]],tblSubjectToLoan[[#This Row],[Int]],tblSubjectToLoan[[#This Row],[Ins]],tblSubjectToLoan[[#This Row],[Taxes]])</f>
        <v>0</v>
      </c>
      <c r="I8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7" s="276">
        <f>IF(tblSubjectToLoan[[#This Row],[Date]]="",IF(ROW()=ROW(tblSubjectToLoan[#Headers])+1,0,INDEX(tblSubjectToLoan[Interest],ROW()-ROW(tblSubjectToLoan[#Headers])-1)),tblSubjectToLoan[[#This Row],[Int]]+IF(ROW()=ROW(tblSubjectToLoan[#Headers])+1,0,INDEX(tblSubjectToLoan[Interest],ROW()-ROW(tblSubjectToLoan[#Headers])-1)))</f>
        <v>36068.259999999973</v>
      </c>
      <c r="K817" s="969">
        <f>IF(tblSubjectToLoan[[#This Row],[Date]]="",0,MAX(0,tblSubjectToLoan[[#This Row],[Beginning Balance]]-tblSubjectToLoan[[#This Row],[Princ]]))</f>
        <v>0</v>
      </c>
      <c r="M817" s="22">
        <f t="shared" si="54"/>
        <v>0</v>
      </c>
      <c r="N817" s="615" t="str">
        <f>INDEX(tblSubjectToLoan[Date],ROW()-ROW(tblContractForDeed[#Headers]))</f>
        <v/>
      </c>
      <c r="O817" s="276">
        <f>IF(ROW()=ROW(tblContractForDeed[#Headers])+1,$O$6,IF(INDEX(tblContractForDeed[End Bal],ROW()-ROW(tblContractForDeed[#Headers])-1)&lt;0,0,INDEX(tblContractForDeed[End Bal],ROW()-ROW(tblContractForDeed[#Headers])-1)))</f>
        <v>0</v>
      </c>
      <c r="P817" s="454"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7" s="276">
        <f>IF(INDEX(tblContractForDeed[End Bal],ROW()-ROW(tblBuyerOutputs[#Headers]))&lt;=0,0,($O$6+IF(ROW()=ROW(tblBuyerOutputs[#Headers])+1,0,INDEX(tblBuyerOutputs[Cumul Appr],ROW()-ROW(tblBuyerOutputs[#Headers])-1)))*$O$2/12)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15" t="str">
        <f>IF(ROW()=ROW(tblSubjectToLoan[#Headers])+1,subjectKnownBalanceDate,IF(OR(INDEX(tblSubjectToLoan[Date],ROW()-ROW(tblSubjectToLoan[#Headers])-1)="",INDEX(tblSubjectToLoan[Date],ROW()-ROW(tblSubjectToLoan[#Headers])-1)&gt;=subjectMortgageEndDate),"",EDATE(INDEX(tblSubjectToLoan[Date],ROW()-ROW(tblSubjectToLoan[#Headers])-1),1)))</f>
        <v/>
      </c>
      <c r="B818" s="276">
        <f>IF(tblSubjectToLoan[[#This Row],[Date]]="",0,IF(ROW()=ROW(tblSubjectToLoan[#Headers])+1,subjectKnownBalance,MAX(0,INDEX(tblSubjectToLoan[Ending Balance],ROW()-ROW(tblSubjectToLoan[#Headers])-1))))</f>
        <v>0</v>
      </c>
      <c r="C8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8" s="14">
        <f>IF(tblSubjectToLoan[[#This Row],[Payment]]=0,0,MAX(0,MIN(tblSubjectToLoan[[#This Row],[Beginning Balance]],tblSubjectToLoan[[#This Row],[Payment]]-tblSubjectToLoan[[#This Row],[Int]])))</f>
        <v>0</v>
      </c>
      <c r="E818" s="14">
        <f>IF(tblSubjectToLoan[[#This Row],[Date]]="",0,ROUND(tblSubjectToLoan[[#This Row],[Beginning Balance]]*(subjectInterestRate/12),2))</f>
        <v>0</v>
      </c>
      <c r="H818" s="14">
        <f>SUM(tblSubjectToLoan[[#This Row],[Princ]],tblSubjectToLoan[[#This Row],[Int]],tblSubjectToLoan[[#This Row],[Ins]],tblSubjectToLoan[[#This Row],[Taxes]])</f>
        <v>0</v>
      </c>
      <c r="I8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8" s="276">
        <f>IF(tblSubjectToLoan[[#This Row],[Date]]="",IF(ROW()=ROW(tblSubjectToLoan[#Headers])+1,0,INDEX(tblSubjectToLoan[Interest],ROW()-ROW(tblSubjectToLoan[#Headers])-1)),tblSubjectToLoan[[#This Row],[Int]]+IF(ROW()=ROW(tblSubjectToLoan[#Headers])+1,0,INDEX(tblSubjectToLoan[Interest],ROW()-ROW(tblSubjectToLoan[#Headers])-1)))</f>
        <v>36068.259999999973</v>
      </c>
      <c r="K818" s="969">
        <f>IF(tblSubjectToLoan[[#This Row],[Date]]="",0,MAX(0,tblSubjectToLoan[[#This Row],[Beginning Balance]]-tblSubjectToLoan[[#This Row],[Princ]]))</f>
        <v>0</v>
      </c>
      <c r="M818" s="22">
        <f t="shared" si="54"/>
        <v>0</v>
      </c>
      <c r="N818" s="615" t="str">
        <f>INDEX(tblSubjectToLoan[Date],ROW()-ROW(tblContractForDeed[#Headers]))</f>
        <v/>
      </c>
      <c r="O818" s="276">
        <f>IF(ROW()=ROW(tblContractForDeed[#Headers])+1,$O$6,IF(INDEX(tblContractForDeed[End Bal],ROW()-ROW(tblContractForDeed[#Headers])-1)&lt;0,0,INDEX(tblContractForDeed[End Bal],ROW()-ROW(tblContractForDeed[#Headers])-1)))</f>
        <v>0</v>
      </c>
      <c r="P818" s="454"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8" s="276">
        <f>IF(INDEX(tblContractForDeed[End Bal],ROW()-ROW(tblBuyerOutputs[#Headers]))&lt;=0,0,($O$6+IF(ROW()=ROW(tblBuyerOutputs[#Headers])+1,0,INDEX(tblBuyerOutputs[Cumul Appr],ROW()-ROW(tblBuyerOutputs[#Headers])-1)))*$O$2/12)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15" t="str">
        <f>IF(ROW()=ROW(tblSubjectToLoan[#Headers])+1,subjectKnownBalanceDate,IF(OR(INDEX(tblSubjectToLoan[Date],ROW()-ROW(tblSubjectToLoan[#Headers])-1)="",INDEX(tblSubjectToLoan[Date],ROW()-ROW(tblSubjectToLoan[#Headers])-1)&gt;=subjectMortgageEndDate),"",EDATE(INDEX(tblSubjectToLoan[Date],ROW()-ROW(tblSubjectToLoan[#Headers])-1),1)))</f>
        <v/>
      </c>
      <c r="B819" s="276">
        <f>IF(tblSubjectToLoan[[#This Row],[Date]]="",0,IF(ROW()=ROW(tblSubjectToLoan[#Headers])+1,subjectKnownBalance,MAX(0,INDEX(tblSubjectToLoan[Ending Balance],ROW()-ROW(tblSubjectToLoan[#Headers])-1))))</f>
        <v>0</v>
      </c>
      <c r="C8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9" s="14">
        <f>IF(tblSubjectToLoan[[#This Row],[Payment]]=0,0,MAX(0,MIN(tblSubjectToLoan[[#This Row],[Beginning Balance]],tblSubjectToLoan[[#This Row],[Payment]]-tblSubjectToLoan[[#This Row],[Int]])))</f>
        <v>0</v>
      </c>
      <c r="E819" s="14">
        <f>IF(tblSubjectToLoan[[#This Row],[Date]]="",0,ROUND(tblSubjectToLoan[[#This Row],[Beginning Balance]]*(subjectInterestRate/12),2))</f>
        <v>0</v>
      </c>
      <c r="H819" s="14">
        <f>SUM(tblSubjectToLoan[[#This Row],[Princ]],tblSubjectToLoan[[#This Row],[Int]],tblSubjectToLoan[[#This Row],[Ins]],tblSubjectToLoan[[#This Row],[Taxes]])</f>
        <v>0</v>
      </c>
      <c r="I8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9" s="276">
        <f>IF(tblSubjectToLoan[[#This Row],[Date]]="",IF(ROW()=ROW(tblSubjectToLoan[#Headers])+1,0,INDEX(tblSubjectToLoan[Interest],ROW()-ROW(tblSubjectToLoan[#Headers])-1)),tblSubjectToLoan[[#This Row],[Int]]+IF(ROW()=ROW(tblSubjectToLoan[#Headers])+1,0,INDEX(tblSubjectToLoan[Interest],ROW()-ROW(tblSubjectToLoan[#Headers])-1)))</f>
        <v>36068.259999999973</v>
      </c>
      <c r="K819" s="969">
        <f>IF(tblSubjectToLoan[[#This Row],[Date]]="",0,MAX(0,tblSubjectToLoan[[#This Row],[Beginning Balance]]-tblSubjectToLoan[[#This Row],[Princ]]))</f>
        <v>0</v>
      </c>
      <c r="M819" s="22">
        <f t="shared" si="54"/>
        <v>0</v>
      </c>
      <c r="N819" s="615" t="str">
        <f>INDEX(tblSubjectToLoan[Date],ROW()-ROW(tblContractForDeed[#Headers]))</f>
        <v/>
      </c>
      <c r="O819" s="276">
        <f>IF(ROW()=ROW(tblContractForDeed[#Headers])+1,$O$6,IF(INDEX(tblContractForDeed[End Bal],ROW()-ROW(tblContractForDeed[#Headers])-1)&lt;0,0,INDEX(tblContractForDeed[End Bal],ROW()-ROW(tblContractForDeed[#Headers])-1)))</f>
        <v>0</v>
      </c>
      <c r="P819" s="454"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9" s="276">
        <f>IF(INDEX(tblContractForDeed[End Bal],ROW()-ROW(tblBuyerOutputs[#Headers]))&lt;=0,0,($O$6+IF(ROW()=ROW(tblBuyerOutputs[#Headers])+1,0,INDEX(tblBuyerOutputs[Cumul Appr],ROW()-ROW(tblBuyerOutputs[#Headers])-1)))*$O$2/12)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15" t="str">
        <f>IF(ROW()=ROW(tblSubjectToLoan[#Headers])+1,subjectKnownBalanceDate,IF(OR(INDEX(tblSubjectToLoan[Date],ROW()-ROW(tblSubjectToLoan[#Headers])-1)="",INDEX(tblSubjectToLoan[Date],ROW()-ROW(tblSubjectToLoan[#Headers])-1)&gt;=subjectMortgageEndDate),"",EDATE(INDEX(tblSubjectToLoan[Date],ROW()-ROW(tblSubjectToLoan[#Headers])-1),1)))</f>
        <v/>
      </c>
      <c r="B820" s="276">
        <f>IF(tblSubjectToLoan[[#This Row],[Date]]="",0,IF(ROW()=ROW(tblSubjectToLoan[#Headers])+1,subjectKnownBalance,MAX(0,INDEX(tblSubjectToLoan[Ending Balance],ROW()-ROW(tblSubjectToLoan[#Headers])-1))))</f>
        <v>0</v>
      </c>
      <c r="C8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0" s="14">
        <f>IF(tblSubjectToLoan[[#This Row],[Payment]]=0,0,MAX(0,MIN(tblSubjectToLoan[[#This Row],[Beginning Balance]],tblSubjectToLoan[[#This Row],[Payment]]-tblSubjectToLoan[[#This Row],[Int]])))</f>
        <v>0</v>
      </c>
      <c r="E820" s="14">
        <f>IF(tblSubjectToLoan[[#This Row],[Date]]="",0,ROUND(tblSubjectToLoan[[#This Row],[Beginning Balance]]*(subjectInterestRate/12),2))</f>
        <v>0</v>
      </c>
      <c r="H820" s="14">
        <f>SUM(tblSubjectToLoan[[#This Row],[Princ]],tblSubjectToLoan[[#This Row],[Int]],tblSubjectToLoan[[#This Row],[Ins]],tblSubjectToLoan[[#This Row],[Taxes]])</f>
        <v>0</v>
      </c>
      <c r="I8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0" s="276">
        <f>IF(tblSubjectToLoan[[#This Row],[Date]]="",IF(ROW()=ROW(tblSubjectToLoan[#Headers])+1,0,INDEX(tblSubjectToLoan[Interest],ROW()-ROW(tblSubjectToLoan[#Headers])-1)),tblSubjectToLoan[[#This Row],[Int]]+IF(ROW()=ROW(tblSubjectToLoan[#Headers])+1,0,INDEX(tblSubjectToLoan[Interest],ROW()-ROW(tblSubjectToLoan[#Headers])-1)))</f>
        <v>36068.259999999973</v>
      </c>
      <c r="K820" s="969">
        <f>IF(tblSubjectToLoan[[#This Row],[Date]]="",0,MAX(0,tblSubjectToLoan[[#This Row],[Beginning Balance]]-tblSubjectToLoan[[#This Row],[Princ]]))</f>
        <v>0</v>
      </c>
      <c r="M820" s="22">
        <f t="shared" si="54"/>
        <v>0</v>
      </c>
      <c r="N820" s="615" t="str">
        <f>INDEX(tblSubjectToLoan[Date],ROW()-ROW(tblContractForDeed[#Headers]))</f>
        <v/>
      </c>
      <c r="O820" s="276">
        <f>IF(ROW()=ROW(tblContractForDeed[#Headers])+1,$O$6,IF(INDEX(tblContractForDeed[End Bal],ROW()-ROW(tblContractForDeed[#Headers])-1)&lt;0,0,INDEX(tblContractForDeed[End Bal],ROW()-ROW(tblContractForDeed[#Headers])-1)))</f>
        <v>0</v>
      </c>
      <c r="P820" s="454"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0" s="276">
        <f>IF(INDEX(tblContractForDeed[End Bal],ROW()-ROW(tblBuyerOutputs[#Headers]))&lt;=0,0,($O$6+IF(ROW()=ROW(tblBuyerOutputs[#Headers])+1,0,INDEX(tblBuyerOutputs[Cumul Appr],ROW()-ROW(tblBuyerOutputs[#Headers])-1)))*$O$2/12)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15" t="str">
        <f>IF(ROW()=ROW(tblSubjectToLoan[#Headers])+1,subjectKnownBalanceDate,IF(OR(INDEX(tblSubjectToLoan[Date],ROW()-ROW(tblSubjectToLoan[#Headers])-1)="",INDEX(tblSubjectToLoan[Date],ROW()-ROW(tblSubjectToLoan[#Headers])-1)&gt;=subjectMortgageEndDate),"",EDATE(INDEX(tblSubjectToLoan[Date],ROW()-ROW(tblSubjectToLoan[#Headers])-1),1)))</f>
        <v/>
      </c>
      <c r="B821" s="276">
        <f>IF(tblSubjectToLoan[[#This Row],[Date]]="",0,IF(ROW()=ROW(tblSubjectToLoan[#Headers])+1,subjectKnownBalance,MAX(0,INDEX(tblSubjectToLoan[Ending Balance],ROW()-ROW(tblSubjectToLoan[#Headers])-1))))</f>
        <v>0</v>
      </c>
      <c r="C8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1" s="14">
        <f>IF(tblSubjectToLoan[[#This Row],[Payment]]=0,0,MAX(0,MIN(tblSubjectToLoan[[#This Row],[Beginning Balance]],tblSubjectToLoan[[#This Row],[Payment]]-tblSubjectToLoan[[#This Row],[Int]])))</f>
        <v>0</v>
      </c>
      <c r="E821" s="14">
        <f>IF(tblSubjectToLoan[[#This Row],[Date]]="",0,ROUND(tblSubjectToLoan[[#This Row],[Beginning Balance]]*(subjectInterestRate/12),2))</f>
        <v>0</v>
      </c>
      <c r="H821" s="14">
        <f>SUM(tblSubjectToLoan[[#This Row],[Princ]],tblSubjectToLoan[[#This Row],[Int]],tblSubjectToLoan[[#This Row],[Ins]],tblSubjectToLoan[[#This Row],[Taxes]])</f>
        <v>0</v>
      </c>
      <c r="I8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1" s="276">
        <f>IF(tblSubjectToLoan[[#This Row],[Date]]="",IF(ROW()=ROW(tblSubjectToLoan[#Headers])+1,0,INDEX(tblSubjectToLoan[Interest],ROW()-ROW(tblSubjectToLoan[#Headers])-1)),tblSubjectToLoan[[#This Row],[Int]]+IF(ROW()=ROW(tblSubjectToLoan[#Headers])+1,0,INDEX(tblSubjectToLoan[Interest],ROW()-ROW(tblSubjectToLoan[#Headers])-1)))</f>
        <v>36068.259999999973</v>
      </c>
      <c r="K821" s="969">
        <f>IF(tblSubjectToLoan[[#This Row],[Date]]="",0,MAX(0,tblSubjectToLoan[[#This Row],[Beginning Balance]]-tblSubjectToLoan[[#This Row],[Princ]]))</f>
        <v>0</v>
      </c>
      <c r="M821" s="22">
        <f t="shared" si="54"/>
        <v>0</v>
      </c>
      <c r="N821" s="615" t="str">
        <f>INDEX(tblSubjectToLoan[Date],ROW()-ROW(tblContractForDeed[#Headers]))</f>
        <v/>
      </c>
      <c r="O821" s="276">
        <f>IF(ROW()=ROW(tblContractForDeed[#Headers])+1,$O$6,IF(INDEX(tblContractForDeed[End Bal],ROW()-ROW(tblContractForDeed[#Headers])-1)&lt;0,0,INDEX(tblContractForDeed[End Bal],ROW()-ROW(tblContractForDeed[#Headers])-1)))</f>
        <v>0</v>
      </c>
      <c r="P821" s="454"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1" s="276">
        <f>IF(INDEX(tblContractForDeed[End Bal],ROW()-ROW(tblBuyerOutputs[#Headers]))&lt;=0,0,($O$6+IF(ROW()=ROW(tblBuyerOutputs[#Headers])+1,0,INDEX(tblBuyerOutputs[Cumul Appr],ROW()-ROW(tblBuyerOutputs[#Headers])-1)))*$O$2/12)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15" t="str">
        <f>IF(ROW()=ROW(tblSubjectToLoan[#Headers])+1,subjectKnownBalanceDate,IF(OR(INDEX(tblSubjectToLoan[Date],ROW()-ROW(tblSubjectToLoan[#Headers])-1)="",INDEX(tblSubjectToLoan[Date],ROW()-ROW(tblSubjectToLoan[#Headers])-1)&gt;=subjectMortgageEndDate),"",EDATE(INDEX(tblSubjectToLoan[Date],ROW()-ROW(tblSubjectToLoan[#Headers])-1),1)))</f>
        <v/>
      </c>
      <c r="B822" s="276">
        <f>IF(tblSubjectToLoan[[#This Row],[Date]]="",0,IF(ROW()=ROW(tblSubjectToLoan[#Headers])+1,subjectKnownBalance,MAX(0,INDEX(tblSubjectToLoan[Ending Balance],ROW()-ROW(tblSubjectToLoan[#Headers])-1))))</f>
        <v>0</v>
      </c>
      <c r="C8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2" s="14">
        <f>IF(tblSubjectToLoan[[#This Row],[Payment]]=0,0,MAX(0,MIN(tblSubjectToLoan[[#This Row],[Beginning Balance]],tblSubjectToLoan[[#This Row],[Payment]]-tblSubjectToLoan[[#This Row],[Int]])))</f>
        <v>0</v>
      </c>
      <c r="E822" s="14">
        <f>IF(tblSubjectToLoan[[#This Row],[Date]]="",0,ROUND(tblSubjectToLoan[[#This Row],[Beginning Balance]]*(subjectInterestRate/12),2))</f>
        <v>0</v>
      </c>
      <c r="H822" s="14">
        <f>SUM(tblSubjectToLoan[[#This Row],[Princ]],tblSubjectToLoan[[#This Row],[Int]],tblSubjectToLoan[[#This Row],[Ins]],tblSubjectToLoan[[#This Row],[Taxes]])</f>
        <v>0</v>
      </c>
      <c r="I8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2" s="276">
        <f>IF(tblSubjectToLoan[[#This Row],[Date]]="",IF(ROW()=ROW(tblSubjectToLoan[#Headers])+1,0,INDEX(tblSubjectToLoan[Interest],ROW()-ROW(tblSubjectToLoan[#Headers])-1)),tblSubjectToLoan[[#This Row],[Int]]+IF(ROW()=ROW(tblSubjectToLoan[#Headers])+1,0,INDEX(tblSubjectToLoan[Interest],ROW()-ROW(tblSubjectToLoan[#Headers])-1)))</f>
        <v>36068.259999999973</v>
      </c>
      <c r="K822" s="969">
        <f>IF(tblSubjectToLoan[[#This Row],[Date]]="",0,MAX(0,tblSubjectToLoan[[#This Row],[Beginning Balance]]-tblSubjectToLoan[[#This Row],[Princ]]))</f>
        <v>0</v>
      </c>
      <c r="M822" s="22">
        <f t="shared" si="54"/>
        <v>0</v>
      </c>
      <c r="N822" s="615" t="str">
        <f>INDEX(tblSubjectToLoan[Date],ROW()-ROW(tblContractForDeed[#Headers]))</f>
        <v/>
      </c>
      <c r="O822" s="276">
        <f>IF(ROW()=ROW(tblContractForDeed[#Headers])+1,$O$6,IF(INDEX(tblContractForDeed[End Bal],ROW()-ROW(tblContractForDeed[#Headers])-1)&lt;0,0,INDEX(tblContractForDeed[End Bal],ROW()-ROW(tblContractForDeed[#Headers])-1)))</f>
        <v>0</v>
      </c>
      <c r="P822" s="454"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2" s="276">
        <f>IF(INDEX(tblContractForDeed[End Bal],ROW()-ROW(tblBuyerOutputs[#Headers]))&lt;=0,0,($O$6+IF(ROW()=ROW(tblBuyerOutputs[#Headers])+1,0,INDEX(tblBuyerOutputs[Cumul Appr],ROW()-ROW(tblBuyerOutputs[#Headers])-1)))*$O$2/12)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15" t="str">
        <f>IF(ROW()=ROW(tblSubjectToLoan[#Headers])+1,subjectKnownBalanceDate,IF(OR(INDEX(tblSubjectToLoan[Date],ROW()-ROW(tblSubjectToLoan[#Headers])-1)="",INDEX(tblSubjectToLoan[Date],ROW()-ROW(tblSubjectToLoan[#Headers])-1)&gt;=subjectMortgageEndDate),"",EDATE(INDEX(tblSubjectToLoan[Date],ROW()-ROW(tblSubjectToLoan[#Headers])-1),1)))</f>
        <v/>
      </c>
      <c r="B823" s="276">
        <f>IF(tblSubjectToLoan[[#This Row],[Date]]="",0,IF(ROW()=ROW(tblSubjectToLoan[#Headers])+1,subjectKnownBalance,MAX(0,INDEX(tblSubjectToLoan[Ending Balance],ROW()-ROW(tblSubjectToLoan[#Headers])-1))))</f>
        <v>0</v>
      </c>
      <c r="C8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3" s="14">
        <f>IF(tblSubjectToLoan[[#This Row],[Payment]]=0,0,MAX(0,MIN(tblSubjectToLoan[[#This Row],[Beginning Balance]],tblSubjectToLoan[[#This Row],[Payment]]-tblSubjectToLoan[[#This Row],[Int]])))</f>
        <v>0</v>
      </c>
      <c r="E823" s="14">
        <f>IF(tblSubjectToLoan[[#This Row],[Date]]="",0,ROUND(tblSubjectToLoan[[#This Row],[Beginning Balance]]*(subjectInterestRate/12),2))</f>
        <v>0</v>
      </c>
      <c r="H823" s="14">
        <f>SUM(tblSubjectToLoan[[#This Row],[Princ]],tblSubjectToLoan[[#This Row],[Int]],tblSubjectToLoan[[#This Row],[Ins]],tblSubjectToLoan[[#This Row],[Taxes]])</f>
        <v>0</v>
      </c>
      <c r="I8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3" s="276">
        <f>IF(tblSubjectToLoan[[#This Row],[Date]]="",IF(ROW()=ROW(tblSubjectToLoan[#Headers])+1,0,INDEX(tblSubjectToLoan[Interest],ROW()-ROW(tblSubjectToLoan[#Headers])-1)),tblSubjectToLoan[[#This Row],[Int]]+IF(ROW()=ROW(tblSubjectToLoan[#Headers])+1,0,INDEX(tblSubjectToLoan[Interest],ROW()-ROW(tblSubjectToLoan[#Headers])-1)))</f>
        <v>36068.259999999973</v>
      </c>
      <c r="K823" s="969">
        <f>IF(tblSubjectToLoan[[#This Row],[Date]]="",0,MAX(0,tblSubjectToLoan[[#This Row],[Beginning Balance]]-tblSubjectToLoan[[#This Row],[Princ]]))</f>
        <v>0</v>
      </c>
      <c r="M823" s="22">
        <f t="shared" si="54"/>
        <v>0</v>
      </c>
      <c r="N823" s="615" t="str">
        <f>INDEX(tblSubjectToLoan[Date],ROW()-ROW(tblContractForDeed[#Headers]))</f>
        <v/>
      </c>
      <c r="O823" s="276">
        <f>IF(ROW()=ROW(tblContractForDeed[#Headers])+1,$O$6,IF(INDEX(tblContractForDeed[End Bal],ROW()-ROW(tblContractForDeed[#Headers])-1)&lt;0,0,INDEX(tblContractForDeed[End Bal],ROW()-ROW(tblContractForDeed[#Headers])-1)))</f>
        <v>0</v>
      </c>
      <c r="P823" s="454"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3" s="276">
        <f>IF(INDEX(tblContractForDeed[End Bal],ROW()-ROW(tblBuyerOutputs[#Headers]))&lt;=0,0,($O$6+IF(ROW()=ROW(tblBuyerOutputs[#Headers])+1,0,INDEX(tblBuyerOutputs[Cumul Appr],ROW()-ROW(tblBuyerOutputs[#Headers])-1)))*$O$2/12)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15" t="str">
        <f>IF(ROW()=ROW(tblSubjectToLoan[#Headers])+1,subjectKnownBalanceDate,IF(OR(INDEX(tblSubjectToLoan[Date],ROW()-ROW(tblSubjectToLoan[#Headers])-1)="",INDEX(tblSubjectToLoan[Date],ROW()-ROW(tblSubjectToLoan[#Headers])-1)&gt;=subjectMortgageEndDate),"",EDATE(INDEX(tblSubjectToLoan[Date],ROW()-ROW(tblSubjectToLoan[#Headers])-1),1)))</f>
        <v/>
      </c>
      <c r="B824" s="276">
        <f>IF(tblSubjectToLoan[[#This Row],[Date]]="",0,IF(ROW()=ROW(tblSubjectToLoan[#Headers])+1,subjectKnownBalance,MAX(0,INDEX(tblSubjectToLoan[Ending Balance],ROW()-ROW(tblSubjectToLoan[#Headers])-1))))</f>
        <v>0</v>
      </c>
      <c r="C8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4" s="14">
        <f>IF(tblSubjectToLoan[[#This Row],[Payment]]=0,0,MAX(0,MIN(tblSubjectToLoan[[#This Row],[Beginning Balance]],tblSubjectToLoan[[#This Row],[Payment]]-tblSubjectToLoan[[#This Row],[Int]])))</f>
        <v>0</v>
      </c>
      <c r="E824" s="14">
        <f>IF(tblSubjectToLoan[[#This Row],[Date]]="",0,ROUND(tblSubjectToLoan[[#This Row],[Beginning Balance]]*(subjectInterestRate/12),2))</f>
        <v>0</v>
      </c>
      <c r="H824" s="14">
        <f>SUM(tblSubjectToLoan[[#This Row],[Princ]],tblSubjectToLoan[[#This Row],[Int]],tblSubjectToLoan[[#This Row],[Ins]],tblSubjectToLoan[[#This Row],[Taxes]])</f>
        <v>0</v>
      </c>
      <c r="I8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4" s="276">
        <f>IF(tblSubjectToLoan[[#This Row],[Date]]="",IF(ROW()=ROW(tblSubjectToLoan[#Headers])+1,0,INDEX(tblSubjectToLoan[Interest],ROW()-ROW(tblSubjectToLoan[#Headers])-1)),tblSubjectToLoan[[#This Row],[Int]]+IF(ROW()=ROW(tblSubjectToLoan[#Headers])+1,0,INDEX(tblSubjectToLoan[Interest],ROW()-ROW(tblSubjectToLoan[#Headers])-1)))</f>
        <v>36068.259999999973</v>
      </c>
      <c r="K824" s="969">
        <f>IF(tblSubjectToLoan[[#This Row],[Date]]="",0,MAX(0,tblSubjectToLoan[[#This Row],[Beginning Balance]]-tblSubjectToLoan[[#This Row],[Princ]]))</f>
        <v>0</v>
      </c>
      <c r="M824" s="22">
        <f t="shared" si="54"/>
        <v>0</v>
      </c>
      <c r="N824" s="615" t="str">
        <f>INDEX(tblSubjectToLoan[Date],ROW()-ROW(tblContractForDeed[#Headers]))</f>
        <v/>
      </c>
      <c r="O824" s="276">
        <f>IF(ROW()=ROW(tblContractForDeed[#Headers])+1,$O$6,IF(INDEX(tblContractForDeed[End Bal],ROW()-ROW(tblContractForDeed[#Headers])-1)&lt;0,0,INDEX(tblContractForDeed[End Bal],ROW()-ROW(tblContractForDeed[#Headers])-1)))</f>
        <v>0</v>
      </c>
      <c r="P824" s="454"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4" s="276">
        <f>IF(INDEX(tblContractForDeed[End Bal],ROW()-ROW(tblBuyerOutputs[#Headers]))&lt;=0,0,($O$6+IF(ROW()=ROW(tblBuyerOutputs[#Headers])+1,0,INDEX(tblBuyerOutputs[Cumul Appr],ROW()-ROW(tblBuyerOutputs[#Headers])-1)))*$O$2/12)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15" t="str">
        <f>IF(ROW()=ROW(tblSubjectToLoan[#Headers])+1,subjectKnownBalanceDate,IF(OR(INDEX(tblSubjectToLoan[Date],ROW()-ROW(tblSubjectToLoan[#Headers])-1)="",INDEX(tblSubjectToLoan[Date],ROW()-ROW(tblSubjectToLoan[#Headers])-1)&gt;=subjectMortgageEndDate),"",EDATE(INDEX(tblSubjectToLoan[Date],ROW()-ROW(tblSubjectToLoan[#Headers])-1),1)))</f>
        <v/>
      </c>
      <c r="B825" s="276">
        <f>IF(tblSubjectToLoan[[#This Row],[Date]]="",0,IF(ROW()=ROW(tblSubjectToLoan[#Headers])+1,subjectKnownBalance,MAX(0,INDEX(tblSubjectToLoan[Ending Balance],ROW()-ROW(tblSubjectToLoan[#Headers])-1))))</f>
        <v>0</v>
      </c>
      <c r="C8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5" s="14">
        <f>IF(tblSubjectToLoan[[#This Row],[Payment]]=0,0,MAX(0,MIN(tblSubjectToLoan[[#This Row],[Beginning Balance]],tblSubjectToLoan[[#This Row],[Payment]]-tblSubjectToLoan[[#This Row],[Int]])))</f>
        <v>0</v>
      </c>
      <c r="E825" s="14">
        <f>IF(tblSubjectToLoan[[#This Row],[Date]]="",0,ROUND(tblSubjectToLoan[[#This Row],[Beginning Balance]]*(subjectInterestRate/12),2))</f>
        <v>0</v>
      </c>
      <c r="H825" s="14">
        <f>SUM(tblSubjectToLoan[[#This Row],[Princ]],tblSubjectToLoan[[#This Row],[Int]],tblSubjectToLoan[[#This Row],[Ins]],tblSubjectToLoan[[#This Row],[Taxes]])</f>
        <v>0</v>
      </c>
      <c r="I8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5" s="276">
        <f>IF(tblSubjectToLoan[[#This Row],[Date]]="",IF(ROW()=ROW(tblSubjectToLoan[#Headers])+1,0,INDEX(tblSubjectToLoan[Interest],ROW()-ROW(tblSubjectToLoan[#Headers])-1)),tblSubjectToLoan[[#This Row],[Int]]+IF(ROW()=ROW(tblSubjectToLoan[#Headers])+1,0,INDEX(tblSubjectToLoan[Interest],ROW()-ROW(tblSubjectToLoan[#Headers])-1)))</f>
        <v>36068.259999999973</v>
      </c>
      <c r="K825" s="969">
        <f>IF(tblSubjectToLoan[[#This Row],[Date]]="",0,MAX(0,tblSubjectToLoan[[#This Row],[Beginning Balance]]-tblSubjectToLoan[[#This Row],[Princ]]))</f>
        <v>0</v>
      </c>
      <c r="M825" s="22">
        <f t="shared" si="54"/>
        <v>0</v>
      </c>
      <c r="N825" s="615" t="str">
        <f>INDEX(tblSubjectToLoan[Date],ROW()-ROW(tblContractForDeed[#Headers]))</f>
        <v/>
      </c>
      <c r="O825" s="276">
        <f>IF(ROW()=ROW(tblContractForDeed[#Headers])+1,$O$6,IF(INDEX(tblContractForDeed[End Bal],ROW()-ROW(tblContractForDeed[#Headers])-1)&lt;0,0,INDEX(tblContractForDeed[End Bal],ROW()-ROW(tblContractForDeed[#Headers])-1)))</f>
        <v>0</v>
      </c>
      <c r="P825" s="454"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5" s="276">
        <f>IF(INDEX(tblContractForDeed[End Bal],ROW()-ROW(tblBuyerOutputs[#Headers]))&lt;=0,0,($O$6+IF(ROW()=ROW(tblBuyerOutputs[#Headers])+1,0,INDEX(tblBuyerOutputs[Cumul Appr],ROW()-ROW(tblBuyerOutputs[#Headers])-1)))*$O$2/12)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15" t="str">
        <f>IF(ROW()=ROW(tblSubjectToLoan[#Headers])+1,subjectKnownBalanceDate,IF(OR(INDEX(tblSubjectToLoan[Date],ROW()-ROW(tblSubjectToLoan[#Headers])-1)="",INDEX(tblSubjectToLoan[Date],ROW()-ROW(tblSubjectToLoan[#Headers])-1)&gt;=subjectMortgageEndDate),"",EDATE(INDEX(tblSubjectToLoan[Date],ROW()-ROW(tblSubjectToLoan[#Headers])-1),1)))</f>
        <v/>
      </c>
      <c r="B826" s="276">
        <f>IF(tblSubjectToLoan[[#This Row],[Date]]="",0,IF(ROW()=ROW(tblSubjectToLoan[#Headers])+1,subjectKnownBalance,MAX(0,INDEX(tblSubjectToLoan[Ending Balance],ROW()-ROW(tblSubjectToLoan[#Headers])-1))))</f>
        <v>0</v>
      </c>
      <c r="C8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6" s="14">
        <f>IF(tblSubjectToLoan[[#This Row],[Payment]]=0,0,MAX(0,MIN(tblSubjectToLoan[[#This Row],[Beginning Balance]],tblSubjectToLoan[[#This Row],[Payment]]-tblSubjectToLoan[[#This Row],[Int]])))</f>
        <v>0</v>
      </c>
      <c r="E826" s="14">
        <f>IF(tblSubjectToLoan[[#This Row],[Date]]="",0,ROUND(tblSubjectToLoan[[#This Row],[Beginning Balance]]*(subjectInterestRate/12),2))</f>
        <v>0</v>
      </c>
      <c r="H826" s="14">
        <f>SUM(tblSubjectToLoan[[#This Row],[Princ]],tblSubjectToLoan[[#This Row],[Int]],tblSubjectToLoan[[#This Row],[Ins]],tblSubjectToLoan[[#This Row],[Taxes]])</f>
        <v>0</v>
      </c>
      <c r="I8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6" s="276">
        <f>IF(tblSubjectToLoan[[#This Row],[Date]]="",IF(ROW()=ROW(tblSubjectToLoan[#Headers])+1,0,INDEX(tblSubjectToLoan[Interest],ROW()-ROW(tblSubjectToLoan[#Headers])-1)),tblSubjectToLoan[[#This Row],[Int]]+IF(ROW()=ROW(tblSubjectToLoan[#Headers])+1,0,INDEX(tblSubjectToLoan[Interest],ROW()-ROW(tblSubjectToLoan[#Headers])-1)))</f>
        <v>36068.259999999973</v>
      </c>
      <c r="K826" s="969">
        <f>IF(tblSubjectToLoan[[#This Row],[Date]]="",0,MAX(0,tblSubjectToLoan[[#This Row],[Beginning Balance]]-tblSubjectToLoan[[#This Row],[Princ]]))</f>
        <v>0</v>
      </c>
      <c r="M826" s="22">
        <f t="shared" si="54"/>
        <v>0</v>
      </c>
      <c r="N826" s="615" t="str">
        <f>INDEX(tblSubjectToLoan[Date],ROW()-ROW(tblContractForDeed[#Headers]))</f>
        <v/>
      </c>
      <c r="O826" s="276">
        <f>IF(ROW()=ROW(tblContractForDeed[#Headers])+1,$O$6,IF(INDEX(tblContractForDeed[End Bal],ROW()-ROW(tblContractForDeed[#Headers])-1)&lt;0,0,INDEX(tblContractForDeed[End Bal],ROW()-ROW(tblContractForDeed[#Headers])-1)))</f>
        <v>0</v>
      </c>
      <c r="P826" s="454"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6" s="276">
        <f>IF(INDEX(tblContractForDeed[End Bal],ROW()-ROW(tblBuyerOutputs[#Headers]))&lt;=0,0,($O$6+IF(ROW()=ROW(tblBuyerOutputs[#Headers])+1,0,INDEX(tblBuyerOutputs[Cumul Appr],ROW()-ROW(tblBuyerOutputs[#Headers])-1)))*$O$2/12)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15" t="str">
        <f>IF(ROW()=ROW(tblSubjectToLoan[#Headers])+1,subjectKnownBalanceDate,IF(OR(INDEX(tblSubjectToLoan[Date],ROW()-ROW(tblSubjectToLoan[#Headers])-1)="",INDEX(tblSubjectToLoan[Date],ROW()-ROW(tblSubjectToLoan[#Headers])-1)&gt;=subjectMortgageEndDate),"",EDATE(INDEX(tblSubjectToLoan[Date],ROW()-ROW(tblSubjectToLoan[#Headers])-1),1)))</f>
        <v/>
      </c>
      <c r="B827" s="276">
        <f>IF(tblSubjectToLoan[[#This Row],[Date]]="",0,IF(ROW()=ROW(tblSubjectToLoan[#Headers])+1,subjectKnownBalance,MAX(0,INDEX(tblSubjectToLoan[Ending Balance],ROW()-ROW(tblSubjectToLoan[#Headers])-1))))</f>
        <v>0</v>
      </c>
      <c r="C8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7" s="14">
        <f>IF(tblSubjectToLoan[[#This Row],[Payment]]=0,0,MAX(0,MIN(tblSubjectToLoan[[#This Row],[Beginning Balance]],tblSubjectToLoan[[#This Row],[Payment]]-tblSubjectToLoan[[#This Row],[Int]])))</f>
        <v>0</v>
      </c>
      <c r="E827" s="14">
        <f>IF(tblSubjectToLoan[[#This Row],[Date]]="",0,ROUND(tblSubjectToLoan[[#This Row],[Beginning Balance]]*(subjectInterestRate/12),2))</f>
        <v>0</v>
      </c>
      <c r="H827" s="14">
        <f>SUM(tblSubjectToLoan[[#This Row],[Princ]],tblSubjectToLoan[[#This Row],[Int]],tblSubjectToLoan[[#This Row],[Ins]],tblSubjectToLoan[[#This Row],[Taxes]])</f>
        <v>0</v>
      </c>
      <c r="I8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7" s="276">
        <f>IF(tblSubjectToLoan[[#This Row],[Date]]="",IF(ROW()=ROW(tblSubjectToLoan[#Headers])+1,0,INDEX(tblSubjectToLoan[Interest],ROW()-ROW(tblSubjectToLoan[#Headers])-1)),tblSubjectToLoan[[#This Row],[Int]]+IF(ROW()=ROW(tblSubjectToLoan[#Headers])+1,0,INDEX(tblSubjectToLoan[Interest],ROW()-ROW(tblSubjectToLoan[#Headers])-1)))</f>
        <v>36068.259999999973</v>
      </c>
      <c r="K827" s="969">
        <f>IF(tblSubjectToLoan[[#This Row],[Date]]="",0,MAX(0,tblSubjectToLoan[[#This Row],[Beginning Balance]]-tblSubjectToLoan[[#This Row],[Princ]]))</f>
        <v>0</v>
      </c>
      <c r="M827" s="22">
        <f t="shared" si="54"/>
        <v>0</v>
      </c>
      <c r="N827" s="615" t="str">
        <f>INDEX(tblSubjectToLoan[Date],ROW()-ROW(tblContractForDeed[#Headers]))</f>
        <v/>
      </c>
      <c r="O827" s="276">
        <f>IF(ROW()=ROW(tblContractForDeed[#Headers])+1,$O$6,IF(INDEX(tblContractForDeed[End Bal],ROW()-ROW(tblContractForDeed[#Headers])-1)&lt;0,0,INDEX(tblContractForDeed[End Bal],ROW()-ROW(tblContractForDeed[#Headers])-1)))</f>
        <v>0</v>
      </c>
      <c r="P827" s="454"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7" s="276">
        <f>IF(INDEX(tblContractForDeed[End Bal],ROW()-ROW(tblBuyerOutputs[#Headers]))&lt;=0,0,($O$6+IF(ROW()=ROW(tblBuyerOutputs[#Headers])+1,0,INDEX(tblBuyerOutputs[Cumul Appr],ROW()-ROW(tblBuyerOutputs[#Headers])-1)))*$O$2/12)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IF(ROW()=ROW(tblSubjectToLoan[#Headers])+1,subjectKnownBalanceDate,IF(OR(INDEX(tblSubjectToLoan[Date],ROW()-ROW(tblSubjectToLoan[#Headers])-1)="",INDEX(tblSubjectToLoan[Date],ROW()-ROW(tblSubjectToLoan[#Headers])-1)&gt;=subjectMortgageEndDate),"",EDATE(INDEX(tblSubjectToLoan[Date],ROW()-ROW(tblSubjectToLoan[#Headers])-1),1)))</f>
        <v/>
      </c>
      <c r="B828" s="276">
        <f>IF(tblSubjectToLoan[[#This Row],[Date]]="",0,IF(ROW()=ROW(tblSubjectToLoan[#Headers])+1,subjectKnownBalance,MAX(0,INDEX(tblSubjectToLoan[Ending Balance],ROW()-ROW(tblSubjectToLoan[#Headers])-1))))</f>
        <v>0</v>
      </c>
      <c r="C8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8" s="14">
        <f>IF(tblSubjectToLoan[[#This Row],[Payment]]=0,0,MAX(0,MIN(tblSubjectToLoan[[#This Row],[Beginning Balance]],tblSubjectToLoan[[#This Row],[Payment]]-tblSubjectToLoan[[#This Row],[Int]])))</f>
        <v>0</v>
      </c>
      <c r="E828" s="14">
        <f>IF(tblSubjectToLoan[[#This Row],[Date]]="",0,ROUND(tblSubjectToLoan[[#This Row],[Beginning Balance]]*(subjectInterestRate/12),2))</f>
        <v>0</v>
      </c>
      <c r="H828" s="14">
        <f>SUM(tblSubjectToLoan[[#This Row],[Princ]],tblSubjectToLoan[[#This Row],[Int]],tblSubjectToLoan[[#This Row],[Ins]],tblSubjectToLoan[[#This Row],[Taxes]])</f>
        <v>0</v>
      </c>
      <c r="I8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8" s="276">
        <f>IF(tblSubjectToLoan[[#This Row],[Date]]="",IF(ROW()=ROW(tblSubjectToLoan[#Headers])+1,0,INDEX(tblSubjectToLoan[Interest],ROW()-ROW(tblSubjectToLoan[#Headers])-1)),tblSubjectToLoan[[#This Row],[Int]]+IF(ROW()=ROW(tblSubjectToLoan[#Headers])+1,0,INDEX(tblSubjectToLoan[Interest],ROW()-ROW(tblSubjectToLoan[#Headers])-1)))</f>
        <v>36068.259999999973</v>
      </c>
      <c r="K828" s="969">
        <f>IF(tblSubjectToLoan[[#This Row],[Date]]="",0,MAX(0,tblSubjectToLoan[[#This Row],[Beginning Balance]]-tblSubjectToLoan[[#This Row],[Princ]]))</f>
        <v>0</v>
      </c>
      <c r="M828" s="22">
        <f t="shared" si="54"/>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54"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8" s="276">
        <f>IF(INDEX(tblContractForDeed[End Bal],ROW()-ROW(tblBuyerOutputs[#Headers]))&lt;=0,0,($O$6+IF(ROW()=ROW(tblBuyerOutputs[#Headers])+1,0,INDEX(tblBuyerOutputs[Cumul Appr],ROW()-ROW(tblBuyerOutputs[#Headers])-1)))*$O$2/12)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IF(ROW()=ROW(tblSubjectToLoan[#Headers])+1,subjectKnownBalanceDate,IF(OR(INDEX(tblSubjectToLoan[Date],ROW()-ROW(tblSubjectToLoan[#Headers])-1)="",INDEX(tblSubjectToLoan[Date],ROW()-ROW(tblSubjectToLoan[#Headers])-1)&gt;=subjectMortgageEndDate),"",EDATE(INDEX(tblSubjectToLoan[Date],ROW()-ROW(tblSubjectToLoan[#Headers])-1),1)))</f>
        <v/>
      </c>
      <c r="B829" s="276">
        <f>IF(tblSubjectToLoan[[#This Row],[Date]]="",0,IF(ROW()=ROW(tblSubjectToLoan[#Headers])+1,subjectKnownBalance,MAX(0,INDEX(tblSubjectToLoan[Ending Balance],ROW()-ROW(tblSubjectToLoan[#Headers])-1))))</f>
        <v>0</v>
      </c>
      <c r="C8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9" s="14">
        <f>IF(tblSubjectToLoan[[#This Row],[Payment]]=0,0,MAX(0,MIN(tblSubjectToLoan[[#This Row],[Beginning Balance]],tblSubjectToLoan[[#This Row],[Payment]]-tblSubjectToLoan[[#This Row],[Int]])))</f>
        <v>0</v>
      </c>
      <c r="E829" s="14">
        <f>IF(tblSubjectToLoan[[#This Row],[Date]]="",0,ROUND(tblSubjectToLoan[[#This Row],[Beginning Balance]]*(subjectInterestRate/12),2))</f>
        <v>0</v>
      </c>
      <c r="H829" s="14">
        <f>SUM(tblSubjectToLoan[[#This Row],[Princ]],tblSubjectToLoan[[#This Row],[Int]],tblSubjectToLoan[[#This Row],[Ins]],tblSubjectToLoan[[#This Row],[Taxes]])</f>
        <v>0</v>
      </c>
      <c r="I8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9" s="276">
        <f>IF(tblSubjectToLoan[[#This Row],[Date]]="",IF(ROW()=ROW(tblSubjectToLoan[#Headers])+1,0,INDEX(tblSubjectToLoan[Interest],ROW()-ROW(tblSubjectToLoan[#Headers])-1)),tblSubjectToLoan[[#This Row],[Int]]+IF(ROW()=ROW(tblSubjectToLoan[#Headers])+1,0,INDEX(tblSubjectToLoan[Interest],ROW()-ROW(tblSubjectToLoan[#Headers])-1)))</f>
        <v>36068.259999999973</v>
      </c>
      <c r="K829" s="969">
        <f>IF(tblSubjectToLoan[[#This Row],[Date]]="",0,MAX(0,tblSubjectToLoan[[#This Row],[Beginning Balance]]-tblSubjectToLoan[[#This Row],[Princ]]))</f>
        <v>0</v>
      </c>
      <c r="M829" s="22">
        <f t="shared" si="54"/>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54"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9" s="276">
        <f>IF(INDEX(tblContractForDeed[End Bal],ROW()-ROW(tblBuyerOutputs[#Headers]))&lt;=0,0,($O$6+IF(ROW()=ROW(tblBuyerOutputs[#Headers])+1,0,INDEX(tblBuyerOutputs[Cumul Appr],ROW()-ROW(tblBuyerOutputs[#Headers])-1)))*$O$2/12)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IF(ROW()=ROW(tblSubjectToLoan[#Headers])+1,subjectKnownBalanceDate,IF(OR(INDEX(tblSubjectToLoan[Date],ROW()-ROW(tblSubjectToLoan[#Headers])-1)="",INDEX(tblSubjectToLoan[Date],ROW()-ROW(tblSubjectToLoan[#Headers])-1)&gt;=subjectMortgageEndDate),"",EDATE(INDEX(tblSubjectToLoan[Date],ROW()-ROW(tblSubjectToLoan[#Headers])-1),1)))</f>
        <v/>
      </c>
      <c r="B830" s="276">
        <f>IF(tblSubjectToLoan[[#This Row],[Date]]="",0,IF(ROW()=ROW(tblSubjectToLoan[#Headers])+1,subjectKnownBalance,MAX(0,INDEX(tblSubjectToLoan[Ending Balance],ROW()-ROW(tblSubjectToLoan[#Headers])-1))))</f>
        <v>0</v>
      </c>
      <c r="C8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30" s="14">
        <f>IF(tblSubjectToLoan[[#This Row],[Payment]]=0,0,MAX(0,MIN(tblSubjectToLoan[[#This Row],[Beginning Balance]],tblSubjectToLoan[[#This Row],[Payment]]-tblSubjectToLoan[[#This Row],[Int]])))</f>
        <v>0</v>
      </c>
      <c r="E830" s="14">
        <f>IF(tblSubjectToLoan[[#This Row],[Date]]="",0,ROUND(tblSubjectToLoan[[#This Row],[Beginning Balance]]*(subjectInterestRate/12),2))</f>
        <v>0</v>
      </c>
      <c r="H830" s="14">
        <f>SUM(tblSubjectToLoan[[#This Row],[Princ]],tblSubjectToLoan[[#This Row],[Int]],tblSubjectToLoan[[#This Row],[Ins]],tblSubjectToLoan[[#This Row],[Taxes]])</f>
        <v>0</v>
      </c>
      <c r="I8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0" s="276">
        <f>IF(tblSubjectToLoan[[#This Row],[Date]]="",IF(ROW()=ROW(tblSubjectToLoan[#Headers])+1,0,INDEX(tblSubjectToLoan[Interest],ROW()-ROW(tblSubjectToLoan[#Headers])-1)),tblSubjectToLoan[[#This Row],[Int]]+IF(ROW()=ROW(tblSubjectToLoan[#Headers])+1,0,INDEX(tblSubjectToLoan[Interest],ROW()-ROW(tblSubjectToLoan[#Headers])-1)))</f>
        <v>36068.259999999973</v>
      </c>
      <c r="K830" s="969">
        <f>IF(tblSubjectToLoan[[#This Row],[Date]]="",0,MAX(0,tblSubjectToLoan[[#This Row],[Beginning Balance]]-tblSubjectToLoan[[#This Row],[Princ]]))</f>
        <v>0</v>
      </c>
      <c r="M830" s="22">
        <f t="shared" si="54"/>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54"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30" s="276">
        <f>IF(INDEX(tblContractForDeed[End Bal],ROW()-ROW(tblBuyerOutputs[#Headers]))&lt;=0,0,($O$6+IF(ROW()=ROW(tblBuyerOutputs[#Headers])+1,0,INDEX(tblBuyerOutputs[Cumul Appr],ROW()-ROW(tblBuyerOutputs[#Headers])-1)))*$O$2/12)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IF(ROW()=ROW(tblSubjectToLoan[#Headers])+1,subjectKnownBalanceDate,IF(OR(INDEX(tblSubjectToLoan[Date],ROW()-ROW(tblSubjectToLoan[#Headers])-1)="",INDEX(tblSubjectToLoan[Date],ROW()-ROW(tblSubjectToLoan[#Headers])-1)&gt;=subjectMortgageEndDate),"",EDATE(INDEX(tblSubjectToLoan[Date],ROW()-ROW(tblSubjectToLoan[#Headers])-1),1)))</f>
        <v/>
      </c>
      <c r="B831" s="276">
        <f>IF(tblSubjectToLoan[[#This Row],[Date]]="",0,IF(ROW()=ROW(tblSubjectToLoan[#Headers])+1,subjectKnownBalance,MAX(0,INDEX(tblSubjectToLoan[Ending Balance],ROW()-ROW(tblSubjectToLoan[#Headers])-1))))</f>
        <v>0</v>
      </c>
      <c r="C8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31" s="14">
        <f>IF(tblSubjectToLoan[[#This Row],[Payment]]=0,0,MAX(0,MIN(tblSubjectToLoan[[#This Row],[Beginning Balance]],tblSubjectToLoan[[#This Row],[Payment]]-tblSubjectToLoan[[#This Row],[Int]])))</f>
        <v>0</v>
      </c>
      <c r="E831" s="14">
        <f>IF(tblSubjectToLoan[[#This Row],[Date]]="",0,ROUND(tblSubjectToLoan[[#This Row],[Beginning Balance]]*(subjectInterestRate/12),2))</f>
        <v>0</v>
      </c>
      <c r="H831" s="14">
        <f>SUM(tblSubjectToLoan[[#This Row],[Princ]],tblSubjectToLoan[[#This Row],[Int]],tblSubjectToLoan[[#This Row],[Ins]],tblSubjectToLoan[[#This Row],[Taxes]])</f>
        <v>0</v>
      </c>
      <c r="I8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1" s="276">
        <f>IF(tblSubjectToLoan[[#This Row],[Date]]="",IF(ROW()=ROW(tblSubjectToLoan[#Headers])+1,0,INDEX(tblSubjectToLoan[Interest],ROW()-ROW(tblSubjectToLoan[#Headers])-1)),tblSubjectToLoan[[#This Row],[Int]]+IF(ROW()=ROW(tblSubjectToLoan[#Headers])+1,0,INDEX(tblSubjectToLoan[Interest],ROW()-ROW(tblSubjectToLoan[#Headers])-1)))</f>
        <v>36068.259999999973</v>
      </c>
      <c r="K831" s="969">
        <f>IF(tblSubjectToLoan[[#This Row],[Date]]="",0,MAX(0,tblSubjectToLoan[[#This Row],[Beginning Balance]]-tblSubjectToLoan[[#This Row],[Princ]]))</f>
        <v>0</v>
      </c>
      <c r="M831" s="22">
        <f t="shared" si="54"/>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54"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31" s="276">
        <f>IF(INDEX(tblContractForDeed[End Bal],ROW()-ROW(tblBuyerOutputs[#Headers]))&lt;=0,0,($O$6+IF(ROW()=ROW(tblBuyerOutputs[#Headers])+1,0,INDEX(tblBuyerOutputs[Cumul Appr],ROW()-ROW(tblBuyerOutputs[#Headers])-1)))*$O$2/12)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IF(ROW()=ROW(tblSubjectToLoan[#Headers])+1,subjectKnownBalanceDate,IF(OR(INDEX(tblSubjectToLoan[Date],ROW()-ROW(tblSubjectToLoan[#Headers])-1)="",INDEX(tblSubjectToLoan[Date],ROW()-ROW(tblSubjectToLoan[#Headers])-1)&gt;=subjectMortgageEndDate),"",EDATE(INDEX(tblSubjectToLoan[Date],ROW()-ROW(tblSubjectToLoan[#Headers])-1),1)))</f>
        <v/>
      </c>
      <c r="B832" s="276">
        <f>IF(tblSubjectToLoan[[#This Row],[Date]]="",0,IF(ROW()=ROW(tblSubjectToLoan[#Headers])+1,subjectKnownBalance,MAX(0,INDEX(tblSubjectToLoan[Ending Balance],ROW()-ROW(tblSubjectToLoan[#Headers])-1))))</f>
        <v>0</v>
      </c>
      <c r="C8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32" s="14">
        <f>IF(tblSubjectToLoan[[#This Row],[Payment]]=0,0,MAX(0,MIN(tblSubjectToLoan[[#This Row],[Beginning Balance]],tblSubjectToLoan[[#This Row],[Payment]]-tblSubjectToLoan[[#This Row],[Int]])))</f>
        <v>0</v>
      </c>
      <c r="E832" s="14">
        <f>IF(tblSubjectToLoan[[#This Row],[Date]]="",0,ROUND(tblSubjectToLoan[[#This Row],[Beginning Balance]]*(subjectInterestRate/12),2))</f>
        <v>0</v>
      </c>
      <c r="H832" s="14">
        <f>SUM(tblSubjectToLoan[[#This Row],[Princ]],tblSubjectToLoan[[#This Row],[Int]],tblSubjectToLoan[[#This Row],[Ins]],tblSubjectToLoan[[#This Row],[Taxes]])</f>
        <v>0</v>
      </c>
      <c r="I8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2" s="276">
        <f>IF(tblSubjectToLoan[[#This Row],[Date]]="",IF(ROW()=ROW(tblSubjectToLoan[#Headers])+1,0,INDEX(tblSubjectToLoan[Interest],ROW()-ROW(tblSubjectToLoan[#Headers])-1)),tblSubjectToLoan[[#This Row],[Int]]+IF(ROW()=ROW(tblSubjectToLoan[#Headers])+1,0,INDEX(tblSubjectToLoan[Interest],ROW()-ROW(tblSubjectToLoan[#Headers])-1)))</f>
        <v>36068.259999999973</v>
      </c>
      <c r="K832" s="969">
        <f>IF(tblSubjectToLoan[[#This Row],[Date]]="",0,MAX(0,tblSubjectToLoan[[#This Row],[Beginning Balance]]-tblSubjectToLoan[[#This Row],[Princ]]))</f>
        <v>0</v>
      </c>
      <c r="M832" s="22">
        <f t="shared" si="54"/>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54"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32" s="276">
        <f>IF(INDEX(tblContractForDeed[End Bal],ROW()-ROW(tblBuyerOutputs[#Headers]))&lt;=0,0,($O$6+IF(ROW()=ROW(tblBuyerOutputs[#Headers])+1,0,INDEX(tblBuyerOutputs[Cumul Appr],ROW()-ROW(tblBuyerOutputs[#Headers])-1)))*$O$2/12)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IF(ROW()=ROW(tblSubjectToLoan[#Headers])+1,subjectKnownBalanceDate,IF(OR(INDEX(tblSubjectToLoan[Date],ROW()-ROW(tblSubjectToLoan[#Headers])-1)="",INDEX(tblSubjectToLoan[Date],ROW()-ROW(tblSubjectToLoan[#Headers])-1)&gt;=subjectMortgageEndDate),"",EDATE(INDEX(tblSubjectToLoan[Date],ROW()-ROW(tblSubjectToLoan[#Headers])-1),1)))</f>
        <v/>
      </c>
      <c r="B833" s="276">
        <f>IF(tblSubjectToLoan[[#This Row],[Date]]="",0,IF(ROW()=ROW(tblSubjectToLoan[#Headers])+1,subjectKnownBalance,MAX(0,INDEX(tblSubjectToLoan[Ending Balance],ROW()-ROW(tblSubjectToLoan[#Headers])-1))))</f>
        <v>0</v>
      </c>
      <c r="C8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33" s="14">
        <f>IF(tblSubjectToLoan[[#This Row],[Payment]]=0,0,MAX(0,MIN(tblSubjectToLoan[[#This Row],[Beginning Balance]],tblSubjectToLoan[[#This Row],[Payment]]-tblSubjectToLoan[[#This Row],[Int]])))</f>
        <v>0</v>
      </c>
      <c r="E833" s="14">
        <f>IF(tblSubjectToLoan[[#This Row],[Date]]="",0,ROUND(tblSubjectToLoan[[#This Row],[Beginning Balance]]*(subjectInterestRate/12),2))</f>
        <v>0</v>
      </c>
      <c r="H833" s="14">
        <f>SUM(tblSubjectToLoan[[#This Row],[Princ]],tblSubjectToLoan[[#This Row],[Int]],tblSubjectToLoan[[#This Row],[Ins]],tblSubjectToLoan[[#This Row],[Taxes]])</f>
        <v>0</v>
      </c>
      <c r="I8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3" s="276">
        <f>IF(tblSubjectToLoan[[#This Row],[Date]]="",IF(ROW()=ROW(tblSubjectToLoan[#Headers])+1,0,INDEX(tblSubjectToLoan[Interest],ROW()-ROW(tblSubjectToLoan[#Headers])-1)),tblSubjectToLoan[[#This Row],[Int]]+IF(ROW()=ROW(tblSubjectToLoan[#Headers])+1,0,INDEX(tblSubjectToLoan[Interest],ROW()-ROW(tblSubjectToLoan[#Headers])-1)))</f>
        <v>36068.259999999973</v>
      </c>
      <c r="K833" s="969">
        <f>IF(tblSubjectToLoan[[#This Row],[Date]]="",0,MAX(0,tblSubjectToLoan[[#This Row],[Beginning Balance]]-tblSubjectToLoan[[#This Row],[Princ]]))</f>
        <v>0</v>
      </c>
      <c r="M833" s="22">
        <f t="shared" si="54"/>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54"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33" s="276">
        <f>IF(INDEX(tblContractForDeed[End Bal],ROW()-ROW(tblBuyerOutputs[#Headers]))&lt;=0,0,($O$6+IF(ROW()=ROW(tblBuyerOutputs[#Headers])+1,0,INDEX(tblBuyerOutputs[Cumul Appr],ROW()-ROW(tblBuyerOutputs[#Headers])-1)))*$O$2/12)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5">
    <mergeCell ref="AB18:AE18"/>
    <mergeCell ref="Z17:AE17"/>
    <mergeCell ref="A17:K17"/>
    <mergeCell ref="A5:B5"/>
    <mergeCell ref="A6:B6"/>
    <mergeCell ref="A7:B7"/>
    <mergeCell ref="A8:B8"/>
    <mergeCell ref="S14:T14"/>
    <mergeCell ref="A2:D2"/>
    <mergeCell ref="A3:B3"/>
    <mergeCell ref="A4:B4"/>
    <mergeCell ref="H13:I13"/>
    <mergeCell ref="Q14:R14"/>
    <mergeCell ref="K13:N13"/>
    <mergeCell ref="K14:N14"/>
    <mergeCell ref="C18:H18"/>
    <mergeCell ref="I18:J18"/>
    <mergeCell ref="Q18:V18"/>
    <mergeCell ref="W18:X18"/>
    <mergeCell ref="Z18:AA18"/>
    <mergeCell ref="L18:N18"/>
    <mergeCell ref="K2:L2"/>
    <mergeCell ref="K3:L3"/>
    <mergeCell ref="Q13:R13"/>
    <mergeCell ref="Z2:AC2"/>
    <mergeCell ref="Z3:AB3"/>
    <mergeCell ref="Z4:AB4"/>
    <mergeCell ref="Z5:AB5"/>
    <mergeCell ref="Z6:AB6"/>
    <mergeCell ref="Z7:AB7"/>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34">
        <v>0</v>
      </c>
      <c r="L2" s="635"/>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36">
        <v>0.1</v>
      </c>
      <c r="L3" s="637"/>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38">
        <f>+Profit!M63</f>
        <v>-73006.028174349995</v>
      </c>
      <c r="L4" s="639"/>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23" t="s">
        <v>1177</v>
      </c>
      <c r="Y5" s="829"/>
      <c r="Z5" s="828"/>
      <c r="AA5" s="715"/>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46" t="s">
        <v>1178</v>
      </c>
      <c r="Y6" s="647"/>
      <c r="Z6" s="648"/>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46" t="s">
        <v>1179</v>
      </c>
      <c r="Y7" s="647"/>
      <c r="Z7" s="648"/>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46" t="s">
        <v>1180</v>
      </c>
      <c r="Y8" s="647"/>
      <c r="Z8" s="648"/>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46" t="s">
        <v>1181</v>
      </c>
      <c r="Y9" s="647"/>
      <c r="Z9" s="648"/>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46" t="s">
        <v>1182</v>
      </c>
      <c r="Y10" s="647"/>
      <c r="Z10" s="648"/>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46" t="s">
        <v>1183</v>
      </c>
      <c r="Y11" s="647"/>
      <c r="Z11" s="648"/>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46" t="s">
        <v>1184</v>
      </c>
      <c r="Y12" s="647"/>
      <c r="Z12" s="648"/>
      <c r="AA12" s="609">
        <f>IFERROR(_xlfn.XLOOKUP($P$12-1,$Z:$Z,$AE:$AE),"")</f>
        <v>0</v>
      </c>
      <c r="AB12" s="460"/>
      <c r="AD12" s="14"/>
      <c r="AE12" s="30"/>
      <c r="AG12" s="22"/>
      <c r="AH12" s="22"/>
      <c r="AI12" s="22"/>
      <c r="AJ12"/>
    </row>
    <row r="13" spans="2:41" ht="15.75" thickBot="1" x14ac:dyDescent="0.3">
      <c r="X13" s="649" t="s">
        <v>1185</v>
      </c>
      <c r="Y13" s="650"/>
      <c r="Z13" s="651"/>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74" t="str">
        <f>"Official Contract for Deed Schedule: "&amp;TEXT($O$8,"0.00%")&amp;" for first "&amp;$O$12&amp;" years, then "&amp;TEXT($O$10,"0.00%")</f>
        <v>Official Contract for Deed Schedule: 6.25% for first 5 years, then 6.25%</v>
      </c>
      <c r="P16" s="818"/>
      <c r="Q16" s="818"/>
      <c r="R16" s="818"/>
      <c r="S16" s="818"/>
      <c r="T16" s="818"/>
      <c r="U16" s="818"/>
      <c r="V16" s="818"/>
      <c r="W16" s="818"/>
      <c r="X16" s="818"/>
      <c r="Y16" s="818"/>
      <c r="Z16" s="668"/>
    </row>
    <row r="17" spans="1:31" ht="15" customHeight="1" thickBot="1" x14ac:dyDescent="0.3">
      <c r="C17" s="819" t="s">
        <v>658</v>
      </c>
      <c r="D17" s="820"/>
      <c r="E17" s="821"/>
      <c r="F17" s="821"/>
      <c r="G17" s="821"/>
      <c r="H17" s="822"/>
      <c r="I17" s="823" t="s">
        <v>655</v>
      </c>
      <c r="J17" s="715"/>
      <c r="N17" s="460"/>
      <c r="O17" s="466"/>
      <c r="P17" s="454"/>
      <c r="Q17" s="824" t="s">
        <v>658</v>
      </c>
      <c r="R17" s="825"/>
      <c r="S17" s="807"/>
      <c r="T17" s="807"/>
      <c r="U17" s="807"/>
      <c r="V17" s="764"/>
      <c r="W17" s="824" t="s">
        <v>655</v>
      </c>
      <c r="X17" s="826"/>
      <c r="Y17" s="612" t="s">
        <v>1175</v>
      </c>
      <c r="Z17" s="466"/>
      <c r="AA17" s="827" t="s">
        <v>1169</v>
      </c>
      <c r="AB17" s="828"/>
      <c r="AC17" s="828"/>
      <c r="AD17" s="828"/>
      <c r="AE17" s="715"/>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K2:L2"/>
    <mergeCell ref="K3:L3"/>
    <mergeCell ref="K4:L4"/>
    <mergeCell ref="X6:Z6"/>
    <mergeCell ref="X7:Z7"/>
    <mergeCell ref="X5:AA5"/>
    <mergeCell ref="C17:H17"/>
    <mergeCell ref="I17:J17"/>
    <mergeCell ref="Q17:V17"/>
    <mergeCell ref="W17:X17"/>
    <mergeCell ref="AA17:AE17"/>
    <mergeCell ref="X13:Z13"/>
    <mergeCell ref="O16:Z16"/>
    <mergeCell ref="X8:Z8"/>
    <mergeCell ref="X9:Z9"/>
    <mergeCell ref="X10:Z10"/>
    <mergeCell ref="X11:Z11"/>
    <mergeCell ref="X12:Z12"/>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30" t="s">
        <v>1113</v>
      </c>
      <c r="I22" s="830"/>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1" t="str">
        <f>'Trade Properties'!$R$19</f>
        <v>Trade credit is not final until titles/bills of sale, lien releases or payoff documentation, possession/keys, tenant and rent information, and park/lot approvals are delivered and accepted.</v>
      </c>
      <c r="J28" s="719"/>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1" t="s">
        <v>1121</v>
      </c>
      <c r="J29" s="719"/>
      <c r="K29" s="129"/>
    </row>
    <row r="30" spans="1:11" ht="33.950000000000003" customHeight="1" thickBot="1" x14ac:dyDescent="0.3">
      <c r="A30" s="30" t="s">
        <v>703</v>
      </c>
      <c r="B30" s="529" t="str">
        <f>+MOG!B4&amp;" "&amp;MOG!C4</f>
        <v>April D. Tunnard</v>
      </c>
      <c r="C30" s="528"/>
      <c r="D30" s="472" t="s">
        <v>729</v>
      </c>
      <c r="E30" s="515"/>
      <c r="F30" s="528"/>
      <c r="G30" s="450"/>
      <c r="H30" s="554" t="s">
        <v>1122</v>
      </c>
      <c r="I30" s="831" t="s">
        <v>1123</v>
      </c>
      <c r="J30" s="719"/>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2" t="s">
        <v>1075</v>
      </c>
      <c r="B1" s="832"/>
      <c r="C1" s="832"/>
      <c r="D1" s="832"/>
      <c r="E1" s="832"/>
      <c r="F1" s="832"/>
      <c r="G1" s="832"/>
      <c r="H1" s="832"/>
      <c r="I1" s="832"/>
      <c r="J1" s="832"/>
      <c r="K1" s="832"/>
      <c r="L1" s="832"/>
      <c r="M1" s="832"/>
      <c r="N1" s="832"/>
      <c r="O1" s="832"/>
    </row>
    <row r="2" spans="1:18" ht="33.950000000000003" customHeight="1" x14ac:dyDescent="0.25">
      <c r="A2" s="833" t="s">
        <v>1076</v>
      </c>
      <c r="B2" s="833"/>
      <c r="C2" s="833"/>
      <c r="D2" s="833"/>
      <c r="E2" s="833"/>
      <c r="F2" s="833"/>
      <c r="G2" s="833"/>
      <c r="H2" s="833"/>
      <c r="I2" s="833"/>
      <c r="J2" s="833"/>
      <c r="K2" s="833"/>
      <c r="L2" s="833"/>
      <c r="M2" s="833"/>
      <c r="N2" s="833"/>
      <c r="O2" s="833"/>
    </row>
    <row r="3" spans="1:18" ht="33.950000000000003" customHeight="1" x14ac:dyDescent="0.25">
      <c r="A3" s="833"/>
      <c r="B3" s="833"/>
      <c r="C3" s="833"/>
      <c r="D3" s="833"/>
      <c r="E3" s="833"/>
      <c r="F3" s="833"/>
      <c r="G3" s="833"/>
      <c r="H3" s="833"/>
      <c r="I3" s="834"/>
      <c r="J3" s="833"/>
      <c r="K3" s="833"/>
      <c r="L3" s="833"/>
      <c r="M3" s="833"/>
      <c r="N3" s="833"/>
      <c r="O3" s="833"/>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5" t="s">
        <v>1097</v>
      </c>
      <c r="R5" s="835"/>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52" t="s">
        <v>79</v>
      </c>
      <c r="D1" s="853"/>
      <c r="E1" s="719"/>
      <c r="I1" s="84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54" t="s">
        <v>80</v>
      </c>
      <c r="K1" s="846"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19"/>
      <c r="J2" s="854"/>
      <c r="K2" s="846"/>
    </row>
    <row r="3" spans="1:11" ht="16.5" customHeight="1" x14ac:dyDescent="0.25">
      <c r="A3" t="s">
        <v>81</v>
      </c>
      <c r="B3" s="229" t="s">
        <v>686</v>
      </c>
      <c r="C3" s="228" t="s">
        <v>678</v>
      </c>
      <c r="D3" s="22"/>
      <c r="I3" s="719"/>
      <c r="J3" s="222"/>
      <c r="K3" s="846"/>
    </row>
    <row r="4" spans="1:11" x14ac:dyDescent="0.25">
      <c r="A4" t="s">
        <v>82</v>
      </c>
      <c r="B4" s="227" t="s">
        <v>687</v>
      </c>
      <c r="C4" s="230" t="s">
        <v>678</v>
      </c>
      <c r="D4" s="22"/>
      <c r="I4" s="719"/>
      <c r="K4" s="846"/>
    </row>
    <row r="5" spans="1:11" ht="16.5" x14ac:dyDescent="0.3">
      <c r="A5" t="s">
        <v>83</v>
      </c>
      <c r="B5" s="217"/>
      <c r="C5" s="218"/>
      <c r="D5" s="22"/>
      <c r="I5" s="719"/>
      <c r="K5" s="846"/>
    </row>
    <row r="6" spans="1:11" ht="15" customHeight="1" thickBot="1" x14ac:dyDescent="0.3">
      <c r="A6" t="s">
        <v>84</v>
      </c>
      <c r="B6" s="219"/>
      <c r="C6" s="220"/>
      <c r="D6" s="22"/>
      <c r="I6" s="719"/>
      <c r="K6" s="846"/>
    </row>
    <row r="7" spans="1:11" x14ac:dyDescent="0.25">
      <c r="I7" s="719"/>
      <c r="K7" s="846"/>
    </row>
    <row r="8" spans="1:11" x14ac:dyDescent="0.25">
      <c r="I8" s="719"/>
      <c r="K8" s="846"/>
    </row>
    <row r="9" spans="1:11" x14ac:dyDescent="0.25">
      <c r="A9" s="15" t="s">
        <v>85</v>
      </c>
      <c r="B9" s="15" t="s">
        <v>86</v>
      </c>
      <c r="C9" s="15"/>
      <c r="I9" s="719"/>
      <c r="K9" s="846"/>
    </row>
    <row r="10" spans="1:11" x14ac:dyDescent="0.25">
      <c r="B10" s="855" t="s">
        <v>87</v>
      </c>
      <c r="C10" s="856"/>
      <c r="D10" s="856"/>
      <c r="E10" s="856"/>
      <c r="F10" s="856"/>
      <c r="G10" s="856"/>
      <c r="I10" s="719"/>
      <c r="K10" s="846"/>
    </row>
    <row r="11" spans="1:11" x14ac:dyDescent="0.25">
      <c r="B11" s="719"/>
      <c r="C11" s="719"/>
      <c r="D11" s="719"/>
      <c r="E11" s="719"/>
      <c r="F11" s="719"/>
      <c r="G11" s="719"/>
      <c r="I11" s="719"/>
      <c r="K11" s="846"/>
    </row>
    <row r="12" spans="1:11" x14ac:dyDescent="0.25">
      <c r="F12" s="845" t="s">
        <v>88</v>
      </c>
      <c r="I12" s="719"/>
      <c r="K12" s="846"/>
    </row>
    <row r="13" spans="1:11" ht="15.75" thickBot="1" x14ac:dyDescent="0.3">
      <c r="B13" s="31" t="s">
        <v>89</v>
      </c>
      <c r="C13" s="215" t="s">
        <v>90</v>
      </c>
      <c r="D13" s="31" t="s">
        <v>91</v>
      </c>
      <c r="E13" s="31"/>
      <c r="F13" s="698"/>
      <c r="G13" s="31" t="s">
        <v>92</v>
      </c>
      <c r="I13" s="719"/>
      <c r="K13" s="846"/>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719"/>
      <c r="K14" s="846"/>
    </row>
    <row r="15" spans="1:11" ht="16.5" thickTop="1" thickBot="1" x14ac:dyDescent="0.3">
      <c r="C15" s="187"/>
      <c r="D15" s="188" t="s">
        <v>93</v>
      </c>
      <c r="E15" s="189">
        <f>+Profit!$M$49</f>
        <v>-4446.7850890000082</v>
      </c>
      <c r="H15" s="216"/>
      <c r="K15" s="846"/>
    </row>
    <row r="16" spans="1:11" ht="16.5" thickTop="1" thickBot="1" x14ac:dyDescent="0.3">
      <c r="C16" s="187"/>
      <c r="D16" s="190" t="s">
        <v>94</v>
      </c>
      <c r="E16" s="191">
        <f>+G14/E15</f>
        <v>-8.4167604999810468</v>
      </c>
      <c r="F16" s="224">
        <v>0.1</v>
      </c>
      <c r="H16" s="216" t="s">
        <v>95</v>
      </c>
      <c r="I16" s="84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46"/>
    </row>
    <row r="17" spans="1:13" ht="15.75" thickTop="1" x14ac:dyDescent="0.25">
      <c r="C17" s="187"/>
      <c r="D17" s="190" t="s">
        <v>96</v>
      </c>
      <c r="E17" s="191">
        <f>+G14/(F14+G14)</f>
        <v>0.89267193829237945</v>
      </c>
      <c r="F17" t="s">
        <v>97</v>
      </c>
      <c r="I17" s="846"/>
      <c r="K17" s="846"/>
    </row>
    <row r="18" spans="1:13" x14ac:dyDescent="0.25">
      <c r="I18" s="846"/>
      <c r="K18" s="846"/>
    </row>
    <row r="19" spans="1:13" ht="15.75" thickBot="1" x14ac:dyDescent="0.3">
      <c r="A19" s="15" t="s">
        <v>98</v>
      </c>
      <c r="B19" s="15" t="s">
        <v>99</v>
      </c>
      <c r="D19" s="15" t="s">
        <v>100</v>
      </c>
      <c r="H19">
        <f>IF(H20="X",1,0)</f>
        <v>0</v>
      </c>
      <c r="K19" s="846"/>
    </row>
    <row r="20" spans="1:13" ht="15" customHeight="1" thickTop="1" thickBot="1" x14ac:dyDescent="0.3">
      <c r="B20" t="s">
        <v>101</v>
      </c>
      <c r="H20" s="216"/>
      <c r="I20" s="84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46"/>
    </row>
    <row r="21" spans="1:13" ht="15.75" thickTop="1" x14ac:dyDescent="0.25">
      <c r="B21" t="s">
        <v>102</v>
      </c>
      <c r="I21" s="846"/>
      <c r="J21" s="213"/>
      <c r="K21" s="846"/>
      <c r="L21" s="212"/>
      <c r="M21" s="212"/>
    </row>
    <row r="22" spans="1:13" ht="30" x14ac:dyDescent="0.25">
      <c r="F22" s="61" t="s">
        <v>103</v>
      </c>
      <c r="I22" s="846"/>
      <c r="J22" s="212"/>
      <c r="K22" s="846"/>
      <c r="L22" s="212"/>
      <c r="M22" s="212"/>
    </row>
    <row r="23" spans="1:13" ht="15.75" thickBot="1" x14ac:dyDescent="0.3">
      <c r="B23" s="31" t="s">
        <v>104</v>
      </c>
      <c r="C23" s="848"/>
      <c r="D23" s="849"/>
      <c r="E23" s="849"/>
      <c r="F23" s="849"/>
      <c r="G23" s="31" t="s">
        <v>92</v>
      </c>
      <c r="I23" s="847"/>
      <c r="J23" s="212"/>
      <c r="K23" s="846"/>
      <c r="L23" s="212"/>
      <c r="M23" s="212"/>
    </row>
    <row r="24" spans="1:13" ht="16.5" thickTop="1" thickBot="1" x14ac:dyDescent="0.3">
      <c r="B24" s="223">
        <f>+SUM(Profit!C19:'Profit'!C20)</f>
        <v>5000</v>
      </c>
      <c r="C24" s="850" t="s">
        <v>105</v>
      </c>
      <c r="D24" s="851"/>
      <c r="E24" s="851"/>
      <c r="F24" s="10">
        <f>+B24</f>
        <v>5000</v>
      </c>
      <c r="G24" s="192">
        <f>+Profit!M63</f>
        <v>-73006.028174349995</v>
      </c>
      <c r="I24" s="719"/>
      <c r="K24" s="846"/>
    </row>
    <row r="25" spans="1:13" ht="15.4" customHeight="1" thickTop="1" thickBot="1" x14ac:dyDescent="0.3">
      <c r="C25" s="187"/>
      <c r="D25" s="188" t="s">
        <v>93</v>
      </c>
      <c r="E25" s="189">
        <f>+Profit!$M$49</f>
        <v>-4446.7850890000082</v>
      </c>
      <c r="H25">
        <f>IF(H26="X",1+H19,H19)</f>
        <v>1</v>
      </c>
      <c r="K25" s="846"/>
    </row>
    <row r="26" spans="1:13" ht="15" customHeight="1" thickTop="1" thickBot="1" x14ac:dyDescent="0.3">
      <c r="C26" s="187"/>
      <c r="D26" s="190" t="s">
        <v>94</v>
      </c>
      <c r="E26" s="191">
        <f>+G24/E25</f>
        <v>16.417710033917462</v>
      </c>
      <c r="H26" s="216" t="s">
        <v>106</v>
      </c>
      <c r="I26" s="84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46"/>
    </row>
    <row r="27" spans="1:13" ht="15" customHeight="1" thickTop="1" x14ac:dyDescent="0.25">
      <c r="C27" s="187"/>
      <c r="D27" s="190" t="s">
        <v>96</v>
      </c>
      <c r="E27" s="191">
        <f>+G24/(F24+G24)</f>
        <v>1.0735228939878871</v>
      </c>
      <c r="I27" s="846"/>
      <c r="K27" s="846"/>
    </row>
    <row r="28" spans="1:13" ht="15" customHeight="1" x14ac:dyDescent="0.25">
      <c r="I28" s="846"/>
      <c r="K28" s="846"/>
    </row>
    <row r="29" spans="1:13" x14ac:dyDescent="0.25">
      <c r="A29" s="15"/>
      <c r="B29" s="15"/>
      <c r="I29" s="847"/>
      <c r="K29" s="846"/>
    </row>
    <row r="30" spans="1:13" x14ac:dyDescent="0.25">
      <c r="A30" s="15" t="s">
        <v>107</v>
      </c>
      <c r="B30" s="15" t="s">
        <v>108</v>
      </c>
      <c r="D30" t="s">
        <v>109</v>
      </c>
      <c r="I30" s="719"/>
      <c r="K30" s="846"/>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46"/>
    </row>
    <row r="32" spans="1:13" ht="15.75" thickBot="1" x14ac:dyDescent="0.3">
      <c r="B32" t="s">
        <v>102</v>
      </c>
      <c r="H32">
        <f>IF(H33="X",H25+1,H25)</f>
        <v>2</v>
      </c>
      <c r="K32" s="846"/>
    </row>
    <row r="33" spans="1:13" ht="15" customHeight="1" thickTop="1" thickBot="1" x14ac:dyDescent="0.3">
      <c r="H33" s="216" t="s">
        <v>106</v>
      </c>
      <c r="I33" s="84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46"/>
    </row>
    <row r="34" spans="1:13" ht="16.5" thickTop="1" thickBot="1" x14ac:dyDescent="0.3">
      <c r="C34" s="2" t="s">
        <v>110</v>
      </c>
      <c r="D34" s="3" t="s">
        <v>111</v>
      </c>
      <c r="F34" s="3" t="s">
        <v>112</v>
      </c>
      <c r="I34" s="846"/>
      <c r="K34" s="846"/>
    </row>
    <row r="35" spans="1:13" ht="16.5" thickTop="1" thickBot="1" x14ac:dyDescent="0.3">
      <c r="B35" s="221" t="s">
        <v>113</v>
      </c>
      <c r="C35" s="194">
        <v>10400</v>
      </c>
      <c r="D35" s="186">
        <v>60</v>
      </c>
      <c r="F35" s="845" t="s">
        <v>103</v>
      </c>
      <c r="I35" s="846"/>
      <c r="K35" s="846"/>
    </row>
    <row r="36" spans="1:13" ht="16.5" thickTop="1" thickBot="1" x14ac:dyDescent="0.3">
      <c r="B36" s="31" t="s">
        <v>114</v>
      </c>
      <c r="C36" s="31" t="s">
        <v>115</v>
      </c>
      <c r="D36" s="31" t="s">
        <v>116</v>
      </c>
      <c r="E36" s="31" t="s">
        <v>117</v>
      </c>
      <c r="F36" s="698"/>
      <c r="G36" s="31" t="s">
        <v>92</v>
      </c>
      <c r="I36" s="846"/>
      <c r="K36" s="846"/>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46"/>
      <c r="K37" s="846"/>
    </row>
    <row r="38" spans="1:13" ht="16.5" thickTop="1" thickBot="1" x14ac:dyDescent="0.3">
      <c r="B38" s="196">
        <v>0.34</v>
      </c>
      <c r="C38" s="211">
        <f>1-B38</f>
        <v>0.65999999999999992</v>
      </c>
      <c r="D38" s="10"/>
      <c r="E38" s="36"/>
      <c r="F38" s="10"/>
      <c r="G38" s="10"/>
      <c r="I38" s="846"/>
      <c r="K38" s="846"/>
    </row>
    <row r="39" spans="1:13" ht="15.4" customHeight="1" thickTop="1" x14ac:dyDescent="0.25">
      <c r="B39" s="10"/>
      <c r="C39" s="192"/>
      <c r="D39" s="188" t="s">
        <v>93</v>
      </c>
      <c r="E39" s="189">
        <f>+Profit!$M$49-C37+C35</f>
        <v>-7746.7850890000082</v>
      </c>
      <c r="F39" s="10"/>
      <c r="G39" s="10"/>
      <c r="I39" s="846"/>
      <c r="K39" s="846"/>
    </row>
    <row r="40" spans="1:13" x14ac:dyDescent="0.25">
      <c r="C40" s="187"/>
      <c r="D40" s="190" t="s">
        <v>94</v>
      </c>
      <c r="E40" s="191">
        <f>+G37/E39</f>
        <v>11.12022951258483</v>
      </c>
      <c r="I40" s="846"/>
      <c r="K40" s="846"/>
    </row>
    <row r="41" spans="1:13" ht="15" customHeight="1" thickBot="1" x14ac:dyDescent="0.3">
      <c r="C41" s="187"/>
      <c r="D41" s="190" t="s">
        <v>96</v>
      </c>
      <c r="E41" s="191">
        <f>+G37/(F37+G37)</f>
        <v>1.2667410593880546</v>
      </c>
      <c r="H41">
        <f>IF(H42="X",H32+1,H32)</f>
        <v>2</v>
      </c>
      <c r="K41" s="846"/>
    </row>
    <row r="42" spans="1:13" ht="16.5" thickTop="1" thickBot="1" x14ac:dyDescent="0.3">
      <c r="A42" s="15" t="s">
        <v>118</v>
      </c>
      <c r="B42" s="15" t="s">
        <v>119</v>
      </c>
      <c r="H42" s="216"/>
      <c r="I42" s="846"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46"/>
    </row>
    <row r="43" spans="1:13" ht="15.75" thickTop="1" x14ac:dyDescent="0.25">
      <c r="B43" t="s">
        <v>101</v>
      </c>
      <c r="I43" s="846"/>
      <c r="K43" s="719"/>
      <c r="M43" s="198"/>
    </row>
    <row r="44" spans="1:13" x14ac:dyDescent="0.25">
      <c r="B44" t="s">
        <v>102</v>
      </c>
      <c r="I44" s="846"/>
      <c r="K44" s="719"/>
    </row>
    <row r="45" spans="1:13" ht="15" customHeight="1" x14ac:dyDescent="0.25">
      <c r="B45" t="s">
        <v>120</v>
      </c>
      <c r="I45" s="846"/>
      <c r="K45" s="719"/>
    </row>
    <row r="46" spans="1:13" x14ac:dyDescent="0.25">
      <c r="B46" t="s">
        <v>121</v>
      </c>
      <c r="I46" s="846"/>
      <c r="K46" s="719"/>
    </row>
    <row r="47" spans="1:13" x14ac:dyDescent="0.25">
      <c r="F47" s="3" t="s">
        <v>122</v>
      </c>
      <c r="I47" s="846"/>
      <c r="K47" s="719"/>
    </row>
    <row r="48" spans="1:13" x14ac:dyDescent="0.25">
      <c r="C48" s="845" t="s">
        <v>123</v>
      </c>
      <c r="D48" s="845" t="s">
        <v>124</v>
      </c>
      <c r="E48" s="845" t="s">
        <v>125</v>
      </c>
      <c r="F48" s="845" t="s">
        <v>103</v>
      </c>
      <c r="I48" s="846"/>
      <c r="K48" s="719"/>
    </row>
    <row r="49" spans="1:11" ht="15.75" thickBot="1" x14ac:dyDescent="0.3">
      <c r="B49" s="3" t="s">
        <v>114</v>
      </c>
      <c r="C49" s="698" t="s">
        <v>123</v>
      </c>
      <c r="D49" s="698" t="s">
        <v>124</v>
      </c>
      <c r="E49" s="698" t="s">
        <v>126</v>
      </c>
      <c r="F49" s="698"/>
      <c r="G49" s="31" t="s">
        <v>92</v>
      </c>
      <c r="I49" s="846"/>
      <c r="K49" s="719"/>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46"/>
      <c r="K50" s="719"/>
    </row>
    <row r="51" spans="1:11" ht="15.75" thickTop="1" x14ac:dyDescent="0.25">
      <c r="D51" s="15" t="s">
        <v>127</v>
      </c>
      <c r="I51" s="214"/>
      <c r="K51" s="719"/>
    </row>
    <row r="52" spans="1:11" x14ac:dyDescent="0.25">
      <c r="C52" s="187"/>
      <c r="D52" s="188" t="s">
        <v>93</v>
      </c>
      <c r="E52" s="189">
        <f>+Profit!$M$49-B24+B50</f>
        <v>553.21491099999184</v>
      </c>
      <c r="H52" t="s">
        <v>95</v>
      </c>
      <c r="I52" s="84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9"/>
    </row>
    <row r="53" spans="1:11" ht="15" customHeight="1" x14ac:dyDescent="0.25">
      <c r="C53" s="187"/>
      <c r="D53" s="190" t="s">
        <v>94</v>
      </c>
      <c r="E53" s="191">
        <f>+G50/E52</f>
        <v>-26.195621564338516</v>
      </c>
      <c r="I53" s="719"/>
      <c r="K53" s="719"/>
    </row>
    <row r="54" spans="1:11" x14ac:dyDescent="0.25">
      <c r="C54" s="187"/>
      <c r="D54" s="190" t="s">
        <v>96</v>
      </c>
      <c r="E54" s="191">
        <f>+G50/(F50+G50)</f>
        <v>0.37831665518402202</v>
      </c>
      <c r="I54" s="719"/>
      <c r="K54" s="719"/>
    </row>
    <row r="55" spans="1:11" ht="15" customHeight="1" x14ac:dyDescent="0.25">
      <c r="I55" s="719"/>
      <c r="K55" s="719"/>
    </row>
    <row r="56" spans="1:11" ht="15.75" thickBot="1" x14ac:dyDescent="0.3">
      <c r="B56" s="15" t="s">
        <v>128</v>
      </c>
      <c r="D56" t="s">
        <v>129</v>
      </c>
      <c r="I56" s="719"/>
      <c r="K56" s="719"/>
    </row>
    <row r="57" spans="1:11" x14ac:dyDescent="0.25">
      <c r="A57" s="836"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37"/>
      <c r="C57" s="837"/>
      <c r="D57" s="837"/>
      <c r="E57" s="837"/>
      <c r="F57" s="837"/>
      <c r="G57" s="838"/>
      <c r="I57" s="719"/>
      <c r="K57" s="719"/>
    </row>
    <row r="58" spans="1:11" x14ac:dyDescent="0.25">
      <c r="A58" s="839"/>
      <c r="B58" s="840"/>
      <c r="C58" s="840"/>
      <c r="D58" s="840"/>
      <c r="E58" s="840"/>
      <c r="F58" s="840"/>
      <c r="G58" s="841"/>
      <c r="I58" s="719"/>
      <c r="K58" s="719"/>
    </row>
    <row r="59" spans="1:11" x14ac:dyDescent="0.25">
      <c r="A59" s="839"/>
      <c r="B59" s="840"/>
      <c r="C59" s="840"/>
      <c r="D59" s="840"/>
      <c r="E59" s="840"/>
      <c r="F59" s="840"/>
      <c r="G59" s="841"/>
      <c r="K59" s="719"/>
    </row>
    <row r="60" spans="1:11" x14ac:dyDescent="0.25">
      <c r="A60" s="839"/>
      <c r="B60" s="840"/>
      <c r="C60" s="840"/>
      <c r="D60" s="840"/>
      <c r="E60" s="840"/>
      <c r="F60" s="840"/>
      <c r="G60" s="841"/>
      <c r="K60" s="719"/>
    </row>
    <row r="61" spans="1:11" x14ac:dyDescent="0.25">
      <c r="A61" s="839"/>
      <c r="B61" s="840"/>
      <c r="C61" s="840"/>
      <c r="D61" s="840"/>
      <c r="E61" s="840"/>
      <c r="F61" s="840"/>
      <c r="G61" s="841"/>
      <c r="H61" t="s">
        <v>95</v>
      </c>
      <c r="I61" s="846"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9"/>
    </row>
    <row r="62" spans="1:11" x14ac:dyDescent="0.25">
      <c r="A62" s="839"/>
      <c r="B62" s="840"/>
      <c r="C62" s="840"/>
      <c r="D62" s="840"/>
      <c r="E62" s="840"/>
      <c r="F62" s="840"/>
      <c r="G62" s="841"/>
      <c r="I62" s="719"/>
      <c r="K62" s="719"/>
    </row>
    <row r="63" spans="1:11" x14ac:dyDescent="0.25">
      <c r="A63" s="839"/>
      <c r="B63" s="840"/>
      <c r="C63" s="840"/>
      <c r="D63" s="840"/>
      <c r="E63" s="840"/>
      <c r="F63" s="840"/>
      <c r="G63" s="841"/>
      <c r="I63" s="719"/>
      <c r="K63" s="719"/>
    </row>
    <row r="64" spans="1:11" x14ac:dyDescent="0.25">
      <c r="A64" s="839"/>
      <c r="B64" s="840"/>
      <c r="C64" s="840"/>
      <c r="D64" s="840"/>
      <c r="E64" s="840"/>
      <c r="F64" s="840"/>
      <c r="G64" s="841"/>
      <c r="I64" s="719"/>
      <c r="K64" s="719"/>
    </row>
    <row r="65" spans="1:11" x14ac:dyDescent="0.25">
      <c r="A65" s="839"/>
      <c r="B65" s="840"/>
      <c r="C65" s="840"/>
      <c r="D65" s="840"/>
      <c r="E65" s="840"/>
      <c r="F65" s="840"/>
      <c r="G65" s="841"/>
      <c r="I65" s="719"/>
      <c r="K65" s="719"/>
    </row>
    <row r="66" spans="1:11" x14ac:dyDescent="0.25">
      <c r="A66" s="839"/>
      <c r="B66" s="840"/>
      <c r="C66" s="840"/>
      <c r="D66" s="840"/>
      <c r="E66" s="840"/>
      <c r="F66" s="840"/>
      <c r="G66" s="841"/>
      <c r="I66" s="719"/>
      <c r="K66" s="719"/>
    </row>
    <row r="67" spans="1:11" x14ac:dyDescent="0.25">
      <c r="A67" s="839"/>
      <c r="B67" s="840"/>
      <c r="C67" s="840"/>
      <c r="D67" s="840"/>
      <c r="E67" s="840"/>
      <c r="F67" s="840"/>
      <c r="G67" s="841"/>
      <c r="I67" s="719"/>
      <c r="K67" s="719"/>
    </row>
    <row r="68" spans="1:11" x14ac:dyDescent="0.25">
      <c r="A68" s="839"/>
      <c r="B68" s="840"/>
      <c r="C68" s="840"/>
      <c r="D68" s="840"/>
      <c r="E68" s="840"/>
      <c r="F68" s="840"/>
      <c r="G68" s="841"/>
      <c r="I68" s="719"/>
    </row>
    <row r="69" spans="1:11" x14ac:dyDescent="0.25">
      <c r="A69" s="839"/>
      <c r="B69" s="840"/>
      <c r="C69" s="840"/>
      <c r="D69" s="840"/>
      <c r="E69" s="840"/>
      <c r="F69" s="840"/>
      <c r="G69" s="841"/>
      <c r="I69" s="719"/>
    </row>
    <row r="70" spans="1:11" x14ac:dyDescent="0.25">
      <c r="A70" s="839"/>
      <c r="B70" s="840"/>
      <c r="C70" s="840"/>
      <c r="D70" s="840"/>
      <c r="E70" s="840"/>
      <c r="F70" s="840"/>
      <c r="G70" s="841"/>
      <c r="I70" s="719"/>
    </row>
    <row r="71" spans="1:11" x14ac:dyDescent="0.25">
      <c r="A71" s="839"/>
      <c r="B71" s="840"/>
      <c r="C71" s="840"/>
      <c r="D71" s="840"/>
      <c r="E71" s="840"/>
      <c r="F71" s="840"/>
      <c r="G71" s="841"/>
      <c r="I71" s="719"/>
    </row>
    <row r="72" spans="1:11" x14ac:dyDescent="0.25">
      <c r="A72" s="839"/>
      <c r="B72" s="840"/>
      <c r="C72" s="840"/>
      <c r="D72" s="840"/>
      <c r="E72" s="840"/>
      <c r="F72" s="840"/>
      <c r="G72" s="841"/>
      <c r="I72" s="719"/>
    </row>
    <row r="73" spans="1:11" x14ac:dyDescent="0.25">
      <c r="A73" s="839"/>
      <c r="B73" s="840"/>
      <c r="C73" s="840"/>
      <c r="D73" s="840"/>
      <c r="E73" s="840"/>
      <c r="F73" s="840"/>
      <c r="G73" s="841"/>
    </row>
    <row r="74" spans="1:11" x14ac:dyDescent="0.25">
      <c r="A74" s="839"/>
      <c r="B74" s="840"/>
      <c r="C74" s="840"/>
      <c r="D74" s="840"/>
      <c r="E74" s="840"/>
      <c r="F74" s="840"/>
      <c r="G74" s="841"/>
      <c r="H74" t="s">
        <v>95</v>
      </c>
      <c r="I74" s="197" t="str">
        <f>"Sincerely,
Wes Browning"</f>
        <v>Sincerely,
Wes Browning</v>
      </c>
    </row>
    <row r="75" spans="1:11" ht="15" customHeight="1" x14ac:dyDescent="0.25">
      <c r="A75" s="839"/>
      <c r="B75" s="840"/>
      <c r="C75" s="840"/>
      <c r="D75" s="840"/>
      <c r="E75" s="840"/>
      <c r="F75" s="840"/>
      <c r="G75" s="841"/>
      <c r="I75" s="197"/>
    </row>
    <row r="76" spans="1:11" x14ac:dyDescent="0.25">
      <c r="A76" s="839"/>
      <c r="B76" s="840"/>
      <c r="C76" s="840"/>
      <c r="D76" s="840"/>
      <c r="E76" s="840"/>
      <c r="F76" s="840"/>
      <c r="G76" s="841"/>
      <c r="I76" s="197"/>
    </row>
    <row r="77" spans="1:11" x14ac:dyDescent="0.25">
      <c r="A77" s="839"/>
      <c r="B77" s="840"/>
      <c r="C77" s="840"/>
      <c r="D77" s="840"/>
      <c r="E77" s="840"/>
      <c r="F77" s="840"/>
      <c r="G77" s="841"/>
    </row>
    <row r="78" spans="1:11" x14ac:dyDescent="0.25">
      <c r="A78" s="839"/>
      <c r="B78" s="840"/>
      <c r="C78" s="840"/>
      <c r="D78" s="840"/>
      <c r="E78" s="840"/>
      <c r="F78" s="840"/>
      <c r="G78" s="841"/>
    </row>
    <row r="79" spans="1:11" ht="15.75" thickBot="1" x14ac:dyDescent="0.3">
      <c r="A79" s="842"/>
      <c r="B79" s="843"/>
      <c r="C79" s="843"/>
      <c r="D79" s="843"/>
      <c r="E79" s="843"/>
      <c r="F79" s="843"/>
      <c r="G79" s="844"/>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62" t="s">
        <v>841</v>
      </c>
      <c r="B1" s="863"/>
      <c r="C1" s="864"/>
      <c r="D1" s="862" t="s">
        <v>474</v>
      </c>
      <c r="E1" s="863"/>
      <c r="F1" s="864"/>
      <c r="G1" s="862" t="s">
        <v>586</v>
      </c>
      <c r="H1" s="863"/>
      <c r="I1" s="864"/>
      <c r="J1" s="862" t="s">
        <v>887</v>
      </c>
      <c r="K1" s="863"/>
      <c r="L1" s="864"/>
      <c r="M1" s="862" t="s">
        <v>475</v>
      </c>
      <c r="N1" s="863"/>
      <c r="O1" s="864"/>
      <c r="P1" s="862" t="s">
        <v>888</v>
      </c>
      <c r="Q1" s="863"/>
      <c r="R1" s="864"/>
      <c r="S1" s="862" t="s">
        <v>889</v>
      </c>
      <c r="T1" s="863"/>
      <c r="U1" s="864"/>
      <c r="V1" s="862" t="s">
        <v>585</v>
      </c>
      <c r="W1" s="863"/>
      <c r="X1" s="864"/>
      <c r="Y1" s="862" t="s">
        <v>635</v>
      </c>
      <c r="Z1" s="863"/>
      <c r="AA1" s="864"/>
      <c r="AB1" s="862" t="s">
        <v>890</v>
      </c>
      <c r="AC1" s="863"/>
      <c r="AD1" s="864"/>
      <c r="AE1" s="862" t="s">
        <v>891</v>
      </c>
      <c r="AF1" s="863"/>
      <c r="AG1" s="864"/>
      <c r="AH1" s="61"/>
      <c r="AI1" s="865"/>
      <c r="AJ1" s="853"/>
      <c r="AK1" s="853"/>
      <c r="AL1" s="853"/>
      <c r="AM1" s="853"/>
      <c r="AN1" s="853"/>
      <c r="AO1" s="853"/>
      <c r="AP1" s="853"/>
      <c r="AQ1" s="853"/>
      <c r="AR1" s="853"/>
      <c r="AS1" s="853"/>
    </row>
    <row r="2" spans="1:45" ht="15" customHeight="1" x14ac:dyDescent="0.25">
      <c r="C2" s="312"/>
      <c r="F2" s="312"/>
      <c r="I2" s="312"/>
      <c r="L2" s="312"/>
      <c r="O2" s="312"/>
      <c r="R2" s="312"/>
      <c r="U2" s="312"/>
      <c r="X2" s="312"/>
      <c r="AA2" s="859"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0"/>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57">
        <f>SUMIFS(tblCarryingExpenses[Amount],tblCarryingExpenses[Category],IF(A1="Mortgage Payment paid after Reinstatement","Mortgage Payment",A1),tblCarryingExpenses[Include],"Yes")</f>
        <v>89.949999999999989</v>
      </c>
      <c r="C25" s="858"/>
      <c r="D25" s="23"/>
      <c r="E25" s="857">
        <f>SUMIFS(tblCarryingExpenses[Amount],tblCarryingExpenses[Category],IF(D1="Mortgage Payment paid after Reinstatement","Mortgage Payment",D1),tblCarryingExpenses[Include],"Yes")</f>
        <v>3302.9500000000003</v>
      </c>
      <c r="F25" s="861"/>
      <c r="G25" s="507"/>
      <c r="H25" s="857">
        <f>SUMIFS(tblCarryingExpenses[Amount],tblCarryingExpenses[Category],IF(G1="Mortgage Payment paid after Reinstatement","Mortgage Payment",G1),tblCarryingExpenses[Include],"Yes")</f>
        <v>1832.74</v>
      </c>
      <c r="I25" s="858"/>
      <c r="J25" s="507"/>
      <c r="K25" s="857">
        <f>SUMIFS(tblCarryingExpenses[Amount],tblCarryingExpenses[Category],IF(J1="Mortgage Payment paid after Reinstatement","Mortgage Payment",J1),tblCarryingExpenses[Include],"Yes")</f>
        <v>0</v>
      </c>
      <c r="L25" s="858"/>
      <c r="M25" s="507"/>
      <c r="N25" s="857">
        <f>SUMIFS(tblCarryingExpenses[Amount],tblCarryingExpenses[Category],IF(M1="Mortgage Payment paid after Reinstatement","Mortgage Payment",M1),tblCarryingExpenses[Include],"Yes")</f>
        <v>0</v>
      </c>
      <c r="O25" s="858"/>
      <c r="P25" s="507"/>
      <c r="Q25" s="857">
        <f>SUMIFS(tblCarryingExpenses[Amount],tblCarryingExpenses[Category],IF(P1="Mortgage Payment paid after Reinstatement","Mortgage Payment",P1),tblCarryingExpenses[Include],"Yes")</f>
        <v>277.64</v>
      </c>
      <c r="R25" s="858"/>
      <c r="S25" s="507"/>
      <c r="T25" s="857">
        <f>SUMIFS(tblCarryingExpenses[Amount],tblCarryingExpenses[Category],IF(S1="Mortgage Payment paid after Reinstatement","Mortgage Payment",S1),tblCarryingExpenses[Include],"Yes")</f>
        <v>0</v>
      </c>
      <c r="U25" s="858"/>
      <c r="V25" s="507"/>
      <c r="W25" s="857">
        <f>SUMIFS(tblCarryingExpenses[Amount],tblCarryingExpenses[Category],IF(V1="Mortgage Payment paid after Reinstatement","Mortgage Payment",V1),tblCarryingExpenses[Include],"Yes")</f>
        <v>0</v>
      </c>
      <c r="X25" s="858"/>
      <c r="Y25" s="507"/>
      <c r="Z25" s="857">
        <f>SUM(Z4:AA23)</f>
        <v>0</v>
      </c>
      <c r="AA25" s="858"/>
      <c r="AB25" s="507"/>
      <c r="AC25" s="857">
        <f>SUMIFS(tblCarryingExpenses[Amount],tblCarryingExpenses[Category],IF(AB1="Mortgage Payment paid after Reinstatement","Mortgage Payment",AB1),tblCarryingExpenses[Include],"Yes")</f>
        <v>0</v>
      </c>
      <c r="AD25" s="858"/>
      <c r="AE25" s="507"/>
      <c r="AF25" s="857">
        <f>SUMIFS(tblCarryingExpenses[Amount],tblCarryingExpenses[Category],IF(AE1="Mortgage Payment paid after Reinstatement","Mortgage Payment",AE1),tblCarryingExpenses[Include],"Yes")</f>
        <v>0</v>
      </c>
      <c r="AG25" s="858"/>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6" t="str">
        <f>"Preassigned Rows Indicating Payment or Scheduling by " &amp;Profit!E1&amp;" Your Home"</f>
        <v>Preassigned Rows Indicating Payment or Scheduling by  Your Home</v>
      </c>
      <c r="C2" s="867"/>
      <c r="E2" s="54"/>
    </row>
    <row r="3" spans="1:13" ht="15.75" hidden="1" thickBot="1" x14ac:dyDescent="0.3">
      <c r="B3" s="868"/>
      <c r="C3" s="869"/>
      <c r="E3" s="54"/>
    </row>
    <row r="4" spans="1:13" hidden="1" x14ac:dyDescent="0.25">
      <c r="B4" s="874" t="s">
        <v>173</v>
      </c>
      <c r="C4" s="875"/>
      <c r="E4" s="54"/>
    </row>
    <row r="5" spans="1:13" ht="15.75" hidden="1" thickBot="1" x14ac:dyDescent="0.3">
      <c r="B5" s="876"/>
      <c r="C5" s="877"/>
      <c r="E5" s="54"/>
    </row>
    <row r="6" spans="1:13" hidden="1" x14ac:dyDescent="0.25">
      <c r="B6" s="870" t="s">
        <v>174</v>
      </c>
      <c r="C6" s="871"/>
      <c r="E6" s="54"/>
    </row>
    <row r="7" spans="1:13" ht="15.75" hidden="1" thickBot="1" x14ac:dyDescent="0.3">
      <c r="B7" s="872"/>
      <c r="C7" s="873"/>
    </row>
    <row r="8" spans="1:13" hidden="1" x14ac:dyDescent="0.25">
      <c r="B8" s="878" t="s">
        <v>175</v>
      </c>
      <c r="C8" s="879"/>
    </row>
    <row r="9" spans="1:13" ht="15.75" hidden="1" thickBot="1" x14ac:dyDescent="0.3">
      <c r="B9" s="880"/>
      <c r="C9" s="881"/>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1" t="s">
        <v>197</v>
      </c>
      <c r="B1" s="892"/>
      <c r="C1" s="892"/>
      <c r="D1" s="892"/>
      <c r="E1" s="892"/>
      <c r="F1" s="892"/>
      <c r="G1" s="892"/>
      <c r="H1" s="893"/>
      <c r="I1" s="882" t="s">
        <v>198</v>
      </c>
      <c r="J1" s="883"/>
      <c r="K1" s="883"/>
      <c r="L1" s="883"/>
      <c r="M1" s="883"/>
      <c r="N1" s="884"/>
      <c r="P1" s="30" t="s">
        <v>199</v>
      </c>
      <c r="Q1" s="15">
        <v>1</v>
      </c>
      <c r="R1" s="59" t="s">
        <v>200</v>
      </c>
      <c r="S1" s="15">
        <v>4</v>
      </c>
    </row>
    <row r="2" spans="1:19" x14ac:dyDescent="0.25">
      <c r="A2" s="894"/>
      <c r="B2" s="719"/>
      <c r="C2" s="719"/>
      <c r="D2" s="719"/>
      <c r="E2" s="719"/>
      <c r="F2" s="719"/>
      <c r="G2" s="719"/>
      <c r="H2" s="895"/>
      <c r="I2" s="885"/>
      <c r="J2" s="886"/>
      <c r="K2" s="886"/>
      <c r="L2" s="886"/>
      <c r="M2" s="886"/>
      <c r="N2" s="887"/>
      <c r="P2" s="30" t="s">
        <v>201</v>
      </c>
      <c r="Q2" s="15">
        <v>2</v>
      </c>
      <c r="R2" s="30" t="s">
        <v>202</v>
      </c>
      <c r="S2" s="15">
        <v>0</v>
      </c>
    </row>
    <row r="3" spans="1:19" ht="15.75" thickBot="1" x14ac:dyDescent="0.3">
      <c r="A3" s="896"/>
      <c r="B3" s="897"/>
      <c r="C3" s="897"/>
      <c r="D3" s="897"/>
      <c r="E3" s="897"/>
      <c r="F3" s="897"/>
      <c r="G3" s="897"/>
      <c r="H3" s="898"/>
      <c r="I3" s="888"/>
      <c r="J3" s="889"/>
      <c r="K3" s="889"/>
      <c r="L3" s="889"/>
      <c r="M3" s="889"/>
      <c r="N3" s="890"/>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03" t="s">
        <v>215</v>
      </c>
      <c r="K1" s="903"/>
      <c r="L1" s="154"/>
      <c r="M1" s="899" t="s">
        <v>216</v>
      </c>
      <c r="N1" s="900"/>
      <c r="O1" s="263" t="s">
        <v>217</v>
      </c>
    </row>
    <row r="2" spans="1:125" ht="30" customHeight="1" thickBot="1" x14ac:dyDescent="0.35">
      <c r="A2" s="930" t="s">
        <v>488</v>
      </c>
      <c r="B2" s="931"/>
      <c r="C2" s="928" t="str">
        <f>Profit!E1&amp; " Your Home"</f>
        <v xml:space="preserve"> Your Home</v>
      </c>
      <c r="D2" s="929"/>
      <c r="E2" s="163" t="s">
        <v>218</v>
      </c>
      <c r="F2" s="926">
        <f>+MIN(ProposalToGnatt[Start Date])</f>
        <v>45363</v>
      </c>
      <c r="G2" s="927"/>
      <c r="H2" s="906" t="s">
        <v>219</v>
      </c>
      <c r="I2" s="907"/>
      <c r="J2" s="915">
        <f>+SUM(H8:H20)</f>
        <v>20549.104910999999</v>
      </c>
      <c r="K2" s="919"/>
      <c r="L2" s="155"/>
      <c r="M2" s="915">
        <f>+SUM(N8:N20)-SUM(M8:M20)</f>
        <v>0</v>
      </c>
      <c r="N2" s="648"/>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16"/>
      <c r="B3" s="917"/>
      <c r="C3" s="917"/>
      <c r="D3" s="917"/>
      <c r="E3" s="164"/>
      <c r="G3" s="34"/>
      <c r="H3" s="908" t="s">
        <v>220</v>
      </c>
      <c r="I3" s="909"/>
      <c r="J3" s="914">
        <f>SUM(H22:H25)</f>
        <v>0</v>
      </c>
      <c r="K3" s="922"/>
      <c r="L3" s="156"/>
      <c r="M3" s="914">
        <f>+J3-SUM(M22:M25)</f>
        <v>0</v>
      </c>
      <c r="N3" s="648"/>
      <c r="O3" s="265">
        <f>+SUM(H22:H25)-SUM(M22:M25)</f>
        <v>0</v>
      </c>
      <c r="AP3" s="15"/>
      <c r="AQ3" s="15"/>
      <c r="AR3" s="15"/>
    </row>
    <row r="4" spans="1:125" ht="30" customHeight="1" x14ac:dyDescent="0.3">
      <c r="A4" s="916" t="str">
        <f>+Profit!B2</f>
        <v>4121 Tensity Dr</v>
      </c>
      <c r="B4" s="917" t="str">
        <f>+Profit!B2</f>
        <v>4121 Tensity Dr</v>
      </c>
      <c r="C4" s="917"/>
      <c r="D4" s="917"/>
      <c r="E4" s="904" t="s">
        <v>221</v>
      </c>
      <c r="F4" s="905"/>
      <c r="G4" s="76">
        <v>1</v>
      </c>
      <c r="H4" s="910" t="str">
        <f>+A2 &amp; "Total:"</f>
        <v>Tim Flemming Total:</v>
      </c>
      <c r="I4" s="911"/>
      <c r="J4" s="912">
        <f>SUM(ProposalToGnatt[Price])</f>
        <v>4897.5700000000006</v>
      </c>
      <c r="K4" s="923"/>
      <c r="L4" s="157"/>
      <c r="M4" s="912" cm="1">
        <f t="array" ref="M4">+SUM(ProposalToGnatt[Due]-ProposalToGnatt[Paid])</f>
        <v>1.9895196601282805E-13</v>
      </c>
      <c r="N4" s="648"/>
      <c r="O4" s="266">
        <f>+SUM(ProposalToGnatt[Price])-SUM(ProposalToGnatt[Paid])</f>
        <v>0</v>
      </c>
      <c r="AP4" s="15"/>
      <c r="AQ4" s="15"/>
      <c r="AR4" s="15"/>
    </row>
    <row r="5" spans="1:125" ht="18" customHeight="1" thickBot="1" x14ac:dyDescent="0.3">
      <c r="A5" s="158"/>
      <c r="B5" s="159" t="s">
        <v>222</v>
      </c>
      <c r="C5" s="160"/>
      <c r="D5" s="161"/>
      <c r="E5" s="920" t="s">
        <v>223</v>
      </c>
      <c r="F5" s="921"/>
      <c r="G5" s="162">
        <v>2</v>
      </c>
      <c r="H5" s="918" t="s">
        <v>224</v>
      </c>
      <c r="I5" s="918"/>
      <c r="J5" s="924">
        <f>+SUM(J2:K4)</f>
        <v>25446.674910999998</v>
      </c>
      <c r="K5" s="925"/>
      <c r="L5" s="24"/>
      <c r="M5" s="913">
        <f>+SUM(M2:M4)</f>
        <v>1.9895196601282805E-13</v>
      </c>
      <c r="N5" s="651"/>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01" t="s">
        <v>241</v>
      </c>
      <c r="AB22" s="902"/>
      <c r="AC22" s="902"/>
      <c r="AD22" s="902"/>
      <c r="AE22" s="902"/>
      <c r="AF22" s="902"/>
      <c r="AG22" s="902"/>
      <c r="AH22" s="90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02"/>
      <c r="AB23" s="902"/>
      <c r="AC23" s="902"/>
      <c r="AD23" s="902"/>
      <c r="AE23" s="902"/>
      <c r="AF23" s="902"/>
      <c r="AG23" s="902"/>
      <c r="AH23" s="90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1" t="s">
        <v>246</v>
      </c>
      <c r="B1" s="942"/>
      <c r="C1" s="919"/>
      <c r="D1" s="919"/>
      <c r="E1" s="919"/>
      <c r="F1" s="919"/>
      <c r="G1" s="719"/>
      <c r="I1" s="632" t="s">
        <v>247</v>
      </c>
      <c r="J1" s="633"/>
      <c r="K1" s="939"/>
      <c r="L1" s="940"/>
      <c r="M1"/>
      <c r="N1" s="932" t="s">
        <v>248</v>
      </c>
      <c r="O1" s="933"/>
      <c r="P1" s="933"/>
      <c r="Q1" s="933"/>
      <c r="R1" s="933"/>
      <c r="S1" s="934"/>
      <c r="W1"/>
    </row>
    <row r="2" spans="1:23" ht="15.75" thickBot="1" x14ac:dyDescent="0.3">
      <c r="A2" s="941" t="s">
        <v>249</v>
      </c>
      <c r="B2" s="942"/>
      <c r="C2" s="919"/>
      <c r="D2" s="919"/>
      <c r="E2" s="919"/>
      <c r="F2" s="919"/>
      <c r="G2" s="719"/>
      <c r="I2" s="938" t="s">
        <v>250</v>
      </c>
      <c r="J2" s="661"/>
      <c r="K2" s="662"/>
      <c r="L2" s="663"/>
      <c r="M2"/>
      <c r="N2" s="935" t="str">
        <f>"Recap Summary Table - " &amp; +Profit!B2</f>
        <v>Recap Summary Table - 4121 Tensity Dr</v>
      </c>
      <c r="O2" s="936"/>
      <c r="P2" s="936"/>
      <c r="Q2" s="936"/>
      <c r="R2" s="936"/>
      <c r="S2" s="937"/>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5" t="s">
        <v>2</v>
      </c>
      <c r="J2" s="945" t="str">
        <f>IF(Profit!$S$6,IF(K2="No","No","Yes"),"No")</f>
        <v>No</v>
      </c>
      <c r="K2" s="947"/>
    </row>
    <row r="3" spans="1:11" s="3" customFormat="1" ht="15.75" thickBot="1" x14ac:dyDescent="0.3">
      <c r="A3" s="3" t="s">
        <v>305</v>
      </c>
      <c r="B3" s="3" t="s">
        <v>253</v>
      </c>
      <c r="C3" s="13" t="s">
        <v>306</v>
      </c>
      <c r="D3" s="3" t="s">
        <v>307</v>
      </c>
      <c r="E3" s="13" t="s">
        <v>308</v>
      </c>
      <c r="F3" s="3" t="s">
        <v>309</v>
      </c>
      <c r="I3" s="946"/>
      <c r="J3" s="946"/>
      <c r="K3" s="948"/>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3"/>
      <c r="D28" s="944"/>
      <c r="E28" s="94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5" t="s">
        <v>2</v>
      </c>
      <c r="I3" s="945" t="str">
        <f>IF(Profit!$S$6,IF(J3,"Yes","N0"),"no")</f>
        <v>no</v>
      </c>
      <c r="J3" s="949" t="b">
        <v>1</v>
      </c>
    </row>
    <row r="4" spans="1:10" ht="15.75" thickBot="1" x14ac:dyDescent="0.3">
      <c r="A4" s="401" t="s">
        <v>310</v>
      </c>
      <c r="B4" s="405"/>
      <c r="C4" s="403" t="s">
        <v>311</v>
      </c>
      <c r="D4" s="402">
        <v>0</v>
      </c>
      <c r="E4" s="403">
        <v>325</v>
      </c>
      <c r="F4" s="403">
        <f t="shared" ref="F4:F5" si="0">IF($I$3="Yes",+D4*E4,0)</f>
        <v>0</v>
      </c>
      <c r="H4" s="946"/>
      <c r="I4" s="946"/>
      <c r="J4" s="950"/>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5" t="s">
        <v>2</v>
      </c>
      <c r="J4" s="945" t="str">
        <f>IF(Profit!$S$6,IF(K4,"Yes","N0"),"no")</f>
        <v>no</v>
      </c>
      <c r="K4" s="949" t="b">
        <v>0</v>
      </c>
    </row>
    <row r="5" spans="1:11" ht="15.75" thickBot="1" x14ac:dyDescent="0.3">
      <c r="A5" s="401" t="s">
        <v>619</v>
      </c>
      <c r="B5" s="401">
        <v>977057</v>
      </c>
      <c r="C5" s="402">
        <v>0</v>
      </c>
      <c r="D5" s="409">
        <v>149</v>
      </c>
      <c r="E5" s="403">
        <f>+C5*D5</f>
        <v>0</v>
      </c>
      <c r="F5" s="410">
        <f>+E5*0.0725</f>
        <v>0</v>
      </c>
      <c r="G5" s="408"/>
      <c r="I5" s="946"/>
      <c r="J5" s="946"/>
      <c r="K5" s="950"/>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4" t="s">
        <v>332</v>
      </c>
      <c r="D30" s="944"/>
      <c r="E30" s="944"/>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5" t="s">
        <v>2</v>
      </c>
      <c r="K5" s="945" t="str">
        <f>IF(Profit!S6,IF(L5,"Yes","No"),"No")</f>
        <v>No</v>
      </c>
      <c r="L5" s="949" t="b">
        <v>0</v>
      </c>
    </row>
    <row r="6" spans="1:12" ht="15.75" thickBot="1" x14ac:dyDescent="0.3">
      <c r="B6" s="412" t="s">
        <v>620</v>
      </c>
      <c r="C6" s="412"/>
      <c r="D6" s="402">
        <v>1</v>
      </c>
      <c r="E6" s="409">
        <v>53.98</v>
      </c>
      <c r="F6" s="403">
        <f>+D6*E6</f>
        <v>53.98</v>
      </c>
      <c r="G6" s="410">
        <f t="shared" si="0"/>
        <v>3.9135499999999994</v>
      </c>
      <c r="H6" s="408"/>
      <c r="J6" s="946"/>
      <c r="K6" s="946"/>
      <c r="L6" s="950"/>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5" t="s">
        <v>2</v>
      </c>
      <c r="L2" s="945" t="str">
        <f>IF(Profit!S6,IF(M2,"Yes","No"),"No")</f>
        <v>No</v>
      </c>
      <c r="M2" s="949" t="b">
        <v>1</v>
      </c>
    </row>
    <row r="3" spans="1:13" s="22" customFormat="1" ht="14.25" customHeight="1" thickBot="1" x14ac:dyDescent="0.3">
      <c r="A3" s="3" t="s">
        <v>208</v>
      </c>
      <c r="B3" s="3" t="s">
        <v>253</v>
      </c>
      <c r="C3" s="3" t="s">
        <v>321</v>
      </c>
      <c r="D3" s="3" t="s">
        <v>265</v>
      </c>
      <c r="E3" s="8" t="s">
        <v>266</v>
      </c>
      <c r="F3" s="13" t="s">
        <v>267</v>
      </c>
      <c r="G3" s="13"/>
      <c r="H3" s="13" t="s">
        <v>268</v>
      </c>
      <c r="K3" s="946"/>
      <c r="L3" s="946"/>
      <c r="M3" s="950"/>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5" t="s">
        <v>2</v>
      </c>
      <c r="K2" s="945" t="str">
        <f>IF(Profit!S6,IF(L2,"Yes","No"),"No")</f>
        <v>No</v>
      </c>
      <c r="L2" s="949" t="b">
        <v>1</v>
      </c>
    </row>
    <row r="3" spans="1:12" ht="15.75" thickBot="1" x14ac:dyDescent="0.3">
      <c r="A3" s="31" t="s">
        <v>208</v>
      </c>
      <c r="B3" s="31" t="s">
        <v>321</v>
      </c>
      <c r="C3" s="31" t="s">
        <v>265</v>
      </c>
      <c r="D3" s="259" t="s">
        <v>266</v>
      </c>
      <c r="E3" s="260" t="s">
        <v>267</v>
      </c>
      <c r="F3" s="260" t="s">
        <v>254</v>
      </c>
      <c r="G3" s="260" t="s">
        <v>268</v>
      </c>
      <c r="J3" s="946"/>
      <c r="K3" s="946"/>
      <c r="L3" s="950"/>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5" t="s">
        <v>2</v>
      </c>
      <c r="O1" s="945" t="str">
        <f>IF(Profit!S6,IF(P1,"Yes","No"),"No")</f>
        <v>No</v>
      </c>
      <c r="P1" s="949"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6"/>
      <c r="O2" s="946"/>
      <c r="P2" s="950"/>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3" t="s">
        <v>622</v>
      </c>
      <c r="I9" s="944"/>
      <c r="J9" s="944"/>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3" t="s">
        <v>414</v>
      </c>
      <c r="I43" s="944"/>
      <c r="J43" s="944"/>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5" t="s">
        <v>2</v>
      </c>
      <c r="K1" s="945" t="str">
        <f>IF(Profit!S6,IF(L1,"Yes","No"),"No")</f>
        <v>No</v>
      </c>
      <c r="L1" s="949" t="b">
        <v>1</v>
      </c>
    </row>
    <row r="2" spans="1:12" s="3" customFormat="1" ht="15.75" thickBot="1" x14ac:dyDescent="0.3">
      <c r="A2" s="260" t="s">
        <v>208</v>
      </c>
      <c r="B2" s="260" t="s">
        <v>393</v>
      </c>
      <c r="C2" s="260" t="s">
        <v>226</v>
      </c>
      <c r="D2" s="260" t="s">
        <v>179</v>
      </c>
      <c r="E2" s="260" t="s">
        <v>266</v>
      </c>
      <c r="F2" s="260" t="s">
        <v>267</v>
      </c>
      <c r="G2" s="260" t="s">
        <v>254</v>
      </c>
      <c r="H2" s="260" t="s">
        <v>268</v>
      </c>
      <c r="J2" s="946"/>
      <c r="K2" s="946"/>
      <c r="L2" s="950"/>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5" t="s">
        <v>2</v>
      </c>
      <c r="K1" s="945" t="str">
        <f>IF(Profit!S6,IF(L1,"Yes","No"),"No")</f>
        <v>No</v>
      </c>
      <c r="L1" s="949" t="b">
        <v>0</v>
      </c>
    </row>
    <row r="2" spans="1:16" ht="15.75" thickBot="1" x14ac:dyDescent="0.3">
      <c r="A2" s="32" t="s">
        <v>189</v>
      </c>
      <c r="B2" s="32"/>
      <c r="C2" s="32"/>
      <c r="J2" s="946"/>
      <c r="K2" s="946"/>
      <c r="L2" s="950"/>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3"/>
      <c r="F17" s="944"/>
      <c r="G17" s="944"/>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3"/>
      <c r="N24" s="944"/>
      <c r="O24" s="94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5" t="s">
        <v>2</v>
      </c>
      <c r="J1" s="945" t="str">
        <f>IF(Profit!S6,IF(K1,"Yes","No"),"No")</f>
        <v>No</v>
      </c>
      <c r="K1" s="949" t="b">
        <v>0</v>
      </c>
    </row>
    <row r="2" spans="1:11" ht="15.75" thickBot="1" x14ac:dyDescent="0.3">
      <c r="C2" s="3"/>
      <c r="D2" s="8"/>
      <c r="E2" s="13"/>
      <c r="F2" s="13"/>
      <c r="G2" s="13"/>
      <c r="I2" s="946"/>
      <c r="J2" s="946"/>
      <c r="K2" s="950"/>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5" t="s">
        <v>2</v>
      </c>
      <c r="I1" s="945" t="str">
        <f>IF(Profit!$S$6,IF(J1="No","No","Yes"),"no")</f>
        <v>no</v>
      </c>
      <c r="J1" s="947"/>
    </row>
    <row r="2" spans="1:10" s="15" customFormat="1" ht="15.75" thickBot="1" x14ac:dyDescent="0.3">
      <c r="A2" s="3" t="s">
        <v>205</v>
      </c>
      <c r="B2" s="17" t="s">
        <v>451</v>
      </c>
      <c r="C2" s="30" t="s">
        <v>452</v>
      </c>
      <c r="D2" s="3" t="s">
        <v>265</v>
      </c>
      <c r="E2" s="8" t="s">
        <v>453</v>
      </c>
      <c r="F2" s="6" t="s">
        <v>454</v>
      </c>
      <c r="G2" s="15" t="s">
        <v>268</v>
      </c>
      <c r="H2" s="946"/>
      <c r="I2" s="946"/>
      <c r="J2" s="948"/>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5" t="s">
        <v>2</v>
      </c>
      <c r="J1" s="945" t="str">
        <f>IF(Profit!$S$6,IF(K1="No","No","Yes"),"no")</f>
        <v>no</v>
      </c>
      <c r="K1" s="947"/>
    </row>
    <row r="2" spans="1:14" s="61" customFormat="1" ht="30.75" thickBot="1" x14ac:dyDescent="0.3">
      <c r="A2" s="61" t="s">
        <v>205</v>
      </c>
      <c r="B2" s="61" t="s">
        <v>205</v>
      </c>
      <c r="C2" s="61" t="s">
        <v>179</v>
      </c>
      <c r="D2" s="316" t="s">
        <v>461</v>
      </c>
      <c r="E2" s="61" t="s">
        <v>268</v>
      </c>
      <c r="F2" s="61" t="s">
        <v>462</v>
      </c>
      <c r="G2" s="248"/>
      <c r="H2" s="316">
        <v>20</v>
      </c>
      <c r="I2" s="946"/>
      <c r="J2" s="946"/>
      <c r="K2" s="948"/>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52" t="s">
        <v>566</v>
      </c>
      <c r="C1" s="853"/>
      <c r="E1" s="852" t="s">
        <v>570</v>
      </c>
      <c r="F1" s="853"/>
      <c r="H1" s="852" t="s">
        <v>569</v>
      </c>
      <c r="I1" s="853"/>
      <c r="L1" s="852" t="s">
        <v>584</v>
      </c>
      <c r="M1" s="853"/>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52" t="s">
        <v>566</v>
      </c>
      <c r="C12" s="853"/>
      <c r="D12" s="3"/>
      <c r="E12" s="852" t="s">
        <v>570</v>
      </c>
      <c r="F12" s="853"/>
      <c r="G12" s="3"/>
      <c r="H12" s="852" t="s">
        <v>569</v>
      </c>
      <c r="I12" s="853"/>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5" t="s">
        <v>588</v>
      </c>
      <c r="C2" s="956"/>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1">
        <f>+AVERAGE(E3:F3)</f>
        <v>167500</v>
      </c>
      <c r="D8" s="641"/>
      <c r="E8" s="957"/>
      <c r="F8" s="719"/>
      <c r="G8" s="762"/>
      <c r="I8" s="61"/>
      <c r="J8" s="61"/>
      <c r="K8" s="61"/>
    </row>
    <row r="9" spans="1:11" ht="15.75" thickBot="1" x14ac:dyDescent="0.3">
      <c r="B9" s="145" t="s">
        <v>155</v>
      </c>
      <c r="C9" s="951">
        <f>+AVERAGE(E4:F4)</f>
        <v>44549.638750000006</v>
      </c>
      <c r="D9" s="641"/>
      <c r="E9" s="763"/>
      <c r="F9" s="807"/>
      <c r="G9" s="764"/>
      <c r="I9" s="61"/>
      <c r="J9" s="61"/>
      <c r="K9" s="61"/>
    </row>
    <row r="10" spans="1:11" ht="15.75" thickBot="1" x14ac:dyDescent="0.3">
      <c r="B10" s="145" t="s">
        <v>156</v>
      </c>
      <c r="C10" s="951">
        <f>+AVERAGE(E5:F5)</f>
        <v>42487.25</v>
      </c>
      <c r="D10" s="641"/>
      <c r="E10" s="958" t="s">
        <v>157</v>
      </c>
      <c r="F10" s="959"/>
      <c r="G10" s="668"/>
      <c r="I10" s="61"/>
      <c r="J10" s="61"/>
      <c r="K10" s="61"/>
    </row>
    <row r="11" spans="1:11" ht="15.75" thickBot="1" x14ac:dyDescent="0.3">
      <c r="B11" s="145" t="s">
        <v>158</v>
      </c>
      <c r="C11" s="951">
        <f>+AVERAGE(E6:F6)</f>
        <v>45703.346999999994</v>
      </c>
      <c r="D11" s="641"/>
      <c r="E11" s="952" t="s">
        <v>159</v>
      </c>
      <c r="F11" s="953"/>
      <c r="G11" s="954"/>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5" t="s">
        <v>587</v>
      </c>
      <c r="C2" s="956"/>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1">
        <f>+AVERAGE(E3:F3)</f>
        <v>375000</v>
      </c>
      <c r="D8" s="641"/>
      <c r="E8" s="957"/>
      <c r="F8" s="719"/>
      <c r="G8" s="762"/>
    </row>
    <row r="9" spans="1:8" ht="15.75" thickBot="1" x14ac:dyDescent="0.3">
      <c r="B9" s="145" t="s">
        <v>155</v>
      </c>
      <c r="C9" s="951">
        <f>+AVERAGE(E4:F4)</f>
        <v>176184.5</v>
      </c>
      <c r="D9" s="641"/>
      <c r="E9" s="763"/>
      <c r="F9" s="807"/>
      <c r="G9" s="764"/>
    </row>
    <row r="10" spans="1:8" ht="15.75" thickBot="1" x14ac:dyDescent="0.3">
      <c r="B10" s="145" t="s">
        <v>156</v>
      </c>
      <c r="C10" s="951">
        <f>+AVERAGE(E5:F5)</f>
        <v>121133.5</v>
      </c>
      <c r="D10" s="641"/>
      <c r="E10" s="958" t="s">
        <v>157</v>
      </c>
      <c r="F10" s="959"/>
      <c r="G10" s="668"/>
    </row>
    <row r="11" spans="1:8" ht="15.75" thickBot="1" x14ac:dyDescent="0.3">
      <c r="B11" s="145" t="s">
        <v>158</v>
      </c>
      <c r="C11" s="951">
        <f>+AVERAGE(E6:F6)</f>
        <v>77681.948333333334</v>
      </c>
      <c r="D11" s="641"/>
      <c r="E11" s="952" t="s">
        <v>159</v>
      </c>
      <c r="F11" s="953"/>
      <c r="G11" s="954"/>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5" t="s">
        <v>473</v>
      </c>
      <c r="C2" s="963"/>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1">
        <f>+AVERAGE(E3:H3)</f>
        <v>315632.25</v>
      </c>
      <c r="D8" s="960"/>
      <c r="E8" s="957"/>
      <c r="F8" s="719"/>
      <c r="G8" s="719"/>
      <c r="H8" s="719"/>
      <c r="I8" s="762"/>
    </row>
    <row r="9" spans="1:10" ht="15.75" thickBot="1" x14ac:dyDescent="0.3">
      <c r="A9" s="148"/>
      <c r="B9" s="145" t="s">
        <v>155</v>
      </c>
      <c r="C9" s="951">
        <f>+AVERAGE(E4:H4)</f>
        <v>138648.73000000001</v>
      </c>
      <c r="D9" s="960"/>
      <c r="E9" s="763"/>
      <c r="F9" s="807"/>
      <c r="G9" s="807"/>
      <c r="H9" s="807"/>
      <c r="I9" s="764"/>
    </row>
    <row r="10" spans="1:10" ht="15.75" thickBot="1" x14ac:dyDescent="0.3">
      <c r="A10" s="148"/>
      <c r="B10" s="145" t="s">
        <v>156</v>
      </c>
      <c r="C10" s="951">
        <f>+AVERAGE(E5:H5)</f>
        <v>37177.026874999996</v>
      </c>
      <c r="D10" s="960"/>
      <c r="E10" s="958" t="s">
        <v>157</v>
      </c>
      <c r="F10" s="964"/>
      <c r="G10" s="964"/>
      <c r="H10" s="964"/>
      <c r="I10" s="965"/>
    </row>
    <row r="11" spans="1:10" ht="15.75" thickBot="1" x14ac:dyDescent="0.3">
      <c r="B11" s="145" t="s">
        <v>158</v>
      </c>
      <c r="C11" s="951">
        <f>+AVERAGE(E6:H6)</f>
        <v>117803.01925000001</v>
      </c>
      <c r="D11" s="960"/>
      <c r="E11" s="952" t="s">
        <v>159</v>
      </c>
      <c r="F11" s="961"/>
      <c r="G11" s="961"/>
      <c r="H11" s="961"/>
      <c r="I11" s="962"/>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5" t="s">
        <v>473</v>
      </c>
      <c r="C2" s="956"/>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1">
        <f>+AVERAGE(E3:G3)</f>
        <v>270600</v>
      </c>
      <c r="D8" s="641"/>
      <c r="E8" s="957"/>
      <c r="F8" s="966"/>
      <c r="G8" s="719"/>
      <c r="H8" s="762"/>
    </row>
    <row r="9" spans="1:9" ht="15.75" thickBot="1" x14ac:dyDescent="0.3">
      <c r="B9" s="145" t="s">
        <v>155</v>
      </c>
      <c r="C9" s="951">
        <f>+AVERAGE(E4:G4)</f>
        <v>133923.63333333333</v>
      </c>
      <c r="D9" s="641"/>
      <c r="E9" s="763"/>
      <c r="F9" s="807"/>
      <c r="G9" s="807"/>
      <c r="H9" s="764"/>
    </row>
    <row r="10" spans="1:9" ht="15.75" thickBot="1" x14ac:dyDescent="0.3">
      <c r="B10" s="145" t="s">
        <v>156</v>
      </c>
      <c r="C10" s="951">
        <f>+AVERAGE(E5:G5)</f>
        <v>48783.358384708328</v>
      </c>
      <c r="D10" s="641"/>
      <c r="E10" s="958" t="s">
        <v>157</v>
      </c>
      <c r="F10" s="964"/>
      <c r="G10" s="959"/>
      <c r="H10" s="668"/>
    </row>
    <row r="11" spans="1:9" ht="15.75" thickBot="1" x14ac:dyDescent="0.3">
      <c r="B11" s="145" t="s">
        <v>158</v>
      </c>
      <c r="C11" s="951">
        <f>+AVERAGE(E6:G6)</f>
        <v>85689.034948625005</v>
      </c>
      <c r="D11" s="641"/>
      <c r="E11" s="952" t="s">
        <v>159</v>
      </c>
      <c r="F11" s="961"/>
      <c r="G11" s="953"/>
      <c r="H11" s="954"/>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5" t="s">
        <v>473</v>
      </c>
      <c r="C2" s="956"/>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1">
        <f>+AVERAGE(E3:G3)</f>
        <v>180000</v>
      </c>
      <c r="D8" s="641"/>
      <c r="E8" s="957"/>
      <c r="F8" s="966"/>
      <c r="G8" s="719"/>
      <c r="H8" s="762"/>
    </row>
    <row r="9" spans="1:9" ht="15.75" thickBot="1" x14ac:dyDescent="0.3">
      <c r="B9" s="145" t="s">
        <v>155</v>
      </c>
      <c r="C9" s="951">
        <f>+AVERAGE(E4:G4)</f>
        <v>103547.57</v>
      </c>
      <c r="D9" s="641"/>
      <c r="E9" s="763"/>
      <c r="F9" s="807"/>
      <c r="G9" s="807"/>
      <c r="H9" s="764"/>
    </row>
    <row r="10" spans="1:9" ht="15.75" thickBot="1" x14ac:dyDescent="0.3">
      <c r="B10" s="145" t="s">
        <v>156</v>
      </c>
      <c r="C10" s="951">
        <f>+AVERAGE(E5:G5)</f>
        <v>16660.233833333332</v>
      </c>
      <c r="D10" s="641"/>
      <c r="E10" s="958" t="s">
        <v>157</v>
      </c>
      <c r="F10" s="964"/>
      <c r="G10" s="959"/>
      <c r="H10" s="668"/>
    </row>
    <row r="11" spans="1:9" ht="15.75" thickBot="1" x14ac:dyDescent="0.3">
      <c r="B11" s="145" t="s">
        <v>158</v>
      </c>
      <c r="C11" s="951">
        <f>+AVERAGE(E6:G6)</f>
        <v>38679.975259259263</v>
      </c>
      <c r="D11" s="641"/>
      <c r="E11" s="952" t="s">
        <v>159</v>
      </c>
      <c r="F11" s="961"/>
      <c r="G11" s="953"/>
      <c r="H11" s="954"/>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Props1.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25</vt:i4>
      </vt:variant>
    </vt:vector>
  </HeadingPairs>
  <TitlesOfParts>
    <vt:vector size="59"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lpstr>subjectInterestRate</vt:lpstr>
      <vt:lpstr>subjectKnownBalance</vt:lpstr>
      <vt:lpstr>subjectKnownBalanceDate</vt:lpstr>
      <vt:lpstr>subjectMonthlyPayment</vt:lpstr>
      <vt:lpstr>subjectMortgageEndDate</vt:lpstr>
      <vt:lpstr>subjectRemainingMonths</vt:lpstr>
      <vt:lpstr>subjectRemainingYears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2026-06-22T22:17:58Z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