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0" documentId="13_ncr:1_{BC54E5DD-5BC1-4F1B-BD10-04CEB120573E}" xr6:coauthVersionLast="47" xr6:coauthVersionMax="47" xr10:uidLastSave="{2E601AD1-C0AA-46AF-B632-BF269A451A9A}"/>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Q23" i="71" s="1"/>
  <c r="AC23" i="71" s="1"/>
  <c r="C21" i="71"/>
  <c r="D21" i="71" s="1"/>
  <c r="I21" i="71" s="1"/>
  <c r="N25" i="71"/>
  <c r="A26" i="71"/>
  <c r="S24" i="71"/>
  <c r="Y24" i="71"/>
  <c r="Q24" i="71" s="1"/>
  <c r="P24" i="71"/>
  <c r="U20" i="71"/>
  <c r="V20" i="71" s="1"/>
  <c r="W20" i="71"/>
  <c r="W22" i="71"/>
  <c r="W21" i="71"/>
  <c r="T23" i="71" l="1"/>
  <c r="AB23" i="71"/>
  <c r="Z23" i="71"/>
  <c r="R23" i="71"/>
  <c r="U23" i="71" s="1"/>
  <c r="AC24" i="71"/>
  <c r="K21" i="71"/>
  <c r="B22" i="71" s="1"/>
  <c r="E22" i="71" s="1"/>
  <c r="J22" i="71" s="1"/>
  <c r="N26" i="71"/>
  <c r="A27" i="71"/>
  <c r="Y25" i="71"/>
  <c r="Q25" i="71" s="1"/>
  <c r="S25" i="71"/>
  <c r="P25" i="71"/>
  <c r="R24" i="71"/>
  <c r="T24" i="71"/>
  <c r="AB24" i="71"/>
  <c r="Z24" i="71"/>
  <c r="W23" i="71" l="1"/>
  <c r="AC25" i="71"/>
  <c r="V23" i="71"/>
  <c r="U24" i="71"/>
  <c r="V24" i="71" s="1"/>
  <c r="W24" i="71"/>
  <c r="T25" i="71"/>
  <c r="R25" i="71"/>
  <c r="AB25" i="71"/>
  <c r="Z25" i="71"/>
  <c r="N27" i="71"/>
  <c r="A28" i="71"/>
  <c r="C22" i="71"/>
  <c r="D22" i="71" s="1"/>
  <c r="I22" i="71" s="1"/>
  <c r="S26" i="71"/>
  <c r="Y26" i="71"/>
  <c r="Q26" i="71" s="1"/>
  <c r="P26" i="71"/>
  <c r="K22" i="71" l="1"/>
  <c r="B23" i="71" s="1"/>
  <c r="E23" i="71" s="1"/>
  <c r="J23" i="71" s="1"/>
  <c r="N28" i="71"/>
  <c r="A29" i="71"/>
  <c r="Y27" i="71"/>
  <c r="Q27" i="71" s="1"/>
  <c r="S27" i="71"/>
  <c r="P27" i="71"/>
  <c r="Z26" i="71"/>
  <c r="R26" i="71"/>
  <c r="T26" i="71"/>
  <c r="AB26" i="71"/>
  <c r="AC26" i="71"/>
  <c r="U25" i="71"/>
  <c r="V25" i="71" s="1"/>
  <c r="W25" i="71"/>
  <c r="M21" i="71"/>
  <c r="AC27" i="71" l="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l="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T731" i="71" l="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V828" i="71" s="1"/>
  <c r="AB828" i="71"/>
  <c r="Z828" i="71"/>
  <c r="Y829" i="71"/>
  <c r="Q829" i="71" s="1"/>
  <c r="P829" i="71"/>
  <c r="S829" i="71"/>
  <c r="AB829" i="71" l="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Q833" i="71" s="1"/>
  <c r="P833" i="71"/>
  <c r="S833" i="71"/>
  <c r="AB833" i="71" l="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O6" i="71"/>
  <c r="J58" i="1"/>
  <c r="M65" i="1" s="1"/>
  <c r="O20" i="71" l="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AC31" i="71" s="1"/>
  <c r="T31" i="71"/>
  <c r="R31" i="71"/>
  <c r="Z31" i="71"/>
  <c r="L648" i="71"/>
  <c r="M649" i="71"/>
  <c r="E13" i="59"/>
  <c r="U31" i="71" l="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l="1"/>
  <c r="R66" i="7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<sst xmlns="http://schemas.openxmlformats.org/spreadsheetml/2006/main" count="2910" uniqueCount="1198">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</sst>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1" fontId="14" fillId="18" borderId="34" xfId="0" applyNumberFormat="1" applyFont="1" applyFill="1" applyBorder="1"/>
    <xf numFmtId="0" fontId="0" fillId="0" borderId="35" xfId="0"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0" fontId="14" fillId="0" borderId="0" xfId="0" applyFont="1" applyAlignment="1">
      <alignment horizontal="right"/>
    </xf>
    <xf numFmtId="164" fontId="15" fillId="3" borderId="9" xfId="0" applyNumberFormat="1" applyFont="1" applyFill="1" applyBorder="1"/>
    <xf numFmtId="0" fontId="0" fillId="0" borderId="9" xfId="0" applyBorder="1"/>
    <xf numFmtId="0" fontId="14" fillId="24" borderId="0" xfId="0" applyFont="1" applyFill="1" applyAlignment="1">
      <alignment horizontal="right"/>
    </xf>
    <xf numFmtId="0" fontId="0" fillId="24" borderId="0" xfId="0" applyFill="1"/>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3" borderId="0" xfId="0" applyFill="1"/>
    <xf numFmtId="14" fontId="15" fillId="2" borderId="6" xfId="0" applyNumberFormat="1" applyFont="1" applyFill="1" applyBorder="1" applyAlignment="1">
      <alignment horizontal="center" vertical="center"/>
    </xf>
    <xf numFmtId="0" fontId="15" fillId="0" borderId="0" xfId="0" applyFont="1" applyAlignment="1">
      <alignment horizontal="center"/>
    </xf>
    <xf numFmtId="0" fontId="15" fillId="3" borderId="9" xfId="0" applyFont="1" applyFill="1" applyBorder="1" applyAlignment="1">
      <alignment horizontal="center" vertical="center" wrapText="1"/>
    </xf>
    <xf numFmtId="0" fontId="15" fillId="3" borderId="0" xfId="0" applyFont="1" applyFill="1" applyAlignment="1">
      <alignment horizontal="center" vertical="center" wrapText="1"/>
    </xf>
    <xf numFmtId="0" fontId="0" fillId="0" borderId="0" xfId="0" applyAlignment="1">
      <alignment horizontal="center" vertic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3"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0" fillId="31" borderId="71" xfId="0" applyFill="1" applyBorder="1"/>
    <xf numFmtId="165" fontId="0" fillId="31" borderId="71" xfId="0" applyNumberFormat="1" applyFill="1" applyBorder="1" applyAlignment="1">
      <alignment horizontal="right"/>
    </xf>
    <xf numFmtId="0" fontId="38" fillId="32" borderId="72" xfId="0" applyFont="1" applyFill="1" applyBorder="1" applyAlignment="1">
      <alignment horizontal="center" wrapText="1"/>
    </xf>
    <xf numFmtId="0" fontId="34" fillId="32" borderId="72" xfId="0" applyFont="1" applyFill="1" applyBorder="1" applyAlignment="1">
      <alignment horizontal="center"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5"/>
    <tableColumn id="4" xr3:uid="{190BD60E-30EC-4E24-9935-E2190E0233E5}" name="Vendor"/>
    <tableColumn id="5" xr3:uid="{0EEF483C-D90C-4BD2-8F3B-5458E833A4F6}" name="Description"/>
    <tableColumn id="6" xr3:uid="{B6FEFB87-38EC-4F40-A491-700E378F77FA}" name="Amount" dataDxfId="84"/>
    <tableColumn id="7" xr3:uid="{3C0463BE-769E-4291-834E-CBEDED63E449}" name="Source"/>
    <tableColumn id="8" xr3:uid="{DC4DDB7E-B6A8-4ACA-BF15-72944CBFA858}" name="Invoice #" dataDxfId="83"/>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2" headerRowBorderDxfId="81">
  <autoFilter ref="A11:E55" xr:uid="{E8A9C9B7-BAF7-4CAB-9067-DC10D354858C}"/>
  <tableColumns count="5">
    <tableColumn id="1" xr3:uid="{9A4F1599-587C-4C12-AC23-D5B3879D1321}" name="Cost Code" dataDxfId="80"/>
    <tableColumn id="2" xr3:uid="{3ACCA719-70D2-4F0D-A8A3-69AE3272D3C1}" name="Title" dataDxfId="79"/>
    <tableColumn id="3" xr3:uid="{661FF8D2-2D43-4F8B-B73F-EC14A34B7050}" name="Description" dataDxfId="78"/>
    <tableColumn id="5" xr3:uid="{96319F4C-C120-4B14-BEB7-1D271C147258}" name="Qty" dataDxfId="77"/>
    <tableColumn id="6" xr3:uid="{CAFF8447-B9F2-4425-B2CD-C62CE1EB051F}" name="Unit Price" dataDxfId="76"/>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5" dataDxfId="74">
  <autoFilter ref="A4:N48" xr:uid="{4A34AA4E-C13A-41A2-95E8-83E7E9409806}"/>
  <tableColumns count="14">
    <tableColumn id="8" xr3:uid="{96E49A5C-5367-4ACB-B14D-E01CC163A0F1}" uniqueName="8" name="Party" queryTableFieldId="8" dataDxfId="73">
      <calculatedColumnFormula>+IF(FromProposal[[#This Row],[Cost Code]]&lt;&gt;0,+'Gnatt Chart'!$A$2,"")</calculatedColumnFormula>
    </tableColumn>
    <tableColumn id="1" xr3:uid="{6ADBCE42-4844-4052-8DB6-AB34AD671DD5}" uniqueName="1" name="Item" queryTableFieldId="15" dataDxfId="72"/>
    <tableColumn id="2" xr3:uid="{33F8A9BB-342C-4F7D-B125-F381BCB77C64}" uniqueName="2" name="Cost Code" queryTableFieldId="2" dataDxfId="71"/>
    <tableColumn id="3" xr3:uid="{EAE8FFCB-2C04-49B6-85CD-78C67097E902}" uniqueName="3" name="Title" queryTableFieldId="3" dataDxfId="70"/>
    <tableColumn id="4" xr3:uid="{439B82DD-03F8-428D-9245-8543A46F29DC}" uniqueName="4" name="Description" queryTableFieldId="4" dataDxfId="69"/>
    <tableColumn id="5" xr3:uid="{1E080297-D531-4180-92D4-1B19AACF49C1}" uniqueName="5" name="Qty" queryTableFieldId="5" dataDxfId="68"/>
    <tableColumn id="6" xr3:uid="{575B5FBE-3F82-40CD-8A54-810E146EF82F}" uniqueName="6" name="Unit Price" queryTableFieldId="6" dataDxfId="67"/>
    <tableColumn id="7" xr3:uid="{766B7F26-7C49-427A-A617-067C40444D87}" uniqueName="7" name="Price" queryTableFieldId="7" dataDxfId="66"/>
    <tableColumn id="9" xr3:uid="{A5701DF5-B99B-45EC-8FC5-7061E5C93440}" uniqueName="9" name="Done" queryTableFieldId="17" dataDxfId="65"/>
    <tableColumn id="14" xr3:uid="{1C4B67EF-B985-4B9A-9327-556AFBB5C4A1}" uniqueName="14" name="Group Order" queryTableFieldId="20" dataDxfId="64"/>
    <tableColumn id="12" xr3:uid="{A3E3248C-A9FB-45EA-9F9E-83897992215A}" uniqueName="12" name="Start Date" queryTableFieldId="12" dataDxfId="63"/>
    <tableColumn id="15" xr3:uid="{E31CECDC-7A24-4472-8474-4283CEDBD8FC}" uniqueName="15" name="Days" queryTableFieldId="14" dataDxfId="62"/>
    <tableColumn id="10" xr3:uid="{3EA3D46A-2606-48C3-B90D-0603A94FFB2E}" uniqueName="10" name="Paid" queryTableFieldId="18" dataDxfId="61"/>
    <tableColumn id="13" xr3:uid="{7268DDA6-B96D-499B-92E4-F124E0D116A3}" uniqueName="13" name="Notes" queryTableFieldId="19" dataDxfId="60"/>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59" dataDxfId="58">
  <sortState xmlns:xlrd2="http://schemas.microsoft.com/office/spreadsheetml/2017/richdata2" ref="A28:O71">
    <sortCondition ref="J28:J81"/>
    <sortCondition ref="K28:K81"/>
  </sortState>
  <tableColumns count="15">
    <tableColumn id="106" xr3:uid="{88C796C4-2105-4C93-8E7A-CCEA28B0DF71}" uniqueName="106" name="Party" queryTableFieldId="1" dataDxfId="57"/>
    <tableColumn id="107" xr3:uid="{541F33A4-C6A3-44C5-81DB-FAA61B7F72AB}" uniqueName="107" name="Item" queryTableFieldId="2" dataDxfId="56"/>
    <tableColumn id="108" xr3:uid="{3AE45ADE-D247-428D-BB07-058C3457BF76}" uniqueName="108" name="Cost Code" queryTableFieldId="3" dataDxfId="55"/>
    <tableColumn id="109" xr3:uid="{B0D5185D-6AD1-4E8D-B845-F1898A9538BA}" uniqueName="109" name="Title" queryTableFieldId="4" dataDxfId="54"/>
    <tableColumn id="110" xr3:uid="{BF5C7BBF-561F-458E-BF23-5B7C697DF8C9}" uniqueName="110" name="Description" queryTableFieldId="5" dataDxfId="53"/>
    <tableColumn id="111" xr3:uid="{F21AE756-8924-4878-8615-262AB0D00519}" uniqueName="111" name="Qty" queryTableFieldId="6" dataDxfId="52"/>
    <tableColumn id="112" xr3:uid="{0CD8A8A4-BACC-44F4-93A1-F713A821F322}" uniqueName="112" name="Unit Price" queryTableFieldId="7" dataDxfId="51"/>
    <tableColumn id="113" xr3:uid="{26C57DEB-9347-43DE-B22B-A524ED52F9F1}" uniqueName="113" name="Price" queryTableFieldId="8" dataDxfId="50"/>
    <tableColumn id="114" xr3:uid="{EBDB1F65-628C-4940-9612-1C3FD8569DC1}" uniqueName="114" name="Done" queryTableFieldId="9" dataDxfId="49"/>
    <tableColumn id="115" xr3:uid="{12EEE598-AD5C-449D-9592-F3BFFA8A06FB}" uniqueName="115" name="Group Order" queryTableFieldId="10" dataDxfId="48"/>
    <tableColumn id="116" xr3:uid="{C6321B43-2488-4F52-A140-04EF16631EAF}" uniqueName="116" name="Start Date" queryTableFieldId="11" dataDxfId="47"/>
    <tableColumn id="117" xr3:uid="{E22A3266-2A40-492B-9764-940B22EBAEF6}" uniqueName="117" name="Days" queryTableFieldId="12" dataDxfId="46"/>
    <tableColumn id="118" xr3:uid="{DA6448B5-75FA-40C7-BF8D-CB99AC089926}" uniqueName="118" name="Paid" queryTableFieldId="13" dataDxfId="45"/>
    <tableColumn id="3" xr3:uid="{0EAEDA6D-3B4A-4D63-BCE1-6489307C3CA2}" uniqueName="3" name="Due" queryTableFieldId="23" dataDxfId="44"/>
    <tableColumn id="1" xr3:uid="{67811F05-1AA8-4D00-9800-87B33F8463CE}" uniqueName="1" name="Notes" queryTableFieldId="24" dataDxfId="43"/>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2">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1"/>
    <tableColumn id="16" xr3:uid="{2E21600F-1D2E-4263-85CB-0D780BA42B26}" uniqueName="16" name="Description" queryTableFieldId="16" dataDxfId="40"/>
    <tableColumn id="4" xr3:uid="{089042D1-0A79-42D2-9FB4-550A2F42688C}" uniqueName="4" name="Order" queryTableFieldId="24"/>
    <tableColumn id="11" xr3:uid="{6FD6A57A-45C8-406C-9809-1268DBB2B9B0}" uniqueName="11" name="Start Date" queryTableFieldId="11" dataDxfId="34"/>
    <tableColumn id="3" xr3:uid="{5EC4595E-174D-4F70-976B-3F65280A553E}" uniqueName="3" name="Price" queryTableFieldId="22" dataDxfId="33"/>
    <tableColumn id="9" xr3:uid="{AF672E56-69B2-45E3-9B51-49B71E4850F5}" uniqueName="9" name="Done" queryTableFieldId="9" dataDxfId="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8">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7"/>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6">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5"/>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56" activePane="bottomRight" state="frozen"/>
      <selection pane="topRight" activeCell="C1" sqref="C1:E1"/>
      <selection pane="bottomLeft" activeCell="C1" sqref="C1:E1"/>
      <selection pane="bottomRight" activeCell="F67" sqref="F67"/>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8" bestFit="1" customWidth="1"/>
    <col min="16" max="16" width="7.42578125" style="133"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8" t="str">
        <f>IF(E1=1,"Flip","")</f>
        <v/>
      </c>
      <c r="C1" s="568" t="str">
        <f>IF(E1=2,"Hold","")</f>
        <v/>
      </c>
      <c r="D1" s="568" t="str">
        <f>IF(E1=3,"Slow Flip","")</f>
        <v>Slow Flip</v>
      </c>
      <c r="E1" s="613">
        <v>3</v>
      </c>
      <c r="F1" s="741" t="s">
        <v>851</v>
      </c>
      <c r="G1" s="742"/>
      <c r="H1" s="742"/>
      <c r="I1" s="742"/>
      <c r="J1" s="742"/>
      <c r="K1" s="743"/>
      <c r="L1" s="743"/>
      <c r="M1" s="744"/>
      <c r="Q1" s="733" t="s">
        <v>633</v>
      </c>
      <c r="R1" s="624"/>
      <c r="S1" s="624"/>
      <c r="T1" s="624"/>
      <c r="U1" s="37" t="b">
        <v>0</v>
      </c>
    </row>
    <row r="2" spans="1:25" ht="16.5" customHeight="1" thickBot="1" x14ac:dyDescent="0.3">
      <c r="A2" s="113"/>
      <c r="B2" s="662" t="s">
        <v>735</v>
      </c>
      <c r="C2" s="663"/>
      <c r="D2" s="663"/>
      <c r="E2" s="660" t="s">
        <v>736</v>
      </c>
      <c r="F2" s="661"/>
      <c r="G2" s="437" t="s">
        <v>737</v>
      </c>
      <c r="H2" s="574"/>
      <c r="I2" s="574"/>
      <c r="J2" s="574"/>
      <c r="K2" s="574"/>
      <c r="L2" s="710" t="s">
        <v>1</v>
      </c>
      <c r="M2" s="650">
        <v>45715</v>
      </c>
      <c r="O2" s="422" t="s">
        <v>2</v>
      </c>
      <c r="P2" s="422"/>
      <c r="Q2" s="733" t="s">
        <v>632</v>
      </c>
      <c r="R2" s="624"/>
      <c r="S2" s="624"/>
      <c r="T2" s="624"/>
      <c r="U2" s="37" t="b">
        <v>0</v>
      </c>
    </row>
    <row r="3" spans="1:25" ht="12" customHeight="1" thickBot="1" x14ac:dyDescent="0.3">
      <c r="A3" s="115" t="s">
        <v>4</v>
      </c>
      <c r="B3" s="116"/>
      <c r="D3" s="712" t="s">
        <v>1150</v>
      </c>
      <c r="E3" s="713"/>
      <c r="F3" s="712" t="s">
        <v>1155</v>
      </c>
      <c r="G3" s="713"/>
      <c r="H3" s="712" t="s">
        <v>1156</v>
      </c>
      <c r="I3" s="713"/>
      <c r="J3" s="712" t="s">
        <v>0</v>
      </c>
      <c r="K3" s="713"/>
      <c r="L3" s="711"/>
      <c r="M3" s="651"/>
      <c r="Q3" s="733" t="s">
        <v>35</v>
      </c>
      <c r="R3" s="624"/>
      <c r="S3" s="624"/>
      <c r="T3" s="624"/>
      <c r="U3" s="37" t="b">
        <v>0</v>
      </c>
    </row>
    <row r="4" spans="1:25" ht="12" customHeight="1" thickBot="1" x14ac:dyDescent="0.3">
      <c r="A4" s="38" t="s">
        <v>5</v>
      </c>
      <c r="B4" s="714">
        <v>330000</v>
      </c>
      <c r="C4" s="715"/>
      <c r="D4" s="355"/>
      <c r="E4" s="356"/>
      <c r="F4" s="377"/>
      <c r="G4" s="337"/>
      <c r="H4" s="577"/>
      <c r="I4" s="582"/>
      <c r="J4" s="370"/>
      <c r="K4" s="371"/>
      <c r="Q4" s="733" t="s">
        <v>36</v>
      </c>
      <c r="R4" s="624"/>
      <c r="S4" s="624"/>
      <c r="T4" s="624"/>
      <c r="U4" s="37" t="b">
        <v>0</v>
      </c>
    </row>
    <row r="5" spans="1:25" ht="12" customHeight="1" thickBot="1" x14ac:dyDescent="0.3">
      <c r="A5" s="38" t="s">
        <v>7</v>
      </c>
      <c r="B5" s="426">
        <f>+Amortization!O2</f>
        <v>0.05</v>
      </c>
      <c r="C5" s="325">
        <v>0</v>
      </c>
      <c r="D5" s="379"/>
      <c r="E5" s="384"/>
      <c r="F5" s="336"/>
      <c r="G5" s="433"/>
      <c r="H5" s="578"/>
      <c r="I5" s="583"/>
      <c r="J5" s="370"/>
      <c r="K5" s="371"/>
      <c r="P5" s="133" t="s">
        <v>8</v>
      </c>
      <c r="Q5" s="733" t="s">
        <v>37</v>
      </c>
      <c r="R5" s="624"/>
      <c r="S5" s="624"/>
      <c r="T5" s="624"/>
      <c r="U5" s="37" t="b">
        <v>1</v>
      </c>
    </row>
    <row r="6" spans="1:25" ht="12" customHeight="1" thickBot="1" x14ac:dyDescent="0.3">
      <c r="A6" s="38" t="s">
        <v>9</v>
      </c>
      <c r="B6" s="716">
        <f>IF(B1="Flip",B4,IF(C1="hold",B4*(1+C5),+Amortization!O3))</f>
        <v>346500</v>
      </c>
      <c r="C6" s="717"/>
      <c r="D6" s="357"/>
      <c r="E6" s="332"/>
      <c r="F6" s="336"/>
      <c r="G6" s="337">
        <f>IF(OR(E1=1,E1=2),$B$6,0)</f>
        <v>0</v>
      </c>
      <c r="H6" s="579"/>
      <c r="I6" s="584"/>
      <c r="J6" s="370"/>
      <c r="K6" s="371"/>
      <c r="Q6" s="733"/>
      <c r="R6" s="624"/>
      <c r="S6" s="624"/>
      <c r="T6" s="624"/>
      <c r="U6" s="37" t="b">
        <v>0</v>
      </c>
    </row>
    <row r="7" spans="1:25" ht="12" customHeight="1" thickBot="1" x14ac:dyDescent="0.25">
      <c r="A7" s="38" t="s">
        <v>11</v>
      </c>
      <c r="B7" s="426">
        <f>+Amortization!$K$3</f>
        <v>0.1</v>
      </c>
      <c r="C7" s="330">
        <f>+Amortization!O4</f>
        <v>34650</v>
      </c>
      <c r="D7" s="357"/>
      <c r="E7" s="332"/>
      <c r="F7" s="336"/>
      <c r="G7" s="567">
        <f>IF(E1=3,+C7,0)</f>
        <v>34650</v>
      </c>
      <c r="H7" s="579"/>
      <c r="I7" s="584"/>
      <c r="J7" s="370"/>
      <c r="K7" s="371"/>
      <c r="L7" s="710" t="s">
        <v>10</v>
      </c>
      <c r="M7" s="745">
        <v>0.03</v>
      </c>
      <c r="Q7" s="261"/>
      <c r="R7" s="421"/>
    </row>
    <row r="8" spans="1:25" ht="12" customHeight="1" thickBot="1" x14ac:dyDescent="0.25">
      <c r="A8" s="38" t="s">
        <v>1151</v>
      </c>
      <c r="B8" s="326"/>
      <c r="C8" s="386"/>
      <c r="D8" s="357"/>
      <c r="E8" s="332"/>
      <c r="F8" s="336"/>
      <c r="G8" s="337">
        <f>+IF($C$1="hold",$M$7,0)*$C$50/12*B4</f>
        <v>0</v>
      </c>
      <c r="H8" s="579"/>
      <c r="I8" s="584"/>
      <c r="J8" s="370"/>
      <c r="K8" s="371"/>
      <c r="L8" s="711"/>
      <c r="M8" s="746"/>
    </row>
    <row r="9" spans="1:25" ht="12" customHeight="1" thickBot="1" x14ac:dyDescent="0.25">
      <c r="A9" s="130" t="str">
        <f>IF(E1=3,"Delta Mortgages","Monthly Rent:")</f>
        <v>Delta Mortgages</v>
      </c>
      <c r="B9" s="690">
        <v>1800</v>
      </c>
      <c r="C9" s="707"/>
      <c r="D9" s="359"/>
      <c r="E9" s="360"/>
      <c r="F9" s="378"/>
      <c r="G9" s="362"/>
      <c r="H9" s="580"/>
      <c r="I9" s="585"/>
      <c r="J9" s="375"/>
      <c r="K9" s="383">
        <f>IF(OR(C1="Hold",D1="Slow Flip"),IF(C1="hold",+B9,IFERROR(_xlfn.XLOOKUP(12,tblScheduleIndex[Period],tblBuyerOutputs[Monthly Cash Flow]),"")),"")</f>
        <v>19.470000000000027</v>
      </c>
      <c r="L9" s="710" t="s">
        <v>12</v>
      </c>
      <c r="M9" s="656">
        <v>1368</v>
      </c>
    </row>
    <row r="10" spans="1:25" ht="12" customHeight="1" thickBot="1" x14ac:dyDescent="0.25">
      <c r="C10" s="721" t="s">
        <v>13</v>
      </c>
      <c r="D10" s="685" t="s">
        <v>13</v>
      </c>
      <c r="E10" s="117">
        <f>SUM(D4:E9)</f>
        <v>0</v>
      </c>
      <c r="F10" s="652">
        <f>+SUM(F4:G9)</f>
        <v>34650</v>
      </c>
      <c r="G10" s="653"/>
      <c r="H10" s="114"/>
      <c r="I10" s="114"/>
      <c r="J10" s="652">
        <f>SUM(J4:K9)</f>
        <v>19.470000000000027</v>
      </c>
      <c r="K10" s="653"/>
      <c r="L10" s="711"/>
      <c r="M10" s="657"/>
      <c r="O10" s="464" t="s">
        <v>624</v>
      </c>
      <c r="P10" s="465"/>
      <c r="Q10" s="458"/>
      <c r="R10" s="466"/>
      <c r="U10" s="37" t="s">
        <v>738</v>
      </c>
      <c r="V10" s="37" t="s">
        <v>739</v>
      </c>
      <c r="W10" s="133"/>
    </row>
    <row r="11" spans="1:25" ht="12" customHeight="1" thickBot="1" x14ac:dyDescent="0.3">
      <c r="C11" s="118"/>
      <c r="D11" s="718" t="str">
        <f>IF(E1=3,"Profit calculations based on selling in 5 years","")</f>
        <v>Profit calculations based on selling in 5 years</v>
      </c>
      <c r="E11" s="719"/>
      <c r="F11" s="719"/>
      <c r="G11" s="719"/>
      <c r="H11" s="719"/>
      <c r="I11" s="719"/>
      <c r="J11" s="719"/>
      <c r="K11" s="720"/>
      <c r="O11" s="467" t="s">
        <v>627</v>
      </c>
      <c r="P11" s="133">
        <v>250000</v>
      </c>
      <c r="Q11" s="322" t="b">
        <f>+$B$4&gt;P11</f>
        <v>1</v>
      </c>
      <c r="R11" s="468">
        <f>B4</f>
        <v>330000</v>
      </c>
      <c r="U11" s="37">
        <v>2</v>
      </c>
      <c r="V11" s="418">
        <v>44672</v>
      </c>
      <c r="W11" s="133">
        <v>6264</v>
      </c>
    </row>
    <row r="12" spans="1:25" ht="12" customHeight="1" thickTop="1" thickBot="1" x14ac:dyDescent="0.25">
      <c r="A12" s="119" t="s">
        <v>14</v>
      </c>
      <c r="B12" s="119"/>
      <c r="C12" s="120"/>
      <c r="D12" s="355"/>
      <c r="E12" s="356"/>
      <c r="F12" s="363"/>
      <c r="G12" s="337"/>
      <c r="H12" s="367"/>
      <c r="I12" s="582"/>
      <c r="J12" s="364"/>
      <c r="K12" s="385"/>
      <c r="O12" s="467" t="s">
        <v>628</v>
      </c>
      <c r="P12" s="133">
        <v>700000</v>
      </c>
      <c r="Q12" s="322" t="b">
        <f>+$B$4&lt;P12</f>
        <v>1</v>
      </c>
      <c r="R12" s="469">
        <f>B4</f>
        <v>330000</v>
      </c>
      <c r="U12" s="37" t="s">
        <v>740</v>
      </c>
      <c r="V12" s="418">
        <v>41353</v>
      </c>
      <c r="W12" s="133">
        <v>86284</v>
      </c>
      <c r="X12" s="37" t="s">
        <v>741</v>
      </c>
    </row>
    <row r="13" spans="1:25" ht="12" customHeight="1" thickBot="1" x14ac:dyDescent="0.25">
      <c r="A13" s="38" t="s">
        <v>609</v>
      </c>
      <c r="B13" s="116"/>
      <c r="D13" s="379"/>
      <c r="E13" s="384"/>
      <c r="F13" s="336"/>
      <c r="G13" s="433"/>
      <c r="H13" s="367"/>
      <c r="I13" s="583"/>
      <c r="J13" s="390"/>
      <c r="K13" s="391"/>
      <c r="L13" s="432" t="s">
        <v>6</v>
      </c>
      <c r="M13" s="434" t="b">
        <v>1</v>
      </c>
      <c r="O13" s="467" t="s">
        <v>626</v>
      </c>
      <c r="P13" s="133">
        <v>80000</v>
      </c>
      <c r="Q13" s="322" t="b">
        <f>P13&lt;M62</f>
        <v>0</v>
      </c>
      <c r="R13" s="468">
        <f>M62</f>
        <v>-124327.09867434995</v>
      </c>
      <c r="V13" s="37">
        <v>2019</v>
      </c>
      <c r="W13" s="133" t="s">
        <v>742</v>
      </c>
      <c r="X13" s="37" t="s">
        <v>743</v>
      </c>
      <c r="Y13" s="37" t="s">
        <v>744</v>
      </c>
    </row>
    <row r="14" spans="1:25" ht="11.25" customHeight="1" thickBot="1" x14ac:dyDescent="0.3">
      <c r="A14" s="38" t="s">
        <v>15</v>
      </c>
      <c r="B14" s="320"/>
      <c r="C14" s="417">
        <v>28063.26</v>
      </c>
      <c r="D14" s="357">
        <f>-C14</f>
        <v>-28063.26</v>
      </c>
      <c r="E14" s="332"/>
      <c r="F14" s="336"/>
      <c r="G14" s="138">
        <f>IF(M13,0,0.3*C14)</f>
        <v>0</v>
      </c>
      <c r="H14" s="722" t="s">
        <v>16</v>
      </c>
      <c r="I14" s="723"/>
      <c r="J14" s="724"/>
      <c r="K14" s="703"/>
      <c r="L14" s="643" t="s">
        <v>17</v>
      </c>
      <c r="M14" s="725"/>
      <c r="O14" s="467" t="s">
        <v>625</v>
      </c>
      <c r="P14" s="470">
        <v>0.35</v>
      </c>
      <c r="Q14" s="322" t="b">
        <f>P14&lt;M62/B4</f>
        <v>0</v>
      </c>
      <c r="R14" s="471">
        <f>+M62/B4</f>
        <v>-0.37674878386166655</v>
      </c>
      <c r="V14" s="37">
        <v>2020</v>
      </c>
      <c r="W14" s="133" t="s">
        <v>742</v>
      </c>
      <c r="X14" s="37" t="s">
        <v>745</v>
      </c>
      <c r="Y14" s="37" t="s">
        <v>746</v>
      </c>
    </row>
    <row r="15" spans="1:25" ht="12" customHeight="1" x14ac:dyDescent="0.2">
      <c r="A15" s="38" t="s">
        <v>18</v>
      </c>
      <c r="B15" s="238">
        <v>3.7499999999999999E-2</v>
      </c>
      <c r="C15" s="200">
        <v>97228</v>
      </c>
      <c r="D15" s="357">
        <f>-C15</f>
        <v>-97228</v>
      </c>
      <c r="E15" s="332">
        <f>+C15</f>
        <v>97228</v>
      </c>
      <c r="F15" s="336"/>
      <c r="G15" s="433"/>
      <c r="H15" s="576">
        <f>IF($E$1=1,-C15,-IFERROR(_xlfn.XLOOKUP(_xlfn.XLOOKUP(cfdContractDate,tblSubjectToLoan[Date],tblScheduleIndex[Period])+cfdFirstRateMonths,tblScheduleIndex[Period],tblSubjectToLoan[Balance]),0))</f>
        <v>-71276.159999999974</v>
      </c>
      <c r="I15" s="584"/>
      <c r="J15" s="370"/>
      <c r="K15" s="371"/>
      <c r="L15" s="726"/>
      <c r="M15" s="727"/>
      <c r="O15" s="467" t="s">
        <v>630</v>
      </c>
      <c r="P15" s="133">
        <v>30000</v>
      </c>
      <c r="Q15" s="322" t="b">
        <f>+P15&gt;($C$14+$C$20)</f>
        <v>0</v>
      </c>
      <c r="R15" s="472">
        <f>$C$14+$C$20</f>
        <v>33063.259999999995</v>
      </c>
      <c r="W15" s="133"/>
      <c r="X15" s="37" t="s">
        <v>747</v>
      </c>
    </row>
    <row r="16" spans="1:25" ht="12" customHeight="1" x14ac:dyDescent="0.2">
      <c r="A16" s="38" t="s">
        <v>606</v>
      </c>
      <c r="B16" s="199"/>
      <c r="C16" s="200"/>
      <c r="D16" s="357"/>
      <c r="E16" s="332"/>
      <c r="F16" s="336">
        <f>-(120-C49)*(C16/120)</f>
        <v>0</v>
      </c>
      <c r="G16" s="337"/>
      <c r="H16" s="576"/>
      <c r="I16" s="584"/>
      <c r="J16" s="370">
        <f>-(C16*B16/12)</f>
        <v>0</v>
      </c>
      <c r="K16" s="371"/>
      <c r="L16" s="726"/>
      <c r="M16" s="727"/>
      <c r="O16" s="467" t="s">
        <v>629</v>
      </c>
      <c r="P16" s="133">
        <v>140000</v>
      </c>
      <c r="Q16" s="322" t="b">
        <f>+P16&gt;($C$14+$C$20+E19)</f>
        <v>1</v>
      </c>
      <c r="R16" s="472">
        <f>($C$14+$C$20+E19)</f>
        <v>33063.259999999995</v>
      </c>
      <c r="V16" s="418">
        <v>41353</v>
      </c>
      <c r="W16" s="133">
        <v>5000</v>
      </c>
      <c r="X16" s="37" t="s">
        <v>748</v>
      </c>
    </row>
    <row r="17" spans="1:24" ht="12" customHeight="1" thickBot="1" x14ac:dyDescent="0.25">
      <c r="A17" s="38" t="s">
        <v>19</v>
      </c>
      <c r="B17" s="199">
        <v>0</v>
      </c>
      <c r="C17" s="200"/>
      <c r="D17" s="357">
        <f>-C17</f>
        <v>0</v>
      </c>
      <c r="E17" s="332">
        <f>+C17</f>
        <v>0</v>
      </c>
      <c r="F17" s="336">
        <f>IF(OR($E$1=1,$E$1=2,$E$1=3),IF(OR($E$1=1,$E$1=2),-C17,),0)</f>
        <v>0</v>
      </c>
      <c r="G17" s="337"/>
      <c r="H17" s="576"/>
      <c r="I17" s="584"/>
      <c r="J17" s="370"/>
      <c r="K17" s="371"/>
      <c r="L17" s="728"/>
      <c r="M17" s="729"/>
      <c r="O17" s="467"/>
      <c r="Q17" s="322"/>
      <c r="R17" s="473"/>
      <c r="V17" s="418">
        <v>44672</v>
      </c>
      <c r="W17" s="133">
        <v>6264</v>
      </c>
      <c r="X17" s="37" t="s">
        <v>749</v>
      </c>
    </row>
    <row r="18" spans="1:24" ht="12" customHeight="1" thickBot="1" x14ac:dyDescent="0.25">
      <c r="A18" s="38" t="s">
        <v>20</v>
      </c>
      <c r="B18" s="179"/>
      <c r="C18" s="180">
        <v>2466</v>
      </c>
      <c r="D18" s="357"/>
      <c r="E18" s="332"/>
      <c r="F18" s="336"/>
      <c r="G18" s="337"/>
      <c r="H18" s="576">
        <f>-C18</f>
        <v>-2466</v>
      </c>
      <c r="I18" s="584"/>
      <c r="J18" s="370"/>
      <c r="K18" s="371"/>
      <c r="L18" s="40"/>
      <c r="M18" s="40"/>
      <c r="O18" s="467"/>
      <c r="Q18" s="322"/>
      <c r="R18" s="473"/>
    </row>
    <row r="19" spans="1:24" ht="12" customHeight="1" thickBot="1" x14ac:dyDescent="0.25">
      <c r="A19" s="38" t="s">
        <v>597</v>
      </c>
      <c r="B19" s="329">
        <f>+B17</f>
        <v>0</v>
      </c>
      <c r="C19" s="330">
        <v>0</v>
      </c>
      <c r="D19" s="331">
        <f>-C19</f>
        <v>0</v>
      </c>
      <c r="E19" s="332">
        <f>+C19</f>
        <v>0</v>
      </c>
      <c r="F19" s="333">
        <f>IF(B1="flip",-C19,0)</f>
        <v>0</v>
      </c>
      <c r="G19" s="334"/>
      <c r="H19" s="367"/>
      <c r="I19" s="584"/>
      <c r="J19" s="370"/>
      <c r="K19" s="371"/>
      <c r="L19" s="40"/>
      <c r="M19" s="40"/>
      <c r="O19" s="467"/>
      <c r="Q19" s="322"/>
      <c r="R19" s="474"/>
    </row>
    <row r="20" spans="1:24" ht="12" customHeight="1" thickBot="1" x14ac:dyDescent="0.25">
      <c r="A20" s="130" t="s">
        <v>22</v>
      </c>
      <c r="B20" s="416"/>
      <c r="C20" s="326">
        <v>5000</v>
      </c>
      <c r="D20" s="357">
        <f>-C20</f>
        <v>-5000</v>
      </c>
      <c r="E20" s="332"/>
      <c r="F20" s="336"/>
      <c r="G20" s="337"/>
      <c r="H20" s="576"/>
      <c r="I20" s="584"/>
      <c r="J20" s="373"/>
      <c r="K20" s="371"/>
      <c r="L20" s="40"/>
      <c r="M20" s="40"/>
      <c r="O20" s="475"/>
      <c r="P20" s="463"/>
      <c r="Q20" s="459"/>
      <c r="R20" s="476"/>
    </row>
    <row r="21" spans="1:24" ht="12" customHeight="1" thickBot="1" x14ac:dyDescent="0.3">
      <c r="A21" s="38" t="s">
        <v>605</v>
      </c>
      <c r="B21" s="731">
        <f>-SUM(D14:D20)</f>
        <v>130291.26</v>
      </c>
      <c r="C21" s="732"/>
      <c r="D21" s="357"/>
      <c r="E21" s="332"/>
      <c r="F21" s="336"/>
      <c r="G21" s="337"/>
      <c r="H21" s="576"/>
      <c r="I21" s="584"/>
      <c r="J21" s="373"/>
      <c r="K21" s="371"/>
      <c r="R21" s="421"/>
    </row>
    <row r="22" spans="1:24" ht="12" customHeight="1" thickBot="1" x14ac:dyDescent="0.25">
      <c r="A22" s="38" t="s">
        <v>598</v>
      </c>
      <c r="B22" s="335">
        <v>0.75</v>
      </c>
      <c r="C22" s="330">
        <f>IF(C1="Hold",+B4*B22,0)</f>
        <v>0</v>
      </c>
      <c r="D22" s="331"/>
      <c r="E22" s="332">
        <f>IF(AND(U1,E1=2),C22+B21,0)</f>
        <v>0</v>
      </c>
      <c r="F22" s="336" t="str">
        <f>IF(AND(U1,E1=2),-C22,"")</f>
        <v/>
      </c>
      <c r="G22" s="337"/>
      <c r="H22" s="576"/>
      <c r="I22" s="584"/>
      <c r="J22" s="372">
        <f>IF(AND(U1,E1=2),IF(U2,IPMT(B23/12,1,C23*12,C22),PMT(B23/12,12*C23,C22)),0)</f>
        <v>0</v>
      </c>
      <c r="K22" s="371"/>
      <c r="L22" s="658" t="s">
        <v>608</v>
      </c>
      <c r="M22" s="659"/>
      <c r="R22" s="421"/>
    </row>
    <row r="23" spans="1:24" ht="12" customHeight="1" thickBot="1" x14ac:dyDescent="0.25">
      <c r="A23" s="38" t="s">
        <v>599</v>
      </c>
      <c r="B23" s="338">
        <v>6.5000000000000002E-2</v>
      </c>
      <c r="C23" s="339">
        <v>30</v>
      </c>
      <c r="D23" s="331"/>
      <c r="E23" s="332"/>
      <c r="F23" s="336"/>
      <c r="G23" s="337"/>
      <c r="H23" s="576"/>
      <c r="I23" s="584"/>
      <c r="J23" s="373"/>
      <c r="K23" s="371"/>
      <c r="L23" s="658" t="s">
        <v>596</v>
      </c>
      <c r="M23" s="659"/>
      <c r="R23" s="421"/>
    </row>
    <row r="24" spans="1:24" ht="12" customHeight="1" thickBot="1" x14ac:dyDescent="0.25">
      <c r="A24" s="38" t="s">
        <v>600</v>
      </c>
      <c r="B24" s="730">
        <v>45566</v>
      </c>
      <c r="C24" s="621"/>
      <c r="D24" s="331"/>
      <c r="E24" s="332"/>
      <c r="F24" s="336"/>
      <c r="G24" s="337"/>
      <c r="H24" s="576"/>
      <c r="I24" s="584"/>
      <c r="J24" s="373"/>
      <c r="K24" s="371"/>
      <c r="M24" s="40"/>
      <c r="R24" s="421"/>
    </row>
    <row r="25" spans="1:24" ht="12" customHeight="1" thickBot="1" x14ac:dyDescent="0.25">
      <c r="A25" s="130" t="s">
        <v>21</v>
      </c>
      <c r="B25" s="165">
        <v>0</v>
      </c>
      <c r="C25" s="166"/>
      <c r="D25" s="357"/>
      <c r="E25" s="332"/>
      <c r="F25" s="336"/>
      <c r="G25" s="337"/>
      <c r="H25" s="576"/>
      <c r="I25" s="584"/>
      <c r="J25" s="372"/>
      <c r="K25" s="371"/>
      <c r="S25" s="133"/>
    </row>
    <row r="26" spans="1:24" ht="12" customHeight="1" thickBot="1" x14ac:dyDescent="0.25">
      <c r="A26" s="130" t="s">
        <v>24</v>
      </c>
      <c r="B26" s="142"/>
      <c r="C26" s="166">
        <v>2466</v>
      </c>
      <c r="D26" s="357">
        <f>-B26</f>
        <v>0</v>
      </c>
      <c r="E26" s="332"/>
      <c r="F26" s="336"/>
      <c r="G26" s="337"/>
      <c r="H26" s="576"/>
      <c r="I26" s="584"/>
      <c r="J26" s="373"/>
      <c r="K26" s="371"/>
      <c r="O26" s="418">
        <v>45894</v>
      </c>
      <c r="P26" s="133">
        <v>276800</v>
      </c>
      <c r="S26" s="133"/>
    </row>
    <row r="27" spans="1:24" ht="12" customHeight="1" thickBot="1" x14ac:dyDescent="0.25">
      <c r="A27" s="130" t="s">
        <v>487</v>
      </c>
      <c r="B27" s="708">
        <v>5000</v>
      </c>
      <c r="C27" s="709">
        <v>5000</v>
      </c>
      <c r="D27" s="357">
        <f>-B27</f>
        <v>-5000</v>
      </c>
      <c r="E27" s="332"/>
      <c r="F27" s="336"/>
      <c r="G27" s="337"/>
      <c r="H27" s="576"/>
      <c r="I27" s="584"/>
      <c r="J27" s="373"/>
      <c r="K27" s="371"/>
    </row>
    <row r="28" spans="1:24" ht="12" customHeight="1" thickBot="1" x14ac:dyDescent="0.25">
      <c r="A28" s="130" t="s">
        <v>581</v>
      </c>
      <c r="B28" s="323">
        <f>+F76/30.42</f>
        <v>6.0157790927021697</v>
      </c>
      <c r="C28" s="122"/>
      <c r="D28" s="357"/>
      <c r="E28" s="332"/>
      <c r="F28" s="336"/>
      <c r="G28" s="337"/>
      <c r="H28" s="576"/>
      <c r="I28" s="584"/>
      <c r="J28" s="372"/>
      <c r="K28" s="371"/>
      <c r="S28" s="133"/>
    </row>
    <row r="29" spans="1:24" ht="12" customHeight="1" x14ac:dyDescent="0.2">
      <c r="A29" s="130" t="s">
        <v>577</v>
      </c>
      <c r="B29" s="321">
        <f>+STR!K17/12</f>
        <v>0</v>
      </c>
      <c r="C29" s="122"/>
      <c r="D29" s="357"/>
      <c r="E29" s="332"/>
      <c r="F29" s="336"/>
      <c r="G29" s="337"/>
      <c r="H29" s="576"/>
      <c r="I29" s="584"/>
      <c r="J29" s="372">
        <f>-B29</f>
        <v>0</v>
      </c>
      <c r="K29" s="371"/>
      <c r="L29" s="747" t="s">
        <v>23</v>
      </c>
      <c r="M29" s="646"/>
      <c r="S29" s="133"/>
    </row>
    <row r="30" spans="1:24" ht="12" customHeight="1" thickBot="1" x14ac:dyDescent="0.25">
      <c r="A30" s="130" t="s">
        <v>580</v>
      </c>
      <c r="C30" s="483">
        <f>+B45/C50</f>
        <v>706.85208086111106</v>
      </c>
      <c r="D30" s="357"/>
      <c r="E30" s="332"/>
      <c r="F30" s="336"/>
      <c r="G30" s="337"/>
      <c r="H30" s="576"/>
      <c r="I30" s="584"/>
      <c r="J30" s="372"/>
      <c r="K30" s="371"/>
      <c r="L30" s="748"/>
      <c r="M30" s="749"/>
      <c r="Q30" s="261"/>
      <c r="R30" s="421"/>
    </row>
    <row r="31" spans="1:24" ht="12" customHeight="1" x14ac:dyDescent="0.2">
      <c r="A31" s="130" t="s">
        <v>839</v>
      </c>
      <c r="B31" s="496">
        <f>+Carrying!B25/Profit!$B$28</f>
        <v>14.95234426229508</v>
      </c>
      <c r="C31" s="122"/>
      <c r="D31" s="357"/>
      <c r="E31" s="332"/>
      <c r="F31" s="336"/>
      <c r="G31" s="337"/>
      <c r="H31" s="576"/>
      <c r="I31" s="584"/>
      <c r="J31" s="372"/>
      <c r="K31" s="371"/>
      <c r="L31" s="750" t="s">
        <v>25</v>
      </c>
      <c r="M31" s="751"/>
      <c r="R31" s="421"/>
    </row>
    <row r="32" spans="1:24" ht="12" customHeight="1" x14ac:dyDescent="0.2">
      <c r="A32" s="130" t="s">
        <v>899</v>
      </c>
      <c r="B32" s="496">
        <f>+Carrying!E25/Profit!$B$28</f>
        <v>549.04775409836066</v>
      </c>
      <c r="C32" s="122"/>
      <c r="D32" s="357"/>
      <c r="E32" s="332"/>
      <c r="F32" s="336"/>
      <c r="G32" s="337"/>
      <c r="H32" s="576"/>
      <c r="I32" s="584"/>
      <c r="J32" s="372">
        <f>IF(OR($E$1=2,$E$1=3),-B32,0)</f>
        <v>-549.04775409836066</v>
      </c>
      <c r="K32" s="371">
        <f>IF($E$1=3,+B32,0)</f>
        <v>549.04775409836066</v>
      </c>
      <c r="L32" s="752"/>
      <c r="M32" s="753"/>
      <c r="R32" s="421"/>
    </row>
    <row r="33" spans="1:13" ht="12" customHeight="1" x14ac:dyDescent="0.2">
      <c r="A33" s="130" t="s">
        <v>586</v>
      </c>
      <c r="B33" s="496">
        <f>+Carrying!H25/Profit!$B$28</f>
        <v>304.65546885245902</v>
      </c>
      <c r="C33" s="122"/>
      <c r="D33" s="357"/>
      <c r="E33" s="332"/>
      <c r="F33" s="336"/>
      <c r="G33" s="337"/>
      <c r="H33" s="576"/>
      <c r="I33" s="584"/>
      <c r="J33" s="372">
        <f>IF(OR($E$1=2,$E$1=3),-B33,0)</f>
        <v>-304.65546885245902</v>
      </c>
      <c r="K33" s="371">
        <f>IF($E$1=3,+B33,0)</f>
        <v>304.65546885245902</v>
      </c>
      <c r="L33" s="752"/>
      <c r="M33" s="753"/>
    </row>
    <row r="34" spans="1:13" ht="12" customHeight="1" thickBot="1" x14ac:dyDescent="0.25">
      <c r="A34" s="130" t="s">
        <v>885</v>
      </c>
      <c r="B34" s="496">
        <f>+Carrying!K25/Profit!$B$28</f>
        <v>0</v>
      </c>
      <c r="C34" s="122"/>
      <c r="D34" s="357"/>
      <c r="E34" s="332"/>
      <c r="F34" s="336"/>
      <c r="G34" s="337"/>
      <c r="H34" s="576"/>
      <c r="I34" s="584"/>
      <c r="J34" s="372">
        <f>IF(OR($E$1=2,$E$1=3),-B34,0)</f>
        <v>0</v>
      </c>
      <c r="K34" s="371">
        <f>IF($E$1=3,+B34,0)</f>
        <v>0</v>
      </c>
      <c r="L34" s="754"/>
      <c r="M34" s="755"/>
    </row>
    <row r="35" spans="1:13" ht="12" customHeight="1" x14ac:dyDescent="0.2">
      <c r="A35" s="130" t="s">
        <v>475</v>
      </c>
      <c r="B35" s="496">
        <f>+Carrying!N25/Profit!$B$28</f>
        <v>0</v>
      </c>
      <c r="C35" s="122"/>
      <c r="D35" s="357"/>
      <c r="E35" s="332"/>
      <c r="F35" s="336"/>
      <c r="G35" s="337"/>
      <c r="H35" s="576"/>
      <c r="I35" s="584"/>
      <c r="J35" s="372">
        <f>IF(OR($E$1=2,$E$1=3),-B35,0)</f>
        <v>0</v>
      </c>
      <c r="K35" s="371">
        <f>IF($E$1=3,+B35,0)</f>
        <v>0</v>
      </c>
    </row>
    <row r="36" spans="1:13" ht="12" customHeight="1" x14ac:dyDescent="0.2">
      <c r="A36" s="130" t="s">
        <v>886</v>
      </c>
      <c r="B36" s="496">
        <f>+Carrying!Q25/Profit!$B$28</f>
        <v>46.151960655737703</v>
      </c>
      <c r="C36" s="122"/>
      <c r="D36" s="357"/>
      <c r="E36" s="332"/>
      <c r="F36" s="336"/>
      <c r="G36" s="337"/>
      <c r="H36" s="576"/>
      <c r="I36" s="584"/>
      <c r="J36" s="372"/>
      <c r="K36" s="371"/>
    </row>
    <row r="37" spans="1:13" ht="12" customHeight="1" x14ac:dyDescent="0.2">
      <c r="A37" s="130" t="s">
        <v>887</v>
      </c>
      <c r="B37" s="496">
        <f>+Carrying!T25/Profit!$B$28</f>
        <v>0</v>
      </c>
      <c r="C37" s="122"/>
      <c r="D37" s="357"/>
      <c r="E37" s="332"/>
      <c r="F37" s="336"/>
      <c r="G37" s="337"/>
      <c r="H37" s="576"/>
      <c r="I37" s="584"/>
      <c r="J37" s="372"/>
      <c r="K37" s="371"/>
    </row>
    <row r="38" spans="1:13" ht="12" customHeight="1" x14ac:dyDescent="0.2">
      <c r="A38" s="130" t="s">
        <v>585</v>
      </c>
      <c r="B38" s="496">
        <f>+Carrying!W25/Profit!$B$28</f>
        <v>0</v>
      </c>
      <c r="C38" s="122"/>
      <c r="D38" s="357"/>
      <c r="E38" s="332"/>
      <c r="F38" s="336"/>
      <c r="G38" s="337"/>
      <c r="H38" s="576"/>
      <c r="I38" s="584"/>
      <c r="J38" s="372"/>
      <c r="K38" s="371"/>
    </row>
    <row r="39" spans="1:13" ht="12" customHeight="1" x14ac:dyDescent="0.2">
      <c r="A39" s="130" t="s">
        <v>634</v>
      </c>
      <c r="B39" s="496">
        <f>+Carrying!Z25/Profit!$B$28</f>
        <v>0</v>
      </c>
      <c r="C39" s="122"/>
      <c r="D39" s="357"/>
      <c r="E39" s="332"/>
      <c r="F39" s="336"/>
      <c r="G39" s="337"/>
      <c r="H39" s="576"/>
      <c r="I39" s="584"/>
      <c r="J39" s="372">
        <f>IF(OR($E$1=2,$E$1=3),-B39,0)</f>
        <v>0</v>
      </c>
      <c r="K39" s="371">
        <f>IF($E$1=3,+B39,0)</f>
        <v>0</v>
      </c>
    </row>
    <row r="40" spans="1:13" ht="12" customHeight="1" thickBot="1" x14ac:dyDescent="0.25">
      <c r="A40" s="130" t="s">
        <v>888</v>
      </c>
      <c r="B40" s="496">
        <f>+Carrying!AC25/Profit!$B$28</f>
        <v>0</v>
      </c>
      <c r="C40" s="122"/>
      <c r="D40" s="357"/>
      <c r="E40" s="332"/>
      <c r="F40" s="336"/>
      <c r="G40" s="337"/>
      <c r="H40" s="576"/>
      <c r="I40" s="584"/>
      <c r="J40" s="372"/>
      <c r="K40" s="371"/>
    </row>
    <row r="41" spans="1:13" ht="12" customHeight="1" thickBot="1" x14ac:dyDescent="0.25">
      <c r="A41" s="130" t="s">
        <v>889</v>
      </c>
      <c r="B41" s="496">
        <f>+Carrying!AF25/Profit!$B$28</f>
        <v>0</v>
      </c>
      <c r="C41" s="122"/>
      <c r="D41" s="357"/>
      <c r="E41" s="332"/>
      <c r="F41" s="336"/>
      <c r="G41" s="337"/>
      <c r="H41" s="576"/>
      <c r="I41" s="584"/>
      <c r="J41" s="372"/>
      <c r="K41" s="371"/>
      <c r="L41" s="704" t="s">
        <v>26</v>
      </c>
      <c r="M41" s="700">
        <f>IF(+E1=3,-J54,+B42/B28)</f>
        <v>1478.7032229508197</v>
      </c>
    </row>
    <row r="42" spans="1:13" ht="12" customHeight="1" thickBot="1" x14ac:dyDescent="0.3">
      <c r="A42" s="38" t="s">
        <v>26</v>
      </c>
      <c r="B42" s="702">
        <f>+B28*SUM(B31:B41)</f>
        <v>5503.2800000000007</v>
      </c>
      <c r="C42" s="703"/>
      <c r="D42" s="331">
        <f>-B42</f>
        <v>-5503.2800000000007</v>
      </c>
      <c r="E42" s="332"/>
      <c r="F42" s="336"/>
      <c r="G42" s="337"/>
      <c r="H42" s="576"/>
      <c r="I42" s="584"/>
      <c r="J42" s="372"/>
      <c r="K42" s="371"/>
      <c r="L42" s="705"/>
      <c r="M42" s="701"/>
    </row>
    <row r="43" spans="1:13" ht="12" customHeight="1" thickBot="1" x14ac:dyDescent="0.25">
      <c r="A43" s="498" t="s">
        <v>28</v>
      </c>
      <c r="B43" s="499">
        <v>0.1</v>
      </c>
      <c r="C43" s="500" t="b">
        <v>1</v>
      </c>
      <c r="D43" s="357"/>
      <c r="E43" s="332"/>
      <c r="F43" s="336"/>
      <c r="G43" s="337"/>
      <c r="H43" s="576"/>
      <c r="I43" s="584"/>
      <c r="J43" s="372"/>
      <c r="K43" s="371"/>
    </row>
    <row r="44" spans="1:13" ht="12" customHeight="1" thickBot="1" x14ac:dyDescent="0.25">
      <c r="A44" s="130" t="s">
        <v>30</v>
      </c>
      <c r="B44" s="501">
        <v>75000</v>
      </c>
      <c r="C44" s="502">
        <f>+(B6*0.75)-SUM(C15:C19)-B44</f>
        <v>85181</v>
      </c>
      <c r="D44" s="357"/>
      <c r="E44" s="332">
        <f>IF(C43,B44,0)</f>
        <v>75000</v>
      </c>
      <c r="F44" s="336"/>
      <c r="G44" s="337"/>
      <c r="H44" s="576">
        <f>IF(C43,-E44,0)</f>
        <v>-75000</v>
      </c>
      <c r="I44" s="584"/>
      <c r="J44" s="372">
        <f>IF($E$1=3,-E44*B43/12,0)</f>
        <v>-625</v>
      </c>
      <c r="K44" s="371"/>
      <c r="L44" s="704" t="s">
        <v>1038</v>
      </c>
      <c r="M44" s="700">
        <f>+SUM(C15:C19)+B44</f>
        <v>174694</v>
      </c>
    </row>
    <row r="45" spans="1:13" ht="12" customHeight="1" thickBot="1" x14ac:dyDescent="0.25">
      <c r="A45" s="130" t="s">
        <v>32</v>
      </c>
      <c r="B45" s="323">
        <f>-D71</f>
        <v>25446.674910999998</v>
      </c>
      <c r="C45" s="122"/>
      <c r="D45" s="357">
        <f>-B45</f>
        <v>-25446.674910999998</v>
      </c>
      <c r="E45" s="332"/>
      <c r="F45" s="336"/>
      <c r="G45" s="337"/>
      <c r="H45" s="576"/>
      <c r="I45" s="584"/>
      <c r="J45" s="373"/>
      <c r="K45" s="371"/>
      <c r="L45" s="705"/>
      <c r="M45" s="701"/>
    </row>
    <row r="46" spans="1:13" ht="12" customHeight="1" thickBot="1" x14ac:dyDescent="0.25">
      <c r="A46" s="130" t="s">
        <v>33</v>
      </c>
      <c r="B46" s="323">
        <v>600</v>
      </c>
      <c r="C46" s="122"/>
      <c r="D46" s="357">
        <f>-B46</f>
        <v>-600</v>
      </c>
      <c r="E46" s="332"/>
      <c r="F46" s="336"/>
      <c r="G46" s="337"/>
      <c r="H46" s="576"/>
      <c r="I46" s="584"/>
      <c r="J46" s="373"/>
      <c r="K46" s="371"/>
    </row>
    <row r="47" spans="1:13" ht="12" customHeight="1" thickBot="1" x14ac:dyDescent="0.3">
      <c r="A47" s="38" t="s">
        <v>35</v>
      </c>
      <c r="B47" s="490"/>
      <c r="C47" s="491">
        <v>500</v>
      </c>
      <c r="D47" s="357"/>
      <c r="E47" s="332"/>
      <c r="F47" s="336" t="str">
        <f>IF(U3,-C47,"")</f>
        <v/>
      </c>
      <c r="G47" s="337"/>
      <c r="H47" s="576"/>
      <c r="I47" s="584"/>
      <c r="J47" s="373"/>
      <c r="K47" s="371"/>
      <c r="L47" s="679" t="s">
        <v>27</v>
      </c>
      <c r="M47" s="700">
        <f>+B21</f>
        <v>130291.26</v>
      </c>
    </row>
    <row r="48" spans="1:13" ht="12" customHeight="1" thickBot="1" x14ac:dyDescent="0.25">
      <c r="A48" s="131" t="s">
        <v>36</v>
      </c>
      <c r="B48" s="392"/>
      <c r="C48" s="132">
        <v>3.5999999999999997E-2</v>
      </c>
      <c r="D48" s="357"/>
      <c r="E48" s="332"/>
      <c r="F48" s="336" t="str">
        <f>IF(U4,IF(OR(E1=1,E1=2),-C48*$F$10,0),"")</f>
        <v/>
      </c>
      <c r="G48" s="337"/>
      <c r="H48" s="576"/>
      <c r="I48" s="584"/>
      <c r="J48" s="373"/>
      <c r="K48" s="371"/>
      <c r="L48" s="680"/>
      <c r="M48" s="701"/>
    </row>
    <row r="49" spans="1:17" ht="12" customHeight="1" thickBot="1" x14ac:dyDescent="0.25">
      <c r="A49" s="131" t="s">
        <v>37</v>
      </c>
      <c r="B49" s="393"/>
      <c r="C49" s="183">
        <v>2.4E-2</v>
      </c>
      <c r="D49" s="357"/>
      <c r="E49" s="332"/>
      <c r="F49" s="336">
        <f>IF(U5,IF(OR(E1=1,E1=2),-C49*$F$10,0),"")</f>
        <v>0</v>
      </c>
      <c r="G49" s="337"/>
      <c r="H49" s="576"/>
      <c r="I49" s="584"/>
      <c r="J49" s="373"/>
      <c r="K49" s="371"/>
      <c r="L49" s="679" t="s">
        <v>31</v>
      </c>
      <c r="M49" s="700">
        <f>-E55</f>
        <v>-4446.7850890000082</v>
      </c>
    </row>
    <row r="50" spans="1:17" ht="12" customHeight="1" thickBot="1" x14ac:dyDescent="0.25">
      <c r="A50" s="184" t="s">
        <v>38</v>
      </c>
      <c r="B50" s="182"/>
      <c r="C50" s="210">
        <v>36</v>
      </c>
      <c r="D50" s="357"/>
      <c r="E50" s="332"/>
      <c r="F50" s="336"/>
      <c r="G50" s="337"/>
      <c r="H50" s="576"/>
      <c r="I50" s="584"/>
      <c r="J50" s="373"/>
      <c r="K50" s="371"/>
      <c r="L50" s="680"/>
      <c r="M50" s="701"/>
    </row>
    <row r="51" spans="1:17" ht="12" customHeight="1" thickBot="1" x14ac:dyDescent="0.3">
      <c r="A51" s="38" t="s">
        <v>39</v>
      </c>
      <c r="B51" s="690"/>
      <c r="C51" s="691"/>
      <c r="D51" s="358"/>
      <c r="E51" s="332"/>
      <c r="F51" s="336">
        <f>-C51</f>
        <v>0</v>
      </c>
      <c r="G51" s="337"/>
      <c r="H51" s="576"/>
      <c r="I51" s="584"/>
      <c r="J51" s="374"/>
      <c r="K51" s="371"/>
      <c r="L51" s="626" t="s">
        <v>34</v>
      </c>
      <c r="M51" s="676"/>
    </row>
    <row r="52" spans="1:17" ht="12" customHeight="1" thickBot="1" x14ac:dyDescent="0.25">
      <c r="A52" s="38" t="s">
        <v>40</v>
      </c>
      <c r="B52" s="688">
        <f>+D91</f>
        <v>940</v>
      </c>
      <c r="C52" s="689"/>
      <c r="D52" s="357">
        <f>-B52</f>
        <v>-940</v>
      </c>
      <c r="E52" s="332"/>
      <c r="F52" s="336"/>
      <c r="G52" s="337"/>
      <c r="H52" s="576"/>
      <c r="I52" s="584"/>
      <c r="J52" s="374"/>
      <c r="K52" s="371"/>
      <c r="L52" s="677"/>
      <c r="M52" s="678"/>
    </row>
    <row r="53" spans="1:17" ht="12" customHeight="1" thickBot="1" x14ac:dyDescent="0.25">
      <c r="A53" s="38" t="s">
        <v>41</v>
      </c>
      <c r="B53" s="686">
        <f>+D102</f>
        <v>290</v>
      </c>
      <c r="C53" s="687"/>
      <c r="D53" s="359"/>
      <c r="E53" s="360"/>
      <c r="F53" s="361">
        <f>-B53</f>
        <v>-290</v>
      </c>
      <c r="G53" s="362"/>
      <c r="H53" s="575"/>
      <c r="I53" s="585"/>
      <c r="J53" s="375"/>
      <c r="K53" s="376"/>
    </row>
    <row r="54" spans="1:17" ht="12" customHeight="1" thickBot="1" x14ac:dyDescent="0.25">
      <c r="B54" s="684" t="s">
        <v>42</v>
      </c>
      <c r="C54" s="685"/>
      <c r="D54" s="193">
        <f>+SUM(D14:D53)</f>
        <v>-167781.21491100002</v>
      </c>
      <c r="E54" s="419"/>
      <c r="F54" s="420">
        <f>+SUM(F14:F53)</f>
        <v>-290</v>
      </c>
      <c r="G54" s="419"/>
      <c r="H54" s="420">
        <f>+SUM(H14:H53)</f>
        <v>-148742.15999999997</v>
      </c>
      <c r="I54" s="419"/>
      <c r="J54" s="420">
        <f>SUM(J15:J53)</f>
        <v>-1478.7032229508197</v>
      </c>
      <c r="K54" s="420">
        <f>SUM(K15:K53)+J10</f>
        <v>873.17322295081976</v>
      </c>
    </row>
    <row r="55" spans="1:17" ht="12" customHeight="1" thickBot="1" x14ac:dyDescent="0.25">
      <c r="A55" s="39"/>
      <c r="B55" s="698" t="s">
        <v>43</v>
      </c>
      <c r="C55" s="699"/>
      <c r="D55" s="699"/>
      <c r="E55" s="586">
        <f>+SUM(D10:E53)</f>
        <v>4446.7850890000082</v>
      </c>
      <c r="F55" s="654">
        <f>+SUM(F10:G53)</f>
        <v>34360</v>
      </c>
      <c r="G55" s="655"/>
      <c r="H55" s="706"/>
      <c r="I55" s="706"/>
      <c r="J55" s="135"/>
      <c r="K55" s="137">
        <f>+SUM(J54:K54)</f>
        <v>-605.53</v>
      </c>
      <c r="L55" s="759" t="s">
        <v>45</v>
      </c>
      <c r="M55" s="759" t="s">
        <v>46</v>
      </c>
      <c r="Q55" s="112"/>
    </row>
    <row r="56" spans="1:17" ht="12" customHeight="1" thickBot="1" x14ac:dyDescent="0.25">
      <c r="A56" s="39"/>
      <c r="B56" s="39"/>
      <c r="D56" s="39"/>
      <c r="E56" s="670" t="s">
        <v>44</v>
      </c>
      <c r="F56" s="671"/>
      <c r="G56" s="571">
        <f>SUM(E55:G55)</f>
        <v>38806.785089000012</v>
      </c>
      <c r="H56" s="655">
        <f>+SUM(H10:I53)</f>
        <v>-148742.15999999997</v>
      </c>
      <c r="I56" s="655"/>
      <c r="J56" s="135"/>
      <c r="K56" s="137"/>
      <c r="L56" s="760"/>
      <c r="M56" s="760"/>
      <c r="Q56" s="112"/>
    </row>
    <row r="57" spans="1:17" ht="12" customHeight="1" x14ac:dyDescent="0.25">
      <c r="A57" s="39"/>
      <c r="B57" s="39"/>
      <c r="D57" s="39"/>
      <c r="E57" s="670" t="s">
        <v>44</v>
      </c>
      <c r="F57" s="671"/>
      <c r="G57" s="134"/>
      <c r="H57" s="734">
        <f>SUM(G56:I56)</f>
        <v>-109935.37491099996</v>
      </c>
      <c r="I57" s="735"/>
      <c r="J57" s="135"/>
      <c r="K57" s="137"/>
      <c r="L57" s="760"/>
      <c r="M57" s="760"/>
      <c r="Q57" s="112"/>
    </row>
    <row r="58" spans="1:17" ht="12" customHeight="1" thickBot="1" x14ac:dyDescent="0.25">
      <c r="A58" s="39"/>
      <c r="B58" s="39"/>
      <c r="E58" s="670" t="s">
        <v>47</v>
      </c>
      <c r="F58" s="671"/>
      <c r="G58" s="671"/>
      <c r="H58" s="135"/>
      <c r="I58" s="588"/>
      <c r="J58" s="590">
        <f>IF(OR(E1=2,E1=3),IF(E1=2,C50,60),0)</f>
        <v>60</v>
      </c>
      <c r="K58" s="589">
        <f>IF(OR(E1=2,E1=3),+J58*K55,0)</f>
        <v>-36331.799999999996</v>
      </c>
      <c r="L58" s="761"/>
      <c r="M58" s="761"/>
    </row>
    <row r="59" spans="1:17" ht="12" customHeight="1" thickBot="1" x14ac:dyDescent="0.25">
      <c r="A59" s="39"/>
      <c r="B59" s="39"/>
      <c r="E59" s="136"/>
      <c r="F59" s="622" t="s">
        <v>610</v>
      </c>
      <c r="G59" s="637"/>
      <c r="H59" s="587"/>
      <c r="I59" s="587"/>
      <c r="J59" s="581"/>
      <c r="K59" s="581">
        <f>+K58+H57</f>
        <v>-146267.17491099995</v>
      </c>
      <c r="L59" s="123">
        <f>$B$25*$K$59</f>
        <v>0</v>
      </c>
      <c r="M59" s="124">
        <f>+$K$59-L59</f>
        <v>-146267.17491099995</v>
      </c>
    </row>
    <row r="60" spans="1:17" ht="12" customHeight="1" thickTop="1" thickBot="1" x14ac:dyDescent="0.3">
      <c r="A60" s="125" t="s">
        <v>48</v>
      </c>
      <c r="B60" s="696">
        <f>IF(OR(C1="Hold",D1="slow flip"),0.15,0)</f>
        <v>0.15</v>
      </c>
      <c r="C60" s="697"/>
      <c r="D60" s="125"/>
      <c r="E60" s="125"/>
      <c r="F60" s="622" t="s">
        <v>601</v>
      </c>
      <c r="G60" s="623"/>
      <c r="H60" s="623"/>
      <c r="I60" s="624"/>
      <c r="J60" s="624"/>
      <c r="K60" s="624"/>
      <c r="L60" s="134">
        <f>-J85</f>
        <v>0</v>
      </c>
      <c r="M60" s="168">
        <f>+J85</f>
        <v>0</v>
      </c>
    </row>
    <row r="61" spans="1:17" ht="12" customHeight="1" thickTop="1" thickBot="1" x14ac:dyDescent="0.3">
      <c r="A61" s="38" t="s">
        <v>49</v>
      </c>
      <c r="B61" s="692">
        <v>0.1</v>
      </c>
      <c r="C61" s="693">
        <v>0.15</v>
      </c>
      <c r="D61" s="694">
        <f>+M63*B61</f>
        <v>-12432.709867434996</v>
      </c>
      <c r="E61" s="695"/>
      <c r="F61" s="625" t="s">
        <v>1152</v>
      </c>
      <c r="G61" s="623"/>
      <c r="H61" s="623"/>
      <c r="I61" s="624"/>
      <c r="J61" s="624"/>
      <c r="K61" s="624"/>
      <c r="L61" s="394" t="s">
        <v>471</v>
      </c>
      <c r="M61" s="168">
        <f>IF(B60="",0,-$B$60*SUM(M59:M60))</f>
        <v>21940.076236649991</v>
      </c>
    </row>
    <row r="62" spans="1:17" ht="12" customHeight="1" x14ac:dyDescent="0.25">
      <c r="F62" s="625" t="s">
        <v>1153</v>
      </c>
      <c r="G62" s="623"/>
      <c r="H62" s="623"/>
      <c r="I62" s="624"/>
      <c r="J62" s="624"/>
      <c r="K62" s="624"/>
      <c r="L62" s="123">
        <f>SUM(L59:L61)</f>
        <v>0</v>
      </c>
      <c r="M62" s="124">
        <f>SUM(M59:M61)</f>
        <v>-124327.09867434995</v>
      </c>
    </row>
    <row r="63" spans="1:17" ht="12" customHeight="1" thickBot="1" x14ac:dyDescent="0.3">
      <c r="A63" s="116"/>
      <c r="C63" s="38"/>
      <c r="D63" s="38"/>
      <c r="E63" s="38"/>
      <c r="F63" s="625" t="s">
        <v>611</v>
      </c>
      <c r="G63" s="623"/>
      <c r="H63" s="623"/>
      <c r="I63" s="624"/>
      <c r="J63" s="624"/>
      <c r="K63" s="624"/>
      <c r="L63" s="128"/>
      <c r="M63" s="319">
        <f>SUM(L62:M62)</f>
        <v>-124327.09867434995</v>
      </c>
    </row>
    <row r="64" spans="1:17" ht="12" customHeight="1" x14ac:dyDescent="0.25">
      <c r="A64" s="116"/>
      <c r="F64" s="625" t="s">
        <v>1190</v>
      </c>
      <c r="G64" s="623"/>
      <c r="H64" s="623"/>
      <c r="I64" s="624"/>
      <c r="J64" s="624"/>
      <c r="K64" s="624"/>
      <c r="L64" s="134"/>
      <c r="M64" s="572">
        <f>IF($E$1=3,Docs!I23,0)</f>
        <v>236592</v>
      </c>
    </row>
    <row r="65" spans="1:13" ht="12" customHeight="1" thickBot="1" x14ac:dyDescent="0.3">
      <c r="A65" s="116"/>
      <c r="C65" s="38"/>
      <c r="F65" s="625" t="s">
        <v>1191</v>
      </c>
      <c r="G65" s="623"/>
      <c r="H65" s="623"/>
      <c r="I65" s="624"/>
      <c r="J65" s="624"/>
      <c r="K65" s="624"/>
      <c r="L65" s="134"/>
      <c r="M65" s="573">
        <f>+tradeMonthlyGrossSpread*J58</f>
        <v>197160</v>
      </c>
    </row>
    <row r="66" spans="1:13" ht="12" customHeight="1" thickBot="1" x14ac:dyDescent="0.3">
      <c r="A66" s="116"/>
      <c r="C66" s="38"/>
      <c r="D66" s="38"/>
      <c r="E66" s="38"/>
      <c r="F66" s="738" t="s">
        <v>1192</v>
      </c>
      <c r="G66" s="739"/>
      <c r="H66" s="739"/>
      <c r="I66" s="740"/>
      <c r="J66" s="740"/>
      <c r="K66" s="740"/>
      <c r="L66" s="571"/>
      <c r="M66" s="573">
        <f>SUM(M63:M65)</f>
        <v>309424.90132565005</v>
      </c>
    </row>
    <row r="67" spans="1:13" ht="12" customHeight="1" thickTop="1" x14ac:dyDescent="0.2">
      <c r="A67" s="119" t="s">
        <v>50</v>
      </c>
    </row>
    <row r="68" spans="1:13" ht="12" customHeight="1" thickBot="1" x14ac:dyDescent="0.25">
      <c r="A68" s="38" t="s">
        <v>51</v>
      </c>
      <c r="B68" s="616">
        <f>+'Gnatt Chart'!J5</f>
        <v>25446.674910999998</v>
      </c>
      <c r="C68" s="616"/>
      <c r="D68" s="616">
        <f>-B68</f>
        <v>-25446.674910999998</v>
      </c>
      <c r="E68" s="616"/>
    </row>
    <row r="69" spans="1:13" ht="12" customHeight="1" thickBot="1" x14ac:dyDescent="0.25">
      <c r="A69" s="38" t="s">
        <v>52</v>
      </c>
      <c r="B69" s="126">
        <v>0.1</v>
      </c>
      <c r="D69" s="616"/>
      <c r="E69" s="616"/>
      <c r="G69" s="643" t="s">
        <v>53</v>
      </c>
      <c r="H69" s="644"/>
      <c r="I69" s="644"/>
      <c r="J69" s="645"/>
      <c r="K69" s="645"/>
      <c r="L69" s="646"/>
    </row>
    <row r="70" spans="1:13" ht="12" customHeight="1" thickBot="1" x14ac:dyDescent="0.25">
      <c r="A70" s="38" t="s">
        <v>54</v>
      </c>
      <c r="B70" s="669">
        <f>IF(M13,0,+B69*SUM(B68:C68))</f>
        <v>0</v>
      </c>
      <c r="C70" s="669"/>
      <c r="D70" s="669">
        <f>-B70</f>
        <v>0</v>
      </c>
      <c r="E70" s="669"/>
      <c r="G70" s="647"/>
      <c r="H70" s="648"/>
      <c r="I70" s="648"/>
      <c r="J70" s="648"/>
      <c r="K70" s="648"/>
      <c r="L70" s="649"/>
    </row>
    <row r="71" spans="1:13" ht="12" customHeight="1" thickBot="1" x14ac:dyDescent="0.25">
      <c r="A71" s="38" t="s">
        <v>55</v>
      </c>
      <c r="D71" s="614">
        <f>+SUM(D68:E70)</f>
        <v>-25446.674910999998</v>
      </c>
      <c r="E71" s="615"/>
      <c r="G71" s="633" t="s">
        <v>1157</v>
      </c>
      <c r="H71" s="634"/>
      <c r="I71" s="634"/>
      <c r="J71" s="635"/>
      <c r="K71" s="635"/>
      <c r="L71" s="636"/>
    </row>
    <row r="72" spans="1:13" ht="12" customHeight="1" thickTop="1" thickBot="1" x14ac:dyDescent="0.25">
      <c r="A72" s="127" t="s">
        <v>56</v>
      </c>
      <c r="B72" s="125"/>
      <c r="C72" s="125"/>
      <c r="D72" s="38"/>
      <c r="E72" s="38"/>
      <c r="G72" s="630"/>
      <c r="H72" s="631"/>
      <c r="I72" s="631"/>
      <c r="J72" s="631"/>
      <c r="K72" s="631"/>
      <c r="L72" s="632"/>
    </row>
    <row r="73" spans="1:13" ht="12" customHeight="1" x14ac:dyDescent="0.2">
      <c r="A73" s="38" t="s">
        <v>57</v>
      </c>
      <c r="B73" s="667">
        <v>350</v>
      </c>
      <c r="C73" s="668"/>
      <c r="D73" s="616"/>
      <c r="E73" s="616"/>
      <c r="J73" s="37"/>
      <c r="K73" s="37"/>
    </row>
    <row r="74" spans="1:13" ht="12" customHeight="1" thickBot="1" x14ac:dyDescent="0.25">
      <c r="A74" s="38" t="s">
        <v>58</v>
      </c>
      <c r="B74" s="664">
        <v>0</v>
      </c>
      <c r="C74" s="665"/>
      <c r="D74" s="616"/>
      <c r="E74" s="616"/>
      <c r="J74" s="37"/>
      <c r="K74" s="37"/>
    </row>
    <row r="75" spans="1:13" ht="12" customHeight="1" thickBot="1" x14ac:dyDescent="0.3">
      <c r="A75" s="38" t="s">
        <v>59</v>
      </c>
      <c r="B75" s="664">
        <v>250</v>
      </c>
      <c r="C75" s="665"/>
      <c r="F75" s="666" t="s">
        <v>480</v>
      </c>
      <c r="G75" s="617"/>
      <c r="H75" s="617" t="s">
        <v>212</v>
      </c>
      <c r="I75" s="617"/>
      <c r="J75" s="758" t="s">
        <v>481</v>
      </c>
      <c r="K75" s="624"/>
    </row>
    <row r="76" spans="1:13" ht="12" customHeight="1" thickBot="1" x14ac:dyDescent="0.3">
      <c r="A76" s="38" t="s">
        <v>59</v>
      </c>
      <c r="B76" s="664"/>
      <c r="C76" s="665"/>
      <c r="F76" s="618">
        <f>_xlfn.DAYS(J76,H76)</f>
        <v>183</v>
      </c>
      <c r="G76" s="619"/>
      <c r="H76" s="620">
        <v>45748</v>
      </c>
      <c r="I76" s="621"/>
      <c r="J76" s="757">
        <v>45931</v>
      </c>
      <c r="K76" s="740"/>
    </row>
    <row r="77" spans="1:13" ht="12" customHeight="1" x14ac:dyDescent="0.2">
      <c r="A77" s="38" t="s">
        <v>60</v>
      </c>
      <c r="B77" s="664"/>
      <c r="C77" s="665"/>
      <c r="D77" s="121"/>
      <c r="E77" s="114"/>
      <c r="F77" s="114"/>
      <c r="H77" s="114"/>
      <c r="I77" s="303"/>
      <c r="J77" s="304"/>
      <c r="K77" s="114"/>
      <c r="L77" s="638" t="s">
        <v>564</v>
      </c>
    </row>
    <row r="78" spans="1:13" ht="12" customHeight="1" x14ac:dyDescent="0.2">
      <c r="A78" s="38" t="s">
        <v>60</v>
      </c>
      <c r="B78" s="664"/>
      <c r="C78" s="665"/>
      <c r="D78" s="305"/>
      <c r="G78" s="641"/>
      <c r="H78" s="641" t="s">
        <v>482</v>
      </c>
      <c r="I78" s="641" t="s">
        <v>483</v>
      </c>
      <c r="J78" s="641" t="s">
        <v>484</v>
      </c>
      <c r="K78" s="641" t="s">
        <v>485</v>
      </c>
      <c r="L78" s="639"/>
    </row>
    <row r="79" spans="1:13" ht="12" customHeight="1" thickBot="1" x14ac:dyDescent="0.25">
      <c r="A79" s="38" t="s">
        <v>61</v>
      </c>
      <c r="B79" s="664"/>
      <c r="C79" s="665"/>
      <c r="D79" s="115" t="s">
        <v>253</v>
      </c>
      <c r="E79" s="681" t="s">
        <v>486</v>
      </c>
      <c r="F79" s="681"/>
      <c r="G79" s="642"/>
      <c r="H79" s="642"/>
      <c r="I79" s="642"/>
      <c r="J79" s="642"/>
      <c r="K79" s="642"/>
      <c r="L79" s="640"/>
    </row>
    <row r="80" spans="1:13" ht="12" customHeight="1" x14ac:dyDescent="0.25">
      <c r="A80" s="38" t="s">
        <v>62</v>
      </c>
      <c r="B80" s="664"/>
      <c r="C80" s="665"/>
      <c r="D80" s="565">
        <v>45397</v>
      </c>
      <c r="E80" s="736" t="s">
        <v>604</v>
      </c>
      <c r="F80" s="737"/>
      <c r="G80" s="624"/>
      <c r="H80" s="365"/>
      <c r="I80" s="366">
        <f>+H80/$H$86</f>
        <v>0</v>
      </c>
      <c r="J80" s="367">
        <f>+$L$59*I80</f>
        <v>0</v>
      </c>
      <c r="K80" s="368">
        <f>+H80+J80</f>
        <v>0</v>
      </c>
      <c r="L80" s="369">
        <f>IF(H80="",0,+J80/H80*365/_xlfn.DAYS($J$76,D80))</f>
        <v>0</v>
      </c>
    </row>
    <row r="81" spans="1:12" ht="12" customHeight="1" x14ac:dyDescent="0.25">
      <c r="A81" s="38" t="s">
        <v>63</v>
      </c>
      <c r="B81" s="664"/>
      <c r="C81" s="665"/>
      <c r="D81" s="565">
        <f>+D80+90</f>
        <v>45487</v>
      </c>
      <c r="E81" s="736" t="str">
        <f>+E80</f>
        <v>unknown</v>
      </c>
      <c r="F81" s="737"/>
      <c r="G81" s="624"/>
      <c r="H81" s="365"/>
      <c r="I81" s="366">
        <f>+H81/$H$86</f>
        <v>0</v>
      </c>
      <c r="J81" s="367">
        <f>+$L$59*I81</f>
        <v>0</v>
      </c>
      <c r="K81" s="368">
        <f>+H81+J81</f>
        <v>0</v>
      </c>
      <c r="L81" s="369">
        <f>IF(H81="",0,+J81/H81*365/_xlfn.DAYS($J$76,D81))</f>
        <v>0</v>
      </c>
    </row>
    <row r="82" spans="1:12" ht="12" customHeight="1" x14ac:dyDescent="0.25">
      <c r="A82" s="38" t="s">
        <v>64</v>
      </c>
      <c r="B82" s="664"/>
      <c r="C82" s="665"/>
      <c r="D82" s="565">
        <f>+D81+270</f>
        <v>45757</v>
      </c>
      <c r="E82" s="736" t="str">
        <f>+E81</f>
        <v>unknown</v>
      </c>
      <c r="F82" s="737"/>
      <c r="G82" s="624"/>
      <c r="H82" s="365"/>
      <c r="I82" s="366">
        <f>+H82/$H$86</f>
        <v>0</v>
      </c>
      <c r="J82" s="367">
        <f>+$L$59*I82</f>
        <v>0</v>
      </c>
      <c r="K82" s="368">
        <f>+H82+J82</f>
        <v>0</v>
      </c>
      <c r="L82" s="369">
        <f>IF(H82="",0,+J82/H82*365/_xlfn.DAYS($J$76,D82))</f>
        <v>0</v>
      </c>
    </row>
    <row r="83" spans="1:12" ht="12" customHeight="1" thickBot="1" x14ac:dyDescent="0.3">
      <c r="A83" s="38" t="s">
        <v>65</v>
      </c>
      <c r="B83" s="664"/>
      <c r="C83" s="665"/>
      <c r="D83" s="565">
        <f>+J76-120</f>
        <v>45811</v>
      </c>
      <c r="E83" s="736" t="str">
        <f>+E82</f>
        <v>unknown</v>
      </c>
      <c r="F83" s="737"/>
      <c r="G83" s="624"/>
      <c r="H83" s="365"/>
      <c r="I83" s="366">
        <f>+H83/$H$86</f>
        <v>0</v>
      </c>
      <c r="J83" s="367">
        <f>+$L$59*I83</f>
        <v>0</v>
      </c>
      <c r="K83" s="368">
        <f>+H83+J83</f>
        <v>0</v>
      </c>
      <c r="L83" s="369">
        <f>IF(H83="",0,+J83/H83*365/_xlfn.DAYS($J$76,D83))</f>
        <v>0</v>
      </c>
    </row>
    <row r="84" spans="1:12" ht="12" customHeight="1" thickBot="1" x14ac:dyDescent="0.3">
      <c r="A84" s="38" t="s">
        <v>66</v>
      </c>
      <c r="B84" s="664">
        <v>200</v>
      </c>
      <c r="C84" s="665"/>
      <c r="D84" s="566">
        <v>45422</v>
      </c>
      <c r="E84" s="671" t="str">
        <f>+F1</f>
        <v>Heritage Management</v>
      </c>
      <c r="F84" s="756"/>
      <c r="G84" s="624"/>
      <c r="H84" s="342">
        <f>-D54-SUM(H79:H82)</f>
        <v>167781.21491100002</v>
      </c>
      <c r="I84" s="341">
        <f>+H84/$H$86</f>
        <v>1</v>
      </c>
      <c r="J84" s="340">
        <f>+$L$59*I84</f>
        <v>0</v>
      </c>
      <c r="K84" s="342">
        <f>+H84+J84</f>
        <v>167781.21491100002</v>
      </c>
      <c r="L84" s="343" t="e">
        <f>IF(H84=0,0,+J84/H84*$F$76/_xlfn.DAYS(J75,H75))</f>
        <v>#VALUE!</v>
      </c>
    </row>
    <row r="85" spans="1:12" ht="12" customHeight="1" thickBot="1" x14ac:dyDescent="0.3">
      <c r="A85" s="38" t="s">
        <v>67</v>
      </c>
      <c r="B85" s="664"/>
      <c r="C85" s="665"/>
      <c r="D85" s="344" t="str">
        <f>+J75</f>
        <v>End Date</v>
      </c>
      <c r="E85" s="736" t="s">
        <v>602</v>
      </c>
      <c r="F85" s="737"/>
      <c r="G85" s="624"/>
      <c r="H85" s="345">
        <f>+SUM(H79:H82)</f>
        <v>0</v>
      </c>
      <c r="I85" s="346">
        <f>+SUM(I79:I82)</f>
        <v>0</v>
      </c>
      <c r="J85" s="345">
        <f>+SUM(J79:J82)</f>
        <v>0</v>
      </c>
      <c r="K85" s="345">
        <f>+SUM(K79:K82)</f>
        <v>0</v>
      </c>
      <c r="L85" s="347">
        <f>AVERAGE(L79:L82)</f>
        <v>0</v>
      </c>
    </row>
    <row r="86" spans="1:12" ht="12" customHeight="1" thickBot="1" x14ac:dyDescent="0.3">
      <c r="A86" s="38" t="s">
        <v>68</v>
      </c>
      <c r="B86" s="664"/>
      <c r="C86" s="665"/>
      <c r="D86" s="348"/>
      <c r="E86" s="349" t="s">
        <v>603</v>
      </c>
      <c r="F86" s="350"/>
      <c r="G86" s="351"/>
      <c r="H86" s="351">
        <f>SUM(H79:H82)+H84</f>
        <v>167781.21491100002</v>
      </c>
      <c r="I86" s="352">
        <f>SUM(I79:I82)+I84</f>
        <v>1</v>
      </c>
      <c r="J86" s="351">
        <f>SUM(J82:J85)</f>
        <v>0</v>
      </c>
      <c r="K86" s="353">
        <f>SUM(K79:K82)</f>
        <v>0</v>
      </c>
      <c r="L86" s="354" t="e">
        <f>AVERAGE(L79:L85)</f>
        <v>#VALUE!</v>
      </c>
    </row>
    <row r="87" spans="1:12" ht="12" customHeight="1" x14ac:dyDescent="0.2">
      <c r="A87" s="38" t="s">
        <v>69</v>
      </c>
      <c r="B87" s="664">
        <v>90</v>
      </c>
      <c r="C87" s="665"/>
      <c r="D87" s="616"/>
      <c r="E87" s="616"/>
    </row>
    <row r="88" spans="1:12" ht="12" customHeight="1" x14ac:dyDescent="0.2">
      <c r="A88" s="38" t="s">
        <v>565</v>
      </c>
      <c r="B88" s="664">
        <v>20</v>
      </c>
      <c r="C88" s="665"/>
      <c r="D88" s="616"/>
      <c r="E88" s="616"/>
    </row>
    <row r="89" spans="1:12" ht="12" customHeight="1" x14ac:dyDescent="0.2">
      <c r="A89" s="38" t="s">
        <v>70</v>
      </c>
      <c r="B89" s="664">
        <v>30</v>
      </c>
      <c r="C89" s="665"/>
      <c r="D89" s="616"/>
      <c r="E89" s="616"/>
    </row>
    <row r="90" spans="1:12" ht="12" customHeight="1" thickBot="1" x14ac:dyDescent="0.25">
      <c r="A90" s="38" t="s">
        <v>71</v>
      </c>
      <c r="B90" s="682"/>
      <c r="C90" s="683"/>
      <c r="D90" s="674"/>
      <c r="E90" s="675"/>
    </row>
    <row r="91" spans="1:12" ht="12" customHeight="1" thickBot="1" x14ac:dyDescent="0.25">
      <c r="D91" s="614">
        <f>+SUM(B73:C90)</f>
        <v>940</v>
      </c>
      <c r="E91" s="615"/>
      <c r="G91" s="626" t="s">
        <v>72</v>
      </c>
      <c r="H91" s="627"/>
      <c r="I91" s="627"/>
      <c r="J91" s="628"/>
      <c r="K91" s="628"/>
      <c r="L91" s="629"/>
    </row>
    <row r="92" spans="1:12" ht="12" customHeight="1" thickBot="1" x14ac:dyDescent="0.25">
      <c r="G92" s="630"/>
      <c r="H92" s="631"/>
      <c r="I92" s="631"/>
      <c r="J92" s="631"/>
      <c r="K92" s="631"/>
      <c r="L92" s="632"/>
    </row>
    <row r="93" spans="1:12" ht="12" customHeight="1" thickTop="1" thickBot="1" x14ac:dyDescent="0.25">
      <c r="A93" s="127" t="s">
        <v>73</v>
      </c>
      <c r="B93" s="125"/>
      <c r="C93" s="125"/>
      <c r="D93" s="125"/>
      <c r="E93" s="125"/>
    </row>
    <row r="94" spans="1:12" ht="12" customHeight="1" x14ac:dyDescent="0.2">
      <c r="A94" s="38" t="s">
        <v>57</v>
      </c>
      <c r="B94" s="667"/>
      <c r="C94" s="668"/>
      <c r="D94" s="616"/>
      <c r="E94" s="616"/>
    </row>
    <row r="95" spans="1:12" ht="12" customHeight="1" x14ac:dyDescent="0.2">
      <c r="A95" s="38" t="s">
        <v>59</v>
      </c>
      <c r="B95" s="664">
        <v>250</v>
      </c>
      <c r="C95" s="665"/>
      <c r="D95" s="616"/>
      <c r="E95" s="616"/>
    </row>
    <row r="96" spans="1:12" ht="12" customHeight="1" x14ac:dyDescent="0.2">
      <c r="A96" s="38" t="s">
        <v>74</v>
      </c>
      <c r="B96" s="664">
        <v>0</v>
      </c>
      <c r="C96" s="665"/>
      <c r="D96" s="616"/>
      <c r="E96" s="616"/>
    </row>
    <row r="97" spans="1:12" ht="12" customHeight="1" x14ac:dyDescent="0.2">
      <c r="A97" s="38" t="s">
        <v>75</v>
      </c>
      <c r="B97" s="664"/>
      <c r="C97" s="665"/>
      <c r="D97" s="616"/>
      <c r="E97" s="616"/>
    </row>
    <row r="98" spans="1:12" ht="12" customHeight="1" x14ac:dyDescent="0.2">
      <c r="A98" s="38" t="s">
        <v>69</v>
      </c>
      <c r="B98" s="664"/>
      <c r="C98" s="665"/>
      <c r="D98" s="616"/>
      <c r="E98" s="616"/>
    </row>
    <row r="99" spans="1:12" ht="12" customHeight="1" x14ac:dyDescent="0.2">
      <c r="A99" s="38" t="s">
        <v>76</v>
      </c>
      <c r="B99" s="664">
        <v>40</v>
      </c>
      <c r="C99" s="665"/>
      <c r="D99" s="616"/>
      <c r="E99" s="616"/>
    </row>
    <row r="100" spans="1:12" ht="12" customHeight="1" x14ac:dyDescent="0.2">
      <c r="A100" s="38" t="s">
        <v>77</v>
      </c>
      <c r="B100" s="664"/>
      <c r="C100" s="665"/>
      <c r="D100" s="616"/>
      <c r="E100" s="616"/>
    </row>
    <row r="101" spans="1:12" ht="12" customHeight="1" thickBot="1" x14ac:dyDescent="0.25">
      <c r="A101" s="38" t="s">
        <v>71</v>
      </c>
      <c r="B101" s="672"/>
      <c r="C101" s="673"/>
      <c r="D101" s="674"/>
      <c r="E101" s="675"/>
    </row>
    <row r="102" spans="1:12" ht="12" customHeight="1" thickTop="1" thickBot="1" x14ac:dyDescent="0.25">
      <c r="D102" s="614">
        <f>+SUM(B94:C101)</f>
        <v>290</v>
      </c>
      <c r="E102" s="615"/>
      <c r="G102" s="626" t="s">
        <v>78</v>
      </c>
      <c r="H102" s="627"/>
      <c r="I102" s="627"/>
      <c r="J102" s="628"/>
      <c r="K102" s="628"/>
      <c r="L102" s="629"/>
    </row>
    <row r="103" spans="1:12" ht="12" customHeight="1" thickBot="1" x14ac:dyDescent="0.25">
      <c r="G103" s="630"/>
      <c r="H103" s="631"/>
      <c r="I103" s="631"/>
      <c r="J103" s="631"/>
      <c r="K103" s="631"/>
      <c r="L103" s="632"/>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86:C86"/>
    <mergeCell ref="B87:C87"/>
    <mergeCell ref="B89:C89"/>
    <mergeCell ref="D91:E91"/>
    <mergeCell ref="D89:E89"/>
    <mergeCell ref="B88:C88"/>
    <mergeCell ref="D88:E88"/>
    <mergeCell ref="B75:C75"/>
    <mergeCell ref="B54:C54"/>
    <mergeCell ref="E82:G82"/>
    <mergeCell ref="E83:G83"/>
    <mergeCell ref="E84:G84"/>
    <mergeCell ref="E85:G85"/>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E56:F56"/>
    <mergeCell ref="E58:G58"/>
    <mergeCell ref="B94:C94"/>
    <mergeCell ref="D94:E94"/>
    <mergeCell ref="B95:C95"/>
    <mergeCell ref="D95:E95"/>
    <mergeCell ref="B90:C90"/>
    <mergeCell ref="F59:G59"/>
    <mergeCell ref="L77:L79"/>
    <mergeCell ref="H78:H79"/>
    <mergeCell ref="I78:I79"/>
    <mergeCell ref="J78:J79"/>
    <mergeCell ref="K78:K79"/>
    <mergeCell ref="G91:L92"/>
    <mergeCell ref="G69:L70"/>
    <mergeCell ref="D97:E97"/>
    <mergeCell ref="D90:E90"/>
    <mergeCell ref="F65:K65"/>
    <mergeCell ref="D102:E102"/>
    <mergeCell ref="D87:E87"/>
    <mergeCell ref="D96:E96"/>
    <mergeCell ref="H75:I75"/>
    <mergeCell ref="F76:G76"/>
    <mergeCell ref="H76:I76"/>
    <mergeCell ref="F60:K60"/>
    <mergeCell ref="F61:K61"/>
    <mergeCell ref="F62:K62"/>
    <mergeCell ref="F63:K63"/>
    <mergeCell ref="G102:L103"/>
    <mergeCell ref="G71:L72"/>
  </mergeCells>
  <conditionalFormatting sqref="F19">
    <cfRule type="expression" dxfId="32" priority="33">
      <formula>IF(B1="flip",-C19,0)</formula>
    </cfRule>
  </conditionalFormatting>
  <conditionalFormatting sqref="K9">
    <cfRule type="expression" dxfId="31" priority="31">
      <formula>IF(OR(C1="Hold",D1="Slow Flip"),+B9,"")</formula>
    </cfRule>
  </conditionalFormatting>
  <conditionalFormatting sqref="B60">
    <cfRule type="expression" dxfId="30" priority="28">
      <formula>IF(OR(C1="Hold",D1="slow flip"),0.15,0)</formula>
    </cfRule>
  </conditionalFormatting>
  <conditionalFormatting sqref="C22">
    <cfRule type="expression" dxfId="29" priority="100">
      <formula>IF(C1="Hold",+B4*B22,0)</formula>
    </cfRule>
  </conditionalFormatting>
  <conditionalFormatting sqref="F22">
    <cfRule type="expression" dxfId="28" priority="101">
      <formula>IF(OR(C1="hold",D1="slow flip"),-C22,"")</formula>
    </cfRule>
  </conditionalFormatting>
  <conditionalFormatting sqref="J22">
    <cfRule type="expression" dxfId="27" priority="102">
      <formula>IF(OR(C1="hold",C4="slow flip"),IPMT(B23/12,1,C23*12,C22),PMT(B23/12,12*C23,C22))</formula>
    </cfRule>
  </conditionalFormatting>
  <conditionalFormatting sqref="E22">
    <cfRule type="expression" dxfId="26" priority="104">
      <formula>IF(C1="hold",C22-C15-C19-C28-B45,0)</formula>
    </cfRule>
  </conditionalFormatting>
  <conditionalFormatting sqref="J58">
    <cfRule type="expression" dxfId="25" priority="105">
      <formula>IF(OR(C1="Hold",D1="slow Flip"),C50,0)</formula>
    </cfRule>
  </conditionalFormatting>
  <conditionalFormatting sqref="M61">
    <cfRule type="expression" dxfId="24" priority="106">
      <formula>IF(C1="Hold",-$B$60*M59,0)</formula>
    </cfRule>
  </conditionalFormatting>
  <conditionalFormatting sqref="A9">
    <cfRule type="expression" dxfId="23" priority="10">
      <formula>"(R3=3)"</formula>
    </cfRule>
  </conditionalFormatting>
  <conditionalFormatting sqref="C7">
    <cfRule type="expression" dxfId="22" priority="135">
      <formula>IF(C1048571="Hold",+B1048574*B7,0)</formula>
    </cfRule>
  </conditionalFormatting>
  <conditionalFormatting sqref="D45:D47">
    <cfRule type="expression" dxfId="21" priority="139">
      <formula>IF(OR(T7=1,T7=2),-B45,0)</formula>
    </cfRule>
  </conditionalFormatting>
  <conditionalFormatting sqref="D40:D42">
    <cfRule type="expression" dxfId="20" priority="5">
      <formula>IF(OR(T7=1,T7=2),-B40,0)</formula>
    </cfRule>
  </conditionalFormatting>
  <conditionalFormatting sqref="I15:I52">
    <cfRule type="expression" dxfId="19" priority="1">
      <formula>IF(OR(U12=1,U12=2),$B$6,0)</formula>
    </cfRule>
  </conditionalFormatting>
  <conditionalFormatting sqref="I6:I7">
    <cfRule type="expression" dxfId="18" priority="156">
      <formula>IF(OR(Y3=1,Y3=2),$B$6,0)</formula>
    </cfRule>
  </conditionalFormatting>
  <conditionalFormatting sqref="I8">
    <cfRule type="expression" dxfId="17" priority="157">
      <formula>Y3=2</formula>
    </cfRule>
  </conditionalFormatting>
  <conditionalFormatting sqref="H6:H7">
    <cfRule type="expression" dxfId="16" priority="158">
      <formula>IF(OR(Y3=1,Y3=2),$B$6,0)</formula>
    </cfRule>
  </conditionalFormatting>
  <conditionalFormatting sqref="H8">
    <cfRule type="expression" dxfId="15" priority="159">
      <formula>Y3=2</formula>
    </cfRule>
  </conditionalFormatting>
  <conditionalFormatting sqref="H12:H13">
    <cfRule type="expression" dxfId="14" priority="161">
      <formula>IF(Y2=3,+#REF!,0)</formula>
    </cfRule>
  </conditionalFormatting>
  <conditionalFormatting sqref="F17">
    <cfRule type="expression" dxfId="13" priority="171">
      <formula>IF(V5=3,-C17,0)</formula>
    </cfRule>
  </conditionalFormatting>
  <conditionalFormatting sqref="D43:D44">
    <cfRule type="expression" dxfId="12" priority="175">
      <formula>IF(OR(V5=1,V5=2),-B43,0)</formula>
    </cfRule>
  </conditionalFormatting>
  <conditionalFormatting sqref="D38:D39">
    <cfRule type="expression" dxfId="11" priority="177">
      <formula>IF(OR(V5=1,V5=2),-B38,0)</formula>
    </cfRule>
  </conditionalFormatting>
  <conditionalFormatting sqref="F49">
    <cfRule type="expression" dxfId="10" priority="180">
      <formula>OR(E1=1,E1=2)</formula>
    </cfRule>
  </conditionalFormatting>
  <conditionalFormatting sqref="F48">
    <cfRule type="expression" dxfId="9" priority="181">
      <formula>OR(E1=1,E1=2)</formula>
    </cfRule>
  </conditionalFormatting>
  <conditionalFormatting sqref="G7">
    <cfRule type="expression" dxfId="8" priority="182">
      <formula>$E$1=3</formula>
    </cfRule>
  </conditionalFormatting>
  <conditionalFormatting sqref="D37">
    <cfRule type="expression" dxfId="7" priority="183">
      <formula>IF(OR(E1=1,E1=2),-B37,0)</formula>
    </cfRule>
  </conditionalFormatting>
  <conditionalFormatting sqref="D11">
    <cfRule type="expression" dxfId="6"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0" activePane="bottomLeft" state="frozen"/>
      <selection pane="bottomLeft" activeCell="K91" sqref="K91"/>
    </sheetView>
  </sheetViews>
  <sheetFormatPr defaultRowHeight="15" x14ac:dyDescent="0.25"/>
  <cols>
    <col min="1" max="1" width="8.7109375" style="451"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51"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7"/>
      <c r="O1" s="608"/>
      <c r="P1" s="608"/>
      <c r="Q1" s="608"/>
      <c r="R1" s="608"/>
      <c r="S1" s="598">
        <v>1</v>
      </c>
      <c r="T1" s="13"/>
      <c r="Z1" s="327"/>
      <c r="AA1" s="448"/>
      <c r="AD1" s="14"/>
      <c r="AE1" s="13"/>
      <c r="AJ1" s="276"/>
      <c r="AK1" s="276"/>
      <c r="AL1" s="276"/>
      <c r="AM1" s="276"/>
      <c r="AP1"/>
    </row>
    <row r="2" spans="2:42" ht="15.75" thickBot="1" x14ac:dyDescent="0.3">
      <c r="B2" s="770" t="s">
        <v>594</v>
      </c>
      <c r="C2" s="719"/>
      <c r="D2" s="719"/>
      <c r="E2" s="774"/>
      <c r="J2" s="2" t="s">
        <v>1135</v>
      </c>
      <c r="K2" s="777">
        <v>0</v>
      </c>
      <c r="L2" s="778"/>
      <c r="N2" s="30" t="s">
        <v>1136</v>
      </c>
      <c r="O2" s="557">
        <f>IF($S$1=1,P2,IF($S$1=2,Q2,IF($S$1=3,R2)))</f>
        <v>0.05</v>
      </c>
      <c r="P2" s="558">
        <v>0.05</v>
      </c>
      <c r="Q2" s="558">
        <v>0.05</v>
      </c>
      <c r="R2" s="558">
        <v>0.05</v>
      </c>
      <c r="U2" s="14"/>
      <c r="V2" s="448" t="s">
        <v>1145</v>
      </c>
      <c r="W2" s="450">
        <v>134.16999999999999</v>
      </c>
      <c r="Z2" s="770" t="s">
        <v>1168</v>
      </c>
      <c r="AA2" s="771"/>
      <c r="AB2" s="772"/>
      <c r="AC2" s="773"/>
      <c r="AJ2" s="276"/>
      <c r="AK2" s="276"/>
      <c r="AL2" s="276"/>
      <c r="AM2" s="276"/>
      <c r="AP2"/>
    </row>
    <row r="3" spans="2:42" ht="15.75" thickBot="1" x14ac:dyDescent="0.3">
      <c r="B3" s="775" t="s">
        <v>1187</v>
      </c>
      <c r="C3" s="751"/>
      <c r="D3" s="454">
        <f>+Profit!C15</f>
        <v>97228</v>
      </c>
      <c r="E3" s="612"/>
      <c r="J3" s="30" t="s">
        <v>1137</v>
      </c>
      <c r="K3" s="779">
        <v>0.1</v>
      </c>
      <c r="L3" s="780"/>
      <c r="N3" s="30" t="s">
        <v>1138</v>
      </c>
      <c r="O3" s="380">
        <f>IF($S$1=1,P3,IF($S$1=2,Q3,IF($S$1=3,R3)))</f>
        <v>346500</v>
      </c>
      <c r="P3" s="559">
        <f>+Profit!$B$4*(1++P2)</f>
        <v>346500</v>
      </c>
      <c r="Q3" s="381">
        <f>+Profit!$B$4*(1++Q2)</f>
        <v>346500</v>
      </c>
      <c r="R3" s="382">
        <f>+Profit!$B$4*(1++R2)</f>
        <v>346500</v>
      </c>
      <c r="U3" s="14"/>
      <c r="V3" s="448" t="s">
        <v>1146</v>
      </c>
      <c r="W3" s="450">
        <v>188.55</v>
      </c>
      <c r="Z3" s="762" t="s">
        <v>1169</v>
      </c>
      <c r="AA3" s="763"/>
      <c r="AB3" s="764"/>
      <c r="AC3" s="609">
        <f>cfdRate1Payment</f>
        <v>645.28</v>
      </c>
      <c r="AJ3" s="276"/>
      <c r="AK3" s="276"/>
      <c r="AL3" s="276"/>
      <c r="AM3" s="276"/>
      <c r="AP3"/>
    </row>
    <row r="4" spans="2:42" ht="15.75" thickBot="1" x14ac:dyDescent="0.3">
      <c r="B4" s="775" t="s">
        <v>591</v>
      </c>
      <c r="C4" s="751"/>
      <c r="D4" s="435">
        <f>+Profit!B15</f>
        <v>3.7499999999999999E-2</v>
      </c>
      <c r="E4" s="314"/>
      <c r="J4" s="30" t="s">
        <v>1139</v>
      </c>
      <c r="K4" s="781">
        <f>+Profit!M63</f>
        <v>-124327.09867434995</v>
      </c>
      <c r="L4" s="782"/>
      <c r="N4" s="30" t="s">
        <v>1140</v>
      </c>
      <c r="O4" s="380">
        <f>IF($S$1=1,P4,IF($S$1=2,Q4,IF($S$1=3,R4)))</f>
        <v>34650</v>
      </c>
      <c r="P4" s="559">
        <f>+$O$3*$K$3</f>
        <v>34650</v>
      </c>
      <c r="Q4" s="381">
        <f>+$O$3*$K$3</f>
        <v>34650</v>
      </c>
      <c r="R4" s="382">
        <f>+$O$3*$K$3</f>
        <v>34650</v>
      </c>
      <c r="U4" s="14"/>
      <c r="V4" s="448" t="s">
        <v>1149</v>
      </c>
      <c r="W4" s="449">
        <f>+O9+W2+W3</f>
        <v>968</v>
      </c>
      <c r="Z4" s="762" t="s">
        <v>1170</v>
      </c>
      <c r="AA4" s="763"/>
      <c r="AB4" s="764"/>
      <c r="AC4" s="610">
        <f>cfdRate2Payment</f>
        <v>659.9</v>
      </c>
      <c r="AJ4" s="276"/>
      <c r="AK4" s="276"/>
      <c r="AL4" s="276"/>
      <c r="AM4" s="276"/>
      <c r="AO4" s="451"/>
      <c r="AP4" s="14"/>
    </row>
    <row r="5" spans="2:42" ht="15.75" thickBot="1" x14ac:dyDescent="0.3">
      <c r="B5" s="775" t="s">
        <v>1188</v>
      </c>
      <c r="C5" s="751"/>
      <c r="D5" s="454">
        <f>subjectRemainingMonths/12</f>
        <v>17.75</v>
      </c>
      <c r="E5" s="454">
        <f>DATEDIF(subjectKnownBalanceDate,subjectMortgageEndDate,"m")+1</f>
        <v>213</v>
      </c>
      <c r="J5" s="30"/>
      <c r="K5" s="30"/>
      <c r="L5" s="30"/>
      <c r="N5" s="30" t="s">
        <v>1154</v>
      </c>
      <c r="O5" s="380">
        <f>+tradeNetCreditIncluded</f>
        <v>236592</v>
      </c>
      <c r="P5" s="559">
        <f>+O5</f>
        <v>236592</v>
      </c>
      <c r="Q5" s="381">
        <f>+O5</f>
        <v>236592</v>
      </c>
      <c r="R5" s="382">
        <f>+O5</f>
        <v>236592</v>
      </c>
      <c r="U5" s="451"/>
      <c r="V5" s="451"/>
      <c r="W5" s="451"/>
      <c r="Z5" s="762" t="s">
        <v>1171</v>
      </c>
      <c r="AA5" s="763"/>
      <c r="AB5" s="764"/>
      <c r="AC5" s="610">
        <f>IFERROR(_xlfn.XLOOKUP(cfdFirstRateMonths-1,tblContractForDeed[Period],tblContractForDeed[End Bal]),"")</f>
        <v>57470.46</v>
      </c>
      <c r="AH5" s="22"/>
      <c r="AI5" s="22"/>
      <c r="AJ5" s="22"/>
      <c r="AK5"/>
    </row>
    <row r="6" spans="2:42" ht="15.75" thickBot="1" x14ac:dyDescent="0.3">
      <c r="B6" s="775" t="s">
        <v>590</v>
      </c>
      <c r="C6" s="751"/>
      <c r="D6" s="449">
        <f>ROUND(PMT(subjectInterestRate/12,subjectRemainingMonths,-subjectKnownBalance,0),2)</f>
        <v>625.80999999999995</v>
      </c>
      <c r="E6" s="314"/>
      <c r="N6" s="30" t="s">
        <v>1141</v>
      </c>
      <c r="O6" s="380">
        <f>IF($S$1=1,P6,IF($S$1=2,Q6,IF($S$1=3,R6)))</f>
        <v>75258</v>
      </c>
      <c r="P6" s="559">
        <f>+P3-P4-$O$5</f>
        <v>75258</v>
      </c>
      <c r="Q6" s="381">
        <f t="shared" ref="Q6:R6" si="0">+Q3-Q4-$O$5</f>
        <v>75258</v>
      </c>
      <c r="R6" s="382">
        <f t="shared" si="0"/>
        <v>75258</v>
      </c>
      <c r="U6" s="451"/>
      <c r="V6" s="451"/>
      <c r="W6" s="451"/>
      <c r="Z6" s="762" t="s">
        <v>1172</v>
      </c>
      <c r="AA6" s="763"/>
      <c r="AB6" s="764"/>
      <c r="AC6" s="610">
        <f>IFERROR(_xlfn.XLOOKUP(12,tblScheduleIndex[Period],tblBuyerOutputs[Monthly Cash Flow]),"")</f>
        <v>19.470000000000027</v>
      </c>
      <c r="AH6" s="22"/>
      <c r="AI6" s="22"/>
      <c r="AJ6" s="22"/>
      <c r="AK6"/>
    </row>
    <row r="7" spans="2:42" ht="15.75" thickBot="1" x14ac:dyDescent="0.3">
      <c r="B7" s="775" t="s">
        <v>1189</v>
      </c>
      <c r="C7" s="751"/>
      <c r="D7" s="561">
        <v>45870</v>
      </c>
      <c r="E7" s="314"/>
      <c r="N7" s="30" t="s">
        <v>1142</v>
      </c>
      <c r="P7" s="560">
        <v>2.5000000000000001E-2</v>
      </c>
      <c r="Q7" s="560">
        <v>3.5000000000000003E-2</v>
      </c>
      <c r="R7" s="560">
        <v>3.2500000000000001E-2</v>
      </c>
      <c r="U7" s="451"/>
      <c r="V7" s="451"/>
      <c r="W7" s="451"/>
      <c r="Z7" s="762" t="s">
        <v>1173</v>
      </c>
      <c r="AA7" s="763"/>
      <c r="AB7" s="764"/>
      <c r="AC7" s="610">
        <f>IFERROR(_xlfn.XLOOKUP(cfdFirstRateMonths-1,tblContractForDeed[Period],tblBuyerOutputs[Cumul Cash Flow]),"")</f>
        <v>687.64000000000169</v>
      </c>
      <c r="AH7" s="22"/>
      <c r="AI7" s="22"/>
      <c r="AJ7" s="22"/>
      <c r="AK7"/>
    </row>
    <row r="8" spans="2:42" ht="15.75" thickBot="1" x14ac:dyDescent="0.3">
      <c r="B8" s="786" t="s">
        <v>1143</v>
      </c>
      <c r="C8" s="703"/>
      <c r="D8" s="561">
        <v>52322</v>
      </c>
      <c r="E8" s="497"/>
      <c r="N8" s="30" t="s">
        <v>1164</v>
      </c>
      <c r="O8" s="435">
        <f>IF($S$1=1,P8,IF($S$1=2,Q8,IF($S$1=3,R8)))</f>
        <v>6.25E-2</v>
      </c>
      <c r="P8" s="562">
        <f>+$D$4+P7</f>
        <v>6.25E-2</v>
      </c>
      <c r="Q8" s="563">
        <f>+$D$4+Q7</f>
        <v>7.2500000000000009E-2</v>
      </c>
      <c r="R8" s="564">
        <f>+$D$4+R7</f>
        <v>7.0000000000000007E-2</v>
      </c>
      <c r="U8" s="438" t="str">
        <f>"Rate 1 Payment at "&amp;TEXT($O$8,"0.00%")</f>
        <v>Rate 1 Payment at 6.25%</v>
      </c>
      <c r="V8" s="380">
        <f>IF(cfdContractMonths&lt;=0,0,ROUND(PMT(cfdRate1/12,cfdContractMonths,-$O$6,0),2))</f>
        <v>645.28</v>
      </c>
      <c r="Z8" s="762" t="s">
        <v>1174</v>
      </c>
      <c r="AA8" s="763"/>
      <c r="AB8" s="764"/>
      <c r="AC8" s="610">
        <f>IFERROR(_xlfn.XLOOKUP(cfdFirstRateMonths-1,tblContractForDeed[Period],tblBuyerOutputs[Monthly Appr]),"")</f>
        <v>419.51499756505109</v>
      </c>
      <c r="AH8" s="22"/>
      <c r="AI8" s="22"/>
      <c r="AJ8" s="22"/>
      <c r="AK8"/>
    </row>
    <row r="9" spans="2:42" ht="15.75" thickBot="1" x14ac:dyDescent="0.3">
      <c r="N9" s="30" t="s">
        <v>1144</v>
      </c>
      <c r="O9" s="380">
        <f>IF($P$14&lt;=0,0,ROUND(PMT($O$8/12,$P$14,-$O$6,0),2))</f>
        <v>645.28</v>
      </c>
      <c r="P9" s="559">
        <f>IF($P$14&lt;=0,0,ROUND(PMT(P8/12,$P$14,-P6,0),2))</f>
        <v>645.28</v>
      </c>
      <c r="Q9" s="381">
        <f>IF($P$14&lt;=0,0,ROUND(PMT(Q8/12,$P$14,-Q6,0),2))</f>
        <v>687</v>
      </c>
      <c r="R9" s="382">
        <f>IF($P$14&lt;=0,0,ROUND(PMT(R8/12,$P$14,-R6,0),2))</f>
        <v>676.44</v>
      </c>
      <c r="Z9" s="762" t="s">
        <v>1175</v>
      </c>
      <c r="AA9" s="763"/>
      <c r="AB9" s="764"/>
      <c r="AC9" s="610">
        <f>IFERROR(_xlfn.XLOOKUP(cfdFirstRateMonths-1,tblContractForDeed[Period],tblBuyerOutputs[Cumul Appr]),"")</f>
        <v>25845.114413177311</v>
      </c>
      <c r="AH9" s="22"/>
      <c r="AI9" s="22"/>
      <c r="AJ9" s="22"/>
      <c r="AK9"/>
    </row>
    <row r="10" spans="2:42" ht="15.75" thickBot="1" x14ac:dyDescent="0.3">
      <c r="N10" s="30" t="s">
        <v>1180</v>
      </c>
      <c r="P10" s="560">
        <v>0.03</v>
      </c>
      <c r="Q10" s="560">
        <v>3.5000000000000003E-2</v>
      </c>
      <c r="R10" s="560">
        <v>0.04</v>
      </c>
      <c r="Z10" s="765" t="s">
        <v>1176</v>
      </c>
      <c r="AA10" s="766"/>
      <c r="AB10" s="767"/>
      <c r="AC10" s="611">
        <f>cfdFirstRateMonths</f>
        <v>60</v>
      </c>
      <c r="AH10" s="22"/>
      <c r="AI10" s="22"/>
      <c r="AJ10" s="22"/>
      <c r="AK10"/>
    </row>
    <row r="11" spans="2:42" ht="15.75" thickBot="1" x14ac:dyDescent="0.3">
      <c r="N11" s="30" t="s">
        <v>1165</v>
      </c>
      <c r="O11" s="435">
        <f>IF($S$1=1,P11,IF($S$1=2,Q11,IF($S$1=3,R11)))</f>
        <v>6.7500000000000004E-2</v>
      </c>
      <c r="P11" s="562">
        <f>+$D$4+P10</f>
        <v>6.7500000000000004E-2</v>
      </c>
      <c r="Q11" s="423">
        <f>+$D$4+Q10</f>
        <v>7.2500000000000009E-2</v>
      </c>
      <c r="R11" s="424">
        <f>+$D$4+R10</f>
        <v>7.7499999999999999E-2</v>
      </c>
      <c r="T11" s="13"/>
      <c r="U11" s="438" t="str">
        <f>"Rate 2 Payment at "&amp;TEXT($O$11,"0.00%")</f>
        <v>Rate 2 Payment at 6.75%</v>
      </c>
      <c r="V11" s="380">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0"/>
      <c r="P12" s="559"/>
      <c r="Q12" s="591"/>
      <c r="R12" s="592"/>
      <c r="T12" s="13"/>
      <c r="AC12"/>
      <c r="AH12" s="22"/>
      <c r="AI12" s="22"/>
      <c r="AJ12" s="22"/>
      <c r="AK12"/>
    </row>
    <row r="13" spans="2:42" ht="15.75" thickBot="1" x14ac:dyDescent="0.3">
      <c r="H13" s="776" t="s">
        <v>1147</v>
      </c>
      <c r="I13" s="703"/>
      <c r="J13" s="597">
        <v>46204</v>
      </c>
      <c r="K13" s="776" t="s">
        <v>1178</v>
      </c>
      <c r="L13" s="724"/>
      <c r="M13" s="724"/>
      <c r="N13" s="703"/>
      <c r="O13" s="453">
        <v>5</v>
      </c>
      <c r="P13" s="454">
        <f>+O13*12</f>
        <v>60</v>
      </c>
      <c r="Q13" s="776" t="s">
        <v>1177</v>
      </c>
      <c r="R13" s="703"/>
      <c r="S13" s="768">
        <f>EDATE(J13,P13)</f>
        <v>48030</v>
      </c>
      <c r="T13" s="732"/>
      <c r="AC13"/>
      <c r="AH13" s="22"/>
      <c r="AI13" s="22"/>
      <c r="AJ13" s="22"/>
      <c r="AK13"/>
    </row>
    <row r="14" spans="2:42" ht="15.75" thickBot="1" x14ac:dyDescent="0.3">
      <c r="K14" s="776" t="s">
        <v>1179</v>
      </c>
      <c r="L14" s="724"/>
      <c r="M14" s="724"/>
      <c r="N14" s="703"/>
      <c r="O14" s="453">
        <v>15</v>
      </c>
      <c r="P14" s="454">
        <f>+O14*12</f>
        <v>180</v>
      </c>
      <c r="Q14" s="776" t="s">
        <v>1148</v>
      </c>
      <c r="R14" s="703"/>
      <c r="S14" s="768">
        <f>EDATE(J13,P14-1)</f>
        <v>51653</v>
      </c>
      <c r="T14" s="732"/>
      <c r="AC14"/>
      <c r="AH14" s="22"/>
      <c r="AI14" s="22"/>
      <c r="AJ14" s="22"/>
      <c r="AK14"/>
    </row>
    <row r="15" spans="2:42" ht="15" customHeight="1" x14ac:dyDescent="0.25">
      <c r="Z15" s="451"/>
      <c r="AA15" s="451"/>
      <c r="AE15" s="14"/>
    </row>
    <row r="16" spans="2:42" ht="15.75" thickBot="1" x14ac:dyDescent="0.3">
      <c r="O16" s="276"/>
      <c r="P16" s="276"/>
      <c r="Q16" s="276"/>
      <c r="R16" s="276"/>
      <c r="S16" s="276"/>
      <c r="T16" s="276"/>
      <c r="Z16" s="593"/>
      <c r="AA16" s="448"/>
      <c r="AE16" s="14"/>
      <c r="AJ16" s="425"/>
      <c r="AK16" s="425"/>
      <c r="AL16" s="425"/>
      <c r="AM16" s="276"/>
    </row>
    <row r="17" spans="1:44" ht="15.75" thickBot="1" x14ac:dyDescent="0.3">
      <c r="A17" s="769" t="s">
        <v>1185</v>
      </c>
      <c r="B17" s="743"/>
      <c r="C17" s="743"/>
      <c r="D17" s="743"/>
      <c r="E17" s="743"/>
      <c r="F17" s="743"/>
      <c r="G17" s="743"/>
      <c r="H17" s="743"/>
      <c r="I17" s="743"/>
      <c r="J17" s="743"/>
      <c r="K17" s="744"/>
      <c r="N17" s="451"/>
      <c r="O17" s="769" t="str">
        <f>"Official Contract for Deed Schedule: "&amp;TEXT($O$8,"0.00%")&amp;" for first "&amp;$O$13&amp;" years, then "&amp;TEXT($O$11,"0.00%")</f>
        <v>Official Contract for Deed Schedule: 6.25% for first 5 years, then 6.75%</v>
      </c>
      <c r="P17" s="743"/>
      <c r="Q17" s="743"/>
      <c r="R17" s="743"/>
      <c r="S17" s="743"/>
      <c r="T17" s="743"/>
      <c r="U17" s="743"/>
      <c r="V17" s="743"/>
      <c r="W17" s="743"/>
      <c r="X17" s="743"/>
      <c r="Y17" s="744"/>
      <c r="Z17" s="769" t="s">
        <v>1184</v>
      </c>
      <c r="AA17" s="743"/>
      <c r="AB17" s="743"/>
      <c r="AC17" s="743"/>
      <c r="AD17" s="743"/>
      <c r="AE17" s="744"/>
    </row>
    <row r="18" spans="1:44" ht="15" customHeight="1" thickBot="1" x14ac:dyDescent="0.3">
      <c r="A18" s="785"/>
      <c r="B18" s="732"/>
      <c r="C18" s="787" t="s">
        <v>657</v>
      </c>
      <c r="D18" s="788"/>
      <c r="E18" s="789"/>
      <c r="F18" s="789"/>
      <c r="G18" s="789"/>
      <c r="H18" s="790"/>
      <c r="I18" s="791" t="s">
        <v>654</v>
      </c>
      <c r="J18" s="792"/>
      <c r="K18" s="400"/>
      <c r="L18" s="791" t="s">
        <v>1181</v>
      </c>
      <c r="M18" s="800"/>
      <c r="N18" s="661"/>
      <c r="O18" s="455"/>
      <c r="P18" s="599"/>
      <c r="Q18" s="793" t="s">
        <v>657</v>
      </c>
      <c r="R18" s="794"/>
      <c r="S18" s="795"/>
      <c r="T18" s="795"/>
      <c r="U18" s="795"/>
      <c r="V18" s="796"/>
      <c r="W18" s="793" t="s">
        <v>654</v>
      </c>
      <c r="X18" s="797"/>
      <c r="Y18" s="400"/>
      <c r="Z18" s="798" t="s">
        <v>1166</v>
      </c>
      <c r="AA18" s="799"/>
      <c r="AB18" s="783" t="s">
        <v>1160</v>
      </c>
      <c r="AC18" s="784"/>
      <c r="AD18" s="784"/>
      <c r="AE18" s="661"/>
    </row>
    <row r="19" spans="1:44" ht="45.75" thickBot="1" x14ac:dyDescent="0.3">
      <c r="A19" s="452" t="s">
        <v>253</v>
      </c>
      <c r="B19" s="600" t="s">
        <v>661</v>
      </c>
      <c r="C19" s="601" t="s">
        <v>200</v>
      </c>
      <c r="D19" s="602" t="s">
        <v>658</v>
      </c>
      <c r="E19" s="601" t="s">
        <v>655</v>
      </c>
      <c r="F19" s="601" t="s">
        <v>662</v>
      </c>
      <c r="G19" s="601" t="s">
        <v>660</v>
      </c>
      <c r="H19" s="601" t="s">
        <v>659</v>
      </c>
      <c r="I19" s="603" t="s">
        <v>1182</v>
      </c>
      <c r="J19" s="603" t="s">
        <v>1183</v>
      </c>
      <c r="K19" s="604" t="s">
        <v>1186</v>
      </c>
      <c r="L19" s="605" t="s">
        <v>607</v>
      </c>
      <c r="M19" s="605" t="s">
        <v>593</v>
      </c>
      <c r="N19" s="606" t="s">
        <v>253</v>
      </c>
      <c r="O19" s="600" t="s">
        <v>661</v>
      </c>
      <c r="P19" s="601" t="s">
        <v>656</v>
      </c>
      <c r="Q19" s="601" t="s">
        <v>200</v>
      </c>
      <c r="R19" s="601" t="s">
        <v>658</v>
      </c>
      <c r="S19" s="601" t="s">
        <v>655</v>
      </c>
      <c r="T19" s="601" t="s">
        <v>662</v>
      </c>
      <c r="U19" s="601" t="s">
        <v>660</v>
      </c>
      <c r="V19" s="601" t="s">
        <v>268</v>
      </c>
      <c r="W19" s="603" t="s">
        <v>1158</v>
      </c>
      <c r="X19" s="603" t="s">
        <v>1159</v>
      </c>
      <c r="Y19" s="602" t="s">
        <v>593</v>
      </c>
      <c r="Z19" s="603" t="s">
        <v>1167</v>
      </c>
      <c r="AA19" s="607" t="s">
        <v>595</v>
      </c>
      <c r="AB19" s="601" t="s">
        <v>0</v>
      </c>
      <c r="AC19" s="601" t="s">
        <v>1161</v>
      </c>
      <c r="AD19" s="600" t="s">
        <v>1162</v>
      </c>
      <c r="AE19" s="600" t="s">
        <v>1163</v>
      </c>
      <c r="AF19" s="22"/>
      <c r="AG19" s="14"/>
      <c r="AL19"/>
      <c r="AM19" s="14"/>
      <c r="AO19" s="276"/>
      <c r="AQ19" s="14"/>
      <c r="AR19"/>
    </row>
    <row r="20" spans="1:44" x14ac:dyDescent="0.25">
      <c r="A20" s="594">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88">
        <f t="shared" ref="L20:L83" si="3">IF(MOD(M20,12)=0,M20/12,L19)</f>
        <v>0</v>
      </c>
      <c r="M20" s="388">
        <v>0</v>
      </c>
      <c r="N20" s="594">
        <f>INDEX(tblSubjectToLoan[Date],ROW()-ROW(tblContractForDeed[#Headers]))</f>
        <v>45870</v>
      </c>
      <c r="O20" s="276">
        <f>IF(ROW()=ROW(tblContractForDeed[#Headers])+1,$O$6,IF(INDEX(tblContractForDeed[End Bal],ROW()-ROW(tblContractForDeed[#Headers])-1)&lt;0,0,INDEX(tblContractForDeed[End Bal],ROW()-ROW(tblContractForDeed[#Headers])-1)))</f>
        <v>75258</v>
      </c>
      <c r="P20" s="447">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6">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594">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88">
        <f t="shared" si="3"/>
        <v>0</v>
      </c>
      <c r="M21" s="388">
        <f t="shared" ref="M21:M84" si="8">IF($A21&lt;&gt;"",M20+1,0)</f>
        <v>1</v>
      </c>
      <c r="N21" s="594">
        <f>INDEX(tblSubjectToLoan[Date],ROW()-ROW(tblContractForDeed[#Headers]))</f>
        <v>45901</v>
      </c>
      <c r="O21" s="276">
        <f>IF(ROW()=ROW(tblContractForDeed[#Headers])+1,$O$6,IF(INDEX(tblContractForDeed[End Bal],ROW()-ROW(tblContractForDeed[#Headers])-1)&lt;0,0,INDEX(tblContractForDeed[End Bal],ROW()-ROW(tblContractForDeed[#Headers])-1)))</f>
        <v>75258</v>
      </c>
      <c r="P21" s="447">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6">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594">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88">
        <f t="shared" si="3"/>
        <v>0</v>
      </c>
      <c r="M22" s="388">
        <f t="shared" si="8"/>
        <v>2</v>
      </c>
      <c r="N22" s="594">
        <f>INDEX(tblSubjectToLoan[Date],ROW()-ROW(tblContractForDeed[#Headers]))</f>
        <v>45931</v>
      </c>
      <c r="O22" s="276">
        <f>IF(ROW()=ROW(tblContractForDeed[#Headers])+1,$O$6,IF(INDEX(tblContractForDeed[End Bal],ROW()-ROW(tblContractForDeed[#Headers])-1)&lt;0,0,INDEX(tblContractForDeed[End Bal],ROW()-ROW(tblContractForDeed[#Headers])-1)))</f>
        <v>75258</v>
      </c>
      <c r="P22" s="447">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6">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594">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88">
        <f t="shared" si="3"/>
        <v>0</v>
      </c>
      <c r="M23" s="388">
        <f t="shared" si="8"/>
        <v>3</v>
      </c>
      <c r="N23" s="594">
        <f>INDEX(tblSubjectToLoan[Date],ROW()-ROW(tblContractForDeed[#Headers]))</f>
        <v>45962</v>
      </c>
      <c r="O23" s="276">
        <f>IF(ROW()=ROW(tblContractForDeed[#Headers])+1,$O$6,IF(INDEX(tblContractForDeed[End Bal],ROW()-ROW(tblContractForDeed[#Headers])-1)&lt;0,0,INDEX(tblContractForDeed[End Bal],ROW()-ROW(tblContractForDeed[#Headers])-1)))</f>
        <v>75258</v>
      </c>
      <c r="P23" s="447">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6">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594">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88">
        <f t="shared" si="3"/>
        <v>0</v>
      </c>
      <c r="M24" s="388">
        <f t="shared" si="8"/>
        <v>4</v>
      </c>
      <c r="N24" s="594">
        <f>INDEX(tblSubjectToLoan[Date],ROW()-ROW(tblContractForDeed[#Headers]))</f>
        <v>45992</v>
      </c>
      <c r="O24" s="276">
        <f>IF(ROW()=ROW(tblContractForDeed[#Headers])+1,$O$6,IF(INDEX(tblContractForDeed[End Bal],ROW()-ROW(tblContractForDeed[#Headers])-1)&lt;0,0,INDEX(tblContractForDeed[End Bal],ROW()-ROW(tblContractForDeed[#Headers])-1)))</f>
        <v>75258</v>
      </c>
      <c r="P24" s="447">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6">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594">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88">
        <f t="shared" si="3"/>
        <v>0</v>
      </c>
      <c r="M25" s="388">
        <f t="shared" si="8"/>
        <v>5</v>
      </c>
      <c r="N25" s="594">
        <f>INDEX(tblSubjectToLoan[Date],ROW()-ROW(tblContractForDeed[#Headers]))</f>
        <v>46023</v>
      </c>
      <c r="O25" s="276">
        <f>IF(ROW()=ROW(tblContractForDeed[#Headers])+1,$O$6,IF(INDEX(tblContractForDeed[End Bal],ROW()-ROW(tblContractForDeed[#Headers])-1)&lt;0,0,INDEX(tblContractForDeed[End Bal],ROW()-ROW(tblContractForDeed[#Headers])-1)))</f>
        <v>75258</v>
      </c>
      <c r="P25" s="447">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6">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594">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88">
        <f t="shared" si="3"/>
        <v>0</v>
      </c>
      <c r="M26" s="388">
        <f t="shared" si="8"/>
        <v>6</v>
      </c>
      <c r="N26" s="594">
        <f>INDEX(tblSubjectToLoan[Date],ROW()-ROW(tblContractForDeed[#Headers]))</f>
        <v>46054</v>
      </c>
      <c r="O26" s="276">
        <f>IF(ROW()=ROW(tblContractForDeed[#Headers])+1,$O$6,IF(INDEX(tblContractForDeed[End Bal],ROW()-ROW(tblContractForDeed[#Headers])-1)&lt;0,0,INDEX(tblContractForDeed[End Bal],ROW()-ROW(tblContractForDeed[#Headers])-1)))</f>
        <v>75258</v>
      </c>
      <c r="P26" s="447">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6">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594">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88">
        <f t="shared" si="3"/>
        <v>0</v>
      </c>
      <c r="M27" s="388">
        <f t="shared" si="8"/>
        <v>7</v>
      </c>
      <c r="N27" s="594">
        <f>INDEX(tblSubjectToLoan[Date],ROW()-ROW(tblContractForDeed[#Headers]))</f>
        <v>46082</v>
      </c>
      <c r="O27" s="276">
        <f>IF(ROW()=ROW(tblContractForDeed[#Headers])+1,$O$6,IF(INDEX(tblContractForDeed[End Bal],ROW()-ROW(tblContractForDeed[#Headers])-1)&lt;0,0,INDEX(tblContractForDeed[End Bal],ROW()-ROW(tblContractForDeed[#Headers])-1)))</f>
        <v>75258</v>
      </c>
      <c r="P27" s="447">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6">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594">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88">
        <f t="shared" si="3"/>
        <v>0</v>
      </c>
      <c r="M28" s="388">
        <f t="shared" si="8"/>
        <v>8</v>
      </c>
      <c r="N28" s="594">
        <f>INDEX(tblSubjectToLoan[Date],ROW()-ROW(tblContractForDeed[#Headers]))</f>
        <v>46113</v>
      </c>
      <c r="O28" s="276">
        <f>IF(ROW()=ROW(tblContractForDeed[#Headers])+1,$O$6,IF(INDEX(tblContractForDeed[End Bal],ROW()-ROW(tblContractForDeed[#Headers])-1)&lt;0,0,INDEX(tblContractForDeed[End Bal],ROW()-ROW(tblContractForDeed[#Headers])-1)))</f>
        <v>75258</v>
      </c>
      <c r="P28" s="447">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6">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594">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88">
        <f t="shared" si="3"/>
        <v>0</v>
      </c>
      <c r="M29" s="388">
        <f t="shared" si="8"/>
        <v>9</v>
      </c>
      <c r="N29" s="594">
        <f>INDEX(tblSubjectToLoan[Date],ROW()-ROW(tblContractForDeed[#Headers]))</f>
        <v>46143</v>
      </c>
      <c r="O29" s="276">
        <f>IF(ROW()=ROW(tblContractForDeed[#Headers])+1,$O$6,IF(INDEX(tblContractForDeed[End Bal],ROW()-ROW(tblContractForDeed[#Headers])-1)&lt;0,0,INDEX(tblContractForDeed[End Bal],ROW()-ROW(tblContractForDeed[#Headers])-1)))</f>
        <v>75258</v>
      </c>
      <c r="P29" s="447">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6">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594">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88">
        <f t="shared" si="3"/>
        <v>0</v>
      </c>
      <c r="M30" s="388">
        <f t="shared" si="8"/>
        <v>10</v>
      </c>
      <c r="N30" s="594">
        <f>INDEX(tblSubjectToLoan[Date],ROW()-ROW(tblContractForDeed[#Headers]))</f>
        <v>46174</v>
      </c>
      <c r="O30" s="276">
        <f>IF(ROW()=ROW(tblContractForDeed[#Headers])+1,$O$6,IF(INDEX(tblContractForDeed[End Bal],ROW()-ROW(tblContractForDeed[#Headers])-1)&lt;0,0,INDEX(tblContractForDeed[End Bal],ROW()-ROW(tblContractForDeed[#Headers])-1)))</f>
        <v>75258</v>
      </c>
      <c r="P30" s="447">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6">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595">
        <f t="shared" si="4"/>
        <v>46204</v>
      </c>
      <c r="B31" s="328">
        <f t="shared" si="5"/>
        <v>93630.44</v>
      </c>
      <c r="C31" s="21">
        <f t="shared" si="1"/>
        <v>625.80999999999995</v>
      </c>
      <c r="D31" s="21">
        <f t="shared" si="6"/>
        <v>333.20999999999992</v>
      </c>
      <c r="E31" s="21">
        <f t="shared" si="2"/>
        <v>292.60000000000002</v>
      </c>
      <c r="F31" s="21"/>
      <c r="G31" s="21"/>
      <c r="H31" s="21"/>
      <c r="I31" s="328">
        <f t="shared" si="9"/>
        <v>4234.6099999999997</v>
      </c>
      <c r="J31" s="328">
        <f t="shared" si="10"/>
        <v>3578.95</v>
      </c>
      <c r="K31" s="328">
        <f t="shared" si="7"/>
        <v>93297.23</v>
      </c>
      <c r="L31" s="389">
        <f t="shared" si="3"/>
        <v>0</v>
      </c>
      <c r="M31" s="389">
        <f t="shared" si="8"/>
        <v>11</v>
      </c>
      <c r="N31" s="595">
        <f>INDEX(tblSubjectToLoan[Date],ROW()-ROW(tblContractForDeed[#Headers]))</f>
        <v>46204</v>
      </c>
      <c r="O31" s="328">
        <f>IF(ROW()=ROW(tblContractForDeed[#Headers])+1,$O$6,IF(INDEX(tblContractForDeed[End Bal],ROW()-ROW(tblContractForDeed[#Headers])-1)&lt;0,0,INDEX(tblContractForDeed[End Bal],ROW()-ROW(tblContractForDeed[#Headers])-1)))</f>
        <v>75258</v>
      </c>
      <c r="P31" s="447">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8">
        <f>IF(tblContractForDeed[[#This Row],[Payment]]=0,0,MAX(0,MIN(tblContractForDeed[[#This Row],[Beg]],tblContractForDeed[[#This Row],[Payment]]-tblContractForDeed[[#This Row],[Int]])))</f>
        <v>253.30999999999995</v>
      </c>
      <c r="S31" s="328">
        <f>IF(OR(tblContractForDeed[[#This Row],[Date]]&lt;cfdContractDate,tblContractForDeed[[#This Row],[Date]]&gt;cfdEndDate),0,ROUND(tblContractForDeed[[#This Row],[Beg]]*(tblContractForDeed[[#This Row],[Int Rate]]/12),2))</f>
        <v>391.97</v>
      </c>
      <c r="T31" s="328">
        <f>IF(tblContractForDeed[[#This Row],[Payment]]=0,0,$W$2)</f>
        <v>134.16999999999999</v>
      </c>
      <c r="U31" s="328">
        <f>IF(tblContractForDeed[[#This Row],[Princ]]=0,0,$W$3)</f>
        <v>188.55</v>
      </c>
      <c r="V31" s="328">
        <f>SUM(tblContractForDeed[[#This Row],[Princ]],tblContractForDeed[[#This Row],[Int]],tblContractForDeed[[#This Row],[Ins]],tblContractForDeed[[#This Row],[Taxes]])</f>
        <v>968</v>
      </c>
      <c r="W31" s="328">
        <f>SUM(INDEX(tblContractForDeed[Princ],1):INDEX(tblContractForDeed[Princ],ROW()-ROW(tblContractForDeed[#Headers])))</f>
        <v>253.30999999999995</v>
      </c>
      <c r="X31" s="328">
        <f>IF(tblContractForDeed[[#This Row],[Beg]]&lt;=0,0,tblContractForDeed[[#This Row],[Beg]]-tblContractForDeed[[#This Row],[Princ]])</f>
        <v>75004.69</v>
      </c>
      <c r="Y3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7">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8">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594">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88">
        <f t="shared" si="3"/>
        <v>1</v>
      </c>
      <c r="M32" s="388">
        <f t="shared" si="8"/>
        <v>12</v>
      </c>
      <c r="N32" s="594">
        <f>INDEX(tblSubjectToLoan[Date],ROW()-ROW(tblContractForDeed[#Headers]))</f>
        <v>46235</v>
      </c>
      <c r="O32" s="276">
        <f>IF(ROW()=ROW(tblContractForDeed[#Headers])+1,$O$6,IF(INDEX(tblContractForDeed[End Bal],ROW()-ROW(tblContractForDeed[#Headers])-1)&lt;0,0,INDEX(tblContractForDeed[End Bal],ROW()-ROW(tblContractForDeed[#Headers])-1)))</f>
        <v>75004.69</v>
      </c>
      <c r="P32" s="447">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6">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594">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88">
        <f t="shared" si="3"/>
        <v>1</v>
      </c>
      <c r="M33" s="388">
        <f t="shared" si="8"/>
        <v>13</v>
      </c>
      <c r="N33" s="594">
        <f>INDEX(tblSubjectToLoan[Date],ROW()-ROW(tblContractForDeed[#Headers]))</f>
        <v>46266</v>
      </c>
      <c r="O33" s="276">
        <f>IF(ROW()=ROW(tblContractForDeed[#Headers])+1,$O$6,IF(INDEX(tblContractForDeed[End Bal],ROW()-ROW(tblContractForDeed[#Headers])-1)&lt;0,0,INDEX(tblContractForDeed[End Bal],ROW()-ROW(tblContractForDeed[#Headers])-1)))</f>
        <v>74750.06</v>
      </c>
      <c r="P33" s="447">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6">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594">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88">
        <f t="shared" si="3"/>
        <v>1</v>
      </c>
      <c r="M34" s="388">
        <f t="shared" si="8"/>
        <v>14</v>
      </c>
      <c r="N34" s="594">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47">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6">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594">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88">
        <f t="shared" si="3"/>
        <v>1</v>
      </c>
      <c r="M35" s="388">
        <f t="shared" si="8"/>
        <v>15</v>
      </c>
      <c r="N35" s="594">
        <f>INDEX(tblSubjectToLoan[Date],ROW()-ROW(tblContractForDeed[#Headers]))</f>
        <v>46327</v>
      </c>
      <c r="O35" s="276">
        <f>IF(ROW()=ROW(tblContractForDeed[#Headers])+1,$O$6,IF(INDEX(tblContractForDeed[End Bal],ROW()-ROW(tblContractForDeed[#Headers])-1)&lt;0,0,INDEX(tblContractForDeed[End Bal],ROW()-ROW(tblContractForDeed[#Headers])-1)))</f>
        <v>74236.81</v>
      </c>
      <c r="P35" s="447">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6">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594">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88">
        <f t="shared" si="3"/>
        <v>1</v>
      </c>
      <c r="M36" s="388">
        <f t="shared" si="8"/>
        <v>16</v>
      </c>
      <c r="N36" s="594">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47">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6">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594">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88">
        <f t="shared" si="3"/>
        <v>1</v>
      </c>
      <c r="M37" s="388">
        <f t="shared" si="8"/>
        <v>17</v>
      </c>
      <c r="N37" s="594">
        <f>INDEX(tblSubjectToLoan[Date],ROW()-ROW(tblContractForDeed[#Headers]))</f>
        <v>46388</v>
      </c>
      <c r="O37" s="276">
        <f>IF(ROW()=ROW(tblContractForDeed[#Headers])+1,$O$6,IF(INDEX(tblContractForDeed[End Bal],ROW()-ROW(tblContractForDeed[#Headers])-1)&lt;0,0,INDEX(tblContractForDeed[End Bal],ROW()-ROW(tblContractForDeed[#Headers])-1)))</f>
        <v>73718.2</v>
      </c>
      <c r="P37" s="447">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6">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594">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88">
        <f t="shared" si="3"/>
        <v>1</v>
      </c>
      <c r="M38" s="388">
        <f t="shared" si="8"/>
        <v>18</v>
      </c>
      <c r="N38" s="594">
        <f>INDEX(tblSubjectToLoan[Date],ROW()-ROW(tblContractForDeed[#Headers]))</f>
        <v>46419</v>
      </c>
      <c r="O38" s="276">
        <f>IF(ROW()=ROW(tblContractForDeed[#Headers])+1,$O$6,IF(INDEX(tblContractForDeed[End Bal],ROW()-ROW(tblContractForDeed[#Headers])-1)&lt;0,0,INDEX(tblContractForDeed[End Bal],ROW()-ROW(tblContractForDeed[#Headers])-1)))</f>
        <v>73456.87</v>
      </c>
      <c r="P38" s="447">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6">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594">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88">
        <f t="shared" si="3"/>
        <v>1</v>
      </c>
      <c r="M39" s="388">
        <f t="shared" si="8"/>
        <v>19</v>
      </c>
      <c r="N39" s="594">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47">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6">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594">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88">
        <f t="shared" si="3"/>
        <v>1</v>
      </c>
      <c r="M40" s="388">
        <f t="shared" si="8"/>
        <v>20</v>
      </c>
      <c r="N40" s="594">
        <f>INDEX(tblSubjectToLoan[Date],ROW()-ROW(tblContractForDeed[#Headers]))</f>
        <v>46478</v>
      </c>
      <c r="O40" s="276">
        <f>IF(ROW()=ROW(tblContractForDeed[#Headers])+1,$O$6,IF(INDEX(tblContractForDeed[End Bal],ROW()-ROW(tblContractForDeed[#Headers])-1)&lt;0,0,INDEX(tblContractForDeed[End Bal],ROW()-ROW(tblContractForDeed[#Headers])-1)))</f>
        <v>72930.12</v>
      </c>
      <c r="P40" s="447">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6">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594">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88">
        <f t="shared" si="3"/>
        <v>1</v>
      </c>
      <c r="M41" s="388">
        <f t="shared" si="8"/>
        <v>21</v>
      </c>
      <c r="N41" s="594">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47">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6">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594">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88">
        <f t="shared" si="3"/>
        <v>1</v>
      </c>
      <c r="M42" s="388">
        <f t="shared" si="8"/>
        <v>22</v>
      </c>
      <c r="N42" s="594">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47">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6">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595">
        <f t="shared" si="4"/>
        <v>46569</v>
      </c>
      <c r="B43" s="328">
        <f t="shared" si="5"/>
        <v>89562.42</v>
      </c>
      <c r="C43" s="21">
        <f t="shared" si="1"/>
        <v>625.80999999999995</v>
      </c>
      <c r="D43" s="21">
        <f t="shared" si="6"/>
        <v>345.92999999999995</v>
      </c>
      <c r="E43" s="21">
        <f t="shared" si="2"/>
        <v>279.88</v>
      </c>
      <c r="F43" s="21"/>
      <c r="G43" s="21"/>
      <c r="H43" s="21"/>
      <c r="I43" s="328">
        <f t="shared" si="9"/>
        <v>8315.35</v>
      </c>
      <c r="J43" s="328">
        <f t="shared" si="10"/>
        <v>7007.9299999999994</v>
      </c>
      <c r="K43" s="328">
        <f t="shared" si="7"/>
        <v>89216.49</v>
      </c>
      <c r="L43" s="389">
        <f t="shared" si="3"/>
        <v>1</v>
      </c>
      <c r="M43" s="389">
        <f t="shared" si="8"/>
        <v>23</v>
      </c>
      <c r="N43" s="595">
        <f>INDEX(tblSubjectToLoan[Date],ROW()-ROW(tblContractForDeed[#Headers]))</f>
        <v>46569</v>
      </c>
      <c r="O43" s="328">
        <f>IF(ROW()=ROW(tblContractForDeed[#Headers])+1,$O$6,IF(INDEX(tblContractForDeed[End Bal],ROW()-ROW(tblContractForDeed[#Headers])-1)&lt;0,0,INDEX(tblContractForDeed[End Bal],ROW()-ROW(tblContractForDeed[#Headers])-1)))</f>
        <v>72129.64999999998</v>
      </c>
      <c r="P43" s="447">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8">
        <f>IF(tblContractForDeed[[#This Row],[Payment]]=0,0,MAX(0,MIN(tblContractForDeed[[#This Row],[Beg]],tblContractForDeed[[#This Row],[Payment]]-tblContractForDeed[[#This Row],[Int]])))</f>
        <v>269.59999999999997</v>
      </c>
      <c r="S43" s="328">
        <f>IF(OR(tblContractForDeed[[#This Row],[Date]]&lt;cfdContractDate,tblContractForDeed[[#This Row],[Date]]&gt;cfdEndDate),0,ROUND(tblContractForDeed[[#This Row],[Beg]]*(tblContractForDeed[[#This Row],[Int Rate]]/12),2))</f>
        <v>375.68</v>
      </c>
      <c r="T43" s="328">
        <f>IF(tblContractForDeed[[#This Row],[Payment]]=0,0,$W$2)</f>
        <v>134.16999999999999</v>
      </c>
      <c r="U43" s="328">
        <f>IF(tblContractForDeed[[#This Row],[Princ]]=0,0,$W$3)</f>
        <v>188.55</v>
      </c>
      <c r="V43" s="328">
        <f>SUM(tblContractForDeed[[#This Row],[Princ]],tblContractForDeed[[#This Row],[Int]],tblContractForDeed[[#This Row],[Ins]],tblContractForDeed[[#This Row],[Taxes]])</f>
        <v>968</v>
      </c>
      <c r="W43" s="328">
        <f>SUM(INDEX(tblContractForDeed[Princ],1):INDEX(tblContractForDeed[Princ],ROW()-ROW(tblContractForDeed[#Headers])))</f>
        <v>3397.95</v>
      </c>
      <c r="X43" s="328">
        <f>IF(tblContractForDeed[[#This Row],[Beg]]&lt;=0,0,tblContractForDeed[[#This Row],[Beg]]-tblContractForDeed[[#This Row],[Princ]])</f>
        <v>71860.049999999974</v>
      </c>
      <c r="Y4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7">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8">
        <f>IF(INDEX(tblContractForDeed[End Bal],ROW()-ROW(tblBuyerOutputs[#Headers]))&lt;=0,0,($O$6+IF(ROW()=ROW(tblBuyerOutputs[#Headers])+1,0,INDEX(tblBuyerOutputs[Cumul Appr],ROW()-ROW(tblBuyerOutputs[#Headers])-1)))*$O$2/12)</f>
        <v>345.04429473630125</v>
      </c>
      <c r="AE43" s="328">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594">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88">
        <f t="shared" si="3"/>
        <v>2</v>
      </c>
      <c r="M44" s="388">
        <f t="shared" si="8"/>
        <v>24</v>
      </c>
      <c r="N44" s="594">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47">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6">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594">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88">
        <f t="shared" si="3"/>
        <v>2</v>
      </c>
      <c r="M45" s="388">
        <f t="shared" si="8"/>
        <v>25</v>
      </c>
      <c r="N45" s="594">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47">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6">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594">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88">
        <f t="shared" si="3"/>
        <v>2</v>
      </c>
      <c r="M46" s="388">
        <f t="shared" si="8"/>
        <v>26</v>
      </c>
      <c r="N46" s="594">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47">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6">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594">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88">
        <f t="shared" si="3"/>
        <v>2</v>
      </c>
      <c r="M47" s="388">
        <f t="shared" si="8"/>
        <v>27</v>
      </c>
      <c r="N47" s="594">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47">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6">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594">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88">
        <f t="shared" si="3"/>
        <v>2</v>
      </c>
      <c r="M48" s="388">
        <f t="shared" si="8"/>
        <v>28</v>
      </c>
      <c r="N48" s="594">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47">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6">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594">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88">
        <f t="shared" si="3"/>
        <v>2</v>
      </c>
      <c r="M49" s="388">
        <f t="shared" si="8"/>
        <v>29</v>
      </c>
      <c r="N49" s="594">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47">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6">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594">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88">
        <f t="shared" si="3"/>
        <v>2</v>
      </c>
      <c r="M50" s="388">
        <f t="shared" si="8"/>
        <v>30</v>
      </c>
      <c r="N50" s="594">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47">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6">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594">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88">
        <f t="shared" si="3"/>
        <v>2</v>
      </c>
      <c r="M51" s="388">
        <f t="shared" si="8"/>
        <v>31</v>
      </c>
      <c r="N51" s="594">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47">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6">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594">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88">
        <f t="shared" si="3"/>
        <v>2</v>
      </c>
      <c r="M52" s="388">
        <f t="shared" si="8"/>
        <v>32</v>
      </c>
      <c r="N52" s="594">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47">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6">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594">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88">
        <f t="shared" si="3"/>
        <v>2</v>
      </c>
      <c r="M53" s="388">
        <f t="shared" si="8"/>
        <v>33</v>
      </c>
      <c r="N53" s="594">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47">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6">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594">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88">
        <f t="shared" si="3"/>
        <v>2</v>
      </c>
      <c r="M54" s="388">
        <f t="shared" si="8"/>
        <v>34</v>
      </c>
      <c r="N54" s="594">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47">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6">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595">
        <f t="shared" si="4"/>
        <v>46935</v>
      </c>
      <c r="B55" s="328">
        <f t="shared" si="5"/>
        <v>85339.190000000017</v>
      </c>
      <c r="C55" s="21">
        <f t="shared" si="1"/>
        <v>625.80999999999995</v>
      </c>
      <c r="D55" s="21">
        <f t="shared" si="6"/>
        <v>359.12999999999994</v>
      </c>
      <c r="E55" s="21">
        <f t="shared" si="2"/>
        <v>266.68</v>
      </c>
      <c r="F55" s="21"/>
      <c r="G55" s="21"/>
      <c r="H55" s="21"/>
      <c r="I55" s="328">
        <f t="shared" si="9"/>
        <v>12551.78</v>
      </c>
      <c r="J55" s="328">
        <f t="shared" si="10"/>
        <v>10281.219999999999</v>
      </c>
      <c r="K55" s="328">
        <f t="shared" si="7"/>
        <v>84980.060000000012</v>
      </c>
      <c r="L55" s="389">
        <f t="shared" si="3"/>
        <v>2</v>
      </c>
      <c r="M55" s="389">
        <f t="shared" si="8"/>
        <v>35</v>
      </c>
      <c r="N55" s="595">
        <f>INDEX(tblSubjectToLoan[Date],ROW()-ROW(tblContractForDeed[#Headers]))</f>
        <v>46935</v>
      </c>
      <c r="O55" s="328">
        <f>IF(ROW()=ROW(tblContractForDeed[#Headers])+1,$O$6,IF(INDEX(tblContractForDeed[End Bal],ROW()-ROW(tblContractForDeed[#Headers])-1)&lt;0,0,INDEX(tblContractForDeed[End Bal],ROW()-ROW(tblContractForDeed[#Headers])-1)))</f>
        <v>68800.079999999987</v>
      </c>
      <c r="P55" s="447">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8">
        <f>IF(tblContractForDeed[[#This Row],[Payment]]=0,0,MAX(0,MIN(tblContractForDeed[[#This Row],[Beg]],tblContractForDeed[[#This Row],[Payment]]-tblContractForDeed[[#This Row],[Int]])))</f>
        <v>286.95</v>
      </c>
      <c r="S55" s="328">
        <f>IF(OR(tblContractForDeed[[#This Row],[Date]]&lt;cfdContractDate,tblContractForDeed[[#This Row],[Date]]&gt;cfdEndDate),0,ROUND(tblContractForDeed[[#This Row],[Beg]]*(tblContractForDeed[[#This Row],[Int Rate]]/12),2))</f>
        <v>358.33</v>
      </c>
      <c r="T55" s="328">
        <f>IF(tblContractForDeed[[#This Row],[Payment]]=0,0,$W$2)</f>
        <v>134.16999999999999</v>
      </c>
      <c r="U55" s="328">
        <f>IF(tblContractForDeed[[#This Row],[Princ]]=0,0,$W$3)</f>
        <v>188.55</v>
      </c>
      <c r="V55" s="328">
        <f>SUM(tblContractForDeed[[#This Row],[Princ]],tblContractForDeed[[#This Row],[Int]],tblContractForDeed[[#This Row],[Ins]],tblContractForDeed[[#This Row],[Taxes]])</f>
        <v>968</v>
      </c>
      <c r="W55" s="328">
        <f>SUM(INDEX(tblContractForDeed[Princ],1):INDEX(tblContractForDeed[Princ],ROW()-ROW(tblContractForDeed[#Headers])))</f>
        <v>6744.87</v>
      </c>
      <c r="X55" s="328">
        <f>IF(tblContractForDeed[[#This Row],[Beg]]&lt;=0,0,tblContractForDeed[[#This Row],[Beg]]-tblContractForDeed[[#This Row],[Princ]])</f>
        <v>68513.12999999999</v>
      </c>
      <c r="Y5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7">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8">
        <f>IF(INDEX(tblContractForDeed[End Bal],ROW()-ROW(tblBuyerOutputs[#Headers]))&lt;=0,0,($O$6+IF(ROW()=ROW(tblBuyerOutputs[#Headers])+1,0,INDEX(tblBuyerOutputs[Cumul Appr],ROW()-ROW(tblBuyerOutputs[#Headers])-1)))*$O$2/12)</f>
        <v>362.69741570827455</v>
      </c>
      <c r="AE55" s="328">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594">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88">
        <f t="shared" si="3"/>
        <v>3</v>
      </c>
      <c r="M56" s="388">
        <f t="shared" si="8"/>
        <v>36</v>
      </c>
      <c r="N56" s="594">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47">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6">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594">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88">
        <f t="shared" si="3"/>
        <v>3</v>
      </c>
      <c r="M57" s="388">
        <f t="shared" si="8"/>
        <v>37</v>
      </c>
      <c r="N57" s="594">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47">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6">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594">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88">
        <f t="shared" si="3"/>
        <v>3</v>
      </c>
      <c r="M58" s="388">
        <f t="shared" si="8"/>
        <v>38</v>
      </c>
      <c r="N58" s="594">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47">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6">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594">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88">
        <f t="shared" si="3"/>
        <v>3</v>
      </c>
      <c r="M59" s="388">
        <f t="shared" si="8"/>
        <v>39</v>
      </c>
      <c r="N59" s="594">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47">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6">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594">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88">
        <f t="shared" si="3"/>
        <v>3</v>
      </c>
      <c r="M60" s="388">
        <f t="shared" si="8"/>
        <v>40</v>
      </c>
      <c r="N60" s="594">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47">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6">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594">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88">
        <f t="shared" si="3"/>
        <v>3</v>
      </c>
      <c r="M61" s="388">
        <f t="shared" si="8"/>
        <v>41</v>
      </c>
      <c r="N61" s="594">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47">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6">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594">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88">
        <f t="shared" si="3"/>
        <v>3</v>
      </c>
      <c r="M62" s="388">
        <f t="shared" si="8"/>
        <v>42</v>
      </c>
      <c r="N62" s="594">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47">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6">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594">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88">
        <f t="shared" si="3"/>
        <v>3</v>
      </c>
      <c r="M63" s="388">
        <f t="shared" si="8"/>
        <v>43</v>
      </c>
      <c r="N63" s="594">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47">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6">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594">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88">
        <f t="shared" si="3"/>
        <v>3</v>
      </c>
      <c r="M64" s="388">
        <f t="shared" si="8"/>
        <v>44</v>
      </c>
      <c r="N64" s="594">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47">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6">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594">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88">
        <f t="shared" si="3"/>
        <v>3</v>
      </c>
      <c r="M65" s="388">
        <f t="shared" si="8"/>
        <v>45</v>
      </c>
      <c r="N65" s="594">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47">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6">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594">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88">
        <f t="shared" si="3"/>
        <v>3</v>
      </c>
      <c r="M66" s="388">
        <f t="shared" si="8"/>
        <v>46</v>
      </c>
      <c r="N66" s="594">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47">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6">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595">
        <f t="shared" si="4"/>
        <v>47300</v>
      </c>
      <c r="B67" s="328">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8">
        <f t="shared" si="9"/>
        <v>16949.82</v>
      </c>
      <c r="J67" s="328">
        <f t="shared" si="10"/>
        <v>13392.899999999998</v>
      </c>
      <c r="K67" s="328">
        <f t="shared" si="7"/>
        <v>80582.02</v>
      </c>
      <c r="L67" s="389">
        <f t="shared" si="3"/>
        <v>3</v>
      </c>
      <c r="M67" s="389">
        <f t="shared" si="8"/>
        <v>47</v>
      </c>
      <c r="N67" s="595">
        <f>INDEX(tblSubjectToLoan[Date],ROW()-ROW(tblContractForDeed[#Headers]))</f>
        <v>47300</v>
      </c>
      <c r="O67" s="328">
        <f>IF(ROW()=ROW(tblContractForDeed[#Headers])+1,$O$6,IF(INDEX(tblContractForDeed[End Bal],ROW()-ROW(tblContractForDeed[#Headers])-1)&lt;0,0,INDEX(tblContractForDeed[End Bal],ROW()-ROW(tblContractForDeed[#Headers])-1)))</f>
        <v>65256.359999999993</v>
      </c>
      <c r="P67" s="447">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8">
        <f>IF(tblContractForDeed[[#This Row],[Payment]]=0,0,MAX(0,MIN(tblContractForDeed[[#This Row],[Beg]],tblContractForDeed[[#This Row],[Payment]]-tblContractForDeed[[#This Row],[Int]])))</f>
        <v>305.39999999999998</v>
      </c>
      <c r="S67" s="328">
        <f>IF(OR(tblContractForDeed[[#This Row],[Date]]&lt;cfdContractDate,tblContractForDeed[[#This Row],[Date]]&gt;cfdEndDate),0,ROUND(tblContractForDeed[[#This Row],[Beg]]*(tblContractForDeed[[#This Row],[Int Rate]]/12),2))</f>
        <v>339.88</v>
      </c>
      <c r="T67" s="328">
        <f>IF(tblContractForDeed[[#This Row],[Payment]]=0,0,$W$2)</f>
        <v>134.16999999999999</v>
      </c>
      <c r="U67" s="328">
        <f>IF(tblContractForDeed[[#This Row],[Princ]]=0,0,$W$3)</f>
        <v>188.55</v>
      </c>
      <c r="V67" s="328">
        <f>SUM(tblContractForDeed[[#This Row],[Princ]],tblContractForDeed[[#This Row],[Int]],tblContractForDeed[[#This Row],[Ins]],tblContractForDeed[[#This Row],[Taxes]])</f>
        <v>968</v>
      </c>
      <c r="W67" s="328">
        <f>SUM(INDEX(tblContractForDeed[Princ],1):INDEX(tblContractForDeed[Princ],ROW()-ROW(tblContractForDeed[#Headers])))</f>
        <v>10307.039999999999</v>
      </c>
      <c r="X67" s="328">
        <f>IF(tblContractForDeed[[#This Row],[Beg]]&lt;=0,0,tblContractForDeed[[#This Row],[Beg]]-tblContractForDeed[[#This Row],[Princ]])</f>
        <v>64950.959999999992</v>
      </c>
      <c r="Y6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7">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8">
        <f>IF(INDEX(tblContractForDeed[End Bal],ROW()-ROW(tblBuyerOutputs[#Headers]))&lt;=0,0,($O$6+IF(ROW()=ROW(tblBuyerOutputs[#Headers])+1,0,INDEX(tblBuyerOutputs[Cumul Appr],ROW()-ROW(tblBuyerOutputs[#Headers])-1)))*$O$2/12)</f>
        <v>381.2537038527098</v>
      </c>
      <c r="AE67" s="328">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594">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88">
        <f t="shared" si="3"/>
        <v>4</v>
      </c>
      <c r="M68" s="388">
        <f t="shared" si="8"/>
        <v>48</v>
      </c>
      <c r="N68" s="594">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47">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6">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594">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88">
        <f t="shared" si="3"/>
        <v>4</v>
      </c>
      <c r="M69" s="388">
        <f t="shared" si="8"/>
        <v>49</v>
      </c>
      <c r="N69" s="594">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47">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6">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594">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88">
        <f t="shared" si="3"/>
        <v>4</v>
      </c>
      <c r="M70" s="388">
        <f t="shared" si="8"/>
        <v>50</v>
      </c>
      <c r="N70" s="594">
        <f>INDEX(tblSubjectToLoan[Date],ROW()-ROW(tblContractForDeed[#Headers]))</f>
        <v>47392</v>
      </c>
      <c r="O70" s="276">
        <f>IF(ROW()=ROW(tblContractForDeed[#Headers])+1,$O$6,IF(INDEX(tblContractForDeed[End Bal],ROW()-ROW(tblContractForDeed[#Headers])-1)&lt;0,0,INDEX(tblContractForDeed[End Bal],ROW()-ROW(tblContractForDeed[#Headers])-1)))</f>
        <v>64335.38</v>
      </c>
      <c r="P70" s="447">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6">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594">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88">
        <f t="shared" si="3"/>
        <v>4</v>
      </c>
      <c r="M71" s="388">
        <f t="shared" si="8"/>
        <v>51</v>
      </c>
      <c r="N71" s="594">
        <f>INDEX(tblSubjectToLoan[Date],ROW()-ROW(tblContractForDeed[#Headers]))</f>
        <v>47423</v>
      </c>
      <c r="O71" s="276">
        <f>IF(ROW()=ROW(tblContractForDeed[#Headers])+1,$O$6,IF(INDEX(tblContractForDeed[End Bal],ROW()-ROW(tblContractForDeed[#Headers])-1)&lt;0,0,INDEX(tblContractForDeed[End Bal],ROW()-ROW(tblContractForDeed[#Headers])-1)))</f>
        <v>64025.18</v>
      </c>
      <c r="P71" s="447">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6">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594">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88">
        <f t="shared" si="3"/>
        <v>4</v>
      </c>
      <c r="M72" s="388">
        <f t="shared" si="8"/>
        <v>52</v>
      </c>
      <c r="N72" s="594">
        <f>INDEX(tblSubjectToLoan[Date],ROW()-ROW(tblContractForDeed[#Headers]))</f>
        <v>47453</v>
      </c>
      <c r="O72" s="276">
        <f>IF(ROW()=ROW(tblContractForDeed[#Headers])+1,$O$6,IF(INDEX(tblContractForDeed[End Bal],ROW()-ROW(tblContractForDeed[#Headers])-1)&lt;0,0,INDEX(tblContractForDeed[End Bal],ROW()-ROW(tblContractForDeed[#Headers])-1)))</f>
        <v>63713.36</v>
      </c>
      <c r="P72" s="447">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6">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594">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88">
        <f t="shared" si="3"/>
        <v>4</v>
      </c>
      <c r="M73" s="388">
        <f t="shared" si="8"/>
        <v>53</v>
      </c>
      <c r="N73" s="594">
        <f>INDEX(tblSubjectToLoan[Date],ROW()-ROW(tblContractForDeed[#Headers]))</f>
        <v>47484</v>
      </c>
      <c r="O73" s="276">
        <f>IF(ROW()=ROW(tblContractForDeed[#Headers])+1,$O$6,IF(INDEX(tblContractForDeed[End Bal],ROW()-ROW(tblContractForDeed[#Headers])-1)&lt;0,0,INDEX(tblContractForDeed[End Bal],ROW()-ROW(tblContractForDeed[#Headers])-1)))</f>
        <v>63399.92</v>
      </c>
      <c r="P73" s="447">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6">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594">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88">
        <f t="shared" si="3"/>
        <v>4</v>
      </c>
      <c r="M74" s="388">
        <f t="shared" si="8"/>
        <v>54</v>
      </c>
      <c r="N74" s="594">
        <f>INDEX(tblSubjectToLoan[Date],ROW()-ROW(tblContractForDeed[#Headers]))</f>
        <v>47515</v>
      </c>
      <c r="O74" s="276">
        <f>IF(ROW()=ROW(tblContractForDeed[#Headers])+1,$O$6,IF(INDEX(tblContractForDeed[End Bal],ROW()-ROW(tblContractForDeed[#Headers])-1)&lt;0,0,INDEX(tblContractForDeed[End Bal],ROW()-ROW(tblContractForDeed[#Headers])-1)))</f>
        <v>63084.85</v>
      </c>
      <c r="P74" s="447">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6">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594">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88">
        <f t="shared" si="3"/>
        <v>4</v>
      </c>
      <c r="M75" s="388">
        <f t="shared" si="8"/>
        <v>55</v>
      </c>
      <c r="N75" s="594">
        <f>INDEX(tblSubjectToLoan[Date],ROW()-ROW(tblContractForDeed[#Headers]))</f>
        <v>47543</v>
      </c>
      <c r="O75" s="276">
        <f>IF(ROW()=ROW(tblContractForDeed[#Headers])+1,$O$6,IF(INDEX(tblContractForDeed[End Bal],ROW()-ROW(tblContractForDeed[#Headers])-1)&lt;0,0,INDEX(tblContractForDeed[End Bal],ROW()-ROW(tblContractForDeed[#Headers])-1)))</f>
        <v>62768.14</v>
      </c>
      <c r="P75" s="447">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6">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594">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88">
        <f t="shared" si="3"/>
        <v>4</v>
      </c>
      <c r="M76" s="388">
        <f t="shared" si="8"/>
        <v>56</v>
      </c>
      <c r="N76" s="594">
        <f>INDEX(tblSubjectToLoan[Date],ROW()-ROW(tblContractForDeed[#Headers]))</f>
        <v>47574</v>
      </c>
      <c r="O76" s="276">
        <f>IF(ROW()=ROW(tblContractForDeed[#Headers])+1,$O$6,IF(INDEX(tblContractForDeed[End Bal],ROW()-ROW(tblContractForDeed[#Headers])-1)&lt;0,0,INDEX(tblContractForDeed[End Bal],ROW()-ROW(tblContractForDeed[#Headers])-1)))</f>
        <v>62449.78</v>
      </c>
      <c r="P76" s="447">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6">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594">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88">
        <f t="shared" si="3"/>
        <v>4</v>
      </c>
      <c r="M77" s="388">
        <f t="shared" si="8"/>
        <v>57</v>
      </c>
      <c r="N77" s="594">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47">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6">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594">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88">
        <f t="shared" si="3"/>
        <v>4</v>
      </c>
      <c r="M78" s="388">
        <f t="shared" si="8"/>
        <v>58</v>
      </c>
      <c r="N78" s="594">
        <f>INDEX(tblSubjectToLoan[Date],ROW()-ROW(tblContractForDeed[#Headers]))</f>
        <v>47635</v>
      </c>
      <c r="O78" s="276">
        <f>IF(ROW()=ROW(tblContractForDeed[#Headers])+1,$O$6,IF(INDEX(tblContractForDeed[End Bal],ROW()-ROW(tblContractForDeed[#Headers])-1)&lt;0,0,INDEX(tblContractForDeed[End Bal],ROW()-ROW(tblContractForDeed[#Headers])-1)))</f>
        <v>61808.07</v>
      </c>
      <c r="P78" s="447">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6">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595">
        <f t="shared" si="4"/>
        <v>47665</v>
      </c>
      <c r="B79" s="328">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8">
        <f t="shared" si="9"/>
        <v>21515.649999999998</v>
      </c>
      <c r="J79" s="328">
        <f t="shared" si="10"/>
        <v>16336.789999999997</v>
      </c>
      <c r="K79" s="328">
        <f t="shared" si="7"/>
        <v>76016.19</v>
      </c>
      <c r="L79" s="389">
        <f t="shared" si="3"/>
        <v>4</v>
      </c>
      <c r="M79" s="389">
        <f t="shared" si="8"/>
        <v>59</v>
      </c>
      <c r="N79" s="595">
        <f>INDEX(tblSubjectToLoan[Date],ROW()-ROW(tblContractForDeed[#Headers]))</f>
        <v>47665</v>
      </c>
      <c r="O79" s="328">
        <f>IF(ROW()=ROW(tblContractForDeed[#Headers])+1,$O$6,IF(INDEX(tblContractForDeed[End Bal],ROW()-ROW(tblContractForDeed[#Headers])-1)&lt;0,0,INDEX(tblContractForDeed[End Bal],ROW()-ROW(tblContractForDeed[#Headers])-1)))</f>
        <v>61484.71</v>
      </c>
      <c r="P79" s="447">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8">
        <f>IF(tblContractForDeed[[#This Row],[Payment]]=0,0,MAX(0,MIN(tblContractForDeed[[#This Row],[Beg]],tblContractForDeed[[#This Row],[Payment]]-tblContractForDeed[[#This Row],[Int]])))</f>
        <v>325.04999999999995</v>
      </c>
      <c r="S79" s="328">
        <f>IF(OR(tblContractForDeed[[#This Row],[Date]]&lt;cfdContractDate,tblContractForDeed[[#This Row],[Date]]&gt;cfdEndDate),0,ROUND(tblContractForDeed[[#This Row],[Beg]]*(tblContractForDeed[[#This Row],[Int Rate]]/12),2))</f>
        <v>320.23</v>
      </c>
      <c r="T79" s="328">
        <f>IF(tblContractForDeed[[#This Row],[Payment]]=0,0,$W$2)</f>
        <v>134.16999999999999</v>
      </c>
      <c r="U79" s="328">
        <f>IF(tblContractForDeed[[#This Row],[Princ]]=0,0,$W$3)</f>
        <v>188.55</v>
      </c>
      <c r="V79" s="328">
        <f>SUM(tblContractForDeed[[#This Row],[Princ]],tblContractForDeed[[#This Row],[Int]],tblContractForDeed[[#This Row],[Ins]],tblContractForDeed[[#This Row],[Taxes]])</f>
        <v>968</v>
      </c>
      <c r="W79" s="328">
        <f>SUM(INDEX(tblContractForDeed[Princ],1):INDEX(tblContractForDeed[Princ],ROW()-ROW(tblContractForDeed[#Headers])))</f>
        <v>14098.34</v>
      </c>
      <c r="X79" s="328">
        <f>IF(tblContractForDeed[[#This Row],[Beg]]&lt;=0,0,tblContractForDeed[[#This Row],[Beg]]-tblContractForDeed[[#This Row],[Princ]])</f>
        <v>61159.659999999996</v>
      </c>
      <c r="Y7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7">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8">
        <f>IF(INDEX(tblContractForDeed[End Bal],ROW()-ROW(tblBuyerOutputs[#Headers]))&lt;=0,0,($O$6+IF(ROW()=ROW(tblBuyerOutputs[#Headers])+1,0,INDEX(tblBuyerOutputs[Cumul Appr],ROW()-ROW(tblBuyerOutputs[#Headers])-1)))*$O$2/12)</f>
        <v>400.75936691625469</v>
      </c>
      <c r="AE79" s="328">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594">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88">
        <f t="shared" si="3"/>
        <v>5</v>
      </c>
      <c r="M80" s="388">
        <f t="shared" si="8"/>
        <v>60</v>
      </c>
      <c r="N80" s="594">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47">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6">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594">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88">
        <f t="shared" si="3"/>
        <v>5</v>
      </c>
      <c r="M81" s="388">
        <f t="shared" si="8"/>
        <v>61</v>
      </c>
      <c r="N81" s="594">
        <f>INDEX(tblSubjectToLoan[Date],ROW()-ROW(tblContractForDeed[#Headers]))</f>
        <v>47727</v>
      </c>
      <c r="O81" s="276">
        <f>IF(ROW()=ROW(tblContractForDeed[#Headers])+1,$O$6,IF(INDEX(tblContractForDeed[End Bal],ROW()-ROW(tblContractForDeed[#Headers])-1)&lt;0,0,INDEX(tblContractForDeed[End Bal],ROW()-ROW(tblContractForDeed[#Headers])-1)))</f>
        <v>60832.92</v>
      </c>
      <c r="P81" s="447">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6">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594">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88">
        <f t="shared" si="3"/>
        <v>5</v>
      </c>
      <c r="M82" s="388">
        <f t="shared" si="8"/>
        <v>62</v>
      </c>
      <c r="N82" s="594">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47">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6">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594">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88">
        <f t="shared" si="3"/>
        <v>5</v>
      </c>
      <c r="M83" s="388">
        <f t="shared" si="8"/>
        <v>63</v>
      </c>
      <c r="N83" s="594">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47">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6">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594">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88">
        <f t="shared" ref="L84:L112" si="16">IF(MOD(M84,12)=0,M84/12,L83)</f>
        <v>5</v>
      </c>
      <c r="M84" s="388">
        <f t="shared" si="8"/>
        <v>64</v>
      </c>
      <c r="N84" s="594">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47">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6">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594">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88">
        <f t="shared" si="16"/>
        <v>5</v>
      </c>
      <c r="M85" s="388">
        <f t="shared" ref="M85:M148" si="21">IF($A85&lt;&gt;"",M84+1,0)</f>
        <v>65</v>
      </c>
      <c r="N85" s="594">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47">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6">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594">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88">
        <f t="shared" si="16"/>
        <v>5</v>
      </c>
      <c r="M86" s="388">
        <f t="shared" si="21"/>
        <v>66</v>
      </c>
      <c r="N86" s="594">
        <f>INDEX(tblSubjectToLoan[Date],ROW()-ROW(tblContractForDeed[#Headers]))</f>
        <v>47880</v>
      </c>
      <c r="O86" s="276">
        <f>IF(ROW()=ROW(tblContractForDeed[#Headers])+1,$O$6,IF(INDEX(tblContractForDeed[End Bal],ROW()-ROW(tblContractForDeed[#Headers])-1)&lt;0,0,INDEX(tblContractForDeed[End Bal],ROW()-ROW(tblContractForDeed[#Headers])-1)))</f>
        <v>59173.52</v>
      </c>
      <c r="P86" s="447">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6">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594">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88">
        <f t="shared" si="16"/>
        <v>5</v>
      </c>
      <c r="M87" s="388">
        <f t="shared" si="21"/>
        <v>67</v>
      </c>
      <c r="N87" s="594">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47">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6">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594">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88">
        <f t="shared" si="16"/>
        <v>5</v>
      </c>
      <c r="M88" s="388">
        <f t="shared" si="21"/>
        <v>68</v>
      </c>
      <c r="N88" s="594">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47">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6">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594">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88">
        <f t="shared" si="16"/>
        <v>5</v>
      </c>
      <c r="M89" s="388">
        <f t="shared" si="21"/>
        <v>69</v>
      </c>
      <c r="N89" s="594">
        <f>INDEX(tblSubjectToLoan[Date],ROW()-ROW(tblContractForDeed[#Headers]))</f>
        <v>47969</v>
      </c>
      <c r="O89" s="276">
        <f>IF(ROW()=ROW(tblContractForDeed[#Headers])+1,$O$6,IF(INDEX(tblContractForDeed[End Bal],ROW()-ROW(tblContractForDeed[#Headers])-1)&lt;0,0,INDEX(tblContractForDeed[End Bal],ROW()-ROW(tblContractForDeed[#Headers])-1)))</f>
        <v>58157</v>
      </c>
      <c r="P89" s="447">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6">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594">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88">
        <f t="shared" si="16"/>
        <v>5</v>
      </c>
      <c r="M90" s="388">
        <f t="shared" si="21"/>
        <v>70</v>
      </c>
      <c r="N90" s="594">
        <f>INDEX(tblSubjectToLoan[Date],ROW()-ROW(tblContractForDeed[#Headers]))</f>
        <v>48000</v>
      </c>
      <c r="O90" s="276">
        <f>IF(ROW()=ROW(tblContractForDeed[#Headers])+1,$O$6,IF(INDEX(tblContractForDeed[End Bal],ROW()-ROW(tblContractForDeed[#Headers])-1)&lt;0,0,INDEX(tblContractForDeed[End Bal],ROW()-ROW(tblContractForDeed[#Headers])-1)))</f>
        <v>57814.62</v>
      </c>
      <c r="P90" s="447">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6">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595">
        <f t="shared" si="17"/>
        <v>48030</v>
      </c>
      <c r="B91" s="328">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8">
        <f t="shared" si="22"/>
        <v>26255.679999999997</v>
      </c>
      <c r="J91" s="328">
        <f t="shared" si="23"/>
        <v>19106.48</v>
      </c>
      <c r="K91" s="328">
        <f t="shared" si="20"/>
        <v>71276.159999999974</v>
      </c>
      <c r="L91" s="389">
        <f t="shared" si="16"/>
        <v>5</v>
      </c>
      <c r="M91" s="389">
        <f t="shared" si="21"/>
        <v>71</v>
      </c>
      <c r="N91" s="595">
        <f>INDEX(tblSubjectToLoan[Date],ROW()-ROW(tblContractForDeed[#Headers]))</f>
        <v>48030</v>
      </c>
      <c r="O91" s="328">
        <f>IF(ROW()=ROW(tblContractForDeed[#Headers])+1,$O$6,IF(INDEX(tblContractForDeed[End Bal],ROW()-ROW(tblContractForDeed[#Headers])-1)&lt;0,0,INDEX(tblContractForDeed[End Bal],ROW()-ROW(tblContractForDeed[#Headers])-1)))</f>
        <v>57470.46</v>
      </c>
      <c r="P91" s="447">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8">
        <f>IF(tblContractForDeed[[#This Row],[Payment]]=0,0,MAX(0,MIN(tblContractForDeed[[#This Row],[Beg]],tblContractForDeed[[#This Row],[Payment]]-tblContractForDeed[[#This Row],[Int]])))</f>
        <v>336.63</v>
      </c>
      <c r="S91" s="328">
        <f>IF(OR(tblContractForDeed[[#This Row],[Date]]&lt;cfdContractDate,tblContractForDeed[[#This Row],[Date]]&gt;cfdEndDate),0,ROUND(tblContractForDeed[[#This Row],[Beg]]*(tblContractForDeed[[#This Row],[Int Rate]]/12),2))</f>
        <v>323.27</v>
      </c>
      <c r="T91" s="328">
        <f>IF(tblContractForDeed[[#This Row],[Payment]]=0,0,$W$2)</f>
        <v>134.16999999999999</v>
      </c>
      <c r="U91" s="328">
        <f>IF(tblContractForDeed[[#This Row],[Princ]]=0,0,$W$3)</f>
        <v>188.55</v>
      </c>
      <c r="V91" s="328">
        <f>SUM(tblContractForDeed[[#This Row],[Princ]],tblContractForDeed[[#This Row],[Int]],tblContractForDeed[[#This Row],[Ins]],tblContractForDeed[[#This Row],[Taxes]])</f>
        <v>982.61999999999989</v>
      </c>
      <c r="W91" s="328">
        <f>SUM(INDEX(tblContractForDeed[Princ],1):INDEX(tblContractForDeed[Princ],ROW()-ROW(tblContractForDeed[#Headers])))</f>
        <v>18124.170000000002</v>
      </c>
      <c r="X91" s="328">
        <f>IF(tblContractForDeed[[#This Row],[Beg]]&lt;=0,0,tblContractForDeed[[#This Row],[Beg]]-tblContractForDeed[[#This Row],[Princ]])</f>
        <v>57133.83</v>
      </c>
      <c r="Y9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7">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8">
        <f>IF(INDEX(tblContractForDeed[End Bal],ROW()-ROW(tblBuyerOutputs[#Headers]))&lt;=0,0,($O$6+IF(ROW()=ROW(tblBuyerOutputs[#Headers])+1,0,INDEX(tblBuyerOutputs[Cumul Appr],ROW()-ROW(tblBuyerOutputs[#Headers])-1)))*$O$2/12)</f>
        <v>421.26297672157216</v>
      </c>
      <c r="AE91" s="328">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594">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88">
        <f t="shared" si="16"/>
        <v>6</v>
      </c>
      <c r="M92" s="388">
        <f t="shared" si="21"/>
        <v>72</v>
      </c>
      <c r="N92" s="594">
        <f>INDEX(tblSubjectToLoan[Date],ROW()-ROW(tblContractForDeed[#Headers]))</f>
        <v>48061</v>
      </c>
      <c r="O92" s="276">
        <f>IF(ROW()=ROW(tblContractForDeed[#Headers])+1,$O$6,IF(INDEX(tblContractForDeed[End Bal],ROW()-ROW(tblContractForDeed[#Headers])-1)&lt;0,0,INDEX(tblContractForDeed[End Bal],ROW()-ROW(tblContractForDeed[#Headers])-1)))</f>
        <v>57133.83</v>
      </c>
      <c r="P92" s="447">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6">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594">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88">
        <f t="shared" si="16"/>
        <v>6</v>
      </c>
      <c r="M93" s="388">
        <f t="shared" si="21"/>
        <v>73</v>
      </c>
      <c r="N93" s="594">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47">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6">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594">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88">
        <f t="shared" si="16"/>
        <v>6</v>
      </c>
      <c r="M94" s="388">
        <f t="shared" si="21"/>
        <v>74</v>
      </c>
      <c r="N94" s="594">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47">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6">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594">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88">
        <f t="shared" si="16"/>
        <v>6</v>
      </c>
      <c r="M95" s="388">
        <f t="shared" si="21"/>
        <v>75</v>
      </c>
      <c r="N95" s="594">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47">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6">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594">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88">
        <f t="shared" si="16"/>
        <v>6</v>
      </c>
      <c r="M96" s="388">
        <f t="shared" si="21"/>
        <v>76</v>
      </c>
      <c r="N96" s="594">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47">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6">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594">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88">
        <f t="shared" si="16"/>
        <v>6</v>
      </c>
      <c r="M97" s="388">
        <f t="shared" si="21"/>
        <v>77</v>
      </c>
      <c r="N97" s="594">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47">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6">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594">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88">
        <f t="shared" si="16"/>
        <v>6</v>
      </c>
      <c r="M98" s="388">
        <f t="shared" si="21"/>
        <v>78</v>
      </c>
      <c r="N98" s="594">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47">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6">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594">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88">
        <f t="shared" si="16"/>
        <v>6</v>
      </c>
      <c r="M99" s="388">
        <f t="shared" si="21"/>
        <v>79</v>
      </c>
      <c r="N99" s="594">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47">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6">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594">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88">
        <f t="shared" si="16"/>
        <v>6</v>
      </c>
      <c r="M100" s="388">
        <f t="shared" si="21"/>
        <v>80</v>
      </c>
      <c r="N100" s="594">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47">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6">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594">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88">
        <f t="shared" si="16"/>
        <v>6</v>
      </c>
      <c r="M101" s="388">
        <f t="shared" si="21"/>
        <v>81</v>
      </c>
      <c r="N101" s="594">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47">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6">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594">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88">
        <f t="shared" si="16"/>
        <v>6</v>
      </c>
      <c r="M102" s="388">
        <f t="shared" si="21"/>
        <v>82</v>
      </c>
      <c r="N102" s="594">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47">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6">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595">
        <f t="shared" si="17"/>
        <v>48396</v>
      </c>
      <c r="B103" s="328">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8">
        <f t="shared" si="22"/>
        <v>31176.549999999992</v>
      </c>
      <c r="J103" s="328">
        <f t="shared" si="23"/>
        <v>21695.329999999998</v>
      </c>
      <c r="K103" s="328">
        <f t="shared" si="20"/>
        <v>66355.28999999995</v>
      </c>
      <c r="L103" s="389">
        <f t="shared" si="16"/>
        <v>6</v>
      </c>
      <c r="M103" s="389">
        <f t="shared" si="21"/>
        <v>83</v>
      </c>
      <c r="N103" s="595">
        <f>INDEX(tblSubjectToLoan[Date],ROW()-ROW(tblContractForDeed[#Headers]))</f>
        <v>48396</v>
      </c>
      <c r="O103" s="328">
        <f>IF(ROW()=ROW(tblContractForDeed[#Headers])+1,$O$6,IF(INDEX(tblContractForDeed[End Bal],ROW()-ROW(tblContractForDeed[#Headers])-1)&lt;0,0,INDEX(tblContractForDeed[End Bal],ROW()-ROW(tblContractForDeed[#Headers])-1)))</f>
        <v>53303.570000000007</v>
      </c>
      <c r="P103" s="447">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8">
        <f>IF(tblContractForDeed[[#This Row],[Payment]]=0,0,MAX(0,MIN(tblContractForDeed[[#This Row],[Beg]],tblContractForDeed[[#This Row],[Payment]]-tblContractForDeed[[#This Row],[Int]])))</f>
        <v>360.07</v>
      </c>
      <c r="S103" s="328">
        <f>IF(OR(tblContractForDeed[[#This Row],[Date]]&lt;cfdContractDate,tblContractForDeed[[#This Row],[Date]]&gt;cfdEndDate),0,ROUND(tblContractForDeed[[#This Row],[Beg]]*(tblContractForDeed[[#This Row],[Int Rate]]/12),2))</f>
        <v>299.83</v>
      </c>
      <c r="T103" s="328">
        <f>IF(tblContractForDeed[[#This Row],[Payment]]=0,0,$W$2)</f>
        <v>134.16999999999999</v>
      </c>
      <c r="U103" s="328">
        <f>IF(tblContractForDeed[[#This Row],[Princ]]=0,0,$W$3)</f>
        <v>188.55</v>
      </c>
      <c r="V103" s="328">
        <f>SUM(tblContractForDeed[[#This Row],[Princ]],tblContractForDeed[[#This Row],[Int]],tblContractForDeed[[#This Row],[Ins]],tblContractForDeed[[#This Row],[Taxes]])</f>
        <v>982.61999999999989</v>
      </c>
      <c r="W103" s="328">
        <f>SUM(INDEX(tblContractForDeed[Princ],1):INDEX(tblContractForDeed[Princ],ROW()-ROW(tblContractForDeed[#Headers])))</f>
        <v>22314.500000000007</v>
      </c>
      <c r="X103" s="328">
        <f>IF(tblContractForDeed[[#This Row],[Beg]]&lt;=0,0,tblContractForDeed[[#This Row],[Beg]]-tblContractForDeed[[#This Row],[Princ]])</f>
        <v>52943.500000000007</v>
      </c>
      <c r="Y10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7">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8">
        <f>IF(INDEX(tblContractForDeed[End Bal],ROW()-ROW(tblBuyerOutputs[#Headers]))&lt;=0,0,($O$6+IF(ROW()=ROW(tblBuyerOutputs[#Headers])+1,0,INDEX(tblBuyerOutputs[Cumul Appr],ROW()-ROW(tblBuyerOutputs[#Headers])-1)))*$O$2/12)</f>
        <v>442.81559011795616</v>
      </c>
      <c r="AE103" s="328">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594">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88">
        <f t="shared" si="16"/>
        <v>7</v>
      </c>
      <c r="M104" s="388">
        <f t="shared" si="21"/>
        <v>84</v>
      </c>
      <c r="N104" s="594">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47">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6">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594">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88">
        <f t="shared" si="16"/>
        <v>7</v>
      </c>
      <c r="M105" s="388">
        <f t="shared" si="21"/>
        <v>85</v>
      </c>
      <c r="N105" s="594">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47">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6">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594">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88">
        <f t="shared" si="16"/>
        <v>7</v>
      </c>
      <c r="M106" s="388">
        <f t="shared" si="21"/>
        <v>86</v>
      </c>
      <c r="N106" s="594">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47">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6">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594">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88">
        <f t="shared" si="16"/>
        <v>7</v>
      </c>
      <c r="M107" s="388">
        <f t="shared" si="21"/>
        <v>87</v>
      </c>
      <c r="N107" s="594">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47">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6">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594">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88">
        <f t="shared" si="16"/>
        <v>7</v>
      </c>
      <c r="M108" s="388">
        <f t="shared" si="21"/>
        <v>88</v>
      </c>
      <c r="N108" s="594">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47">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6">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594">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88">
        <f t="shared" si="16"/>
        <v>7</v>
      </c>
      <c r="M109" s="388">
        <f t="shared" si="21"/>
        <v>89</v>
      </c>
      <c r="N109" s="594">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47">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6">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594">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88">
        <f t="shared" si="16"/>
        <v>7</v>
      </c>
      <c r="M110" s="388">
        <f t="shared" si="21"/>
        <v>90</v>
      </c>
      <c r="N110" s="594">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47">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6">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594">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88">
        <f t="shared" si="16"/>
        <v>7</v>
      </c>
      <c r="M111" s="388">
        <f t="shared" si="21"/>
        <v>91</v>
      </c>
      <c r="N111" s="594">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47">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6">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594">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88">
        <f t="shared" si="16"/>
        <v>7</v>
      </c>
      <c r="M112" s="388">
        <f t="shared" si="21"/>
        <v>92</v>
      </c>
      <c r="N112" s="594">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47">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6">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594">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88">
        <f>IF(MOD(M113,12)=0,M113/12,L112)</f>
        <v>7</v>
      </c>
      <c r="M113" s="388">
        <f t="shared" si="21"/>
        <v>93</v>
      </c>
      <c r="N113" s="594">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47">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6">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594">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88">
        <f>IF(MOD(M114,12)=0,M114/12,L113)</f>
        <v>7</v>
      </c>
      <c r="M114" s="388">
        <f t="shared" si="21"/>
        <v>94</v>
      </c>
      <c r="N114" s="594">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47">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6">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595">
        <f t="shared" si="17"/>
        <v>48761</v>
      </c>
      <c r="B115" s="328">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8">
        <f t="shared" si="22"/>
        <v>36285.159999999989</v>
      </c>
      <c r="J115" s="328">
        <f t="shared" si="23"/>
        <v>24096.439999999995</v>
      </c>
      <c r="K115" s="328">
        <f t="shared" si="20"/>
        <v>61246.679999999957</v>
      </c>
      <c r="L115" s="389">
        <f>IF(MOD(M115,12)=0,M115/12,L114)</f>
        <v>7</v>
      </c>
      <c r="M115" s="389">
        <f t="shared" si="21"/>
        <v>95</v>
      </c>
      <c r="N115" s="595">
        <f>INDEX(tblSubjectToLoan[Date],ROW()-ROW(tblContractForDeed[#Headers]))</f>
        <v>48761</v>
      </c>
      <c r="O115" s="328">
        <f>IF(ROW()=ROW(tblContractForDeed[#Headers])+1,$O$6,IF(INDEX(tblContractForDeed[End Bal],ROW()-ROW(tblContractForDeed[#Headers])-1)&lt;0,0,INDEX(tblContractForDeed[End Bal],ROW()-ROW(tblContractForDeed[#Headers])-1)))</f>
        <v>48846.550000000025</v>
      </c>
      <c r="P115" s="447">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8">
        <f>IF(tblContractForDeed[[#This Row],[Payment]]=0,0,MAX(0,MIN(tblContractForDeed[[#This Row],[Beg]],tblContractForDeed[[#This Row],[Payment]]-tblContractForDeed[[#This Row],[Int]])))</f>
        <v>385.14</v>
      </c>
      <c r="S115" s="328">
        <f>IF(OR(tblContractForDeed[[#This Row],[Date]]&lt;cfdContractDate,tblContractForDeed[[#This Row],[Date]]&gt;cfdEndDate),0,ROUND(tblContractForDeed[[#This Row],[Beg]]*(tblContractForDeed[[#This Row],[Int Rate]]/12),2))</f>
        <v>274.76</v>
      </c>
      <c r="T115" s="328">
        <f>IF(tblContractForDeed[[#This Row],[Payment]]=0,0,$W$2)</f>
        <v>134.16999999999999</v>
      </c>
      <c r="U115" s="328">
        <f>IF(tblContractForDeed[[#This Row],[Princ]]=0,0,$W$3)</f>
        <v>188.55</v>
      </c>
      <c r="V115" s="328">
        <f>SUM(tblContractForDeed[[#This Row],[Princ]],tblContractForDeed[[#This Row],[Int]],tblContractForDeed[[#This Row],[Ins]],tblContractForDeed[[#This Row],[Taxes]])</f>
        <v>982.61999999999989</v>
      </c>
      <c r="W115" s="328">
        <f>SUM(INDEX(tblContractForDeed[Princ],1):INDEX(tblContractForDeed[Princ],ROW()-ROW(tblContractForDeed[#Headers])))</f>
        <v>26796.590000000011</v>
      </c>
      <c r="X115" s="328">
        <f>IF(tblContractForDeed[[#This Row],[Beg]]&lt;=0,0,tblContractForDeed[[#This Row],[Beg]]-tblContractForDeed[[#This Row],[Princ]])</f>
        <v>48461.410000000025</v>
      </c>
      <c r="Y11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7">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8">
        <f>IF(INDEX(tblContractForDeed[End Bal],ROW()-ROW(tblBuyerOutputs[#Headers]))&lt;=0,0,($O$6+IF(ROW()=ROW(tblBuyerOutputs[#Headers])+1,0,INDEX(tblBuyerOutputs[Cumul Appr],ROW()-ROW(tblBuyerOutputs[#Headers])-1)))*$O$2/12)</f>
        <v>465.47087612001042</v>
      </c>
      <c r="AE115" s="328">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594">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88">
        <f t="shared" ref="L116:L179" si="26">IF(MOD(M116,12)=0,M116/12,L115)</f>
        <v>8</v>
      </c>
      <c r="M116" s="388">
        <f t="shared" si="21"/>
        <v>96</v>
      </c>
      <c r="N116" s="594">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47">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6">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594">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88">
        <f t="shared" si="26"/>
        <v>8</v>
      </c>
      <c r="M117" s="388">
        <f t="shared" si="21"/>
        <v>97</v>
      </c>
      <c r="N117" s="594">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47">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6">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594">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88">
        <f t="shared" si="26"/>
        <v>8</v>
      </c>
      <c r="M118" s="388">
        <f t="shared" si="21"/>
        <v>98</v>
      </c>
      <c r="N118" s="594">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47">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6">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594">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88">
        <f t="shared" si="26"/>
        <v>8</v>
      </c>
      <c r="M119" s="388">
        <f t="shared" si="21"/>
        <v>99</v>
      </c>
      <c r="N119" s="594">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47">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6">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594">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88">
        <f t="shared" si="26"/>
        <v>8</v>
      </c>
      <c r="M120" s="388">
        <f t="shared" si="21"/>
        <v>100</v>
      </c>
      <c r="N120" s="594">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47">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6">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594">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88">
        <f t="shared" si="26"/>
        <v>8</v>
      </c>
      <c r="M121" s="388">
        <f t="shared" si="21"/>
        <v>101</v>
      </c>
      <c r="N121" s="594">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47">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6">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594">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88">
        <f t="shared" si="26"/>
        <v>8</v>
      </c>
      <c r="M122" s="388">
        <f t="shared" si="21"/>
        <v>102</v>
      </c>
      <c r="N122" s="594">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47">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6">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594">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88">
        <f t="shared" si="26"/>
        <v>8</v>
      </c>
      <c r="M123" s="388">
        <f t="shared" si="21"/>
        <v>103</v>
      </c>
      <c r="N123" s="594">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47">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6">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594">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88">
        <f t="shared" si="26"/>
        <v>8</v>
      </c>
      <c r="M124" s="388">
        <f t="shared" si="21"/>
        <v>104</v>
      </c>
      <c r="N124" s="594">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47">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6">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594">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88">
        <f t="shared" si="26"/>
        <v>8</v>
      </c>
      <c r="M125" s="388">
        <f t="shared" si="21"/>
        <v>105</v>
      </c>
      <c r="N125" s="594">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47">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6">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594">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88">
        <f t="shared" si="26"/>
        <v>8</v>
      </c>
      <c r="M126" s="388">
        <f t="shared" si="21"/>
        <v>106</v>
      </c>
      <c r="N126" s="594">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47">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6">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595">
        <f t="shared" si="17"/>
        <v>49126</v>
      </c>
      <c r="B127" s="328">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8">
        <f t="shared" si="22"/>
        <v>41588.649999999994</v>
      </c>
      <c r="J127" s="328">
        <f t="shared" si="23"/>
        <v>26302.669999999995</v>
      </c>
      <c r="K127" s="328">
        <f t="shared" si="20"/>
        <v>55943.189999999951</v>
      </c>
      <c r="L127" s="389">
        <f t="shared" si="26"/>
        <v>8</v>
      </c>
      <c r="M127" s="389">
        <f t="shared" si="21"/>
        <v>107</v>
      </c>
      <c r="N127" s="595">
        <f>INDEX(tblSubjectToLoan[Date],ROW()-ROW(tblContractForDeed[#Headers]))</f>
        <v>49126</v>
      </c>
      <c r="O127" s="328">
        <f>IF(ROW()=ROW(tblContractForDeed[#Headers])+1,$O$6,IF(INDEX(tblContractForDeed[End Bal],ROW()-ROW(tblContractForDeed[#Headers])-1)&lt;0,0,INDEX(tblContractForDeed[End Bal],ROW()-ROW(tblContractForDeed[#Headers])-1)))</f>
        <v>44079.210000000028</v>
      </c>
      <c r="P127" s="447">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8">
        <f>IF(tblContractForDeed[[#This Row],[Payment]]=0,0,MAX(0,MIN(tblContractForDeed[[#This Row],[Beg]],tblContractForDeed[[#This Row],[Payment]]-tblContractForDeed[[#This Row],[Int]])))</f>
        <v>411.95</v>
      </c>
      <c r="S127" s="328">
        <f>IF(OR(tblContractForDeed[[#This Row],[Date]]&lt;cfdContractDate,tblContractForDeed[[#This Row],[Date]]&gt;cfdEndDate),0,ROUND(tblContractForDeed[[#This Row],[Beg]]*(tblContractForDeed[[#This Row],[Int Rate]]/12),2))</f>
        <v>247.95</v>
      </c>
      <c r="T127" s="328">
        <f>IF(tblContractForDeed[[#This Row],[Payment]]=0,0,$W$2)</f>
        <v>134.16999999999999</v>
      </c>
      <c r="U127" s="328">
        <f>IF(tblContractForDeed[[#This Row],[Princ]]=0,0,$W$3)</f>
        <v>188.55</v>
      </c>
      <c r="V127" s="328">
        <f>SUM(tblContractForDeed[[#This Row],[Princ]],tblContractForDeed[[#This Row],[Int]],tblContractForDeed[[#This Row],[Ins]],tblContractForDeed[[#This Row],[Taxes]])</f>
        <v>982.61999999999989</v>
      </c>
      <c r="W127" s="328">
        <f>SUM(INDEX(tblContractForDeed[Princ],1):INDEX(tblContractForDeed[Princ],ROW()-ROW(tblContractForDeed[#Headers])))</f>
        <v>31590.740000000016</v>
      </c>
      <c r="X127" s="328">
        <f>IF(tblContractForDeed[[#This Row],[Beg]]&lt;=0,0,tblContractForDeed[[#This Row],[Beg]]-tblContractForDeed[[#This Row],[Princ]])</f>
        <v>43667.260000000031</v>
      </c>
      <c r="Y12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7">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8">
        <f>IF(INDEX(tblContractForDeed[End Bal],ROW()-ROW(tblBuyerOutputs[#Headers]))&lt;=0,0,($O$6+IF(ROW()=ROW(tblBuyerOutputs[#Headers])+1,0,INDEX(tblBuyerOutputs[Cumul Appr],ROW()-ROW(tblBuyerOutputs[#Headers])-1)))*$O$2/12)</f>
        <v>489.28524955098328</v>
      </c>
      <c r="AE127" s="328">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594">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88">
        <f t="shared" si="26"/>
        <v>9</v>
      </c>
      <c r="M128" s="388">
        <f t="shared" si="21"/>
        <v>108</v>
      </c>
      <c r="N128" s="594">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47">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6">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594">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88">
        <f t="shared" si="26"/>
        <v>9</v>
      </c>
      <c r="M129" s="388">
        <f t="shared" si="21"/>
        <v>109</v>
      </c>
      <c r="N129" s="594">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47">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6">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594">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88">
        <f t="shared" si="26"/>
        <v>9</v>
      </c>
      <c r="M130" s="388">
        <f t="shared" si="21"/>
        <v>110</v>
      </c>
      <c r="N130" s="594">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47">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6">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594">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88">
        <f t="shared" si="26"/>
        <v>9</v>
      </c>
      <c r="M131" s="388">
        <f t="shared" si="21"/>
        <v>111</v>
      </c>
      <c r="N131" s="594">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47">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6">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594">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88">
        <f t="shared" si="26"/>
        <v>9</v>
      </c>
      <c r="M132" s="388">
        <f t="shared" si="21"/>
        <v>112</v>
      </c>
      <c r="N132" s="594">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47">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6">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594">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88">
        <f t="shared" si="26"/>
        <v>9</v>
      </c>
      <c r="M133" s="388">
        <f t="shared" si="21"/>
        <v>113</v>
      </c>
      <c r="N133" s="594">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47">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6">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594">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88">
        <f t="shared" si="26"/>
        <v>9</v>
      </c>
      <c r="M134" s="388">
        <f t="shared" si="21"/>
        <v>114</v>
      </c>
      <c r="N134" s="594">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47">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6">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594">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88">
        <f t="shared" si="26"/>
        <v>9</v>
      </c>
      <c r="M135" s="388">
        <f t="shared" si="21"/>
        <v>115</v>
      </c>
      <c r="N135" s="594">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47">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6">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594">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88">
        <f t="shared" si="26"/>
        <v>9</v>
      </c>
      <c r="M136" s="388">
        <f t="shared" si="21"/>
        <v>116</v>
      </c>
      <c r="N136" s="594">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47">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6">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594">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88">
        <f t="shared" si="26"/>
        <v>9</v>
      </c>
      <c r="M137" s="388">
        <f t="shared" si="21"/>
        <v>117</v>
      </c>
      <c r="N137" s="594">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47">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6">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594">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88">
        <f t="shared" si="26"/>
        <v>9</v>
      </c>
      <c r="M138" s="388">
        <f t="shared" si="21"/>
        <v>118</v>
      </c>
      <c r="N138" s="594">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47">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6">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595">
        <f t="shared" si="17"/>
        <v>49491</v>
      </c>
      <c r="B139" s="328">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8">
        <f t="shared" si="22"/>
        <v>47094.5</v>
      </c>
      <c r="J139" s="328">
        <f t="shared" si="23"/>
        <v>28306.539999999994</v>
      </c>
      <c r="K139" s="328">
        <f t="shared" si="20"/>
        <v>50437.339999999946</v>
      </c>
      <c r="L139" s="389">
        <f t="shared" si="26"/>
        <v>9</v>
      </c>
      <c r="M139" s="389">
        <f t="shared" si="21"/>
        <v>119</v>
      </c>
      <c r="N139" s="595">
        <f>INDEX(tblSubjectToLoan[Date],ROW()-ROW(tblContractForDeed[#Headers]))</f>
        <v>49491</v>
      </c>
      <c r="O139" s="328">
        <f>IF(ROW()=ROW(tblContractForDeed[#Headers])+1,$O$6,IF(INDEX(tblContractForDeed[End Bal],ROW()-ROW(tblContractForDeed[#Headers])-1)&lt;0,0,INDEX(tblContractForDeed[End Bal],ROW()-ROW(tblContractForDeed[#Headers])-1)))</f>
        <v>38979.930000000037</v>
      </c>
      <c r="P139" s="447">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8">
        <f>IF(tblContractForDeed[[#This Row],[Payment]]=0,0,MAX(0,MIN(tblContractForDeed[[#This Row],[Beg]],tblContractForDeed[[#This Row],[Payment]]-tblContractForDeed[[#This Row],[Int]])))</f>
        <v>440.64</v>
      </c>
      <c r="S139" s="328">
        <f>IF(OR(tblContractForDeed[[#This Row],[Date]]&lt;cfdContractDate,tblContractForDeed[[#This Row],[Date]]&gt;cfdEndDate),0,ROUND(tblContractForDeed[[#This Row],[Beg]]*(tblContractForDeed[[#This Row],[Int Rate]]/12),2))</f>
        <v>219.26</v>
      </c>
      <c r="T139" s="328">
        <f>IF(tblContractForDeed[[#This Row],[Payment]]=0,0,$W$2)</f>
        <v>134.16999999999999</v>
      </c>
      <c r="U139" s="328">
        <f>IF(tblContractForDeed[[#This Row],[Princ]]=0,0,$W$3)</f>
        <v>188.55</v>
      </c>
      <c r="V139" s="328">
        <f>SUM(tblContractForDeed[[#This Row],[Princ]],tblContractForDeed[[#This Row],[Int]],tblContractForDeed[[#This Row],[Ins]],tblContractForDeed[[#This Row],[Taxes]])</f>
        <v>982.61999999999989</v>
      </c>
      <c r="W139" s="328">
        <f>SUM(INDEX(tblContractForDeed[Princ],1):INDEX(tblContractForDeed[Princ],ROW()-ROW(tblContractForDeed[#Headers])))</f>
        <v>36718.710000000014</v>
      </c>
      <c r="X139" s="328">
        <f>IF(tblContractForDeed[[#This Row],[Beg]]&lt;=0,0,tblContractForDeed[[#This Row],[Beg]]-tblContractForDeed[[#This Row],[Princ]])</f>
        <v>38539.290000000037</v>
      </c>
      <c r="Y13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7">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8">
        <f>IF(INDEX(tblContractForDeed[End Bal],ROW()-ROW(tblBuyerOutputs[#Headers]))&lt;=0,0,($O$6+IF(ROW()=ROW(tblBuyerOutputs[#Headers])+1,0,INDEX(tblBuyerOutputs[Cumul Appr],ROW()-ROW(tblBuyerOutputs[#Headers])-1)))*$O$2/12)</f>
        <v>514.3180115235491</v>
      </c>
      <c r="AE139" s="328">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594">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88">
        <f t="shared" si="26"/>
        <v>10</v>
      </c>
      <c r="M140" s="388">
        <f t="shared" si="21"/>
        <v>120</v>
      </c>
      <c r="N140" s="594">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47">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6">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594">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88">
        <f t="shared" si="26"/>
        <v>10</v>
      </c>
      <c r="M141" s="388">
        <f t="shared" si="21"/>
        <v>121</v>
      </c>
      <c r="N141" s="594">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47">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6">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594">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88">
        <f t="shared" si="26"/>
        <v>10</v>
      </c>
      <c r="M142" s="388">
        <f t="shared" si="21"/>
        <v>122</v>
      </c>
      <c r="N142" s="594">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47">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6">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594">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88">
        <f t="shared" si="26"/>
        <v>10</v>
      </c>
      <c r="M143" s="388">
        <f t="shared" si="21"/>
        <v>123</v>
      </c>
      <c r="N143" s="594">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47">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6">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594">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88">
        <f t="shared" si="26"/>
        <v>10</v>
      </c>
      <c r="M144" s="388">
        <f t="shared" si="21"/>
        <v>124</v>
      </c>
      <c r="N144" s="594">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47">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6">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594">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88">
        <f t="shared" si="26"/>
        <v>10</v>
      </c>
      <c r="M145" s="388">
        <f t="shared" si="21"/>
        <v>125</v>
      </c>
      <c r="N145" s="594">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47">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6">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594">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88">
        <f t="shared" si="26"/>
        <v>10</v>
      </c>
      <c r="M146" s="388">
        <f t="shared" si="21"/>
        <v>126</v>
      </c>
      <c r="N146" s="594">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47">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6">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594">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88">
        <f t="shared" si="26"/>
        <v>10</v>
      </c>
      <c r="M147" s="388">
        <f t="shared" si="21"/>
        <v>127</v>
      </c>
      <c r="N147" s="594">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47">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6">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594">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88">
        <f t="shared" si="26"/>
        <v>10</v>
      </c>
      <c r="M148" s="388">
        <f t="shared" si="21"/>
        <v>128</v>
      </c>
      <c r="N148" s="594">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47">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6">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594">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88">
        <f t="shared" si="26"/>
        <v>10</v>
      </c>
      <c r="M149" s="388">
        <f t="shared" ref="M149:M212" si="36">IF($A149&lt;&gt;"",M148+1,0)</f>
        <v>129</v>
      </c>
      <c r="N149" s="594">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47">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6">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594">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88">
        <f t="shared" si="26"/>
        <v>10</v>
      </c>
      <c r="M150" s="388">
        <f t="shared" si="36"/>
        <v>130</v>
      </c>
      <c r="N150" s="594">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47">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6">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595">
        <f t="shared" si="32"/>
        <v>49857</v>
      </c>
      <c r="B151" s="328">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8">
        <f t="shared" si="37"/>
        <v>52810.390000000007</v>
      </c>
      <c r="J151" s="328">
        <f t="shared" si="38"/>
        <v>30100.369999999988</v>
      </c>
      <c r="K151" s="328">
        <f t="shared" si="35"/>
        <v>44721.449999999939</v>
      </c>
      <c r="L151" s="389">
        <f t="shared" si="26"/>
        <v>10</v>
      </c>
      <c r="M151" s="389">
        <f t="shared" si="36"/>
        <v>131</v>
      </c>
      <c r="N151" s="595">
        <f>INDEX(tblSubjectToLoan[Date],ROW()-ROW(tblContractForDeed[#Headers]))</f>
        <v>49857</v>
      </c>
      <c r="O151" s="328">
        <f>IF(ROW()=ROW(tblContractForDeed[#Headers])+1,$O$6,IF(INDEX(tblContractForDeed[End Bal],ROW()-ROW(tblContractForDeed[#Headers])-1)&lt;0,0,INDEX(tblContractForDeed[End Bal],ROW()-ROW(tblContractForDeed[#Headers])-1)))</f>
        <v>33525.580000000038</v>
      </c>
      <c r="P151" s="447">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8">
        <f>IF(tblContractForDeed[[#This Row],[Payment]]=0,0,MAX(0,MIN(tblContractForDeed[[#This Row],[Beg]],tblContractForDeed[[#This Row],[Payment]]-tblContractForDeed[[#This Row],[Int]])))</f>
        <v>471.31999999999994</v>
      </c>
      <c r="S151" s="328">
        <f>IF(OR(tblContractForDeed[[#This Row],[Date]]&lt;cfdContractDate,tblContractForDeed[[#This Row],[Date]]&gt;cfdEndDate),0,ROUND(tblContractForDeed[[#This Row],[Beg]]*(tblContractForDeed[[#This Row],[Int Rate]]/12),2))</f>
        <v>188.58</v>
      </c>
      <c r="T151" s="328">
        <f>IF(tblContractForDeed[[#This Row],[Payment]]=0,0,$W$2)</f>
        <v>134.16999999999999</v>
      </c>
      <c r="U151" s="328">
        <f>IF(tblContractForDeed[[#This Row],[Princ]]=0,0,$W$3)</f>
        <v>188.55</v>
      </c>
      <c r="V151" s="328">
        <f>SUM(tblContractForDeed[[#This Row],[Princ]],tblContractForDeed[[#This Row],[Int]],tblContractForDeed[[#This Row],[Ins]],tblContractForDeed[[#This Row],[Taxes]])</f>
        <v>982.61999999999989</v>
      </c>
      <c r="W151" s="328">
        <f>SUM(INDEX(tblContractForDeed[Princ],1):INDEX(tblContractForDeed[Princ],ROW()-ROW(tblContractForDeed[#Headers])))</f>
        <v>42203.740000000013</v>
      </c>
      <c r="X151" s="328">
        <f>IF(tblContractForDeed[[#This Row],[Beg]]&lt;=0,0,tblContractForDeed[[#This Row],[Beg]]-tblContractForDeed[[#This Row],[Princ]])</f>
        <v>33054.260000000038</v>
      </c>
      <c r="Y151"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7">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8">
        <f>IF(INDEX(tblContractForDeed[End Bal],ROW()-ROW(tblBuyerOutputs[#Headers]))&lt;=0,0,($O$6+IF(ROW()=ROW(tblBuyerOutputs[#Headers])+1,0,INDEX(tblBuyerOutputs[Cumul Appr],ROW()-ROW(tblBuyerOutputs[#Headers])-1)))*$O$2/12)</f>
        <v>540.63149710785308</v>
      </c>
      <c r="AE151" s="328">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594">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88">
        <f t="shared" si="26"/>
        <v>11</v>
      </c>
      <c r="M152" s="388">
        <f t="shared" si="36"/>
        <v>132</v>
      </c>
      <c r="N152" s="594">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47">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6">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594">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88">
        <f t="shared" si="26"/>
        <v>11</v>
      </c>
      <c r="M153" s="388">
        <f t="shared" si="36"/>
        <v>133</v>
      </c>
      <c r="N153" s="594">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47">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6">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594">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88">
        <f t="shared" si="26"/>
        <v>11</v>
      </c>
      <c r="M154" s="388">
        <f t="shared" si="36"/>
        <v>134</v>
      </c>
      <c r="N154" s="594">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47">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6">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594">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88">
        <f t="shared" si="26"/>
        <v>11</v>
      </c>
      <c r="M155" s="388">
        <f t="shared" si="36"/>
        <v>135</v>
      </c>
      <c r="N155" s="594">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47">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6">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594">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88">
        <f t="shared" si="26"/>
        <v>11</v>
      </c>
      <c r="M156" s="388">
        <f t="shared" si="36"/>
        <v>136</v>
      </c>
      <c r="N156" s="594">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47">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6">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594">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88">
        <f t="shared" si="26"/>
        <v>11</v>
      </c>
      <c r="M157" s="388">
        <f t="shared" si="36"/>
        <v>137</v>
      </c>
      <c r="N157" s="594">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47">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6">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594">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88">
        <f t="shared" si="26"/>
        <v>11</v>
      </c>
      <c r="M158" s="388">
        <f t="shared" si="36"/>
        <v>138</v>
      </c>
      <c r="N158" s="594">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47">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6">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594">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88">
        <f t="shared" si="26"/>
        <v>11</v>
      </c>
      <c r="M159" s="388">
        <f t="shared" si="36"/>
        <v>139</v>
      </c>
      <c r="N159" s="594">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47">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6">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594">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88">
        <f t="shared" si="26"/>
        <v>11</v>
      </c>
      <c r="M160" s="388">
        <f t="shared" si="36"/>
        <v>140</v>
      </c>
      <c r="N160" s="594">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47">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6">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594">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88">
        <f t="shared" si="26"/>
        <v>11</v>
      </c>
      <c r="M161" s="388">
        <f t="shared" si="36"/>
        <v>141</v>
      </c>
      <c r="N161" s="594">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47">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6">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594">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88">
        <f t="shared" si="26"/>
        <v>11</v>
      </c>
      <c r="M162" s="388">
        <f t="shared" si="36"/>
        <v>142</v>
      </c>
      <c r="N162" s="594">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47">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6">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595">
        <f t="shared" si="32"/>
        <v>50222</v>
      </c>
      <c r="B163" s="328">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8">
        <f t="shared" si="37"/>
        <v>58744.369999999995</v>
      </c>
      <c r="J163" s="328">
        <f t="shared" si="38"/>
        <v>31676.10999999999</v>
      </c>
      <c r="K163" s="328">
        <f t="shared" si="35"/>
        <v>38787.46999999995</v>
      </c>
      <c r="L163" s="389">
        <f t="shared" si="26"/>
        <v>11</v>
      </c>
      <c r="M163" s="389">
        <f t="shared" si="36"/>
        <v>143</v>
      </c>
      <c r="N163" s="595">
        <f>INDEX(tblSubjectToLoan[Date],ROW()-ROW(tblContractForDeed[#Headers]))</f>
        <v>50222</v>
      </c>
      <c r="O163" s="328">
        <f>IF(ROW()=ROW(tblContractForDeed[#Headers])+1,$O$6,IF(INDEX(tblContractForDeed[End Bal],ROW()-ROW(tblContractForDeed[#Headers])-1)&lt;0,0,INDEX(tblContractForDeed[End Bal],ROW()-ROW(tblContractForDeed[#Headers])-1)))</f>
        <v>27691.460000000039</v>
      </c>
      <c r="P163" s="447">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8">
        <f>IF(tblContractForDeed[[#This Row],[Payment]]=0,0,MAX(0,MIN(tblContractForDeed[[#This Row],[Beg]],tblContractForDeed[[#This Row],[Payment]]-tblContractForDeed[[#This Row],[Int]])))</f>
        <v>504.14</v>
      </c>
      <c r="S163" s="328">
        <f>IF(OR(tblContractForDeed[[#This Row],[Date]]&lt;cfdContractDate,tblContractForDeed[[#This Row],[Date]]&gt;cfdEndDate),0,ROUND(tblContractForDeed[[#This Row],[Beg]]*(tblContractForDeed[[#This Row],[Int Rate]]/12),2))</f>
        <v>155.76</v>
      </c>
      <c r="T163" s="328">
        <f>IF(tblContractForDeed[[#This Row],[Payment]]=0,0,$W$2)</f>
        <v>134.16999999999999</v>
      </c>
      <c r="U163" s="328">
        <f>IF(tblContractForDeed[[#This Row],[Princ]]=0,0,$W$3)</f>
        <v>188.55</v>
      </c>
      <c r="V163" s="328">
        <f>SUM(tblContractForDeed[[#This Row],[Princ]],tblContractForDeed[[#This Row],[Int]],tblContractForDeed[[#This Row],[Ins]],tblContractForDeed[[#This Row],[Taxes]])</f>
        <v>982.61999999999989</v>
      </c>
      <c r="W163" s="328">
        <f>SUM(INDEX(tblContractForDeed[Princ],1):INDEX(tblContractForDeed[Princ],ROW()-ROW(tblContractForDeed[#Headers])))</f>
        <v>48070.680000000015</v>
      </c>
      <c r="X163" s="328">
        <f>IF(tblContractForDeed[[#This Row],[Beg]]&lt;=0,0,tblContractForDeed[[#This Row],[Beg]]-tblContractForDeed[[#This Row],[Princ]])</f>
        <v>27187.32000000004</v>
      </c>
      <c r="Y163"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7">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8">
        <f>IF(INDEX(tblContractForDeed[End Bal],ROW()-ROW(tblBuyerOutputs[#Headers]))&lt;=0,0,($O$6+IF(ROW()=ROW(tblBuyerOutputs[#Headers])+1,0,INDEX(tblBuyerOutputs[Cumul Appr],ROW()-ROW(tblBuyerOutputs[#Headers])-1)))*$O$2/12)</f>
        <v>568.29123055453351</v>
      </c>
      <c r="AE163" s="328">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594">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88">
        <f t="shared" si="26"/>
        <v>12</v>
      </c>
      <c r="M164" s="388">
        <f t="shared" si="36"/>
        <v>144</v>
      </c>
      <c r="N164" s="594">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47">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6">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594">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88">
        <f t="shared" si="26"/>
        <v>12</v>
      </c>
      <c r="M165" s="388">
        <f t="shared" si="36"/>
        <v>145</v>
      </c>
      <c r="N165" s="594">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47">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6">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594">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88">
        <f t="shared" si="26"/>
        <v>12</v>
      </c>
      <c r="M166" s="388">
        <f t="shared" si="36"/>
        <v>146</v>
      </c>
      <c r="N166" s="594">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47">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6">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594">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88">
        <f t="shared" si="26"/>
        <v>12</v>
      </c>
      <c r="M167" s="388">
        <f t="shared" si="36"/>
        <v>147</v>
      </c>
      <c r="N167" s="594">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47">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6">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594">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88">
        <f t="shared" si="26"/>
        <v>12</v>
      </c>
      <c r="M168" s="388">
        <f t="shared" si="36"/>
        <v>148</v>
      </c>
      <c r="N168" s="594">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47">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6">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594">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88">
        <f t="shared" si="26"/>
        <v>12</v>
      </c>
      <c r="M169" s="388">
        <f t="shared" si="36"/>
        <v>149</v>
      </c>
      <c r="N169" s="594">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47">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6">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594">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88">
        <f t="shared" si="26"/>
        <v>12</v>
      </c>
      <c r="M170" s="388">
        <f t="shared" si="36"/>
        <v>150</v>
      </c>
      <c r="N170" s="594">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47">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6">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594">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88">
        <f t="shared" si="26"/>
        <v>12</v>
      </c>
      <c r="M171" s="388">
        <f t="shared" si="36"/>
        <v>151</v>
      </c>
      <c r="N171" s="594">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47">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6">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594">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88">
        <f t="shared" si="26"/>
        <v>12</v>
      </c>
      <c r="M172" s="388">
        <f t="shared" si="36"/>
        <v>152</v>
      </c>
      <c r="N172" s="594">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47">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6">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594">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88">
        <f t="shared" si="26"/>
        <v>12</v>
      </c>
      <c r="M173" s="388">
        <f t="shared" si="36"/>
        <v>153</v>
      </c>
      <c r="N173" s="594">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47">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6">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594">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88">
        <f t="shared" si="26"/>
        <v>12</v>
      </c>
      <c r="M174" s="388">
        <f t="shared" si="36"/>
        <v>154</v>
      </c>
      <c r="N174" s="594">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47">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6">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595">
        <f t="shared" si="32"/>
        <v>50587</v>
      </c>
      <c r="B175" s="328">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8">
        <f t="shared" si="37"/>
        <v>64904.719999999987</v>
      </c>
      <c r="J175" s="328">
        <f t="shared" si="38"/>
        <v>33025.479999999981</v>
      </c>
      <c r="K175" s="328">
        <f t="shared" si="35"/>
        <v>32627.119999999959</v>
      </c>
      <c r="L175" s="389">
        <f t="shared" si="26"/>
        <v>12</v>
      </c>
      <c r="M175" s="389">
        <f t="shared" si="36"/>
        <v>155</v>
      </c>
      <c r="N175" s="595">
        <f>INDEX(tblSubjectToLoan[Date],ROW()-ROW(tblContractForDeed[#Headers]))</f>
        <v>50587</v>
      </c>
      <c r="O175" s="328">
        <f>IF(ROW()=ROW(tblContractForDeed[#Headers])+1,$O$6,IF(INDEX(tblContractForDeed[End Bal],ROW()-ROW(tblContractForDeed[#Headers])-1)&lt;0,0,INDEX(tblContractForDeed[End Bal],ROW()-ROW(tblContractForDeed[#Headers])-1)))</f>
        <v>21451.140000000036</v>
      </c>
      <c r="P175" s="447">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8">
        <f>IF(tblContractForDeed[[#This Row],[Payment]]=0,0,MAX(0,MIN(tblContractForDeed[[#This Row],[Beg]],tblContractForDeed[[#This Row],[Payment]]-tblContractForDeed[[#This Row],[Int]])))</f>
        <v>539.24</v>
      </c>
      <c r="S175" s="328">
        <f>IF(OR(tblContractForDeed[[#This Row],[Date]]&lt;cfdContractDate,tblContractForDeed[[#This Row],[Date]]&gt;cfdEndDate),0,ROUND(tblContractForDeed[[#This Row],[Beg]]*(tblContractForDeed[[#This Row],[Int Rate]]/12),2))</f>
        <v>120.66</v>
      </c>
      <c r="T175" s="328">
        <f>IF(tblContractForDeed[[#This Row],[Payment]]=0,0,$W$2)</f>
        <v>134.16999999999999</v>
      </c>
      <c r="U175" s="328">
        <f>IF(tblContractForDeed[[#This Row],[Princ]]=0,0,$W$3)</f>
        <v>188.55</v>
      </c>
      <c r="V175" s="328">
        <f>SUM(tblContractForDeed[[#This Row],[Princ]],tblContractForDeed[[#This Row],[Int]],tblContractForDeed[[#This Row],[Ins]],tblContractForDeed[[#This Row],[Taxes]])</f>
        <v>982.61999999999989</v>
      </c>
      <c r="W175" s="328">
        <f>SUM(INDEX(tblContractForDeed[Princ],1):INDEX(tblContractForDeed[Princ],ROW()-ROW(tblContractForDeed[#Headers])))</f>
        <v>54346.100000000013</v>
      </c>
      <c r="X175" s="328">
        <f>IF(tblContractForDeed[[#This Row],[Beg]]&lt;=0,0,tblContractForDeed[[#This Row],[Beg]]-tblContractForDeed[[#This Row],[Princ]])</f>
        <v>20911.900000000034</v>
      </c>
      <c r="Y175"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7">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8">
        <f>IF(INDEX(tblContractForDeed[End Bal],ROW()-ROW(tblBuyerOutputs[#Headers]))&lt;=0,0,($O$6+IF(ROW()=ROW(tblBuyerOutputs[#Headers])+1,0,INDEX(tblBuyerOutputs[Cumul Appr],ROW()-ROW(tblBuyerOutputs[#Headers])-1)))*$O$2/12)</f>
        <v>597.36608845924911</v>
      </c>
      <c r="AE175" s="328">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594">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88">
        <f t="shared" si="26"/>
        <v>13</v>
      </c>
      <c r="M176" s="388">
        <f t="shared" si="36"/>
        <v>156</v>
      </c>
      <c r="N176" s="594">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47">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6">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594">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88">
        <f t="shared" si="26"/>
        <v>13</v>
      </c>
      <c r="M177" s="388">
        <f t="shared" si="36"/>
        <v>157</v>
      </c>
      <c r="N177" s="594">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47">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6">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594">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88">
        <f t="shared" si="26"/>
        <v>13</v>
      </c>
      <c r="M178" s="388">
        <f t="shared" si="36"/>
        <v>158</v>
      </c>
      <c r="N178" s="594">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47">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6">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594">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88">
        <f t="shared" si="26"/>
        <v>13</v>
      </c>
      <c r="M179" s="388">
        <f t="shared" si="36"/>
        <v>159</v>
      </c>
      <c r="N179" s="594">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47">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6">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594">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88">
        <f t="shared" ref="L180:L243" si="41">IF(MOD(M180,12)=0,M180/12,L179)</f>
        <v>13</v>
      </c>
      <c r="M180" s="388">
        <f t="shared" si="36"/>
        <v>160</v>
      </c>
      <c r="N180" s="594">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47">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6">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594">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88">
        <f t="shared" si="41"/>
        <v>13</v>
      </c>
      <c r="M181" s="388">
        <f t="shared" si="36"/>
        <v>161</v>
      </c>
      <c r="N181" s="594">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47">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6">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594">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88">
        <f t="shared" si="41"/>
        <v>13</v>
      </c>
      <c r="M182" s="388">
        <f t="shared" si="36"/>
        <v>162</v>
      </c>
      <c r="N182" s="594">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47">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6">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594">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88">
        <f t="shared" si="41"/>
        <v>13</v>
      </c>
      <c r="M183" s="388">
        <f t="shared" si="36"/>
        <v>163</v>
      </c>
      <c r="N183" s="594">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47">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6">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594">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88">
        <f t="shared" si="41"/>
        <v>13</v>
      </c>
      <c r="M184" s="388">
        <f t="shared" si="36"/>
        <v>164</v>
      </c>
      <c r="N184" s="594">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47">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6">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594">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88">
        <f t="shared" si="41"/>
        <v>13</v>
      </c>
      <c r="M185" s="388">
        <f t="shared" si="36"/>
        <v>165</v>
      </c>
      <c r="N185" s="594">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47">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6">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594">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88">
        <f t="shared" si="41"/>
        <v>13</v>
      </c>
      <c r="M186" s="388">
        <f t="shared" si="36"/>
        <v>166</v>
      </c>
      <c r="N186" s="594">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47">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6">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595">
        <f t="shared" si="32"/>
        <v>50952</v>
      </c>
      <c r="B187" s="328">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8">
        <f t="shared" si="37"/>
        <v>71300.109999999971</v>
      </c>
      <c r="J187" s="328">
        <f t="shared" si="38"/>
        <v>34139.809999999976</v>
      </c>
      <c r="K187" s="328">
        <f t="shared" si="35"/>
        <v>26231.72999999996</v>
      </c>
      <c r="L187" s="389">
        <f t="shared" si="41"/>
        <v>13</v>
      </c>
      <c r="M187" s="389">
        <f t="shared" si="36"/>
        <v>167</v>
      </c>
      <c r="N187" s="595">
        <f>INDEX(tblSubjectToLoan[Date],ROW()-ROW(tblContractForDeed[#Headers]))</f>
        <v>50952</v>
      </c>
      <c r="O187" s="328">
        <f>IF(ROW()=ROW(tblContractForDeed[#Headers])+1,$O$6,IF(INDEX(tblContractForDeed[End Bal],ROW()-ROW(tblContractForDeed[#Headers])-1)&lt;0,0,INDEX(tblContractForDeed[End Bal],ROW()-ROW(tblContractForDeed[#Headers])-1)))</f>
        <v>14776.300000000036</v>
      </c>
      <c r="P187" s="447">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8">
        <f>IF(tblContractForDeed[[#This Row],[Payment]]=0,0,MAX(0,MIN(tblContractForDeed[[#This Row],[Beg]],tblContractForDeed[[#This Row],[Payment]]-tblContractForDeed[[#This Row],[Int]])))</f>
        <v>576.78</v>
      </c>
      <c r="S187" s="328">
        <f>IF(OR(tblContractForDeed[[#This Row],[Date]]&lt;cfdContractDate,tblContractForDeed[[#This Row],[Date]]&gt;cfdEndDate),0,ROUND(tblContractForDeed[[#This Row],[Beg]]*(tblContractForDeed[[#This Row],[Int Rate]]/12),2))</f>
        <v>83.12</v>
      </c>
      <c r="T187" s="328">
        <f>IF(tblContractForDeed[[#This Row],[Payment]]=0,0,$W$2)</f>
        <v>134.16999999999999</v>
      </c>
      <c r="U187" s="328">
        <f>IF(tblContractForDeed[[#This Row],[Princ]]=0,0,$W$3)</f>
        <v>188.55</v>
      </c>
      <c r="V187" s="328">
        <f>SUM(tblContractForDeed[[#This Row],[Princ]],tblContractForDeed[[#This Row],[Int]],tblContractForDeed[[#This Row],[Ins]],tblContractForDeed[[#This Row],[Taxes]])</f>
        <v>982.61999999999989</v>
      </c>
      <c r="W187" s="328">
        <f>SUM(INDEX(tblContractForDeed[Princ],1):INDEX(tblContractForDeed[Princ],ROW()-ROW(tblContractForDeed[#Headers])))</f>
        <v>61058.48000000001</v>
      </c>
      <c r="X187" s="328">
        <f>IF(tblContractForDeed[[#This Row],[Beg]]&lt;=0,0,tblContractForDeed[[#This Row],[Beg]]-tblContractForDeed[[#This Row],[Princ]])</f>
        <v>14199.520000000035</v>
      </c>
      <c r="Y187"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7">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8">
        <f>IF(INDEX(tblContractForDeed[End Bal],ROW()-ROW(tblBuyerOutputs[#Headers]))&lt;=0,0,($O$6+IF(ROW()=ROW(tblBuyerOutputs[#Headers])+1,0,INDEX(tblBuyerOutputs[Cumul Appr],ROW()-ROW(tblBuyerOutputs[#Headers])-1)))*$O$2/12)</f>
        <v>627.92847127501159</v>
      </c>
      <c r="AE187" s="328">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594">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88">
        <f t="shared" si="41"/>
        <v>14</v>
      </c>
      <c r="M188" s="388">
        <f t="shared" si="36"/>
        <v>168</v>
      </c>
      <c r="N188" s="594">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47">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6">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594">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88">
        <f t="shared" si="41"/>
        <v>14</v>
      </c>
      <c r="M189" s="388">
        <f t="shared" si="36"/>
        <v>169</v>
      </c>
      <c r="N189" s="594">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47">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6">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594">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88">
        <f t="shared" si="41"/>
        <v>14</v>
      </c>
      <c r="M190" s="388">
        <f t="shared" si="36"/>
        <v>170</v>
      </c>
      <c r="N190" s="594">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47">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6">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594">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88">
        <f t="shared" si="41"/>
        <v>14</v>
      </c>
      <c r="M191" s="388">
        <f t="shared" si="36"/>
        <v>171</v>
      </c>
      <c r="N191" s="594">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47">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6">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594">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88">
        <f t="shared" si="41"/>
        <v>14</v>
      </c>
      <c r="M192" s="388">
        <f t="shared" si="36"/>
        <v>172</v>
      </c>
      <c r="N192" s="594">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47">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6">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594">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88">
        <f t="shared" si="41"/>
        <v>14</v>
      </c>
      <c r="M193" s="388">
        <f t="shared" si="36"/>
        <v>173</v>
      </c>
      <c r="N193" s="594">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47">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6">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594">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88">
        <f t="shared" si="41"/>
        <v>14</v>
      </c>
      <c r="M194" s="388">
        <f t="shared" si="36"/>
        <v>174</v>
      </c>
      <c r="N194" s="594">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47">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6">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594">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88">
        <f t="shared" si="41"/>
        <v>14</v>
      </c>
      <c r="M195" s="388">
        <f t="shared" si="36"/>
        <v>175</v>
      </c>
      <c r="N195" s="594">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47">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6">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594">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88">
        <f t="shared" si="41"/>
        <v>14</v>
      </c>
      <c r="M196" s="388">
        <f t="shared" si="36"/>
        <v>176</v>
      </c>
      <c r="N196" s="594">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47">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6">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594">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88">
        <f t="shared" si="41"/>
        <v>14</v>
      </c>
      <c r="M197" s="388">
        <f t="shared" si="36"/>
        <v>177</v>
      </c>
      <c r="N197" s="594">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47">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6">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594">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88">
        <f t="shared" si="41"/>
        <v>14</v>
      </c>
      <c r="M198" s="388">
        <f t="shared" si="36"/>
        <v>178</v>
      </c>
      <c r="N198" s="594">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47">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6">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595">
        <f t="shared" si="32"/>
        <v>51318</v>
      </c>
      <c r="B199" s="328">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8">
        <f t="shared" si="37"/>
        <v>77939.489999999976</v>
      </c>
      <c r="J199" s="328">
        <f t="shared" si="38"/>
        <v>35010.149999999972</v>
      </c>
      <c r="K199" s="328">
        <f t="shared" si="35"/>
        <v>19592.349999999955</v>
      </c>
      <c r="L199" s="389">
        <f t="shared" si="41"/>
        <v>14</v>
      </c>
      <c r="M199" s="389">
        <f t="shared" si="36"/>
        <v>179</v>
      </c>
      <c r="N199" s="595">
        <f>INDEX(tblSubjectToLoan[Date],ROW()-ROW(tblContractForDeed[#Headers]))</f>
        <v>51318</v>
      </c>
      <c r="O199" s="328">
        <f>IF(ROW()=ROW(tblContractForDeed[#Headers])+1,$O$6,IF(INDEX(tblContractForDeed[End Bal],ROW()-ROW(tblContractForDeed[#Headers])-1)&lt;0,0,INDEX(tblContractForDeed[End Bal],ROW()-ROW(tblContractForDeed[#Headers])-1)))</f>
        <v>7636.7000000000335</v>
      </c>
      <c r="P199" s="447">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8">
        <f>IF(tblContractForDeed[[#This Row],[Payment]]=0,0,MAX(0,MIN(tblContractForDeed[[#This Row],[Beg]],tblContractForDeed[[#This Row],[Payment]]-tblContractForDeed[[#This Row],[Int]])))</f>
        <v>616.93999999999994</v>
      </c>
      <c r="S199" s="328">
        <f>IF(OR(tblContractForDeed[[#This Row],[Date]]&lt;cfdContractDate,tblContractForDeed[[#This Row],[Date]]&gt;cfdEndDate),0,ROUND(tblContractForDeed[[#This Row],[Beg]]*(tblContractForDeed[[#This Row],[Int Rate]]/12),2))</f>
        <v>42.96</v>
      </c>
      <c r="T199" s="328">
        <f>IF(tblContractForDeed[[#This Row],[Payment]]=0,0,$W$2)</f>
        <v>134.16999999999999</v>
      </c>
      <c r="U199" s="328">
        <f>IF(tblContractForDeed[[#This Row],[Princ]]=0,0,$W$3)</f>
        <v>188.55</v>
      </c>
      <c r="V199" s="328">
        <f>SUM(tblContractForDeed[[#This Row],[Princ]],tblContractForDeed[[#This Row],[Int]],tblContractForDeed[[#This Row],[Ins]],tblContractForDeed[[#This Row],[Taxes]])</f>
        <v>982.61999999999989</v>
      </c>
      <c r="W199" s="328">
        <f>SUM(INDEX(tblContractForDeed[Princ],1):INDEX(tblContractForDeed[Princ],ROW()-ROW(tblContractForDeed[#Headers])))</f>
        <v>68238.240000000005</v>
      </c>
      <c r="X199" s="328">
        <f>IF(tblContractForDeed[[#This Row],[Beg]]&lt;=0,0,tblContractForDeed[[#This Row],[Beg]]-tblContractForDeed[[#This Row],[Princ]])</f>
        <v>7019.7600000000339</v>
      </c>
      <c r="Y199" s="389">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7">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8">
        <f>IF(INDEX(tblContractForDeed[End Bal],ROW()-ROW(tblBuyerOutputs[#Headers]))&lt;=0,0,($O$6+IF(ROW()=ROW(tblBuyerOutputs[#Headers])+1,0,INDEX(tblBuyerOutputs[Cumul Appr],ROW()-ROW(tblBuyerOutputs[#Headers])-1)))*$O$2/12)</f>
        <v>660.05448359941659</v>
      </c>
      <c r="AE199" s="328">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594">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88">
        <f t="shared" si="41"/>
        <v>15</v>
      </c>
      <c r="M200" s="388">
        <f t="shared" si="36"/>
        <v>180</v>
      </c>
      <c r="N200" s="594">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47">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6">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594">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88">
        <f t="shared" si="41"/>
        <v>15</v>
      </c>
      <c r="M201" s="388">
        <f t="shared" si="36"/>
        <v>181</v>
      </c>
      <c r="N201" s="594">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47">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6">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594">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88">
        <f t="shared" si="41"/>
        <v>15</v>
      </c>
      <c r="M202" s="388">
        <f t="shared" si="36"/>
        <v>182</v>
      </c>
      <c r="N202" s="594">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47">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6">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594">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88">
        <f t="shared" si="41"/>
        <v>15</v>
      </c>
      <c r="M203" s="388">
        <f t="shared" si="36"/>
        <v>183</v>
      </c>
      <c r="N203" s="594">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47">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6">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594">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88">
        <f t="shared" si="41"/>
        <v>15</v>
      </c>
      <c r="M204" s="388">
        <f t="shared" si="36"/>
        <v>184</v>
      </c>
      <c r="N204" s="594">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47">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6">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594">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88">
        <f t="shared" si="41"/>
        <v>15</v>
      </c>
      <c r="M205" s="388">
        <f t="shared" si="36"/>
        <v>185</v>
      </c>
      <c r="N205" s="594">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47">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6">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594">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88">
        <f t="shared" si="41"/>
        <v>15</v>
      </c>
      <c r="M206" s="388">
        <f t="shared" si="36"/>
        <v>186</v>
      </c>
      <c r="N206" s="594">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47">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6">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594">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88">
        <f t="shared" si="41"/>
        <v>15</v>
      </c>
      <c r="M207" s="388">
        <f t="shared" si="36"/>
        <v>187</v>
      </c>
      <c r="N207" s="594">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47">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6">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594">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88">
        <f t="shared" si="41"/>
        <v>15</v>
      </c>
      <c r="M208" s="388">
        <f t="shared" si="36"/>
        <v>188</v>
      </c>
      <c r="N208" s="594">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47">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6">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594">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88">
        <f t="shared" si="41"/>
        <v>15</v>
      </c>
      <c r="M209" s="388">
        <f t="shared" si="36"/>
        <v>189</v>
      </c>
      <c r="N209" s="594">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47">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6">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594">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88">
        <f t="shared" si="41"/>
        <v>15</v>
      </c>
      <c r="M210" s="388">
        <f t="shared" si="36"/>
        <v>190</v>
      </c>
      <c r="N210" s="594">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47">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88">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6">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595">
        <f t="shared" si="32"/>
        <v>51683</v>
      </c>
      <c r="B211" s="328">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8">
        <f t="shared" si="37"/>
        <v>84832.15</v>
      </c>
      <c r="J211" s="328">
        <f t="shared" si="38"/>
        <v>35627.209999999977</v>
      </c>
      <c r="K211" s="328">
        <f t="shared" si="35"/>
        <v>12699.68999999996</v>
      </c>
      <c r="L211" s="389">
        <f t="shared" si="41"/>
        <v>15</v>
      </c>
      <c r="M211" s="389">
        <f t="shared" si="36"/>
        <v>191</v>
      </c>
      <c r="N211" s="595">
        <f>INDEX(tblSubjectToLoan[Date],ROW()-ROW(tblContractForDeed[#Headers]))</f>
        <v>51683</v>
      </c>
      <c r="O211" s="328">
        <f>IF(ROW()=ROW(tblContractForDeed[#Headers])+1,$O$6,IF(INDEX(tblContractForDeed[End Bal],ROW()-ROW(tblContractForDeed[#Headers])-1)&lt;0,0,INDEX(tblContractForDeed[End Bal],ROW()-ROW(tblContractForDeed[#Headers])-1)))</f>
        <v>0</v>
      </c>
      <c r="P211" s="447">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8">
        <f>IF(tblContractForDeed[[#This Row],[Payment]]=0,0,MAX(0,MIN(tblContractForDeed[[#This Row],[Beg]],tblContractForDeed[[#This Row],[Payment]]-tblContractForDeed[[#This Row],[Int]])))</f>
        <v>0</v>
      </c>
      <c r="S211" s="328">
        <f>IF(OR(tblContractForDeed[[#This Row],[Date]]&lt;cfdContractDate,tblContractForDeed[[#This Row],[Date]]&gt;cfdEndDate),0,ROUND(tblContractForDeed[[#This Row],[Beg]]*(tblContractForDeed[[#This Row],[Int Rate]]/12),2))</f>
        <v>0</v>
      </c>
      <c r="T211" s="328">
        <f>IF(tblContractForDeed[[#This Row],[Payment]]=0,0,$W$2)</f>
        <v>0</v>
      </c>
      <c r="U211" s="328">
        <f>IF(tblContractForDeed[[#This Row],[Princ]]=0,0,$W$3)</f>
        <v>0</v>
      </c>
      <c r="V211" s="328">
        <f>SUM(tblContractForDeed[[#This Row],[Princ]],tblContractForDeed[[#This Row],[Int]],tblContractForDeed[[#This Row],[Ins]],tblContractForDeed[[#This Row],[Taxes]])</f>
        <v>0</v>
      </c>
      <c r="W211" s="328">
        <f>SUM(INDEX(tblContractForDeed[Princ],1):INDEX(tblContractForDeed[Princ],ROW()-ROW(tblContractForDeed[#Headers])))</f>
        <v>75258.000000000029</v>
      </c>
      <c r="X211" s="328">
        <f>IF(tblContractForDeed[[#This Row],[Beg]]&lt;=0,0,tblContractForDeed[[#This Row],[Beg]]-tblContractForDeed[[#This Row],[Princ]])</f>
        <v>0</v>
      </c>
      <c r="Y2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7">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8">
        <f>IF(INDEX(tblContractForDeed[End Bal],ROW()-ROW(tblBuyerOutputs[#Headers]))&lt;=0,0,($O$6+IF(ROW()=ROW(tblBuyerOutputs[#Headers])+1,0,INDEX(tblBuyerOutputs[Cumul Appr],ROW()-ROW(tblBuyerOutputs[#Headers])-1)))*$O$2/12)</f>
        <v>0</v>
      </c>
      <c r="AE211" s="328">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594">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88">
        <f t="shared" si="41"/>
        <v>16</v>
      </c>
      <c r="M212" s="388">
        <f t="shared" si="36"/>
        <v>192</v>
      </c>
      <c r="N212" s="594">
        <f>INDEX(tblSubjectToLoan[Date],ROW()-ROW(tblContractForDeed[#Headers]))</f>
        <v>51714</v>
      </c>
      <c r="O212" s="276">
        <f>IF(ROW()=ROW(tblContractForDeed[#Headers])+1,$O$6,IF(INDEX(tblContractForDeed[End Bal],ROW()-ROW(tblContractForDeed[#Headers])-1)&lt;0,0,INDEX(tblContractForDeed[End Bal],ROW()-ROW(tblContractForDeed[#Headers])-1)))</f>
        <v>0</v>
      </c>
      <c r="P212" s="447">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6">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594">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88">
        <f t="shared" si="41"/>
        <v>16</v>
      </c>
      <c r="M213" s="388">
        <f t="shared" ref="M213:M276" si="51">IF($A213&lt;&gt;"",M212+1,0)</f>
        <v>193</v>
      </c>
      <c r="N213" s="594">
        <f>INDEX(tblSubjectToLoan[Date],ROW()-ROW(tblContractForDeed[#Headers]))</f>
        <v>51745</v>
      </c>
      <c r="O213" s="276">
        <f>IF(ROW()=ROW(tblContractForDeed[#Headers])+1,$O$6,IF(INDEX(tblContractForDeed[End Bal],ROW()-ROW(tblContractForDeed[#Headers])-1)&lt;0,0,INDEX(tblContractForDeed[End Bal],ROW()-ROW(tblContractForDeed[#Headers])-1)))</f>
        <v>0</v>
      </c>
      <c r="P213" s="447">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6">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594">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88">
        <f t="shared" si="41"/>
        <v>16</v>
      </c>
      <c r="M214" s="388">
        <f t="shared" si="51"/>
        <v>194</v>
      </c>
      <c r="N214" s="594">
        <f>INDEX(tblSubjectToLoan[Date],ROW()-ROW(tblContractForDeed[#Headers]))</f>
        <v>51775</v>
      </c>
      <c r="O214" s="276">
        <f>IF(ROW()=ROW(tblContractForDeed[#Headers])+1,$O$6,IF(INDEX(tblContractForDeed[End Bal],ROW()-ROW(tblContractForDeed[#Headers])-1)&lt;0,0,INDEX(tblContractForDeed[End Bal],ROW()-ROW(tblContractForDeed[#Headers])-1)))</f>
        <v>0</v>
      </c>
      <c r="P214" s="447">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6">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594">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88">
        <f t="shared" si="41"/>
        <v>16</v>
      </c>
      <c r="M215" s="388">
        <f t="shared" si="51"/>
        <v>195</v>
      </c>
      <c r="N215" s="594">
        <f>INDEX(tblSubjectToLoan[Date],ROW()-ROW(tblContractForDeed[#Headers]))</f>
        <v>51806</v>
      </c>
      <c r="O215" s="276">
        <f>IF(ROW()=ROW(tblContractForDeed[#Headers])+1,$O$6,IF(INDEX(tblContractForDeed[End Bal],ROW()-ROW(tblContractForDeed[#Headers])-1)&lt;0,0,INDEX(tblContractForDeed[End Bal],ROW()-ROW(tblContractForDeed[#Headers])-1)))</f>
        <v>0</v>
      </c>
      <c r="P215" s="447">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6">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594">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88">
        <f t="shared" si="41"/>
        <v>16</v>
      </c>
      <c r="M216" s="388">
        <f t="shared" si="51"/>
        <v>196</v>
      </c>
      <c r="N216" s="594">
        <f>INDEX(tblSubjectToLoan[Date],ROW()-ROW(tblContractForDeed[#Headers]))</f>
        <v>51836</v>
      </c>
      <c r="O216" s="276">
        <f>IF(ROW()=ROW(tblContractForDeed[#Headers])+1,$O$6,IF(INDEX(tblContractForDeed[End Bal],ROW()-ROW(tblContractForDeed[#Headers])-1)&lt;0,0,INDEX(tblContractForDeed[End Bal],ROW()-ROW(tblContractForDeed[#Headers])-1)))</f>
        <v>0</v>
      </c>
      <c r="P216" s="447">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6">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594">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88">
        <f t="shared" si="41"/>
        <v>16</v>
      </c>
      <c r="M217" s="388">
        <f t="shared" si="51"/>
        <v>197</v>
      </c>
      <c r="N217" s="594">
        <f>INDEX(tblSubjectToLoan[Date],ROW()-ROW(tblContractForDeed[#Headers]))</f>
        <v>51867</v>
      </c>
      <c r="O217" s="276">
        <f>IF(ROW()=ROW(tblContractForDeed[#Headers])+1,$O$6,IF(INDEX(tblContractForDeed[End Bal],ROW()-ROW(tblContractForDeed[#Headers])-1)&lt;0,0,INDEX(tblContractForDeed[End Bal],ROW()-ROW(tblContractForDeed[#Headers])-1)))</f>
        <v>0</v>
      </c>
      <c r="P217" s="447">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6">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594">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88">
        <f t="shared" si="41"/>
        <v>16</v>
      </c>
      <c r="M218" s="388">
        <f t="shared" si="51"/>
        <v>198</v>
      </c>
      <c r="N218" s="594">
        <f>INDEX(tblSubjectToLoan[Date],ROW()-ROW(tblContractForDeed[#Headers]))</f>
        <v>51898</v>
      </c>
      <c r="O218" s="276">
        <f>IF(ROW()=ROW(tblContractForDeed[#Headers])+1,$O$6,IF(INDEX(tblContractForDeed[End Bal],ROW()-ROW(tblContractForDeed[#Headers])-1)&lt;0,0,INDEX(tblContractForDeed[End Bal],ROW()-ROW(tblContractForDeed[#Headers])-1)))</f>
        <v>0</v>
      </c>
      <c r="P218" s="447">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6">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594">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88">
        <f t="shared" si="41"/>
        <v>16</v>
      </c>
      <c r="M219" s="388">
        <f t="shared" si="51"/>
        <v>199</v>
      </c>
      <c r="N219" s="594">
        <f>INDEX(tblSubjectToLoan[Date],ROW()-ROW(tblContractForDeed[#Headers]))</f>
        <v>51926</v>
      </c>
      <c r="O219" s="276">
        <f>IF(ROW()=ROW(tblContractForDeed[#Headers])+1,$O$6,IF(INDEX(tblContractForDeed[End Bal],ROW()-ROW(tblContractForDeed[#Headers])-1)&lt;0,0,INDEX(tblContractForDeed[End Bal],ROW()-ROW(tblContractForDeed[#Headers])-1)))</f>
        <v>0</v>
      </c>
      <c r="P219" s="447">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6">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594">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88">
        <f t="shared" si="41"/>
        <v>16</v>
      </c>
      <c r="M220" s="388">
        <f t="shared" si="51"/>
        <v>200</v>
      </c>
      <c r="N220" s="594">
        <f>INDEX(tblSubjectToLoan[Date],ROW()-ROW(tblContractForDeed[#Headers]))</f>
        <v>51957</v>
      </c>
      <c r="O220" s="276">
        <f>IF(ROW()=ROW(tblContractForDeed[#Headers])+1,$O$6,IF(INDEX(tblContractForDeed[End Bal],ROW()-ROW(tblContractForDeed[#Headers])-1)&lt;0,0,INDEX(tblContractForDeed[End Bal],ROW()-ROW(tblContractForDeed[#Headers])-1)))</f>
        <v>0</v>
      </c>
      <c r="P220" s="447">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6">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594">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88">
        <f t="shared" si="41"/>
        <v>16</v>
      </c>
      <c r="M221" s="388">
        <f t="shared" si="51"/>
        <v>201</v>
      </c>
      <c r="N221" s="594">
        <f>INDEX(tblSubjectToLoan[Date],ROW()-ROW(tblContractForDeed[#Headers]))</f>
        <v>51987</v>
      </c>
      <c r="O221" s="276">
        <f>IF(ROW()=ROW(tblContractForDeed[#Headers])+1,$O$6,IF(INDEX(tblContractForDeed[End Bal],ROW()-ROW(tblContractForDeed[#Headers])-1)&lt;0,0,INDEX(tblContractForDeed[End Bal],ROW()-ROW(tblContractForDeed[#Headers])-1)))</f>
        <v>0</v>
      </c>
      <c r="P221" s="447">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6">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594">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88">
        <f t="shared" si="41"/>
        <v>16</v>
      </c>
      <c r="M222" s="388">
        <f t="shared" si="51"/>
        <v>202</v>
      </c>
      <c r="N222" s="594">
        <f>INDEX(tblSubjectToLoan[Date],ROW()-ROW(tblContractForDeed[#Headers]))</f>
        <v>52018</v>
      </c>
      <c r="O222" s="276">
        <f>IF(ROW()=ROW(tblContractForDeed[#Headers])+1,$O$6,IF(INDEX(tblContractForDeed[End Bal],ROW()-ROW(tblContractForDeed[#Headers])-1)&lt;0,0,INDEX(tblContractForDeed[End Bal],ROW()-ROW(tblContractForDeed[#Headers])-1)))</f>
        <v>0</v>
      </c>
      <c r="P222" s="447">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6">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595">
        <f t="shared" si="47"/>
        <v>52048</v>
      </c>
      <c r="B223" s="328">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8">
        <f t="shared" si="52"/>
        <v>91987.799999999988</v>
      </c>
      <c r="J223" s="328">
        <f t="shared" si="53"/>
        <v>35981.279999999977</v>
      </c>
      <c r="K223" s="328">
        <f t="shared" si="50"/>
        <v>5544.0399999999609</v>
      </c>
      <c r="L223" s="389">
        <f t="shared" si="41"/>
        <v>16</v>
      </c>
      <c r="M223" s="389">
        <f t="shared" si="51"/>
        <v>203</v>
      </c>
      <c r="N223" s="595">
        <f>INDEX(tblSubjectToLoan[Date],ROW()-ROW(tblContractForDeed[#Headers]))</f>
        <v>52048</v>
      </c>
      <c r="O223" s="328">
        <f>IF(ROW()=ROW(tblContractForDeed[#Headers])+1,$O$6,IF(INDEX(tblContractForDeed[End Bal],ROW()-ROW(tblContractForDeed[#Headers])-1)&lt;0,0,INDEX(tblContractForDeed[End Bal],ROW()-ROW(tblContractForDeed[#Headers])-1)))</f>
        <v>0</v>
      </c>
      <c r="P223" s="447">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8">
        <f>IF(tblContractForDeed[[#This Row],[Payment]]=0,0,MAX(0,MIN(tblContractForDeed[[#This Row],[Beg]],tblContractForDeed[[#This Row],[Payment]]-tblContractForDeed[[#This Row],[Int]])))</f>
        <v>0</v>
      </c>
      <c r="S223" s="328">
        <f>IF(OR(tblContractForDeed[[#This Row],[Date]]&lt;cfdContractDate,tblContractForDeed[[#This Row],[Date]]&gt;cfdEndDate),0,ROUND(tblContractForDeed[[#This Row],[Beg]]*(tblContractForDeed[[#This Row],[Int Rate]]/12),2))</f>
        <v>0</v>
      </c>
      <c r="T223" s="328">
        <f>IF(tblContractForDeed[[#This Row],[Payment]]=0,0,$W$2)</f>
        <v>0</v>
      </c>
      <c r="U223" s="328">
        <f>IF(tblContractForDeed[[#This Row],[Princ]]=0,0,$W$3)</f>
        <v>0</v>
      </c>
      <c r="V223" s="328">
        <f>SUM(tblContractForDeed[[#This Row],[Princ]],tblContractForDeed[[#This Row],[Int]],tblContractForDeed[[#This Row],[Ins]],tblContractForDeed[[#This Row],[Taxes]])</f>
        <v>0</v>
      </c>
      <c r="W223" s="328">
        <f>SUM(INDEX(tblContractForDeed[Princ],1):INDEX(tblContractForDeed[Princ],ROW()-ROW(tblContractForDeed[#Headers])))</f>
        <v>75258.000000000029</v>
      </c>
      <c r="X223" s="328">
        <f>IF(tblContractForDeed[[#This Row],[Beg]]&lt;=0,0,tblContractForDeed[[#This Row],[Beg]]-tblContractForDeed[[#This Row],[Princ]])</f>
        <v>0</v>
      </c>
      <c r="Y2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7">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8">
        <f>IF(INDEX(tblContractForDeed[End Bal],ROW()-ROW(tblBuyerOutputs[#Headers]))&lt;=0,0,($O$6+IF(ROW()=ROW(tblBuyerOutputs[#Headers])+1,0,INDEX(tblBuyerOutputs[Cumul Appr],ROW()-ROW(tblBuyerOutputs[#Headers])-1)))*$O$2/12)</f>
        <v>0</v>
      </c>
      <c r="AE223" s="328">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594">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88">
        <f t="shared" si="41"/>
        <v>17</v>
      </c>
      <c r="M224" s="388">
        <f t="shared" si="51"/>
        <v>204</v>
      </c>
      <c r="N224" s="594">
        <f>INDEX(tblSubjectToLoan[Date],ROW()-ROW(tblContractForDeed[#Headers]))</f>
        <v>52079</v>
      </c>
      <c r="O224" s="276">
        <f>IF(ROW()=ROW(tblContractForDeed[#Headers])+1,$O$6,IF(INDEX(tblContractForDeed[End Bal],ROW()-ROW(tblContractForDeed[#Headers])-1)&lt;0,0,INDEX(tblContractForDeed[End Bal],ROW()-ROW(tblContractForDeed[#Headers])-1)))</f>
        <v>0</v>
      </c>
      <c r="P224" s="447">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6">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594">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88">
        <f t="shared" si="41"/>
        <v>17</v>
      </c>
      <c r="M225" s="388">
        <f t="shared" si="51"/>
        <v>205</v>
      </c>
      <c r="N225" s="594">
        <f>INDEX(tblSubjectToLoan[Date],ROW()-ROW(tblContractForDeed[#Headers]))</f>
        <v>52110</v>
      </c>
      <c r="O225" s="276">
        <f>IF(ROW()=ROW(tblContractForDeed[#Headers])+1,$O$6,IF(INDEX(tblContractForDeed[End Bal],ROW()-ROW(tblContractForDeed[#Headers])-1)&lt;0,0,INDEX(tblContractForDeed[End Bal],ROW()-ROW(tblContractForDeed[#Headers])-1)))</f>
        <v>0</v>
      </c>
      <c r="P225" s="447">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6">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594">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88">
        <f t="shared" si="41"/>
        <v>17</v>
      </c>
      <c r="M226" s="388">
        <f t="shared" si="51"/>
        <v>206</v>
      </c>
      <c r="N226" s="594">
        <f>INDEX(tblSubjectToLoan[Date],ROW()-ROW(tblContractForDeed[#Headers]))</f>
        <v>52140</v>
      </c>
      <c r="O226" s="276">
        <f>IF(ROW()=ROW(tblContractForDeed[#Headers])+1,$O$6,IF(INDEX(tblContractForDeed[End Bal],ROW()-ROW(tblContractForDeed[#Headers])-1)&lt;0,0,INDEX(tblContractForDeed[End Bal],ROW()-ROW(tblContractForDeed[#Headers])-1)))</f>
        <v>0</v>
      </c>
      <c r="P226" s="447">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6">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594">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88">
        <f t="shared" si="41"/>
        <v>17</v>
      </c>
      <c r="M227" s="388">
        <f t="shared" si="51"/>
        <v>207</v>
      </c>
      <c r="N227" s="594">
        <f>INDEX(tblSubjectToLoan[Date],ROW()-ROW(tblContractForDeed[#Headers]))</f>
        <v>52171</v>
      </c>
      <c r="O227" s="276">
        <f>IF(ROW()=ROW(tblContractForDeed[#Headers])+1,$O$6,IF(INDEX(tblContractForDeed[End Bal],ROW()-ROW(tblContractForDeed[#Headers])-1)&lt;0,0,INDEX(tblContractForDeed[End Bal],ROW()-ROW(tblContractForDeed[#Headers])-1)))</f>
        <v>0</v>
      </c>
      <c r="P227" s="447">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6">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594">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88">
        <f t="shared" si="41"/>
        <v>17</v>
      </c>
      <c r="M228" s="388">
        <f t="shared" si="51"/>
        <v>208</v>
      </c>
      <c r="N228" s="594">
        <f>INDEX(tblSubjectToLoan[Date],ROW()-ROW(tblContractForDeed[#Headers]))</f>
        <v>52201</v>
      </c>
      <c r="O228" s="276">
        <f>IF(ROW()=ROW(tblContractForDeed[#Headers])+1,$O$6,IF(INDEX(tblContractForDeed[End Bal],ROW()-ROW(tblContractForDeed[#Headers])-1)&lt;0,0,INDEX(tblContractForDeed[End Bal],ROW()-ROW(tblContractForDeed[#Headers])-1)))</f>
        <v>0</v>
      </c>
      <c r="P228" s="447">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6">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594">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88">
        <f t="shared" si="41"/>
        <v>17</v>
      </c>
      <c r="M229" s="388">
        <f t="shared" si="51"/>
        <v>209</v>
      </c>
      <c r="N229" s="594">
        <f>INDEX(tblSubjectToLoan[Date],ROW()-ROW(tblContractForDeed[#Headers]))</f>
        <v>52232</v>
      </c>
      <c r="O229" s="276">
        <f>IF(ROW()=ROW(tblContractForDeed[#Headers])+1,$O$6,IF(INDEX(tblContractForDeed[End Bal],ROW()-ROW(tblContractForDeed[#Headers])-1)&lt;0,0,INDEX(tblContractForDeed[End Bal],ROW()-ROW(tblContractForDeed[#Headers])-1)))</f>
        <v>0</v>
      </c>
      <c r="P229" s="447">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6">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594">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88">
        <f t="shared" si="41"/>
        <v>17</v>
      </c>
      <c r="M230" s="388">
        <f t="shared" si="51"/>
        <v>210</v>
      </c>
      <c r="N230" s="594">
        <f>INDEX(tblSubjectToLoan[Date],ROW()-ROW(tblContractForDeed[#Headers]))</f>
        <v>52263</v>
      </c>
      <c r="O230" s="276">
        <f>IF(ROW()=ROW(tblContractForDeed[#Headers])+1,$O$6,IF(INDEX(tblContractForDeed[End Bal],ROW()-ROW(tblContractForDeed[#Headers])-1)&lt;0,0,INDEX(tblContractForDeed[End Bal],ROW()-ROW(tblContractForDeed[#Headers])-1)))</f>
        <v>0</v>
      </c>
      <c r="P230" s="447">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6">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594">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88">
        <f t="shared" si="41"/>
        <v>17</v>
      </c>
      <c r="M231" s="388">
        <f t="shared" si="51"/>
        <v>211</v>
      </c>
      <c r="N231" s="594">
        <f>INDEX(tblSubjectToLoan[Date],ROW()-ROW(tblContractForDeed[#Headers]))</f>
        <v>52291</v>
      </c>
      <c r="O231" s="276">
        <f>IF(ROW()=ROW(tblContractForDeed[#Headers])+1,$O$6,IF(INDEX(tblContractForDeed[End Bal],ROW()-ROW(tblContractForDeed[#Headers])-1)&lt;0,0,INDEX(tblContractForDeed[End Bal],ROW()-ROW(tblContractForDeed[#Headers])-1)))</f>
        <v>0</v>
      </c>
      <c r="P231" s="447">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6">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594">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88">
        <f t="shared" si="41"/>
        <v>17</v>
      </c>
      <c r="M232" s="388">
        <f t="shared" si="51"/>
        <v>212</v>
      </c>
      <c r="N232" s="594">
        <f>INDEX(tblSubjectToLoan[Date],ROW()-ROW(tblContractForDeed[#Headers]))</f>
        <v>52322</v>
      </c>
      <c r="O232" s="276">
        <f>IF(ROW()=ROW(tblContractForDeed[#Headers])+1,$O$6,IF(INDEX(tblContractForDeed[End Bal],ROW()-ROW(tblContractForDeed[#Headers])-1)&lt;0,0,INDEX(tblContractForDeed[End Bal],ROW()-ROW(tblContractForDeed[#Headers])-1)))</f>
        <v>0</v>
      </c>
      <c r="P232" s="447">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6">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594"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88">
        <f t="shared" si="41"/>
        <v>0</v>
      </c>
      <c r="M233" s="388">
        <f t="shared" si="51"/>
        <v>0</v>
      </c>
      <c r="N233" s="594" t="str">
        <f>INDEX(tblSubjectToLoan[Date],ROW()-ROW(tblContractForDeed[#Headers]))</f>
        <v/>
      </c>
      <c r="O233" s="276">
        <f>IF(ROW()=ROW(tblContractForDeed[#Headers])+1,$O$6,IF(INDEX(tblContractForDeed[End Bal],ROW()-ROW(tblContractForDeed[#Headers])-1)&lt;0,0,INDEX(tblContractForDeed[End Bal],ROW()-ROW(tblContractForDeed[#Headers])-1)))</f>
        <v>0</v>
      </c>
      <c r="P233" s="447"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6">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594"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88">
        <f t="shared" si="41"/>
        <v>0</v>
      </c>
      <c r="M234" s="388">
        <f t="shared" si="51"/>
        <v>0</v>
      </c>
      <c r="N234" s="594" t="str">
        <f>INDEX(tblSubjectToLoan[Date],ROW()-ROW(tblContractForDeed[#Headers]))</f>
        <v/>
      </c>
      <c r="O234" s="276">
        <f>IF(ROW()=ROW(tblContractForDeed[#Headers])+1,$O$6,IF(INDEX(tblContractForDeed[End Bal],ROW()-ROW(tblContractForDeed[#Headers])-1)&lt;0,0,INDEX(tblContractForDeed[End Bal],ROW()-ROW(tblContractForDeed[#Headers])-1)))</f>
        <v>0</v>
      </c>
      <c r="P234" s="447"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6">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595" t="str">
        <f t="shared" si="47"/>
        <v/>
      </c>
      <c r="B235" s="328">
        <f t="shared" si="48"/>
        <v>0</v>
      </c>
      <c r="C235" s="21">
        <f t="shared" si="45"/>
        <v>0</v>
      </c>
      <c r="D235" s="21">
        <f t="shared" si="49"/>
        <v>0</v>
      </c>
      <c r="E235" s="21">
        <f t="shared" si="46"/>
        <v>0</v>
      </c>
      <c r="F235" s="21">
        <f t="shared" si="54"/>
        <v>134.16999999999999</v>
      </c>
      <c r="G235" s="21">
        <f t="shared" si="54"/>
        <v>188.55</v>
      </c>
      <c r="H235" s="21">
        <f t="shared" si="43"/>
        <v>322.72000000000003</v>
      </c>
      <c r="I235" s="328">
        <f t="shared" si="52"/>
        <v>97531.839999999953</v>
      </c>
      <c r="J235" s="328">
        <f t="shared" si="53"/>
        <v>36068.259999999973</v>
      </c>
      <c r="K235" s="328">
        <f t="shared" si="50"/>
        <v>0</v>
      </c>
      <c r="L235" s="389">
        <f t="shared" si="41"/>
        <v>0</v>
      </c>
      <c r="M235" s="389">
        <f t="shared" si="51"/>
        <v>0</v>
      </c>
      <c r="N235" s="595" t="str">
        <f>INDEX(tblSubjectToLoan[Date],ROW()-ROW(tblContractForDeed[#Headers]))</f>
        <v/>
      </c>
      <c r="O235" s="328">
        <f>IF(ROW()=ROW(tblContractForDeed[#Headers])+1,$O$6,IF(INDEX(tblContractForDeed[End Bal],ROW()-ROW(tblContractForDeed[#Headers])-1)&lt;0,0,INDEX(tblContractForDeed[End Bal],ROW()-ROW(tblContractForDeed[#Headers])-1)))</f>
        <v>0</v>
      </c>
      <c r="P235" s="447"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8">
        <f>IF(tblContractForDeed[[#This Row],[Payment]]=0,0,MAX(0,MIN(tblContractForDeed[[#This Row],[Beg]],tblContractForDeed[[#This Row],[Payment]]-tblContractForDeed[[#This Row],[Int]])))</f>
        <v>0</v>
      </c>
      <c r="S235" s="328">
        <f>IF(OR(tblContractForDeed[[#This Row],[Date]]&lt;cfdContractDate,tblContractForDeed[[#This Row],[Date]]&gt;cfdEndDate),0,ROUND(tblContractForDeed[[#This Row],[Beg]]*(tblContractForDeed[[#This Row],[Int Rate]]/12),2))</f>
        <v>0</v>
      </c>
      <c r="T235" s="328">
        <f>IF(tblContractForDeed[[#This Row],[Payment]]=0,0,$W$2)</f>
        <v>0</v>
      </c>
      <c r="U235" s="328">
        <f>IF(tblContractForDeed[[#This Row],[Princ]]=0,0,$W$3)</f>
        <v>0</v>
      </c>
      <c r="V235" s="328">
        <f>SUM(tblContractForDeed[[#This Row],[Princ]],tblContractForDeed[[#This Row],[Int]],tblContractForDeed[[#This Row],[Ins]],tblContractForDeed[[#This Row],[Taxes]])</f>
        <v>0</v>
      </c>
      <c r="W235" s="328">
        <f>SUM(INDEX(tblContractForDeed[Princ],1):INDEX(tblContractForDeed[Princ],ROW()-ROW(tblContractForDeed[#Headers])))</f>
        <v>75258.000000000029</v>
      </c>
      <c r="X235" s="328">
        <f>IF(tblContractForDeed[[#This Row],[Beg]]&lt;=0,0,tblContractForDeed[[#This Row],[Beg]]-tblContractForDeed[[#This Row],[Princ]])</f>
        <v>0</v>
      </c>
      <c r="Y2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7">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8">
        <f>IF(INDEX(tblContractForDeed[End Bal],ROW()-ROW(tblBuyerOutputs[#Headers]))&lt;=0,0,($O$6+IF(ROW()=ROW(tblBuyerOutputs[#Headers])+1,0,INDEX(tblBuyerOutputs[Cumul Appr],ROW()-ROW(tblBuyerOutputs[#Headers])-1)))*$O$2/12)</f>
        <v>0</v>
      </c>
      <c r="AE235" s="328">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594"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88">
        <f t="shared" si="41"/>
        <v>0</v>
      </c>
      <c r="M236" s="388">
        <f t="shared" si="51"/>
        <v>0</v>
      </c>
      <c r="N236" s="594" t="str">
        <f>INDEX(tblSubjectToLoan[Date],ROW()-ROW(tblContractForDeed[#Headers]))</f>
        <v/>
      </c>
      <c r="O236" s="276">
        <f>IF(ROW()=ROW(tblContractForDeed[#Headers])+1,$O$6,IF(INDEX(tblContractForDeed[End Bal],ROW()-ROW(tblContractForDeed[#Headers])-1)&lt;0,0,INDEX(tblContractForDeed[End Bal],ROW()-ROW(tblContractForDeed[#Headers])-1)))</f>
        <v>0</v>
      </c>
      <c r="P236" s="447"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6">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594"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88">
        <f t="shared" si="41"/>
        <v>0</v>
      </c>
      <c r="M237" s="388">
        <f t="shared" si="51"/>
        <v>0</v>
      </c>
      <c r="N237" s="594" t="str">
        <f>INDEX(tblSubjectToLoan[Date],ROW()-ROW(tblContractForDeed[#Headers]))</f>
        <v/>
      </c>
      <c r="O237" s="276">
        <f>IF(ROW()=ROW(tblContractForDeed[#Headers])+1,$O$6,IF(INDEX(tblContractForDeed[End Bal],ROW()-ROW(tblContractForDeed[#Headers])-1)&lt;0,0,INDEX(tblContractForDeed[End Bal],ROW()-ROW(tblContractForDeed[#Headers])-1)))</f>
        <v>0</v>
      </c>
      <c r="P237" s="447"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6">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594"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88">
        <f t="shared" si="41"/>
        <v>0</v>
      </c>
      <c r="M238" s="388">
        <f t="shared" si="51"/>
        <v>0</v>
      </c>
      <c r="N238" s="594" t="str">
        <f>INDEX(tblSubjectToLoan[Date],ROW()-ROW(tblContractForDeed[#Headers]))</f>
        <v/>
      </c>
      <c r="O238" s="276">
        <f>IF(ROW()=ROW(tblContractForDeed[#Headers])+1,$O$6,IF(INDEX(tblContractForDeed[End Bal],ROW()-ROW(tblContractForDeed[#Headers])-1)&lt;0,0,INDEX(tblContractForDeed[End Bal],ROW()-ROW(tblContractForDeed[#Headers])-1)))</f>
        <v>0</v>
      </c>
      <c r="P238" s="447"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6">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594"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88">
        <f t="shared" si="41"/>
        <v>0</v>
      </c>
      <c r="M239" s="388">
        <f t="shared" si="51"/>
        <v>0</v>
      </c>
      <c r="N239" s="594" t="str">
        <f>INDEX(tblSubjectToLoan[Date],ROW()-ROW(tblContractForDeed[#Headers]))</f>
        <v/>
      </c>
      <c r="O239" s="276">
        <f>IF(ROW()=ROW(tblContractForDeed[#Headers])+1,$O$6,IF(INDEX(tblContractForDeed[End Bal],ROW()-ROW(tblContractForDeed[#Headers])-1)&lt;0,0,INDEX(tblContractForDeed[End Bal],ROW()-ROW(tblContractForDeed[#Headers])-1)))</f>
        <v>0</v>
      </c>
      <c r="P239" s="447"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6">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594"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88">
        <f t="shared" si="41"/>
        <v>0</v>
      </c>
      <c r="M240" s="388">
        <f t="shared" si="51"/>
        <v>0</v>
      </c>
      <c r="N240" s="594" t="str">
        <f>INDEX(tblSubjectToLoan[Date],ROW()-ROW(tblContractForDeed[#Headers]))</f>
        <v/>
      </c>
      <c r="O240" s="276">
        <f>IF(ROW()=ROW(tblContractForDeed[#Headers])+1,$O$6,IF(INDEX(tblContractForDeed[End Bal],ROW()-ROW(tblContractForDeed[#Headers])-1)&lt;0,0,INDEX(tblContractForDeed[End Bal],ROW()-ROW(tblContractForDeed[#Headers])-1)))</f>
        <v>0</v>
      </c>
      <c r="P240" s="447"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6">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594"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88">
        <f t="shared" si="41"/>
        <v>0</v>
      </c>
      <c r="M241" s="388">
        <f t="shared" si="51"/>
        <v>0</v>
      </c>
      <c r="N241" s="594" t="str">
        <f>INDEX(tblSubjectToLoan[Date],ROW()-ROW(tblContractForDeed[#Headers]))</f>
        <v/>
      </c>
      <c r="O241" s="276">
        <f>IF(ROW()=ROW(tblContractForDeed[#Headers])+1,$O$6,IF(INDEX(tblContractForDeed[End Bal],ROW()-ROW(tblContractForDeed[#Headers])-1)&lt;0,0,INDEX(tblContractForDeed[End Bal],ROW()-ROW(tblContractForDeed[#Headers])-1)))</f>
        <v>0</v>
      </c>
      <c r="P241" s="447"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6">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594"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88">
        <f t="shared" si="41"/>
        <v>0</v>
      </c>
      <c r="M242" s="388">
        <f t="shared" si="51"/>
        <v>0</v>
      </c>
      <c r="N242" s="594" t="str">
        <f>INDEX(tblSubjectToLoan[Date],ROW()-ROW(tblContractForDeed[#Headers]))</f>
        <v/>
      </c>
      <c r="O242" s="276">
        <f>IF(ROW()=ROW(tblContractForDeed[#Headers])+1,$O$6,IF(INDEX(tblContractForDeed[End Bal],ROW()-ROW(tblContractForDeed[#Headers])-1)&lt;0,0,INDEX(tblContractForDeed[End Bal],ROW()-ROW(tblContractForDeed[#Headers])-1)))</f>
        <v>0</v>
      </c>
      <c r="P242" s="447"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6">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594"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88">
        <f t="shared" si="41"/>
        <v>0</v>
      </c>
      <c r="M243" s="388">
        <f t="shared" si="51"/>
        <v>0</v>
      </c>
      <c r="N243" s="594" t="str">
        <f>INDEX(tblSubjectToLoan[Date],ROW()-ROW(tblContractForDeed[#Headers]))</f>
        <v/>
      </c>
      <c r="O243" s="276">
        <f>IF(ROW()=ROW(tblContractForDeed[#Headers])+1,$O$6,IF(INDEX(tblContractForDeed[End Bal],ROW()-ROW(tblContractForDeed[#Headers])-1)&lt;0,0,INDEX(tblContractForDeed[End Bal],ROW()-ROW(tblContractForDeed[#Headers])-1)))</f>
        <v>0</v>
      </c>
      <c r="P243" s="447"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6">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594"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88">
        <f t="shared" ref="L244:L307" si="56">IF(MOD(M244,12)=0,M244/12,L243)</f>
        <v>0</v>
      </c>
      <c r="M244" s="388">
        <f t="shared" si="51"/>
        <v>0</v>
      </c>
      <c r="N244" s="594" t="str">
        <f>INDEX(tblSubjectToLoan[Date],ROW()-ROW(tblContractForDeed[#Headers]))</f>
        <v/>
      </c>
      <c r="O244" s="276">
        <f>IF(ROW()=ROW(tblContractForDeed[#Headers])+1,$O$6,IF(INDEX(tblContractForDeed[End Bal],ROW()-ROW(tblContractForDeed[#Headers])-1)&lt;0,0,INDEX(tblContractForDeed[End Bal],ROW()-ROW(tblContractForDeed[#Headers])-1)))</f>
        <v>0</v>
      </c>
      <c r="P244" s="447"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6">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594"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88">
        <f t="shared" si="56"/>
        <v>0</v>
      </c>
      <c r="M245" s="388">
        <f t="shared" si="51"/>
        <v>0</v>
      </c>
      <c r="N245" s="594" t="str">
        <f>INDEX(tblSubjectToLoan[Date],ROW()-ROW(tblContractForDeed[#Headers]))</f>
        <v/>
      </c>
      <c r="O245" s="276">
        <f>IF(ROW()=ROW(tblContractForDeed[#Headers])+1,$O$6,IF(INDEX(tblContractForDeed[End Bal],ROW()-ROW(tblContractForDeed[#Headers])-1)&lt;0,0,INDEX(tblContractForDeed[End Bal],ROW()-ROW(tblContractForDeed[#Headers])-1)))</f>
        <v>0</v>
      </c>
      <c r="P245" s="447"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6">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594"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88">
        <f t="shared" si="56"/>
        <v>0</v>
      </c>
      <c r="M246" s="388">
        <f t="shared" si="51"/>
        <v>0</v>
      </c>
      <c r="N246" s="594" t="str">
        <f>INDEX(tblSubjectToLoan[Date],ROW()-ROW(tblContractForDeed[#Headers]))</f>
        <v/>
      </c>
      <c r="O246" s="276">
        <f>IF(ROW()=ROW(tblContractForDeed[#Headers])+1,$O$6,IF(INDEX(tblContractForDeed[End Bal],ROW()-ROW(tblContractForDeed[#Headers])-1)&lt;0,0,INDEX(tblContractForDeed[End Bal],ROW()-ROW(tblContractForDeed[#Headers])-1)))</f>
        <v>0</v>
      </c>
      <c r="P246" s="447"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6">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595" t="str">
        <f t="shared" si="47"/>
        <v/>
      </c>
      <c r="B247" s="328">
        <f t="shared" si="48"/>
        <v>0</v>
      </c>
      <c r="C247" s="21">
        <f t="shared" si="45"/>
        <v>0</v>
      </c>
      <c r="D247" s="21">
        <f t="shared" si="49"/>
        <v>0</v>
      </c>
      <c r="E247" s="21">
        <f t="shared" si="46"/>
        <v>0</v>
      </c>
      <c r="F247" s="21">
        <f t="shared" si="55"/>
        <v>134.16999999999999</v>
      </c>
      <c r="G247" s="21">
        <f t="shared" si="55"/>
        <v>188.55</v>
      </c>
      <c r="H247" s="21">
        <f t="shared" si="43"/>
        <v>322.72000000000003</v>
      </c>
      <c r="I247" s="328">
        <f t="shared" si="52"/>
        <v>97531.839999999953</v>
      </c>
      <c r="J247" s="328">
        <f t="shared" si="53"/>
        <v>36068.259999999973</v>
      </c>
      <c r="K247" s="328">
        <f t="shared" si="50"/>
        <v>0</v>
      </c>
      <c r="L247" s="389">
        <f t="shared" si="56"/>
        <v>0</v>
      </c>
      <c r="M247" s="389">
        <f t="shared" si="51"/>
        <v>0</v>
      </c>
      <c r="N247" s="595" t="str">
        <f>INDEX(tblSubjectToLoan[Date],ROW()-ROW(tblContractForDeed[#Headers]))</f>
        <v/>
      </c>
      <c r="O247" s="328">
        <f>IF(ROW()=ROW(tblContractForDeed[#Headers])+1,$O$6,IF(INDEX(tblContractForDeed[End Bal],ROW()-ROW(tblContractForDeed[#Headers])-1)&lt;0,0,INDEX(tblContractForDeed[End Bal],ROW()-ROW(tblContractForDeed[#Headers])-1)))</f>
        <v>0</v>
      </c>
      <c r="P247" s="447"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8">
        <f>IF(tblContractForDeed[[#This Row],[Payment]]=0,0,MAX(0,MIN(tblContractForDeed[[#This Row],[Beg]],tblContractForDeed[[#This Row],[Payment]]-tblContractForDeed[[#This Row],[Int]])))</f>
        <v>0</v>
      </c>
      <c r="S247" s="328">
        <f>IF(OR(tblContractForDeed[[#This Row],[Date]]&lt;cfdContractDate,tblContractForDeed[[#This Row],[Date]]&gt;cfdEndDate),0,ROUND(tblContractForDeed[[#This Row],[Beg]]*(tblContractForDeed[[#This Row],[Int Rate]]/12),2))</f>
        <v>0</v>
      </c>
      <c r="T247" s="328">
        <f>IF(tblContractForDeed[[#This Row],[Payment]]=0,0,$W$2)</f>
        <v>0</v>
      </c>
      <c r="U247" s="328">
        <f>IF(tblContractForDeed[[#This Row],[Princ]]=0,0,$W$3)</f>
        <v>0</v>
      </c>
      <c r="V247" s="328">
        <f>SUM(tblContractForDeed[[#This Row],[Princ]],tblContractForDeed[[#This Row],[Int]],tblContractForDeed[[#This Row],[Ins]],tblContractForDeed[[#This Row],[Taxes]])</f>
        <v>0</v>
      </c>
      <c r="W247" s="328">
        <f>SUM(INDEX(tblContractForDeed[Princ],1):INDEX(tblContractForDeed[Princ],ROW()-ROW(tblContractForDeed[#Headers])))</f>
        <v>75258.000000000029</v>
      </c>
      <c r="X247" s="328">
        <f>IF(tblContractForDeed[[#This Row],[Beg]]&lt;=0,0,tblContractForDeed[[#This Row],[Beg]]-tblContractForDeed[[#This Row],[Princ]])</f>
        <v>0</v>
      </c>
      <c r="Y2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7">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8">
        <f>IF(INDEX(tblContractForDeed[End Bal],ROW()-ROW(tblBuyerOutputs[#Headers]))&lt;=0,0,($O$6+IF(ROW()=ROW(tblBuyerOutputs[#Headers])+1,0,INDEX(tblBuyerOutputs[Cumul Appr],ROW()-ROW(tblBuyerOutputs[#Headers])-1)))*$O$2/12)</f>
        <v>0</v>
      </c>
      <c r="AE247" s="328">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594"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88">
        <f t="shared" si="56"/>
        <v>0</v>
      </c>
      <c r="M248" s="388">
        <f t="shared" si="51"/>
        <v>0</v>
      </c>
      <c r="N248" s="594" t="str">
        <f>INDEX(tblSubjectToLoan[Date],ROW()-ROW(tblContractForDeed[#Headers]))</f>
        <v/>
      </c>
      <c r="O248" s="276">
        <f>IF(ROW()=ROW(tblContractForDeed[#Headers])+1,$O$6,IF(INDEX(tblContractForDeed[End Bal],ROW()-ROW(tblContractForDeed[#Headers])-1)&lt;0,0,INDEX(tblContractForDeed[End Bal],ROW()-ROW(tblContractForDeed[#Headers])-1)))</f>
        <v>0</v>
      </c>
      <c r="P248" s="447"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6">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594"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88">
        <f t="shared" si="56"/>
        <v>0</v>
      </c>
      <c r="M249" s="388">
        <f t="shared" si="51"/>
        <v>0</v>
      </c>
      <c r="N249" s="594" t="str">
        <f>INDEX(tblSubjectToLoan[Date],ROW()-ROW(tblContractForDeed[#Headers]))</f>
        <v/>
      </c>
      <c r="O249" s="276">
        <f>IF(ROW()=ROW(tblContractForDeed[#Headers])+1,$O$6,IF(INDEX(tblContractForDeed[End Bal],ROW()-ROW(tblContractForDeed[#Headers])-1)&lt;0,0,INDEX(tblContractForDeed[End Bal],ROW()-ROW(tblContractForDeed[#Headers])-1)))</f>
        <v>0</v>
      </c>
      <c r="P249" s="447"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6">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594"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88">
        <f t="shared" si="56"/>
        <v>0</v>
      </c>
      <c r="M250" s="388">
        <f t="shared" si="51"/>
        <v>0</v>
      </c>
      <c r="N250" s="594" t="str">
        <f>INDEX(tblSubjectToLoan[Date],ROW()-ROW(tblContractForDeed[#Headers]))</f>
        <v/>
      </c>
      <c r="O250" s="276">
        <f>IF(ROW()=ROW(tblContractForDeed[#Headers])+1,$O$6,IF(INDEX(tblContractForDeed[End Bal],ROW()-ROW(tblContractForDeed[#Headers])-1)&lt;0,0,INDEX(tblContractForDeed[End Bal],ROW()-ROW(tblContractForDeed[#Headers])-1)))</f>
        <v>0</v>
      </c>
      <c r="P250" s="447"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6">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594"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88">
        <f t="shared" si="56"/>
        <v>0</v>
      </c>
      <c r="M251" s="388">
        <f t="shared" si="51"/>
        <v>0</v>
      </c>
      <c r="N251" s="594" t="str">
        <f>INDEX(tblSubjectToLoan[Date],ROW()-ROW(tblContractForDeed[#Headers]))</f>
        <v/>
      </c>
      <c r="O251" s="276">
        <f>IF(ROW()=ROW(tblContractForDeed[#Headers])+1,$O$6,IF(INDEX(tblContractForDeed[End Bal],ROW()-ROW(tblContractForDeed[#Headers])-1)&lt;0,0,INDEX(tblContractForDeed[End Bal],ROW()-ROW(tblContractForDeed[#Headers])-1)))</f>
        <v>0</v>
      </c>
      <c r="P251" s="447"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6">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594"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88">
        <f t="shared" si="56"/>
        <v>0</v>
      </c>
      <c r="M252" s="388">
        <f t="shared" si="51"/>
        <v>0</v>
      </c>
      <c r="N252" s="594" t="str">
        <f>INDEX(tblSubjectToLoan[Date],ROW()-ROW(tblContractForDeed[#Headers]))</f>
        <v/>
      </c>
      <c r="O252" s="276">
        <f>IF(ROW()=ROW(tblContractForDeed[#Headers])+1,$O$6,IF(INDEX(tblContractForDeed[End Bal],ROW()-ROW(tblContractForDeed[#Headers])-1)&lt;0,0,INDEX(tblContractForDeed[End Bal],ROW()-ROW(tblContractForDeed[#Headers])-1)))</f>
        <v>0</v>
      </c>
      <c r="P252" s="447"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6">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594"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88">
        <f t="shared" si="56"/>
        <v>0</v>
      </c>
      <c r="M253" s="388">
        <f t="shared" si="51"/>
        <v>0</v>
      </c>
      <c r="N253" s="594" t="str">
        <f>INDEX(tblSubjectToLoan[Date],ROW()-ROW(tblContractForDeed[#Headers]))</f>
        <v/>
      </c>
      <c r="O253" s="276">
        <f>IF(ROW()=ROW(tblContractForDeed[#Headers])+1,$O$6,IF(INDEX(tblContractForDeed[End Bal],ROW()-ROW(tblContractForDeed[#Headers])-1)&lt;0,0,INDEX(tblContractForDeed[End Bal],ROW()-ROW(tblContractForDeed[#Headers])-1)))</f>
        <v>0</v>
      </c>
      <c r="P253" s="447"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6">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594"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88">
        <f t="shared" si="56"/>
        <v>0</v>
      </c>
      <c r="M254" s="388">
        <f t="shared" si="51"/>
        <v>0</v>
      </c>
      <c r="N254" s="594" t="str">
        <f>INDEX(tblSubjectToLoan[Date],ROW()-ROW(tblContractForDeed[#Headers]))</f>
        <v/>
      </c>
      <c r="O254" s="276">
        <f>IF(ROW()=ROW(tblContractForDeed[#Headers])+1,$O$6,IF(INDEX(tblContractForDeed[End Bal],ROW()-ROW(tblContractForDeed[#Headers])-1)&lt;0,0,INDEX(tblContractForDeed[End Bal],ROW()-ROW(tblContractForDeed[#Headers])-1)))</f>
        <v>0</v>
      </c>
      <c r="P254" s="447"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6">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594"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88">
        <f t="shared" si="56"/>
        <v>0</v>
      </c>
      <c r="M255" s="388">
        <f t="shared" si="51"/>
        <v>0</v>
      </c>
      <c r="N255" s="594" t="str">
        <f>INDEX(tblSubjectToLoan[Date],ROW()-ROW(tblContractForDeed[#Headers]))</f>
        <v/>
      </c>
      <c r="O255" s="276">
        <f>IF(ROW()=ROW(tblContractForDeed[#Headers])+1,$O$6,IF(INDEX(tblContractForDeed[End Bal],ROW()-ROW(tblContractForDeed[#Headers])-1)&lt;0,0,INDEX(tblContractForDeed[End Bal],ROW()-ROW(tblContractForDeed[#Headers])-1)))</f>
        <v>0</v>
      </c>
      <c r="P255" s="447"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6">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594"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88">
        <f t="shared" si="56"/>
        <v>0</v>
      </c>
      <c r="M256" s="388">
        <f t="shared" si="51"/>
        <v>0</v>
      </c>
      <c r="N256" s="594" t="str">
        <f>INDEX(tblSubjectToLoan[Date],ROW()-ROW(tblContractForDeed[#Headers]))</f>
        <v/>
      </c>
      <c r="O256" s="276">
        <f>IF(ROW()=ROW(tblContractForDeed[#Headers])+1,$O$6,IF(INDEX(tblContractForDeed[End Bal],ROW()-ROW(tblContractForDeed[#Headers])-1)&lt;0,0,INDEX(tblContractForDeed[End Bal],ROW()-ROW(tblContractForDeed[#Headers])-1)))</f>
        <v>0</v>
      </c>
      <c r="P256" s="447"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6">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594"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88">
        <f t="shared" si="56"/>
        <v>0</v>
      </c>
      <c r="M257" s="388">
        <f t="shared" si="51"/>
        <v>0</v>
      </c>
      <c r="N257" s="594" t="str">
        <f>INDEX(tblSubjectToLoan[Date],ROW()-ROW(tblContractForDeed[#Headers]))</f>
        <v/>
      </c>
      <c r="O257" s="276">
        <f>IF(ROW()=ROW(tblContractForDeed[#Headers])+1,$O$6,IF(INDEX(tblContractForDeed[End Bal],ROW()-ROW(tblContractForDeed[#Headers])-1)&lt;0,0,INDEX(tblContractForDeed[End Bal],ROW()-ROW(tblContractForDeed[#Headers])-1)))</f>
        <v>0</v>
      </c>
      <c r="P257" s="447"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6">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594"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88">
        <f t="shared" si="56"/>
        <v>0</v>
      </c>
      <c r="M258" s="388">
        <f t="shared" si="51"/>
        <v>0</v>
      </c>
      <c r="N258" s="594" t="str">
        <f>INDEX(tblSubjectToLoan[Date],ROW()-ROW(tblContractForDeed[#Headers]))</f>
        <v/>
      </c>
      <c r="O258" s="276">
        <f>IF(ROW()=ROW(tblContractForDeed[#Headers])+1,$O$6,IF(INDEX(tblContractForDeed[End Bal],ROW()-ROW(tblContractForDeed[#Headers])-1)&lt;0,0,INDEX(tblContractForDeed[End Bal],ROW()-ROW(tblContractForDeed[#Headers])-1)))</f>
        <v>0</v>
      </c>
      <c r="P258" s="447"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6">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595" t="str">
        <f t="shared" si="47"/>
        <v/>
      </c>
      <c r="B259" s="328">
        <f t="shared" si="48"/>
        <v>0</v>
      </c>
      <c r="C259" s="21">
        <f t="shared" si="45"/>
        <v>0</v>
      </c>
      <c r="D259" s="21">
        <f t="shared" si="49"/>
        <v>0</v>
      </c>
      <c r="E259" s="21">
        <f t="shared" si="46"/>
        <v>0</v>
      </c>
      <c r="F259" s="21">
        <f t="shared" si="57"/>
        <v>134.16999999999999</v>
      </c>
      <c r="G259" s="21">
        <f t="shared" si="57"/>
        <v>188.55</v>
      </c>
      <c r="H259" s="21">
        <f t="shared" si="58"/>
        <v>322.72000000000003</v>
      </c>
      <c r="I259" s="328">
        <f t="shared" si="52"/>
        <v>97531.839999999953</v>
      </c>
      <c r="J259" s="328">
        <f t="shared" si="53"/>
        <v>36068.259999999973</v>
      </c>
      <c r="K259" s="328">
        <f t="shared" si="50"/>
        <v>0</v>
      </c>
      <c r="L259" s="389">
        <f t="shared" si="56"/>
        <v>0</v>
      </c>
      <c r="M259" s="389">
        <f t="shared" si="51"/>
        <v>0</v>
      </c>
      <c r="N259" s="595" t="str">
        <f>INDEX(tblSubjectToLoan[Date],ROW()-ROW(tblContractForDeed[#Headers]))</f>
        <v/>
      </c>
      <c r="O259" s="328">
        <f>IF(ROW()=ROW(tblContractForDeed[#Headers])+1,$O$6,IF(INDEX(tblContractForDeed[End Bal],ROW()-ROW(tblContractForDeed[#Headers])-1)&lt;0,0,INDEX(tblContractForDeed[End Bal],ROW()-ROW(tblContractForDeed[#Headers])-1)))</f>
        <v>0</v>
      </c>
      <c r="P259" s="447"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8">
        <f>IF(tblContractForDeed[[#This Row],[Payment]]=0,0,MAX(0,MIN(tblContractForDeed[[#This Row],[Beg]],tblContractForDeed[[#This Row],[Payment]]-tblContractForDeed[[#This Row],[Int]])))</f>
        <v>0</v>
      </c>
      <c r="S259" s="328">
        <f>IF(OR(tblContractForDeed[[#This Row],[Date]]&lt;cfdContractDate,tblContractForDeed[[#This Row],[Date]]&gt;cfdEndDate),0,ROUND(tblContractForDeed[[#This Row],[Beg]]*(tblContractForDeed[[#This Row],[Int Rate]]/12),2))</f>
        <v>0</v>
      </c>
      <c r="T259" s="328">
        <f>IF(tblContractForDeed[[#This Row],[Payment]]=0,0,$W$2)</f>
        <v>0</v>
      </c>
      <c r="U259" s="328">
        <f>IF(tblContractForDeed[[#This Row],[Princ]]=0,0,$W$3)</f>
        <v>0</v>
      </c>
      <c r="V259" s="328">
        <f>SUM(tblContractForDeed[[#This Row],[Princ]],tblContractForDeed[[#This Row],[Int]],tblContractForDeed[[#This Row],[Ins]],tblContractForDeed[[#This Row],[Taxes]])</f>
        <v>0</v>
      </c>
      <c r="W259" s="328">
        <f>SUM(INDEX(tblContractForDeed[Princ],1):INDEX(tblContractForDeed[Princ],ROW()-ROW(tblContractForDeed[#Headers])))</f>
        <v>75258.000000000029</v>
      </c>
      <c r="X259" s="328">
        <f>IF(tblContractForDeed[[#This Row],[Beg]]&lt;=0,0,tblContractForDeed[[#This Row],[Beg]]-tblContractForDeed[[#This Row],[Princ]])</f>
        <v>0</v>
      </c>
      <c r="Y2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7">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8">
        <f>IF(INDEX(tblContractForDeed[End Bal],ROW()-ROW(tblBuyerOutputs[#Headers]))&lt;=0,0,($O$6+IF(ROW()=ROW(tblBuyerOutputs[#Headers])+1,0,INDEX(tblBuyerOutputs[Cumul Appr],ROW()-ROW(tblBuyerOutputs[#Headers])-1)))*$O$2/12)</f>
        <v>0</v>
      </c>
      <c r="AE259" s="328">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594"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88">
        <f t="shared" si="56"/>
        <v>0</v>
      </c>
      <c r="M260" s="388">
        <f t="shared" si="51"/>
        <v>0</v>
      </c>
      <c r="N260" s="594" t="str">
        <f>INDEX(tblSubjectToLoan[Date],ROW()-ROW(tblContractForDeed[#Headers]))</f>
        <v/>
      </c>
      <c r="O260" s="276">
        <f>IF(ROW()=ROW(tblContractForDeed[#Headers])+1,$O$6,IF(INDEX(tblContractForDeed[End Bal],ROW()-ROW(tblContractForDeed[#Headers])-1)&lt;0,0,INDEX(tblContractForDeed[End Bal],ROW()-ROW(tblContractForDeed[#Headers])-1)))</f>
        <v>0</v>
      </c>
      <c r="P260" s="447"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6">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594"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88">
        <f t="shared" si="56"/>
        <v>0</v>
      </c>
      <c r="M261" s="388">
        <f t="shared" si="51"/>
        <v>0</v>
      </c>
      <c r="N261" s="594" t="str">
        <f>INDEX(tblSubjectToLoan[Date],ROW()-ROW(tblContractForDeed[#Headers]))</f>
        <v/>
      </c>
      <c r="O261" s="276">
        <f>IF(ROW()=ROW(tblContractForDeed[#Headers])+1,$O$6,IF(INDEX(tblContractForDeed[End Bal],ROW()-ROW(tblContractForDeed[#Headers])-1)&lt;0,0,INDEX(tblContractForDeed[End Bal],ROW()-ROW(tblContractForDeed[#Headers])-1)))</f>
        <v>0</v>
      </c>
      <c r="P261" s="447"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6">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594"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88">
        <f t="shared" si="56"/>
        <v>0</v>
      </c>
      <c r="M262" s="388">
        <f t="shared" si="51"/>
        <v>0</v>
      </c>
      <c r="N262" s="594" t="str">
        <f>INDEX(tblSubjectToLoan[Date],ROW()-ROW(tblContractForDeed[#Headers]))</f>
        <v/>
      </c>
      <c r="O262" s="276">
        <f>IF(ROW()=ROW(tblContractForDeed[#Headers])+1,$O$6,IF(INDEX(tblContractForDeed[End Bal],ROW()-ROW(tblContractForDeed[#Headers])-1)&lt;0,0,INDEX(tblContractForDeed[End Bal],ROW()-ROW(tblContractForDeed[#Headers])-1)))</f>
        <v>0</v>
      </c>
      <c r="P262" s="447"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6">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594"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88">
        <f t="shared" si="56"/>
        <v>0</v>
      </c>
      <c r="M263" s="388">
        <f t="shared" si="51"/>
        <v>0</v>
      </c>
      <c r="N263" s="594" t="str">
        <f>INDEX(tblSubjectToLoan[Date],ROW()-ROW(tblContractForDeed[#Headers]))</f>
        <v/>
      </c>
      <c r="O263" s="276">
        <f>IF(ROW()=ROW(tblContractForDeed[#Headers])+1,$O$6,IF(INDEX(tblContractForDeed[End Bal],ROW()-ROW(tblContractForDeed[#Headers])-1)&lt;0,0,INDEX(tblContractForDeed[End Bal],ROW()-ROW(tblContractForDeed[#Headers])-1)))</f>
        <v>0</v>
      </c>
      <c r="P263" s="447"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6">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594"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88">
        <f t="shared" si="56"/>
        <v>0</v>
      </c>
      <c r="M264" s="388">
        <f t="shared" si="51"/>
        <v>0</v>
      </c>
      <c r="N264" s="594" t="str">
        <f>INDEX(tblSubjectToLoan[Date],ROW()-ROW(tblContractForDeed[#Headers]))</f>
        <v/>
      </c>
      <c r="O264" s="276">
        <f>IF(ROW()=ROW(tblContractForDeed[#Headers])+1,$O$6,IF(INDEX(tblContractForDeed[End Bal],ROW()-ROW(tblContractForDeed[#Headers])-1)&lt;0,0,INDEX(tblContractForDeed[End Bal],ROW()-ROW(tblContractForDeed[#Headers])-1)))</f>
        <v>0</v>
      </c>
      <c r="P264" s="447"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6">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594"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88">
        <f t="shared" si="56"/>
        <v>0</v>
      </c>
      <c r="M265" s="388">
        <f t="shared" si="51"/>
        <v>0</v>
      </c>
      <c r="N265" s="594" t="str">
        <f>INDEX(tblSubjectToLoan[Date],ROW()-ROW(tblContractForDeed[#Headers]))</f>
        <v/>
      </c>
      <c r="O265" s="276">
        <f>IF(ROW()=ROW(tblContractForDeed[#Headers])+1,$O$6,IF(INDEX(tblContractForDeed[End Bal],ROW()-ROW(tblContractForDeed[#Headers])-1)&lt;0,0,INDEX(tblContractForDeed[End Bal],ROW()-ROW(tblContractForDeed[#Headers])-1)))</f>
        <v>0</v>
      </c>
      <c r="P265" s="447"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6">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594"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88">
        <f t="shared" si="56"/>
        <v>0</v>
      </c>
      <c r="M266" s="388">
        <f t="shared" si="51"/>
        <v>0</v>
      </c>
      <c r="N266" s="594" t="str">
        <f>INDEX(tblSubjectToLoan[Date],ROW()-ROW(tblContractForDeed[#Headers]))</f>
        <v/>
      </c>
      <c r="O266" s="276">
        <f>IF(ROW()=ROW(tblContractForDeed[#Headers])+1,$O$6,IF(INDEX(tblContractForDeed[End Bal],ROW()-ROW(tblContractForDeed[#Headers])-1)&lt;0,0,INDEX(tblContractForDeed[End Bal],ROW()-ROW(tblContractForDeed[#Headers])-1)))</f>
        <v>0</v>
      </c>
      <c r="P266" s="447"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6">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594"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88">
        <f t="shared" si="56"/>
        <v>0</v>
      </c>
      <c r="M267" s="388">
        <f t="shared" si="51"/>
        <v>0</v>
      </c>
      <c r="N267" s="594" t="str">
        <f>INDEX(tblSubjectToLoan[Date],ROW()-ROW(tblContractForDeed[#Headers]))</f>
        <v/>
      </c>
      <c r="O267" s="276">
        <f>IF(ROW()=ROW(tblContractForDeed[#Headers])+1,$O$6,IF(INDEX(tblContractForDeed[End Bal],ROW()-ROW(tblContractForDeed[#Headers])-1)&lt;0,0,INDEX(tblContractForDeed[End Bal],ROW()-ROW(tblContractForDeed[#Headers])-1)))</f>
        <v>0</v>
      </c>
      <c r="P267" s="447"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6">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594"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88">
        <f t="shared" si="56"/>
        <v>0</v>
      </c>
      <c r="M268" s="388">
        <f t="shared" si="51"/>
        <v>0</v>
      </c>
      <c r="N268" s="594" t="str">
        <f>INDEX(tblSubjectToLoan[Date],ROW()-ROW(tblContractForDeed[#Headers]))</f>
        <v/>
      </c>
      <c r="O268" s="276">
        <f>IF(ROW()=ROW(tblContractForDeed[#Headers])+1,$O$6,IF(INDEX(tblContractForDeed[End Bal],ROW()-ROW(tblContractForDeed[#Headers])-1)&lt;0,0,INDEX(tblContractForDeed[End Bal],ROW()-ROW(tblContractForDeed[#Headers])-1)))</f>
        <v>0</v>
      </c>
      <c r="P268" s="447"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6">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594"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88">
        <f t="shared" si="56"/>
        <v>0</v>
      </c>
      <c r="M269" s="388">
        <f t="shared" si="51"/>
        <v>0</v>
      </c>
      <c r="N269" s="594" t="str">
        <f>INDEX(tblSubjectToLoan[Date],ROW()-ROW(tblContractForDeed[#Headers]))</f>
        <v/>
      </c>
      <c r="O269" s="276">
        <f>IF(ROW()=ROW(tblContractForDeed[#Headers])+1,$O$6,IF(INDEX(tblContractForDeed[End Bal],ROW()-ROW(tblContractForDeed[#Headers])-1)&lt;0,0,INDEX(tblContractForDeed[End Bal],ROW()-ROW(tblContractForDeed[#Headers])-1)))</f>
        <v>0</v>
      </c>
      <c r="P269" s="447"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6">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594"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88">
        <f t="shared" si="56"/>
        <v>0</v>
      </c>
      <c r="M270" s="388">
        <f t="shared" si="51"/>
        <v>0</v>
      </c>
      <c r="N270" s="594" t="str">
        <f>INDEX(tblSubjectToLoan[Date],ROW()-ROW(tblContractForDeed[#Headers]))</f>
        <v/>
      </c>
      <c r="O270" s="276">
        <f>IF(ROW()=ROW(tblContractForDeed[#Headers])+1,$O$6,IF(INDEX(tblContractForDeed[End Bal],ROW()-ROW(tblContractForDeed[#Headers])-1)&lt;0,0,INDEX(tblContractForDeed[End Bal],ROW()-ROW(tblContractForDeed[#Headers])-1)))</f>
        <v>0</v>
      </c>
      <c r="P270" s="447"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6">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595" t="str">
        <f t="shared" si="47"/>
        <v/>
      </c>
      <c r="B271" s="328">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8">
        <f t="shared" si="52"/>
        <v>97531.839999999953</v>
      </c>
      <c r="J271" s="328">
        <f t="shared" si="53"/>
        <v>36068.259999999973</v>
      </c>
      <c r="K271" s="328">
        <f t="shared" si="50"/>
        <v>0</v>
      </c>
      <c r="L271" s="389">
        <f t="shared" si="56"/>
        <v>0</v>
      </c>
      <c r="M271" s="389">
        <f t="shared" si="51"/>
        <v>0</v>
      </c>
      <c r="N271" s="595" t="str">
        <f>INDEX(tblSubjectToLoan[Date],ROW()-ROW(tblContractForDeed[#Headers]))</f>
        <v/>
      </c>
      <c r="O271" s="328">
        <f>IF(ROW()=ROW(tblContractForDeed[#Headers])+1,$O$6,IF(INDEX(tblContractForDeed[End Bal],ROW()-ROW(tblContractForDeed[#Headers])-1)&lt;0,0,INDEX(tblContractForDeed[End Bal],ROW()-ROW(tblContractForDeed[#Headers])-1)))</f>
        <v>0</v>
      </c>
      <c r="P271" s="447"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8">
        <f>IF(tblContractForDeed[[#This Row],[Payment]]=0,0,MAX(0,MIN(tblContractForDeed[[#This Row],[Beg]],tblContractForDeed[[#This Row],[Payment]]-tblContractForDeed[[#This Row],[Int]])))</f>
        <v>0</v>
      </c>
      <c r="S271" s="328">
        <f>IF(OR(tblContractForDeed[[#This Row],[Date]]&lt;cfdContractDate,tblContractForDeed[[#This Row],[Date]]&gt;cfdEndDate),0,ROUND(tblContractForDeed[[#This Row],[Beg]]*(tblContractForDeed[[#This Row],[Int Rate]]/12),2))</f>
        <v>0</v>
      </c>
      <c r="T271" s="328">
        <f>IF(tblContractForDeed[[#This Row],[Payment]]=0,0,$W$2)</f>
        <v>0</v>
      </c>
      <c r="U271" s="328">
        <f>IF(tblContractForDeed[[#This Row],[Princ]]=0,0,$W$3)</f>
        <v>0</v>
      </c>
      <c r="V271" s="328">
        <f>SUM(tblContractForDeed[[#This Row],[Princ]],tblContractForDeed[[#This Row],[Int]],tblContractForDeed[[#This Row],[Ins]],tblContractForDeed[[#This Row],[Taxes]])</f>
        <v>0</v>
      </c>
      <c r="W271" s="328">
        <f>SUM(INDEX(tblContractForDeed[Princ],1):INDEX(tblContractForDeed[Princ],ROW()-ROW(tblContractForDeed[#Headers])))</f>
        <v>75258.000000000029</v>
      </c>
      <c r="X271" s="328">
        <f>IF(tblContractForDeed[[#This Row],[Beg]]&lt;=0,0,tblContractForDeed[[#This Row],[Beg]]-tblContractForDeed[[#This Row],[Princ]])</f>
        <v>0</v>
      </c>
      <c r="Y2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7">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8">
        <f>IF(INDEX(tblContractForDeed[End Bal],ROW()-ROW(tblBuyerOutputs[#Headers]))&lt;=0,0,($O$6+IF(ROW()=ROW(tblBuyerOutputs[#Headers])+1,0,INDEX(tblBuyerOutputs[Cumul Appr],ROW()-ROW(tblBuyerOutputs[#Headers])-1)))*$O$2/12)</f>
        <v>0</v>
      </c>
      <c r="AE271" s="328">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594"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88">
        <f t="shared" si="56"/>
        <v>0</v>
      </c>
      <c r="M272" s="388">
        <f t="shared" si="51"/>
        <v>0</v>
      </c>
      <c r="N272" s="594" t="str">
        <f>INDEX(tblSubjectToLoan[Date],ROW()-ROW(tblContractForDeed[#Headers]))</f>
        <v/>
      </c>
      <c r="O272" s="276">
        <f>IF(ROW()=ROW(tblContractForDeed[#Headers])+1,$O$6,IF(INDEX(tblContractForDeed[End Bal],ROW()-ROW(tblContractForDeed[#Headers])-1)&lt;0,0,INDEX(tblContractForDeed[End Bal],ROW()-ROW(tblContractForDeed[#Headers])-1)))</f>
        <v>0</v>
      </c>
      <c r="P272" s="447"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6">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594"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88">
        <f t="shared" si="56"/>
        <v>0</v>
      </c>
      <c r="M273" s="388">
        <f t="shared" si="51"/>
        <v>0</v>
      </c>
      <c r="N273" s="594" t="str">
        <f>INDEX(tblSubjectToLoan[Date],ROW()-ROW(tblContractForDeed[#Headers]))</f>
        <v/>
      </c>
      <c r="O273" s="276">
        <f>IF(ROW()=ROW(tblContractForDeed[#Headers])+1,$O$6,IF(INDEX(tblContractForDeed[End Bal],ROW()-ROW(tblContractForDeed[#Headers])-1)&lt;0,0,INDEX(tblContractForDeed[End Bal],ROW()-ROW(tblContractForDeed[#Headers])-1)))</f>
        <v>0</v>
      </c>
      <c r="P273" s="447"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6">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594"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88">
        <f t="shared" si="56"/>
        <v>0</v>
      </c>
      <c r="M274" s="388">
        <f t="shared" si="51"/>
        <v>0</v>
      </c>
      <c r="N274" s="594" t="str">
        <f>INDEX(tblSubjectToLoan[Date],ROW()-ROW(tblContractForDeed[#Headers]))</f>
        <v/>
      </c>
      <c r="O274" s="276">
        <f>IF(ROW()=ROW(tblContractForDeed[#Headers])+1,$O$6,IF(INDEX(tblContractForDeed[End Bal],ROW()-ROW(tblContractForDeed[#Headers])-1)&lt;0,0,INDEX(tblContractForDeed[End Bal],ROW()-ROW(tblContractForDeed[#Headers])-1)))</f>
        <v>0</v>
      </c>
      <c r="P274" s="447"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6">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594"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88">
        <f t="shared" si="56"/>
        <v>0</v>
      </c>
      <c r="M275" s="388">
        <f t="shared" si="51"/>
        <v>0</v>
      </c>
      <c r="N275" s="594" t="str">
        <f>INDEX(tblSubjectToLoan[Date],ROW()-ROW(tblContractForDeed[#Headers]))</f>
        <v/>
      </c>
      <c r="O275" s="276">
        <f>IF(ROW()=ROW(tblContractForDeed[#Headers])+1,$O$6,IF(INDEX(tblContractForDeed[End Bal],ROW()-ROW(tblContractForDeed[#Headers])-1)&lt;0,0,INDEX(tblContractForDeed[End Bal],ROW()-ROW(tblContractForDeed[#Headers])-1)))</f>
        <v>0</v>
      </c>
      <c r="P275" s="447"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6">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594"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88">
        <f t="shared" si="56"/>
        <v>0</v>
      </c>
      <c r="M276" s="388">
        <f t="shared" si="51"/>
        <v>0</v>
      </c>
      <c r="N276" s="594" t="str">
        <f>INDEX(tblSubjectToLoan[Date],ROW()-ROW(tblContractForDeed[#Headers]))</f>
        <v/>
      </c>
      <c r="O276" s="276">
        <f>IF(ROW()=ROW(tblContractForDeed[#Headers])+1,$O$6,IF(INDEX(tblContractForDeed[End Bal],ROW()-ROW(tblContractForDeed[#Headers])-1)&lt;0,0,INDEX(tblContractForDeed[End Bal],ROW()-ROW(tblContractForDeed[#Headers])-1)))</f>
        <v>0</v>
      </c>
      <c r="P276" s="447"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6">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594"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88">
        <f t="shared" si="56"/>
        <v>0</v>
      </c>
      <c r="M277" s="388">
        <f t="shared" ref="M277:M340" si="66">IF($A277&lt;&gt;"",M276+1,0)</f>
        <v>0</v>
      </c>
      <c r="N277" s="594" t="str">
        <f>INDEX(tblSubjectToLoan[Date],ROW()-ROW(tblContractForDeed[#Headers]))</f>
        <v/>
      </c>
      <c r="O277" s="276">
        <f>IF(ROW()=ROW(tblContractForDeed[#Headers])+1,$O$6,IF(INDEX(tblContractForDeed[End Bal],ROW()-ROW(tblContractForDeed[#Headers])-1)&lt;0,0,INDEX(tblContractForDeed[End Bal],ROW()-ROW(tblContractForDeed[#Headers])-1)))</f>
        <v>0</v>
      </c>
      <c r="P277" s="447"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6">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594"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88">
        <f t="shared" si="56"/>
        <v>0</v>
      </c>
      <c r="M278" s="388">
        <f t="shared" si="66"/>
        <v>0</v>
      </c>
      <c r="N278" s="594" t="str">
        <f>INDEX(tblSubjectToLoan[Date],ROW()-ROW(tblContractForDeed[#Headers]))</f>
        <v/>
      </c>
      <c r="O278" s="276">
        <f>IF(ROW()=ROW(tblContractForDeed[#Headers])+1,$O$6,IF(INDEX(tblContractForDeed[End Bal],ROW()-ROW(tblContractForDeed[#Headers])-1)&lt;0,0,INDEX(tblContractForDeed[End Bal],ROW()-ROW(tblContractForDeed[#Headers])-1)))</f>
        <v>0</v>
      </c>
      <c r="P278" s="447"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6">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594"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88">
        <f t="shared" si="56"/>
        <v>0</v>
      </c>
      <c r="M279" s="388">
        <f t="shared" si="66"/>
        <v>0</v>
      </c>
      <c r="N279" s="594" t="str">
        <f>INDEX(tblSubjectToLoan[Date],ROW()-ROW(tblContractForDeed[#Headers]))</f>
        <v/>
      </c>
      <c r="O279" s="276">
        <f>IF(ROW()=ROW(tblContractForDeed[#Headers])+1,$O$6,IF(INDEX(tblContractForDeed[End Bal],ROW()-ROW(tblContractForDeed[#Headers])-1)&lt;0,0,INDEX(tblContractForDeed[End Bal],ROW()-ROW(tblContractForDeed[#Headers])-1)))</f>
        <v>0</v>
      </c>
      <c r="P279" s="447"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6">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594"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88">
        <f t="shared" si="56"/>
        <v>0</v>
      </c>
      <c r="M280" s="388">
        <f t="shared" si="66"/>
        <v>0</v>
      </c>
      <c r="N280" s="594" t="str">
        <f>INDEX(tblSubjectToLoan[Date],ROW()-ROW(tblContractForDeed[#Headers]))</f>
        <v/>
      </c>
      <c r="O280" s="276">
        <f>IF(ROW()=ROW(tblContractForDeed[#Headers])+1,$O$6,IF(INDEX(tblContractForDeed[End Bal],ROW()-ROW(tblContractForDeed[#Headers])-1)&lt;0,0,INDEX(tblContractForDeed[End Bal],ROW()-ROW(tblContractForDeed[#Headers])-1)))</f>
        <v>0</v>
      </c>
      <c r="P280" s="447"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6">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594"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88">
        <f t="shared" si="56"/>
        <v>0</v>
      </c>
      <c r="M281" s="388">
        <f t="shared" si="66"/>
        <v>0</v>
      </c>
      <c r="N281" s="594" t="str">
        <f>INDEX(tblSubjectToLoan[Date],ROW()-ROW(tblContractForDeed[#Headers]))</f>
        <v/>
      </c>
      <c r="O281" s="276">
        <f>IF(ROW()=ROW(tblContractForDeed[#Headers])+1,$O$6,IF(INDEX(tblContractForDeed[End Bal],ROW()-ROW(tblContractForDeed[#Headers])-1)&lt;0,0,INDEX(tblContractForDeed[End Bal],ROW()-ROW(tblContractForDeed[#Headers])-1)))</f>
        <v>0</v>
      </c>
      <c r="P281" s="447"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6">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594"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88">
        <f t="shared" si="56"/>
        <v>0</v>
      </c>
      <c r="M282" s="388">
        <f t="shared" si="66"/>
        <v>0</v>
      </c>
      <c r="N282" s="594" t="str">
        <f>INDEX(tblSubjectToLoan[Date],ROW()-ROW(tblContractForDeed[#Headers]))</f>
        <v/>
      </c>
      <c r="O282" s="276">
        <f>IF(ROW()=ROW(tblContractForDeed[#Headers])+1,$O$6,IF(INDEX(tblContractForDeed[End Bal],ROW()-ROW(tblContractForDeed[#Headers])-1)&lt;0,0,INDEX(tblContractForDeed[End Bal],ROW()-ROW(tblContractForDeed[#Headers])-1)))</f>
        <v>0</v>
      </c>
      <c r="P282" s="447"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6">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595" t="str">
        <f t="shared" si="62"/>
        <v/>
      </c>
      <c r="B283" s="328">
        <f t="shared" si="63"/>
        <v>0</v>
      </c>
      <c r="C283" s="21">
        <f t="shared" si="60"/>
        <v>0</v>
      </c>
      <c r="D283" s="21">
        <f t="shared" si="64"/>
        <v>0</v>
      </c>
      <c r="E283" s="21">
        <f t="shared" si="61"/>
        <v>0</v>
      </c>
      <c r="F283" s="21">
        <f t="shared" si="59"/>
        <v>134.16999999999999</v>
      </c>
      <c r="G283" s="21">
        <f t="shared" si="59"/>
        <v>188.55</v>
      </c>
      <c r="H283" s="21">
        <f t="shared" si="58"/>
        <v>322.72000000000003</v>
      </c>
      <c r="I283" s="328">
        <f t="shared" si="67"/>
        <v>97531.839999999953</v>
      </c>
      <c r="J283" s="328">
        <f t="shared" si="68"/>
        <v>36068.259999999973</v>
      </c>
      <c r="K283" s="328">
        <f t="shared" si="65"/>
        <v>0</v>
      </c>
      <c r="L283" s="389">
        <f t="shared" si="56"/>
        <v>0</v>
      </c>
      <c r="M283" s="389">
        <f t="shared" si="66"/>
        <v>0</v>
      </c>
      <c r="N283" s="595" t="str">
        <f>INDEX(tblSubjectToLoan[Date],ROW()-ROW(tblContractForDeed[#Headers]))</f>
        <v/>
      </c>
      <c r="O283" s="328">
        <f>IF(ROW()=ROW(tblContractForDeed[#Headers])+1,$O$6,IF(INDEX(tblContractForDeed[End Bal],ROW()-ROW(tblContractForDeed[#Headers])-1)&lt;0,0,INDEX(tblContractForDeed[End Bal],ROW()-ROW(tblContractForDeed[#Headers])-1)))</f>
        <v>0</v>
      </c>
      <c r="P283" s="447"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8">
        <f>IF(tblContractForDeed[[#This Row],[Payment]]=0,0,MAX(0,MIN(tblContractForDeed[[#This Row],[Beg]],tblContractForDeed[[#This Row],[Payment]]-tblContractForDeed[[#This Row],[Int]])))</f>
        <v>0</v>
      </c>
      <c r="S283" s="328">
        <f>IF(OR(tblContractForDeed[[#This Row],[Date]]&lt;cfdContractDate,tblContractForDeed[[#This Row],[Date]]&gt;cfdEndDate),0,ROUND(tblContractForDeed[[#This Row],[Beg]]*(tblContractForDeed[[#This Row],[Int Rate]]/12),2))</f>
        <v>0</v>
      </c>
      <c r="T283" s="328">
        <f>IF(tblContractForDeed[[#This Row],[Payment]]=0,0,$W$2)</f>
        <v>0</v>
      </c>
      <c r="U283" s="328">
        <f>IF(tblContractForDeed[[#This Row],[Princ]]=0,0,$W$3)</f>
        <v>0</v>
      </c>
      <c r="V283" s="328">
        <f>SUM(tblContractForDeed[[#This Row],[Princ]],tblContractForDeed[[#This Row],[Int]],tblContractForDeed[[#This Row],[Ins]],tblContractForDeed[[#This Row],[Taxes]])</f>
        <v>0</v>
      </c>
      <c r="W283" s="328">
        <f>SUM(INDEX(tblContractForDeed[Princ],1):INDEX(tblContractForDeed[Princ],ROW()-ROW(tblContractForDeed[#Headers])))</f>
        <v>75258.000000000029</v>
      </c>
      <c r="X283" s="328">
        <f>IF(tblContractForDeed[[#This Row],[Beg]]&lt;=0,0,tblContractForDeed[[#This Row],[Beg]]-tblContractForDeed[[#This Row],[Princ]])</f>
        <v>0</v>
      </c>
      <c r="Y2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7">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8">
        <f>IF(INDEX(tblContractForDeed[End Bal],ROW()-ROW(tblBuyerOutputs[#Headers]))&lt;=0,0,($O$6+IF(ROW()=ROW(tblBuyerOutputs[#Headers])+1,0,INDEX(tblBuyerOutputs[Cumul Appr],ROW()-ROW(tblBuyerOutputs[#Headers])-1)))*$O$2/12)</f>
        <v>0</v>
      </c>
      <c r="AE283" s="328">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594"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88">
        <f t="shared" si="56"/>
        <v>0</v>
      </c>
      <c r="M284" s="388">
        <f t="shared" si="66"/>
        <v>0</v>
      </c>
      <c r="N284" s="594" t="str">
        <f>INDEX(tblSubjectToLoan[Date],ROW()-ROW(tblContractForDeed[#Headers]))</f>
        <v/>
      </c>
      <c r="O284" s="276">
        <f>IF(ROW()=ROW(tblContractForDeed[#Headers])+1,$O$6,IF(INDEX(tblContractForDeed[End Bal],ROW()-ROW(tblContractForDeed[#Headers])-1)&lt;0,0,INDEX(tblContractForDeed[End Bal],ROW()-ROW(tblContractForDeed[#Headers])-1)))</f>
        <v>0</v>
      </c>
      <c r="P284" s="447"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6">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594"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88">
        <f t="shared" si="56"/>
        <v>0</v>
      </c>
      <c r="M285" s="388">
        <f t="shared" si="66"/>
        <v>0</v>
      </c>
      <c r="N285" s="594" t="str">
        <f>INDEX(tblSubjectToLoan[Date],ROW()-ROW(tblContractForDeed[#Headers]))</f>
        <v/>
      </c>
      <c r="O285" s="276">
        <f>IF(ROW()=ROW(tblContractForDeed[#Headers])+1,$O$6,IF(INDEX(tblContractForDeed[End Bal],ROW()-ROW(tblContractForDeed[#Headers])-1)&lt;0,0,INDEX(tblContractForDeed[End Bal],ROW()-ROW(tblContractForDeed[#Headers])-1)))</f>
        <v>0</v>
      </c>
      <c r="P285" s="447"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6">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594"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88">
        <f t="shared" si="56"/>
        <v>0</v>
      </c>
      <c r="M286" s="388">
        <f t="shared" si="66"/>
        <v>0</v>
      </c>
      <c r="N286" s="594" t="str">
        <f>INDEX(tblSubjectToLoan[Date],ROW()-ROW(tblContractForDeed[#Headers]))</f>
        <v/>
      </c>
      <c r="O286" s="276">
        <f>IF(ROW()=ROW(tblContractForDeed[#Headers])+1,$O$6,IF(INDEX(tblContractForDeed[End Bal],ROW()-ROW(tblContractForDeed[#Headers])-1)&lt;0,0,INDEX(tblContractForDeed[End Bal],ROW()-ROW(tblContractForDeed[#Headers])-1)))</f>
        <v>0</v>
      </c>
      <c r="P286" s="447"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6">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594"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88">
        <f t="shared" si="56"/>
        <v>0</v>
      </c>
      <c r="M287" s="388">
        <f t="shared" si="66"/>
        <v>0</v>
      </c>
      <c r="N287" s="594" t="str">
        <f>INDEX(tblSubjectToLoan[Date],ROW()-ROW(tblContractForDeed[#Headers]))</f>
        <v/>
      </c>
      <c r="O287" s="276">
        <f>IF(ROW()=ROW(tblContractForDeed[#Headers])+1,$O$6,IF(INDEX(tblContractForDeed[End Bal],ROW()-ROW(tblContractForDeed[#Headers])-1)&lt;0,0,INDEX(tblContractForDeed[End Bal],ROW()-ROW(tblContractForDeed[#Headers])-1)))</f>
        <v>0</v>
      </c>
      <c r="P287" s="447"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6">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594"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88">
        <f t="shared" si="56"/>
        <v>0</v>
      </c>
      <c r="M288" s="388">
        <f t="shared" si="66"/>
        <v>0</v>
      </c>
      <c r="N288" s="594" t="str">
        <f>INDEX(tblSubjectToLoan[Date],ROW()-ROW(tblContractForDeed[#Headers]))</f>
        <v/>
      </c>
      <c r="O288" s="276">
        <f>IF(ROW()=ROW(tblContractForDeed[#Headers])+1,$O$6,IF(INDEX(tblContractForDeed[End Bal],ROW()-ROW(tblContractForDeed[#Headers])-1)&lt;0,0,INDEX(tblContractForDeed[End Bal],ROW()-ROW(tblContractForDeed[#Headers])-1)))</f>
        <v>0</v>
      </c>
      <c r="P288" s="447"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6">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594"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88">
        <f t="shared" si="56"/>
        <v>0</v>
      </c>
      <c r="M289" s="388">
        <f t="shared" si="66"/>
        <v>0</v>
      </c>
      <c r="N289" s="594" t="str">
        <f>INDEX(tblSubjectToLoan[Date],ROW()-ROW(tblContractForDeed[#Headers]))</f>
        <v/>
      </c>
      <c r="O289" s="276">
        <f>IF(ROW()=ROW(tblContractForDeed[#Headers])+1,$O$6,IF(INDEX(tblContractForDeed[End Bal],ROW()-ROW(tblContractForDeed[#Headers])-1)&lt;0,0,INDEX(tblContractForDeed[End Bal],ROW()-ROW(tblContractForDeed[#Headers])-1)))</f>
        <v>0</v>
      </c>
      <c r="P289" s="447"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6">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594"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88">
        <f t="shared" si="56"/>
        <v>0</v>
      </c>
      <c r="M290" s="388">
        <f t="shared" si="66"/>
        <v>0</v>
      </c>
      <c r="N290" s="594" t="str">
        <f>INDEX(tblSubjectToLoan[Date],ROW()-ROW(tblContractForDeed[#Headers]))</f>
        <v/>
      </c>
      <c r="O290" s="276">
        <f>IF(ROW()=ROW(tblContractForDeed[#Headers])+1,$O$6,IF(INDEX(tblContractForDeed[End Bal],ROW()-ROW(tblContractForDeed[#Headers])-1)&lt;0,0,INDEX(tblContractForDeed[End Bal],ROW()-ROW(tblContractForDeed[#Headers])-1)))</f>
        <v>0</v>
      </c>
      <c r="P290" s="447"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6">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594"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88">
        <f t="shared" si="56"/>
        <v>0</v>
      </c>
      <c r="M291" s="388">
        <f t="shared" si="66"/>
        <v>0</v>
      </c>
      <c r="N291" s="594" t="str">
        <f>INDEX(tblSubjectToLoan[Date],ROW()-ROW(tblContractForDeed[#Headers]))</f>
        <v/>
      </c>
      <c r="O291" s="276">
        <f>IF(ROW()=ROW(tblContractForDeed[#Headers])+1,$O$6,IF(INDEX(tblContractForDeed[End Bal],ROW()-ROW(tblContractForDeed[#Headers])-1)&lt;0,0,INDEX(tblContractForDeed[End Bal],ROW()-ROW(tblContractForDeed[#Headers])-1)))</f>
        <v>0</v>
      </c>
      <c r="P291" s="447"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6">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594"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88">
        <f t="shared" si="56"/>
        <v>0</v>
      </c>
      <c r="M292" s="388">
        <f t="shared" si="66"/>
        <v>0</v>
      </c>
      <c r="N292" s="594" t="str">
        <f>INDEX(tblSubjectToLoan[Date],ROW()-ROW(tblContractForDeed[#Headers]))</f>
        <v/>
      </c>
      <c r="O292" s="276">
        <f>IF(ROW()=ROW(tblContractForDeed[#Headers])+1,$O$6,IF(INDEX(tblContractForDeed[End Bal],ROW()-ROW(tblContractForDeed[#Headers])-1)&lt;0,0,INDEX(tblContractForDeed[End Bal],ROW()-ROW(tblContractForDeed[#Headers])-1)))</f>
        <v>0</v>
      </c>
      <c r="P292" s="447"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6">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594"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88">
        <f t="shared" si="56"/>
        <v>0</v>
      </c>
      <c r="M293" s="388">
        <f t="shared" si="66"/>
        <v>0</v>
      </c>
      <c r="N293" s="594" t="str">
        <f>INDEX(tblSubjectToLoan[Date],ROW()-ROW(tblContractForDeed[#Headers]))</f>
        <v/>
      </c>
      <c r="O293" s="276">
        <f>IF(ROW()=ROW(tblContractForDeed[#Headers])+1,$O$6,IF(INDEX(tblContractForDeed[End Bal],ROW()-ROW(tblContractForDeed[#Headers])-1)&lt;0,0,INDEX(tblContractForDeed[End Bal],ROW()-ROW(tblContractForDeed[#Headers])-1)))</f>
        <v>0</v>
      </c>
      <c r="P293" s="447"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6">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594"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88">
        <f t="shared" si="56"/>
        <v>0</v>
      </c>
      <c r="M294" s="388">
        <f t="shared" si="66"/>
        <v>0</v>
      </c>
      <c r="N294" s="594" t="str">
        <f>INDEX(tblSubjectToLoan[Date],ROW()-ROW(tblContractForDeed[#Headers]))</f>
        <v/>
      </c>
      <c r="O294" s="276">
        <f>IF(ROW()=ROW(tblContractForDeed[#Headers])+1,$O$6,IF(INDEX(tblContractForDeed[End Bal],ROW()-ROW(tblContractForDeed[#Headers])-1)&lt;0,0,INDEX(tblContractForDeed[End Bal],ROW()-ROW(tblContractForDeed[#Headers])-1)))</f>
        <v>0</v>
      </c>
      <c r="P294" s="447"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6">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595" t="str">
        <f t="shared" si="62"/>
        <v/>
      </c>
      <c r="B295" s="328">
        <f t="shared" si="63"/>
        <v>0</v>
      </c>
      <c r="C295" s="21">
        <f t="shared" si="60"/>
        <v>0</v>
      </c>
      <c r="D295" s="21">
        <f t="shared" si="64"/>
        <v>0</v>
      </c>
      <c r="E295" s="21">
        <f t="shared" si="61"/>
        <v>0</v>
      </c>
      <c r="F295" s="21">
        <f t="shared" si="69"/>
        <v>134.16999999999999</v>
      </c>
      <c r="G295" s="21">
        <f t="shared" si="69"/>
        <v>188.55</v>
      </c>
      <c r="H295" s="21">
        <f t="shared" si="58"/>
        <v>322.72000000000003</v>
      </c>
      <c r="I295" s="328">
        <f t="shared" si="67"/>
        <v>97531.839999999953</v>
      </c>
      <c r="J295" s="328">
        <f t="shared" si="68"/>
        <v>36068.259999999973</v>
      </c>
      <c r="K295" s="328">
        <f t="shared" si="65"/>
        <v>0</v>
      </c>
      <c r="L295" s="389">
        <f t="shared" si="56"/>
        <v>0</v>
      </c>
      <c r="M295" s="389">
        <f t="shared" si="66"/>
        <v>0</v>
      </c>
      <c r="N295" s="595" t="str">
        <f>INDEX(tblSubjectToLoan[Date],ROW()-ROW(tblContractForDeed[#Headers]))</f>
        <v/>
      </c>
      <c r="O295" s="328">
        <f>IF(ROW()=ROW(tblContractForDeed[#Headers])+1,$O$6,IF(INDEX(tblContractForDeed[End Bal],ROW()-ROW(tblContractForDeed[#Headers])-1)&lt;0,0,INDEX(tblContractForDeed[End Bal],ROW()-ROW(tblContractForDeed[#Headers])-1)))</f>
        <v>0</v>
      </c>
      <c r="P295" s="447"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8">
        <f>IF(tblContractForDeed[[#This Row],[Payment]]=0,0,MAX(0,MIN(tblContractForDeed[[#This Row],[Beg]],tblContractForDeed[[#This Row],[Payment]]-tblContractForDeed[[#This Row],[Int]])))</f>
        <v>0</v>
      </c>
      <c r="S295" s="328">
        <f>IF(OR(tblContractForDeed[[#This Row],[Date]]&lt;cfdContractDate,tblContractForDeed[[#This Row],[Date]]&gt;cfdEndDate),0,ROUND(tblContractForDeed[[#This Row],[Beg]]*(tblContractForDeed[[#This Row],[Int Rate]]/12),2))</f>
        <v>0</v>
      </c>
      <c r="T295" s="328">
        <f>IF(tblContractForDeed[[#This Row],[Payment]]=0,0,$W$2)</f>
        <v>0</v>
      </c>
      <c r="U295" s="328">
        <f>IF(tblContractForDeed[[#This Row],[Princ]]=0,0,$W$3)</f>
        <v>0</v>
      </c>
      <c r="V295" s="328">
        <f>SUM(tblContractForDeed[[#This Row],[Princ]],tblContractForDeed[[#This Row],[Int]],tblContractForDeed[[#This Row],[Ins]],tblContractForDeed[[#This Row],[Taxes]])</f>
        <v>0</v>
      </c>
      <c r="W295" s="328">
        <f>SUM(INDEX(tblContractForDeed[Princ],1):INDEX(tblContractForDeed[Princ],ROW()-ROW(tblContractForDeed[#Headers])))</f>
        <v>75258.000000000029</v>
      </c>
      <c r="X295" s="328">
        <f>IF(tblContractForDeed[[#This Row],[Beg]]&lt;=0,0,tblContractForDeed[[#This Row],[Beg]]-tblContractForDeed[[#This Row],[Princ]])</f>
        <v>0</v>
      </c>
      <c r="Y2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7">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8">
        <f>IF(INDEX(tblContractForDeed[End Bal],ROW()-ROW(tblBuyerOutputs[#Headers]))&lt;=0,0,($O$6+IF(ROW()=ROW(tblBuyerOutputs[#Headers])+1,0,INDEX(tblBuyerOutputs[Cumul Appr],ROW()-ROW(tblBuyerOutputs[#Headers])-1)))*$O$2/12)</f>
        <v>0</v>
      </c>
      <c r="AE295" s="328">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594"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88">
        <f t="shared" si="56"/>
        <v>0</v>
      </c>
      <c r="M296" s="388">
        <f t="shared" si="66"/>
        <v>0</v>
      </c>
      <c r="N296" s="594" t="str">
        <f>INDEX(tblSubjectToLoan[Date],ROW()-ROW(tblContractForDeed[#Headers]))</f>
        <v/>
      </c>
      <c r="O296" s="276">
        <f>IF(ROW()=ROW(tblContractForDeed[#Headers])+1,$O$6,IF(INDEX(tblContractForDeed[End Bal],ROW()-ROW(tblContractForDeed[#Headers])-1)&lt;0,0,INDEX(tblContractForDeed[End Bal],ROW()-ROW(tblContractForDeed[#Headers])-1)))</f>
        <v>0</v>
      </c>
      <c r="P296" s="447"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6">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594"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88">
        <f t="shared" si="56"/>
        <v>0</v>
      </c>
      <c r="M297" s="388">
        <f t="shared" si="66"/>
        <v>0</v>
      </c>
      <c r="N297" s="594" t="str">
        <f>INDEX(tblSubjectToLoan[Date],ROW()-ROW(tblContractForDeed[#Headers]))</f>
        <v/>
      </c>
      <c r="O297" s="276">
        <f>IF(ROW()=ROW(tblContractForDeed[#Headers])+1,$O$6,IF(INDEX(tblContractForDeed[End Bal],ROW()-ROW(tblContractForDeed[#Headers])-1)&lt;0,0,INDEX(tblContractForDeed[End Bal],ROW()-ROW(tblContractForDeed[#Headers])-1)))</f>
        <v>0</v>
      </c>
      <c r="P297" s="447"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6">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594"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88">
        <f t="shared" si="56"/>
        <v>0</v>
      </c>
      <c r="M298" s="388">
        <f t="shared" si="66"/>
        <v>0</v>
      </c>
      <c r="N298" s="594" t="str">
        <f>INDEX(tblSubjectToLoan[Date],ROW()-ROW(tblContractForDeed[#Headers]))</f>
        <v/>
      </c>
      <c r="O298" s="276">
        <f>IF(ROW()=ROW(tblContractForDeed[#Headers])+1,$O$6,IF(INDEX(tblContractForDeed[End Bal],ROW()-ROW(tblContractForDeed[#Headers])-1)&lt;0,0,INDEX(tblContractForDeed[End Bal],ROW()-ROW(tblContractForDeed[#Headers])-1)))</f>
        <v>0</v>
      </c>
      <c r="P298" s="447"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6">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594"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88">
        <f t="shared" si="56"/>
        <v>0</v>
      </c>
      <c r="M299" s="388">
        <f t="shared" si="66"/>
        <v>0</v>
      </c>
      <c r="N299" s="594" t="str">
        <f>INDEX(tblSubjectToLoan[Date],ROW()-ROW(tblContractForDeed[#Headers]))</f>
        <v/>
      </c>
      <c r="O299" s="276">
        <f>IF(ROW()=ROW(tblContractForDeed[#Headers])+1,$O$6,IF(INDEX(tblContractForDeed[End Bal],ROW()-ROW(tblContractForDeed[#Headers])-1)&lt;0,0,INDEX(tblContractForDeed[End Bal],ROW()-ROW(tblContractForDeed[#Headers])-1)))</f>
        <v>0</v>
      </c>
      <c r="P299" s="447"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6">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594"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88">
        <f t="shared" si="56"/>
        <v>0</v>
      </c>
      <c r="M300" s="388">
        <f t="shared" si="66"/>
        <v>0</v>
      </c>
      <c r="N300" s="594" t="str">
        <f>INDEX(tblSubjectToLoan[Date],ROW()-ROW(tblContractForDeed[#Headers]))</f>
        <v/>
      </c>
      <c r="O300" s="276">
        <f>IF(ROW()=ROW(tblContractForDeed[#Headers])+1,$O$6,IF(INDEX(tblContractForDeed[End Bal],ROW()-ROW(tblContractForDeed[#Headers])-1)&lt;0,0,INDEX(tblContractForDeed[End Bal],ROW()-ROW(tblContractForDeed[#Headers])-1)))</f>
        <v>0</v>
      </c>
      <c r="P300" s="447"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6">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594"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88">
        <f t="shared" si="56"/>
        <v>0</v>
      </c>
      <c r="M301" s="388">
        <f t="shared" si="66"/>
        <v>0</v>
      </c>
      <c r="N301" s="594" t="str">
        <f>INDEX(tblSubjectToLoan[Date],ROW()-ROW(tblContractForDeed[#Headers]))</f>
        <v/>
      </c>
      <c r="O301" s="276">
        <f>IF(ROW()=ROW(tblContractForDeed[#Headers])+1,$O$6,IF(INDEX(tblContractForDeed[End Bal],ROW()-ROW(tblContractForDeed[#Headers])-1)&lt;0,0,INDEX(tblContractForDeed[End Bal],ROW()-ROW(tblContractForDeed[#Headers])-1)))</f>
        <v>0</v>
      </c>
      <c r="P301" s="447"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6">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594"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88">
        <f t="shared" si="56"/>
        <v>0</v>
      </c>
      <c r="M302" s="388">
        <f t="shared" si="66"/>
        <v>0</v>
      </c>
      <c r="N302" s="594" t="str">
        <f>INDEX(tblSubjectToLoan[Date],ROW()-ROW(tblContractForDeed[#Headers]))</f>
        <v/>
      </c>
      <c r="O302" s="276">
        <f>IF(ROW()=ROW(tblContractForDeed[#Headers])+1,$O$6,IF(INDEX(tblContractForDeed[End Bal],ROW()-ROW(tblContractForDeed[#Headers])-1)&lt;0,0,INDEX(tblContractForDeed[End Bal],ROW()-ROW(tblContractForDeed[#Headers])-1)))</f>
        <v>0</v>
      </c>
      <c r="P302" s="447"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6">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594"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88">
        <f t="shared" si="56"/>
        <v>0</v>
      </c>
      <c r="M303" s="388">
        <f t="shared" si="66"/>
        <v>0</v>
      </c>
      <c r="N303" s="594" t="str">
        <f>INDEX(tblSubjectToLoan[Date],ROW()-ROW(tblContractForDeed[#Headers]))</f>
        <v/>
      </c>
      <c r="O303" s="276">
        <f>IF(ROW()=ROW(tblContractForDeed[#Headers])+1,$O$6,IF(INDEX(tblContractForDeed[End Bal],ROW()-ROW(tblContractForDeed[#Headers])-1)&lt;0,0,INDEX(tblContractForDeed[End Bal],ROW()-ROW(tblContractForDeed[#Headers])-1)))</f>
        <v>0</v>
      </c>
      <c r="P303" s="447"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6">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594"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88">
        <f t="shared" si="56"/>
        <v>0</v>
      </c>
      <c r="M304" s="388">
        <f t="shared" si="66"/>
        <v>0</v>
      </c>
      <c r="N304" s="594" t="str">
        <f>INDEX(tblSubjectToLoan[Date],ROW()-ROW(tblContractForDeed[#Headers]))</f>
        <v/>
      </c>
      <c r="O304" s="276">
        <f>IF(ROW()=ROW(tblContractForDeed[#Headers])+1,$O$6,IF(INDEX(tblContractForDeed[End Bal],ROW()-ROW(tblContractForDeed[#Headers])-1)&lt;0,0,INDEX(tblContractForDeed[End Bal],ROW()-ROW(tblContractForDeed[#Headers])-1)))</f>
        <v>0</v>
      </c>
      <c r="P304" s="447"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6">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594"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88">
        <f t="shared" si="56"/>
        <v>0</v>
      </c>
      <c r="M305" s="388">
        <f t="shared" si="66"/>
        <v>0</v>
      </c>
      <c r="N305" s="594" t="str">
        <f>INDEX(tblSubjectToLoan[Date],ROW()-ROW(tblContractForDeed[#Headers]))</f>
        <v/>
      </c>
      <c r="O305" s="276">
        <f>IF(ROW()=ROW(tblContractForDeed[#Headers])+1,$O$6,IF(INDEX(tblContractForDeed[End Bal],ROW()-ROW(tblContractForDeed[#Headers])-1)&lt;0,0,INDEX(tblContractForDeed[End Bal],ROW()-ROW(tblContractForDeed[#Headers])-1)))</f>
        <v>0</v>
      </c>
      <c r="P305" s="447"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6">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594"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88">
        <f t="shared" si="56"/>
        <v>0</v>
      </c>
      <c r="M306" s="388">
        <f t="shared" si="66"/>
        <v>0</v>
      </c>
      <c r="N306" s="594" t="str">
        <f>INDEX(tblSubjectToLoan[Date],ROW()-ROW(tblContractForDeed[#Headers]))</f>
        <v/>
      </c>
      <c r="O306" s="276">
        <f>IF(ROW()=ROW(tblContractForDeed[#Headers])+1,$O$6,IF(INDEX(tblContractForDeed[End Bal],ROW()-ROW(tblContractForDeed[#Headers])-1)&lt;0,0,INDEX(tblContractForDeed[End Bal],ROW()-ROW(tblContractForDeed[#Headers])-1)))</f>
        <v>0</v>
      </c>
      <c r="P306" s="447"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6">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595" t="str">
        <f t="shared" si="62"/>
        <v/>
      </c>
      <c r="B307" s="328">
        <f t="shared" si="63"/>
        <v>0</v>
      </c>
      <c r="C307" s="21">
        <f t="shared" si="60"/>
        <v>0</v>
      </c>
      <c r="D307" s="21">
        <f t="shared" si="64"/>
        <v>0</v>
      </c>
      <c r="E307" s="21">
        <f t="shared" si="61"/>
        <v>0</v>
      </c>
      <c r="F307" s="21">
        <f t="shared" si="70"/>
        <v>134.16999999999999</v>
      </c>
      <c r="G307" s="21">
        <f t="shared" si="70"/>
        <v>188.55</v>
      </c>
      <c r="H307" s="21">
        <f t="shared" si="58"/>
        <v>322.72000000000003</v>
      </c>
      <c r="I307" s="328">
        <f t="shared" si="67"/>
        <v>97531.839999999953</v>
      </c>
      <c r="J307" s="328">
        <f t="shared" si="68"/>
        <v>36068.259999999973</v>
      </c>
      <c r="K307" s="328">
        <f t="shared" si="65"/>
        <v>0</v>
      </c>
      <c r="L307" s="389">
        <f t="shared" si="56"/>
        <v>0</v>
      </c>
      <c r="M307" s="389">
        <f t="shared" si="66"/>
        <v>0</v>
      </c>
      <c r="N307" s="595" t="str">
        <f>INDEX(tblSubjectToLoan[Date],ROW()-ROW(tblContractForDeed[#Headers]))</f>
        <v/>
      </c>
      <c r="O307" s="328">
        <f>IF(ROW()=ROW(tblContractForDeed[#Headers])+1,$O$6,IF(INDEX(tblContractForDeed[End Bal],ROW()-ROW(tblContractForDeed[#Headers])-1)&lt;0,0,INDEX(tblContractForDeed[End Bal],ROW()-ROW(tblContractForDeed[#Headers])-1)))</f>
        <v>0</v>
      </c>
      <c r="P307" s="447"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8">
        <f>IF(tblContractForDeed[[#This Row],[Payment]]=0,0,MAX(0,MIN(tblContractForDeed[[#This Row],[Beg]],tblContractForDeed[[#This Row],[Payment]]-tblContractForDeed[[#This Row],[Int]])))</f>
        <v>0</v>
      </c>
      <c r="S307" s="328">
        <f>IF(OR(tblContractForDeed[[#This Row],[Date]]&lt;cfdContractDate,tblContractForDeed[[#This Row],[Date]]&gt;cfdEndDate),0,ROUND(tblContractForDeed[[#This Row],[Beg]]*(tblContractForDeed[[#This Row],[Int Rate]]/12),2))</f>
        <v>0</v>
      </c>
      <c r="T307" s="328">
        <f>IF(tblContractForDeed[[#This Row],[Payment]]=0,0,$W$2)</f>
        <v>0</v>
      </c>
      <c r="U307" s="328">
        <f>IF(tblContractForDeed[[#This Row],[Princ]]=0,0,$W$3)</f>
        <v>0</v>
      </c>
      <c r="V307" s="328">
        <f>SUM(tblContractForDeed[[#This Row],[Princ]],tblContractForDeed[[#This Row],[Int]],tblContractForDeed[[#This Row],[Ins]],tblContractForDeed[[#This Row],[Taxes]])</f>
        <v>0</v>
      </c>
      <c r="W307" s="328">
        <f>SUM(INDEX(tblContractForDeed[Princ],1):INDEX(tblContractForDeed[Princ],ROW()-ROW(tblContractForDeed[#Headers])))</f>
        <v>75258.000000000029</v>
      </c>
      <c r="X307" s="328">
        <f>IF(tblContractForDeed[[#This Row],[Beg]]&lt;=0,0,tblContractForDeed[[#This Row],[Beg]]-tblContractForDeed[[#This Row],[Princ]])</f>
        <v>0</v>
      </c>
      <c r="Y3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7">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8">
        <f>IF(INDEX(tblContractForDeed[End Bal],ROW()-ROW(tblBuyerOutputs[#Headers]))&lt;=0,0,($O$6+IF(ROW()=ROW(tblBuyerOutputs[#Headers])+1,0,INDEX(tblBuyerOutputs[Cumul Appr],ROW()-ROW(tblBuyerOutputs[#Headers])-1)))*$O$2/12)</f>
        <v>0</v>
      </c>
      <c r="AE307" s="328">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594"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88">
        <f t="shared" ref="L308:L371" si="71">IF(MOD(M308,12)=0,M308/12,L307)</f>
        <v>0</v>
      </c>
      <c r="M308" s="388">
        <f t="shared" si="66"/>
        <v>0</v>
      </c>
      <c r="N308" s="594" t="str">
        <f>INDEX(tblSubjectToLoan[Date],ROW()-ROW(tblContractForDeed[#Headers]))</f>
        <v/>
      </c>
      <c r="O308" s="276">
        <f>IF(ROW()=ROW(tblContractForDeed[#Headers])+1,$O$6,IF(INDEX(tblContractForDeed[End Bal],ROW()-ROW(tblContractForDeed[#Headers])-1)&lt;0,0,INDEX(tblContractForDeed[End Bal],ROW()-ROW(tblContractForDeed[#Headers])-1)))</f>
        <v>0</v>
      </c>
      <c r="P308" s="447"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6">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594"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88">
        <f t="shared" si="71"/>
        <v>0</v>
      </c>
      <c r="M309" s="388">
        <f t="shared" si="66"/>
        <v>0</v>
      </c>
      <c r="N309" s="594" t="str">
        <f>INDEX(tblSubjectToLoan[Date],ROW()-ROW(tblContractForDeed[#Headers]))</f>
        <v/>
      </c>
      <c r="O309" s="276">
        <f>IF(ROW()=ROW(tblContractForDeed[#Headers])+1,$O$6,IF(INDEX(tblContractForDeed[End Bal],ROW()-ROW(tblContractForDeed[#Headers])-1)&lt;0,0,INDEX(tblContractForDeed[End Bal],ROW()-ROW(tblContractForDeed[#Headers])-1)))</f>
        <v>0</v>
      </c>
      <c r="P309" s="447"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6">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594"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88">
        <f t="shared" si="71"/>
        <v>0</v>
      </c>
      <c r="M310" s="388">
        <f t="shared" si="66"/>
        <v>0</v>
      </c>
      <c r="N310" s="594" t="str">
        <f>INDEX(tblSubjectToLoan[Date],ROW()-ROW(tblContractForDeed[#Headers]))</f>
        <v/>
      </c>
      <c r="O310" s="276">
        <f>IF(ROW()=ROW(tblContractForDeed[#Headers])+1,$O$6,IF(INDEX(tblContractForDeed[End Bal],ROW()-ROW(tblContractForDeed[#Headers])-1)&lt;0,0,INDEX(tblContractForDeed[End Bal],ROW()-ROW(tblContractForDeed[#Headers])-1)))</f>
        <v>0</v>
      </c>
      <c r="P310" s="447"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6">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594"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88">
        <f t="shared" si="71"/>
        <v>0</v>
      </c>
      <c r="M311" s="388">
        <f t="shared" si="66"/>
        <v>0</v>
      </c>
      <c r="N311" s="594" t="str">
        <f>INDEX(tblSubjectToLoan[Date],ROW()-ROW(tblContractForDeed[#Headers]))</f>
        <v/>
      </c>
      <c r="O311" s="276">
        <f>IF(ROW()=ROW(tblContractForDeed[#Headers])+1,$O$6,IF(INDEX(tblContractForDeed[End Bal],ROW()-ROW(tblContractForDeed[#Headers])-1)&lt;0,0,INDEX(tblContractForDeed[End Bal],ROW()-ROW(tblContractForDeed[#Headers])-1)))</f>
        <v>0</v>
      </c>
      <c r="P311" s="447"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6">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594"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88">
        <f t="shared" si="71"/>
        <v>0</v>
      </c>
      <c r="M312" s="388">
        <f t="shared" si="66"/>
        <v>0</v>
      </c>
      <c r="N312" s="594" t="str">
        <f>INDEX(tblSubjectToLoan[Date],ROW()-ROW(tblContractForDeed[#Headers]))</f>
        <v/>
      </c>
      <c r="O312" s="276">
        <f>IF(ROW()=ROW(tblContractForDeed[#Headers])+1,$O$6,IF(INDEX(tblContractForDeed[End Bal],ROW()-ROW(tblContractForDeed[#Headers])-1)&lt;0,0,INDEX(tblContractForDeed[End Bal],ROW()-ROW(tblContractForDeed[#Headers])-1)))</f>
        <v>0</v>
      </c>
      <c r="P312" s="447"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6">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594"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88">
        <f t="shared" si="71"/>
        <v>0</v>
      </c>
      <c r="M313" s="388">
        <f t="shared" si="66"/>
        <v>0</v>
      </c>
      <c r="N313" s="594" t="str">
        <f>INDEX(tblSubjectToLoan[Date],ROW()-ROW(tblContractForDeed[#Headers]))</f>
        <v/>
      </c>
      <c r="O313" s="276">
        <f>IF(ROW()=ROW(tblContractForDeed[#Headers])+1,$O$6,IF(INDEX(tblContractForDeed[End Bal],ROW()-ROW(tblContractForDeed[#Headers])-1)&lt;0,0,INDEX(tblContractForDeed[End Bal],ROW()-ROW(tblContractForDeed[#Headers])-1)))</f>
        <v>0</v>
      </c>
      <c r="P313" s="447"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6">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594"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88">
        <f t="shared" si="71"/>
        <v>0</v>
      </c>
      <c r="M314" s="388">
        <f t="shared" si="66"/>
        <v>0</v>
      </c>
      <c r="N314" s="594" t="str">
        <f>INDEX(tblSubjectToLoan[Date],ROW()-ROW(tblContractForDeed[#Headers]))</f>
        <v/>
      </c>
      <c r="O314" s="276">
        <f>IF(ROW()=ROW(tblContractForDeed[#Headers])+1,$O$6,IF(INDEX(tblContractForDeed[End Bal],ROW()-ROW(tblContractForDeed[#Headers])-1)&lt;0,0,INDEX(tblContractForDeed[End Bal],ROW()-ROW(tblContractForDeed[#Headers])-1)))</f>
        <v>0</v>
      </c>
      <c r="P314" s="447"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6">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594"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88">
        <f t="shared" si="71"/>
        <v>0</v>
      </c>
      <c r="M315" s="388">
        <f t="shared" si="66"/>
        <v>0</v>
      </c>
      <c r="N315" s="594" t="str">
        <f>INDEX(tblSubjectToLoan[Date],ROW()-ROW(tblContractForDeed[#Headers]))</f>
        <v/>
      </c>
      <c r="O315" s="276">
        <f>IF(ROW()=ROW(tblContractForDeed[#Headers])+1,$O$6,IF(INDEX(tblContractForDeed[End Bal],ROW()-ROW(tblContractForDeed[#Headers])-1)&lt;0,0,INDEX(tblContractForDeed[End Bal],ROW()-ROW(tblContractForDeed[#Headers])-1)))</f>
        <v>0</v>
      </c>
      <c r="P315" s="447"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6">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594"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88">
        <f t="shared" si="71"/>
        <v>0</v>
      </c>
      <c r="M316" s="388">
        <f t="shared" si="66"/>
        <v>0</v>
      </c>
      <c r="N316" s="594" t="str">
        <f>INDEX(tblSubjectToLoan[Date],ROW()-ROW(tblContractForDeed[#Headers]))</f>
        <v/>
      </c>
      <c r="O316" s="276">
        <f>IF(ROW()=ROW(tblContractForDeed[#Headers])+1,$O$6,IF(INDEX(tblContractForDeed[End Bal],ROW()-ROW(tblContractForDeed[#Headers])-1)&lt;0,0,INDEX(tblContractForDeed[End Bal],ROW()-ROW(tblContractForDeed[#Headers])-1)))</f>
        <v>0</v>
      </c>
      <c r="P316" s="447"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6">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594"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88">
        <f t="shared" si="71"/>
        <v>0</v>
      </c>
      <c r="M317" s="388">
        <f t="shared" si="66"/>
        <v>0</v>
      </c>
      <c r="N317" s="594" t="str">
        <f>INDEX(tblSubjectToLoan[Date],ROW()-ROW(tblContractForDeed[#Headers]))</f>
        <v/>
      </c>
      <c r="O317" s="276">
        <f>IF(ROW()=ROW(tblContractForDeed[#Headers])+1,$O$6,IF(INDEX(tblContractForDeed[End Bal],ROW()-ROW(tblContractForDeed[#Headers])-1)&lt;0,0,INDEX(tblContractForDeed[End Bal],ROW()-ROW(tblContractForDeed[#Headers])-1)))</f>
        <v>0</v>
      </c>
      <c r="P317" s="447"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6">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594"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88">
        <f t="shared" si="71"/>
        <v>0</v>
      </c>
      <c r="M318" s="388">
        <f t="shared" si="66"/>
        <v>0</v>
      </c>
      <c r="N318" s="594" t="str">
        <f>INDEX(tblSubjectToLoan[Date],ROW()-ROW(tblContractForDeed[#Headers]))</f>
        <v/>
      </c>
      <c r="O318" s="276">
        <f>IF(ROW()=ROW(tblContractForDeed[#Headers])+1,$O$6,IF(INDEX(tblContractForDeed[End Bal],ROW()-ROW(tblContractForDeed[#Headers])-1)&lt;0,0,INDEX(tblContractForDeed[End Bal],ROW()-ROW(tblContractForDeed[#Headers])-1)))</f>
        <v>0</v>
      </c>
      <c r="P318" s="447"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6">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595" t="str">
        <f t="shared" si="62"/>
        <v/>
      </c>
      <c r="B319" s="328">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8">
        <f t="shared" si="67"/>
        <v>97531.839999999953</v>
      </c>
      <c r="J319" s="328">
        <f t="shared" si="68"/>
        <v>36068.259999999973</v>
      </c>
      <c r="K319" s="328">
        <f t="shared" si="65"/>
        <v>0</v>
      </c>
      <c r="L319" s="389">
        <f t="shared" si="71"/>
        <v>0</v>
      </c>
      <c r="M319" s="389">
        <f t="shared" si="66"/>
        <v>0</v>
      </c>
      <c r="N319" s="595" t="str">
        <f>INDEX(tblSubjectToLoan[Date],ROW()-ROW(tblContractForDeed[#Headers]))</f>
        <v/>
      </c>
      <c r="O319" s="328">
        <f>IF(ROW()=ROW(tblContractForDeed[#Headers])+1,$O$6,IF(INDEX(tblContractForDeed[End Bal],ROW()-ROW(tblContractForDeed[#Headers])-1)&lt;0,0,INDEX(tblContractForDeed[End Bal],ROW()-ROW(tblContractForDeed[#Headers])-1)))</f>
        <v>0</v>
      </c>
      <c r="P319" s="447"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8">
        <f>IF(tblContractForDeed[[#This Row],[Payment]]=0,0,MAX(0,MIN(tblContractForDeed[[#This Row],[Beg]],tblContractForDeed[[#This Row],[Payment]]-tblContractForDeed[[#This Row],[Int]])))</f>
        <v>0</v>
      </c>
      <c r="S319" s="328">
        <f>IF(OR(tblContractForDeed[[#This Row],[Date]]&lt;cfdContractDate,tblContractForDeed[[#This Row],[Date]]&gt;cfdEndDate),0,ROUND(tblContractForDeed[[#This Row],[Beg]]*(tblContractForDeed[[#This Row],[Int Rate]]/12),2))</f>
        <v>0</v>
      </c>
      <c r="T319" s="328">
        <f>IF(tblContractForDeed[[#This Row],[Payment]]=0,0,$W$2)</f>
        <v>0</v>
      </c>
      <c r="U319" s="328">
        <f>IF(tblContractForDeed[[#This Row],[Princ]]=0,0,$W$3)</f>
        <v>0</v>
      </c>
      <c r="V319" s="328">
        <f>SUM(tblContractForDeed[[#This Row],[Princ]],tblContractForDeed[[#This Row],[Int]],tblContractForDeed[[#This Row],[Ins]],tblContractForDeed[[#This Row],[Taxes]])</f>
        <v>0</v>
      </c>
      <c r="W319" s="328">
        <f>SUM(INDEX(tblContractForDeed[Princ],1):INDEX(tblContractForDeed[Princ],ROW()-ROW(tblContractForDeed[#Headers])))</f>
        <v>75258.000000000029</v>
      </c>
      <c r="X319" s="328">
        <f>IF(tblContractForDeed[[#This Row],[Beg]]&lt;=0,0,tblContractForDeed[[#This Row],[Beg]]-tblContractForDeed[[#This Row],[Princ]])</f>
        <v>0</v>
      </c>
      <c r="Y3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7">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8">
        <f>IF(INDEX(tblContractForDeed[End Bal],ROW()-ROW(tblBuyerOutputs[#Headers]))&lt;=0,0,($O$6+IF(ROW()=ROW(tblBuyerOutputs[#Headers])+1,0,INDEX(tblBuyerOutputs[Cumul Appr],ROW()-ROW(tblBuyerOutputs[#Headers])-1)))*$O$2/12)</f>
        <v>0</v>
      </c>
      <c r="AE319" s="328">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594"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88">
        <f t="shared" si="71"/>
        <v>0</v>
      </c>
      <c r="M320" s="388">
        <f t="shared" si="66"/>
        <v>0</v>
      </c>
      <c r="N320" s="594" t="str">
        <f>INDEX(tblSubjectToLoan[Date],ROW()-ROW(tblContractForDeed[#Headers]))</f>
        <v/>
      </c>
      <c r="O320" s="276">
        <f>IF(ROW()=ROW(tblContractForDeed[#Headers])+1,$O$6,IF(INDEX(tblContractForDeed[End Bal],ROW()-ROW(tblContractForDeed[#Headers])-1)&lt;0,0,INDEX(tblContractForDeed[End Bal],ROW()-ROW(tblContractForDeed[#Headers])-1)))</f>
        <v>0</v>
      </c>
      <c r="P320" s="447"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6">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594"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88">
        <f t="shared" si="71"/>
        <v>0</v>
      </c>
      <c r="M321" s="388">
        <f t="shared" si="66"/>
        <v>0</v>
      </c>
      <c r="N321" s="594" t="str">
        <f>INDEX(tblSubjectToLoan[Date],ROW()-ROW(tblContractForDeed[#Headers]))</f>
        <v/>
      </c>
      <c r="O321" s="276">
        <f>IF(ROW()=ROW(tblContractForDeed[#Headers])+1,$O$6,IF(INDEX(tblContractForDeed[End Bal],ROW()-ROW(tblContractForDeed[#Headers])-1)&lt;0,0,INDEX(tblContractForDeed[End Bal],ROW()-ROW(tblContractForDeed[#Headers])-1)))</f>
        <v>0</v>
      </c>
      <c r="P321" s="447"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6">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594"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88">
        <f t="shared" si="71"/>
        <v>0</v>
      </c>
      <c r="M322" s="388">
        <f t="shared" si="66"/>
        <v>0</v>
      </c>
      <c r="N322" s="594" t="str">
        <f>INDEX(tblSubjectToLoan[Date],ROW()-ROW(tblContractForDeed[#Headers]))</f>
        <v/>
      </c>
      <c r="O322" s="276">
        <f>IF(ROW()=ROW(tblContractForDeed[#Headers])+1,$O$6,IF(INDEX(tblContractForDeed[End Bal],ROW()-ROW(tblContractForDeed[#Headers])-1)&lt;0,0,INDEX(tblContractForDeed[End Bal],ROW()-ROW(tblContractForDeed[#Headers])-1)))</f>
        <v>0</v>
      </c>
      <c r="P322" s="447"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6">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594"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88">
        <f t="shared" si="71"/>
        <v>0</v>
      </c>
      <c r="M323" s="388">
        <f t="shared" si="66"/>
        <v>0</v>
      </c>
      <c r="N323" s="594" t="str">
        <f>INDEX(tblSubjectToLoan[Date],ROW()-ROW(tblContractForDeed[#Headers]))</f>
        <v/>
      </c>
      <c r="O323" s="276">
        <f>IF(ROW()=ROW(tblContractForDeed[#Headers])+1,$O$6,IF(INDEX(tblContractForDeed[End Bal],ROW()-ROW(tblContractForDeed[#Headers])-1)&lt;0,0,INDEX(tblContractForDeed[End Bal],ROW()-ROW(tblContractForDeed[#Headers])-1)))</f>
        <v>0</v>
      </c>
      <c r="P323" s="447"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6">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594"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88">
        <f t="shared" si="71"/>
        <v>0</v>
      </c>
      <c r="M324" s="388">
        <f t="shared" si="66"/>
        <v>0</v>
      </c>
      <c r="N324" s="594" t="str">
        <f>INDEX(tblSubjectToLoan[Date],ROW()-ROW(tblContractForDeed[#Headers]))</f>
        <v/>
      </c>
      <c r="O324" s="276">
        <f>IF(ROW()=ROW(tblContractForDeed[#Headers])+1,$O$6,IF(INDEX(tblContractForDeed[End Bal],ROW()-ROW(tblContractForDeed[#Headers])-1)&lt;0,0,INDEX(tblContractForDeed[End Bal],ROW()-ROW(tblContractForDeed[#Headers])-1)))</f>
        <v>0</v>
      </c>
      <c r="P324" s="447"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6">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594"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88">
        <f t="shared" si="71"/>
        <v>0</v>
      </c>
      <c r="M325" s="388">
        <f t="shared" si="66"/>
        <v>0</v>
      </c>
      <c r="N325" s="594" t="str">
        <f>INDEX(tblSubjectToLoan[Date],ROW()-ROW(tblContractForDeed[#Headers]))</f>
        <v/>
      </c>
      <c r="O325" s="276">
        <f>IF(ROW()=ROW(tblContractForDeed[#Headers])+1,$O$6,IF(INDEX(tblContractForDeed[End Bal],ROW()-ROW(tblContractForDeed[#Headers])-1)&lt;0,0,INDEX(tblContractForDeed[End Bal],ROW()-ROW(tblContractForDeed[#Headers])-1)))</f>
        <v>0</v>
      </c>
      <c r="P325" s="447"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6">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594"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88">
        <f t="shared" si="71"/>
        <v>0</v>
      </c>
      <c r="M326" s="388">
        <f t="shared" si="66"/>
        <v>0</v>
      </c>
      <c r="N326" s="594" t="str">
        <f>INDEX(tblSubjectToLoan[Date],ROW()-ROW(tblContractForDeed[#Headers]))</f>
        <v/>
      </c>
      <c r="O326" s="276">
        <f>IF(ROW()=ROW(tblContractForDeed[#Headers])+1,$O$6,IF(INDEX(tblContractForDeed[End Bal],ROW()-ROW(tblContractForDeed[#Headers])-1)&lt;0,0,INDEX(tblContractForDeed[End Bal],ROW()-ROW(tblContractForDeed[#Headers])-1)))</f>
        <v>0</v>
      </c>
      <c r="P326" s="447"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6">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594"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88">
        <f t="shared" si="71"/>
        <v>0</v>
      </c>
      <c r="M327" s="388">
        <f t="shared" si="66"/>
        <v>0</v>
      </c>
      <c r="N327" s="594" t="str">
        <f>INDEX(tblSubjectToLoan[Date],ROW()-ROW(tblContractForDeed[#Headers]))</f>
        <v/>
      </c>
      <c r="O327" s="276">
        <f>IF(ROW()=ROW(tblContractForDeed[#Headers])+1,$O$6,IF(INDEX(tblContractForDeed[End Bal],ROW()-ROW(tblContractForDeed[#Headers])-1)&lt;0,0,INDEX(tblContractForDeed[End Bal],ROW()-ROW(tblContractForDeed[#Headers])-1)))</f>
        <v>0</v>
      </c>
      <c r="P327" s="447"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6">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594"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88">
        <f t="shared" si="71"/>
        <v>0</v>
      </c>
      <c r="M328" s="388">
        <f t="shared" si="66"/>
        <v>0</v>
      </c>
      <c r="N328" s="594" t="str">
        <f>INDEX(tblSubjectToLoan[Date],ROW()-ROW(tblContractForDeed[#Headers]))</f>
        <v/>
      </c>
      <c r="O328" s="276">
        <f>IF(ROW()=ROW(tblContractForDeed[#Headers])+1,$O$6,IF(INDEX(tblContractForDeed[End Bal],ROW()-ROW(tblContractForDeed[#Headers])-1)&lt;0,0,INDEX(tblContractForDeed[End Bal],ROW()-ROW(tblContractForDeed[#Headers])-1)))</f>
        <v>0</v>
      </c>
      <c r="P328" s="447"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6">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594"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88">
        <f t="shared" si="71"/>
        <v>0</v>
      </c>
      <c r="M329" s="388">
        <f t="shared" si="66"/>
        <v>0</v>
      </c>
      <c r="N329" s="594" t="str">
        <f>INDEX(tblSubjectToLoan[Date],ROW()-ROW(tblContractForDeed[#Headers]))</f>
        <v/>
      </c>
      <c r="O329" s="276">
        <f>IF(ROW()=ROW(tblContractForDeed[#Headers])+1,$O$6,IF(INDEX(tblContractForDeed[End Bal],ROW()-ROW(tblContractForDeed[#Headers])-1)&lt;0,0,INDEX(tblContractForDeed[End Bal],ROW()-ROW(tblContractForDeed[#Headers])-1)))</f>
        <v>0</v>
      </c>
      <c r="P329" s="447"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6">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594"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88">
        <f t="shared" si="71"/>
        <v>0</v>
      </c>
      <c r="M330" s="388">
        <f t="shared" si="66"/>
        <v>0</v>
      </c>
      <c r="N330" s="594" t="str">
        <f>INDEX(tblSubjectToLoan[Date],ROW()-ROW(tblContractForDeed[#Headers]))</f>
        <v/>
      </c>
      <c r="O330" s="276">
        <f>IF(ROW()=ROW(tblContractForDeed[#Headers])+1,$O$6,IF(INDEX(tblContractForDeed[End Bal],ROW()-ROW(tblContractForDeed[#Headers])-1)&lt;0,0,INDEX(tblContractForDeed[End Bal],ROW()-ROW(tblContractForDeed[#Headers])-1)))</f>
        <v>0</v>
      </c>
      <c r="P330" s="447"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6">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595" t="str">
        <f t="shared" si="62"/>
        <v/>
      </c>
      <c r="B331" s="328">
        <f t="shared" si="63"/>
        <v>0</v>
      </c>
      <c r="C331" s="21">
        <f t="shared" si="60"/>
        <v>0</v>
      </c>
      <c r="D331" s="21">
        <f t="shared" si="64"/>
        <v>0</v>
      </c>
      <c r="E331" s="21">
        <f t="shared" si="61"/>
        <v>0</v>
      </c>
      <c r="F331" s="21">
        <f t="shared" si="72"/>
        <v>134.16999999999999</v>
      </c>
      <c r="G331" s="21">
        <f t="shared" si="72"/>
        <v>188.55</v>
      </c>
      <c r="H331" s="21">
        <f t="shared" si="73"/>
        <v>322.72000000000003</v>
      </c>
      <c r="I331" s="328">
        <f t="shared" si="67"/>
        <v>97531.839999999953</v>
      </c>
      <c r="J331" s="328">
        <f t="shared" si="68"/>
        <v>36068.259999999973</v>
      </c>
      <c r="K331" s="328">
        <f t="shared" si="65"/>
        <v>0</v>
      </c>
      <c r="L331" s="389">
        <f t="shared" si="71"/>
        <v>0</v>
      </c>
      <c r="M331" s="389">
        <f t="shared" si="66"/>
        <v>0</v>
      </c>
      <c r="N331" s="595" t="str">
        <f>INDEX(tblSubjectToLoan[Date],ROW()-ROW(tblContractForDeed[#Headers]))</f>
        <v/>
      </c>
      <c r="O331" s="328">
        <f>IF(ROW()=ROW(tblContractForDeed[#Headers])+1,$O$6,IF(INDEX(tblContractForDeed[End Bal],ROW()-ROW(tblContractForDeed[#Headers])-1)&lt;0,0,INDEX(tblContractForDeed[End Bal],ROW()-ROW(tblContractForDeed[#Headers])-1)))</f>
        <v>0</v>
      </c>
      <c r="P331" s="447"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8">
        <f>IF(tblContractForDeed[[#This Row],[Payment]]=0,0,MAX(0,MIN(tblContractForDeed[[#This Row],[Beg]],tblContractForDeed[[#This Row],[Payment]]-tblContractForDeed[[#This Row],[Int]])))</f>
        <v>0</v>
      </c>
      <c r="S331" s="328">
        <f>IF(OR(tblContractForDeed[[#This Row],[Date]]&lt;cfdContractDate,tblContractForDeed[[#This Row],[Date]]&gt;cfdEndDate),0,ROUND(tblContractForDeed[[#This Row],[Beg]]*(tblContractForDeed[[#This Row],[Int Rate]]/12),2))</f>
        <v>0</v>
      </c>
      <c r="T331" s="328">
        <f>IF(tblContractForDeed[[#This Row],[Payment]]=0,0,$W$2)</f>
        <v>0</v>
      </c>
      <c r="U331" s="328">
        <f>IF(tblContractForDeed[[#This Row],[Princ]]=0,0,$W$3)</f>
        <v>0</v>
      </c>
      <c r="V331" s="328">
        <f>SUM(tblContractForDeed[[#This Row],[Princ]],tblContractForDeed[[#This Row],[Int]],tblContractForDeed[[#This Row],[Ins]],tblContractForDeed[[#This Row],[Taxes]])</f>
        <v>0</v>
      </c>
      <c r="W331" s="328">
        <f>SUM(INDEX(tblContractForDeed[Princ],1):INDEX(tblContractForDeed[Princ],ROW()-ROW(tblContractForDeed[#Headers])))</f>
        <v>75258.000000000029</v>
      </c>
      <c r="X331" s="328">
        <f>IF(tblContractForDeed[[#This Row],[Beg]]&lt;=0,0,tblContractForDeed[[#This Row],[Beg]]-tblContractForDeed[[#This Row],[Princ]])</f>
        <v>0</v>
      </c>
      <c r="Y3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7">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8">
        <f>IF(INDEX(tblContractForDeed[End Bal],ROW()-ROW(tblBuyerOutputs[#Headers]))&lt;=0,0,($O$6+IF(ROW()=ROW(tblBuyerOutputs[#Headers])+1,0,INDEX(tblBuyerOutputs[Cumul Appr],ROW()-ROW(tblBuyerOutputs[#Headers])-1)))*$O$2/12)</f>
        <v>0</v>
      </c>
      <c r="AE331" s="328">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594"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88">
        <f t="shared" si="71"/>
        <v>0</v>
      </c>
      <c r="M332" s="388">
        <f t="shared" si="66"/>
        <v>0</v>
      </c>
      <c r="N332" s="594" t="str">
        <f>INDEX(tblSubjectToLoan[Date],ROW()-ROW(tblContractForDeed[#Headers]))</f>
        <v/>
      </c>
      <c r="O332" s="276">
        <f>IF(ROW()=ROW(tblContractForDeed[#Headers])+1,$O$6,IF(INDEX(tblContractForDeed[End Bal],ROW()-ROW(tblContractForDeed[#Headers])-1)&lt;0,0,INDEX(tblContractForDeed[End Bal],ROW()-ROW(tblContractForDeed[#Headers])-1)))</f>
        <v>0</v>
      </c>
      <c r="P332" s="447"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6">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594"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88">
        <f t="shared" si="71"/>
        <v>0</v>
      </c>
      <c r="M333" s="388">
        <f t="shared" si="66"/>
        <v>0</v>
      </c>
      <c r="N333" s="594" t="str">
        <f>INDEX(tblSubjectToLoan[Date],ROW()-ROW(tblContractForDeed[#Headers]))</f>
        <v/>
      </c>
      <c r="O333" s="276">
        <f>IF(ROW()=ROW(tblContractForDeed[#Headers])+1,$O$6,IF(INDEX(tblContractForDeed[End Bal],ROW()-ROW(tblContractForDeed[#Headers])-1)&lt;0,0,INDEX(tblContractForDeed[End Bal],ROW()-ROW(tblContractForDeed[#Headers])-1)))</f>
        <v>0</v>
      </c>
      <c r="P333" s="447"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6">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594"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88">
        <f t="shared" si="71"/>
        <v>0</v>
      </c>
      <c r="M334" s="388">
        <f t="shared" si="66"/>
        <v>0</v>
      </c>
      <c r="N334" s="594" t="str">
        <f>INDEX(tblSubjectToLoan[Date],ROW()-ROW(tblContractForDeed[#Headers]))</f>
        <v/>
      </c>
      <c r="O334" s="276">
        <f>IF(ROW()=ROW(tblContractForDeed[#Headers])+1,$O$6,IF(INDEX(tblContractForDeed[End Bal],ROW()-ROW(tblContractForDeed[#Headers])-1)&lt;0,0,INDEX(tblContractForDeed[End Bal],ROW()-ROW(tblContractForDeed[#Headers])-1)))</f>
        <v>0</v>
      </c>
      <c r="P334" s="447"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6">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594"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88">
        <f t="shared" si="71"/>
        <v>0</v>
      </c>
      <c r="M335" s="388">
        <f t="shared" si="66"/>
        <v>0</v>
      </c>
      <c r="N335" s="594" t="str">
        <f>INDEX(tblSubjectToLoan[Date],ROW()-ROW(tblContractForDeed[#Headers]))</f>
        <v/>
      </c>
      <c r="O335" s="276">
        <f>IF(ROW()=ROW(tblContractForDeed[#Headers])+1,$O$6,IF(INDEX(tblContractForDeed[End Bal],ROW()-ROW(tblContractForDeed[#Headers])-1)&lt;0,0,INDEX(tblContractForDeed[End Bal],ROW()-ROW(tblContractForDeed[#Headers])-1)))</f>
        <v>0</v>
      </c>
      <c r="P335" s="447"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6">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594"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88">
        <f t="shared" si="71"/>
        <v>0</v>
      </c>
      <c r="M336" s="388">
        <f t="shared" si="66"/>
        <v>0</v>
      </c>
      <c r="N336" s="594" t="str">
        <f>INDEX(tblSubjectToLoan[Date],ROW()-ROW(tblContractForDeed[#Headers]))</f>
        <v/>
      </c>
      <c r="O336" s="276">
        <f>IF(ROW()=ROW(tblContractForDeed[#Headers])+1,$O$6,IF(INDEX(tblContractForDeed[End Bal],ROW()-ROW(tblContractForDeed[#Headers])-1)&lt;0,0,INDEX(tblContractForDeed[End Bal],ROW()-ROW(tblContractForDeed[#Headers])-1)))</f>
        <v>0</v>
      </c>
      <c r="P336" s="447"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6">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594"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88">
        <f t="shared" si="71"/>
        <v>0</v>
      </c>
      <c r="M337" s="388">
        <f t="shared" si="66"/>
        <v>0</v>
      </c>
      <c r="N337" s="594" t="str">
        <f>INDEX(tblSubjectToLoan[Date],ROW()-ROW(tblContractForDeed[#Headers]))</f>
        <v/>
      </c>
      <c r="O337" s="276">
        <f>IF(ROW()=ROW(tblContractForDeed[#Headers])+1,$O$6,IF(INDEX(tblContractForDeed[End Bal],ROW()-ROW(tblContractForDeed[#Headers])-1)&lt;0,0,INDEX(tblContractForDeed[End Bal],ROW()-ROW(tblContractForDeed[#Headers])-1)))</f>
        <v>0</v>
      </c>
      <c r="P337" s="447"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6">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594"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88">
        <f t="shared" si="71"/>
        <v>0</v>
      </c>
      <c r="M338" s="388">
        <f t="shared" si="66"/>
        <v>0</v>
      </c>
      <c r="N338" s="594" t="str">
        <f>INDEX(tblSubjectToLoan[Date],ROW()-ROW(tblContractForDeed[#Headers]))</f>
        <v/>
      </c>
      <c r="O338" s="276">
        <f>IF(ROW()=ROW(tblContractForDeed[#Headers])+1,$O$6,IF(INDEX(tblContractForDeed[End Bal],ROW()-ROW(tblContractForDeed[#Headers])-1)&lt;0,0,INDEX(tblContractForDeed[End Bal],ROW()-ROW(tblContractForDeed[#Headers])-1)))</f>
        <v>0</v>
      </c>
      <c r="P338" s="447"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6">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594"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88">
        <f t="shared" si="71"/>
        <v>0</v>
      </c>
      <c r="M339" s="388">
        <f t="shared" si="66"/>
        <v>0</v>
      </c>
      <c r="N339" s="594" t="str">
        <f>INDEX(tblSubjectToLoan[Date],ROW()-ROW(tblContractForDeed[#Headers]))</f>
        <v/>
      </c>
      <c r="O339" s="276">
        <f>IF(ROW()=ROW(tblContractForDeed[#Headers])+1,$O$6,IF(INDEX(tblContractForDeed[End Bal],ROW()-ROW(tblContractForDeed[#Headers])-1)&lt;0,0,INDEX(tblContractForDeed[End Bal],ROW()-ROW(tblContractForDeed[#Headers])-1)))</f>
        <v>0</v>
      </c>
      <c r="P339" s="447"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6">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594"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88">
        <f t="shared" si="71"/>
        <v>0</v>
      </c>
      <c r="M340" s="388">
        <f t="shared" si="66"/>
        <v>0</v>
      </c>
      <c r="N340" s="594" t="str">
        <f>INDEX(tblSubjectToLoan[Date],ROW()-ROW(tblContractForDeed[#Headers]))</f>
        <v/>
      </c>
      <c r="O340" s="276">
        <f>IF(ROW()=ROW(tblContractForDeed[#Headers])+1,$O$6,IF(INDEX(tblContractForDeed[End Bal],ROW()-ROW(tblContractForDeed[#Headers])-1)&lt;0,0,INDEX(tblContractForDeed[End Bal],ROW()-ROW(tblContractForDeed[#Headers])-1)))</f>
        <v>0</v>
      </c>
      <c r="P340" s="447"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6">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594"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88">
        <f t="shared" si="71"/>
        <v>0</v>
      </c>
      <c r="M341" s="388">
        <f t="shared" ref="M341:M404" si="81">IF($A341&lt;&gt;"",M340+1,0)</f>
        <v>0</v>
      </c>
      <c r="N341" s="594" t="str">
        <f>INDEX(tblSubjectToLoan[Date],ROW()-ROW(tblContractForDeed[#Headers]))</f>
        <v/>
      </c>
      <c r="O341" s="276">
        <f>IF(ROW()=ROW(tblContractForDeed[#Headers])+1,$O$6,IF(INDEX(tblContractForDeed[End Bal],ROW()-ROW(tblContractForDeed[#Headers])-1)&lt;0,0,INDEX(tblContractForDeed[End Bal],ROW()-ROW(tblContractForDeed[#Headers])-1)))</f>
        <v>0</v>
      </c>
      <c r="P341" s="447"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6">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594"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88">
        <f t="shared" si="71"/>
        <v>0</v>
      </c>
      <c r="M342" s="388">
        <f t="shared" si="81"/>
        <v>0</v>
      </c>
      <c r="N342" s="594" t="str">
        <f>INDEX(tblSubjectToLoan[Date],ROW()-ROW(tblContractForDeed[#Headers]))</f>
        <v/>
      </c>
      <c r="O342" s="276">
        <f>IF(ROW()=ROW(tblContractForDeed[#Headers])+1,$O$6,IF(INDEX(tblContractForDeed[End Bal],ROW()-ROW(tblContractForDeed[#Headers])-1)&lt;0,0,INDEX(tblContractForDeed[End Bal],ROW()-ROW(tblContractForDeed[#Headers])-1)))</f>
        <v>0</v>
      </c>
      <c r="P342" s="447"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6">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595" t="str">
        <f t="shared" si="77"/>
        <v/>
      </c>
      <c r="B343" s="328">
        <f t="shared" si="78"/>
        <v>0</v>
      </c>
      <c r="C343" s="21">
        <f t="shared" si="75"/>
        <v>0</v>
      </c>
      <c r="D343" s="21">
        <f t="shared" si="79"/>
        <v>0</v>
      </c>
      <c r="E343" s="21">
        <f t="shared" si="76"/>
        <v>0</v>
      </c>
      <c r="F343" s="21">
        <f t="shared" si="74"/>
        <v>134.16999999999999</v>
      </c>
      <c r="G343" s="21">
        <f t="shared" si="74"/>
        <v>188.55</v>
      </c>
      <c r="H343" s="21">
        <f t="shared" si="73"/>
        <v>322.72000000000003</v>
      </c>
      <c r="I343" s="328">
        <f t="shared" si="82"/>
        <v>97531.839999999953</v>
      </c>
      <c r="J343" s="328">
        <f t="shared" si="83"/>
        <v>36068.259999999973</v>
      </c>
      <c r="K343" s="328">
        <f t="shared" si="80"/>
        <v>0</v>
      </c>
      <c r="L343" s="389">
        <f t="shared" si="71"/>
        <v>0</v>
      </c>
      <c r="M343" s="389">
        <f t="shared" si="81"/>
        <v>0</v>
      </c>
      <c r="N343" s="595" t="str">
        <f>INDEX(tblSubjectToLoan[Date],ROW()-ROW(tblContractForDeed[#Headers]))</f>
        <v/>
      </c>
      <c r="O343" s="328">
        <f>IF(ROW()=ROW(tblContractForDeed[#Headers])+1,$O$6,IF(INDEX(tblContractForDeed[End Bal],ROW()-ROW(tblContractForDeed[#Headers])-1)&lt;0,0,INDEX(tblContractForDeed[End Bal],ROW()-ROW(tblContractForDeed[#Headers])-1)))</f>
        <v>0</v>
      </c>
      <c r="P343" s="447"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8">
        <f>IF(tblContractForDeed[[#This Row],[Payment]]=0,0,MAX(0,MIN(tblContractForDeed[[#This Row],[Beg]],tblContractForDeed[[#This Row],[Payment]]-tblContractForDeed[[#This Row],[Int]])))</f>
        <v>0</v>
      </c>
      <c r="S343" s="328">
        <f>IF(OR(tblContractForDeed[[#This Row],[Date]]&lt;cfdContractDate,tblContractForDeed[[#This Row],[Date]]&gt;cfdEndDate),0,ROUND(tblContractForDeed[[#This Row],[Beg]]*(tblContractForDeed[[#This Row],[Int Rate]]/12),2))</f>
        <v>0</v>
      </c>
      <c r="T343" s="328">
        <f>IF(tblContractForDeed[[#This Row],[Payment]]=0,0,$W$2)</f>
        <v>0</v>
      </c>
      <c r="U343" s="328">
        <f>IF(tblContractForDeed[[#This Row],[Princ]]=0,0,$W$3)</f>
        <v>0</v>
      </c>
      <c r="V343" s="328">
        <f>SUM(tblContractForDeed[[#This Row],[Princ]],tblContractForDeed[[#This Row],[Int]],tblContractForDeed[[#This Row],[Ins]],tblContractForDeed[[#This Row],[Taxes]])</f>
        <v>0</v>
      </c>
      <c r="W343" s="328">
        <f>SUM(INDEX(tblContractForDeed[Princ],1):INDEX(tblContractForDeed[Princ],ROW()-ROW(tblContractForDeed[#Headers])))</f>
        <v>75258.000000000029</v>
      </c>
      <c r="X343" s="328">
        <f>IF(tblContractForDeed[[#This Row],[Beg]]&lt;=0,0,tblContractForDeed[[#This Row],[Beg]]-tblContractForDeed[[#This Row],[Princ]])</f>
        <v>0</v>
      </c>
      <c r="Y3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7">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8">
        <f>IF(INDEX(tblContractForDeed[End Bal],ROW()-ROW(tblBuyerOutputs[#Headers]))&lt;=0,0,($O$6+IF(ROW()=ROW(tblBuyerOutputs[#Headers])+1,0,INDEX(tblBuyerOutputs[Cumul Appr],ROW()-ROW(tblBuyerOutputs[#Headers])-1)))*$O$2/12)</f>
        <v>0</v>
      </c>
      <c r="AE343" s="328">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594"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88">
        <f t="shared" si="71"/>
        <v>0</v>
      </c>
      <c r="M344" s="388">
        <f t="shared" si="81"/>
        <v>0</v>
      </c>
      <c r="N344" s="594" t="str">
        <f>INDEX(tblSubjectToLoan[Date],ROW()-ROW(tblContractForDeed[#Headers]))</f>
        <v/>
      </c>
      <c r="O344" s="276">
        <f>IF(ROW()=ROW(tblContractForDeed[#Headers])+1,$O$6,IF(INDEX(tblContractForDeed[End Bal],ROW()-ROW(tblContractForDeed[#Headers])-1)&lt;0,0,INDEX(tblContractForDeed[End Bal],ROW()-ROW(tblContractForDeed[#Headers])-1)))</f>
        <v>0</v>
      </c>
      <c r="P344" s="447"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6">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594"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88">
        <f t="shared" si="71"/>
        <v>0</v>
      </c>
      <c r="M345" s="388">
        <f t="shared" si="81"/>
        <v>0</v>
      </c>
      <c r="N345" s="594" t="str">
        <f>INDEX(tblSubjectToLoan[Date],ROW()-ROW(tblContractForDeed[#Headers]))</f>
        <v/>
      </c>
      <c r="O345" s="276">
        <f>IF(ROW()=ROW(tblContractForDeed[#Headers])+1,$O$6,IF(INDEX(tblContractForDeed[End Bal],ROW()-ROW(tblContractForDeed[#Headers])-1)&lt;0,0,INDEX(tblContractForDeed[End Bal],ROW()-ROW(tblContractForDeed[#Headers])-1)))</f>
        <v>0</v>
      </c>
      <c r="P345" s="447"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6">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594"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88">
        <f t="shared" si="71"/>
        <v>0</v>
      </c>
      <c r="M346" s="388">
        <f t="shared" si="81"/>
        <v>0</v>
      </c>
      <c r="N346" s="594" t="str">
        <f>INDEX(tblSubjectToLoan[Date],ROW()-ROW(tblContractForDeed[#Headers]))</f>
        <v/>
      </c>
      <c r="O346" s="276">
        <f>IF(ROW()=ROW(tblContractForDeed[#Headers])+1,$O$6,IF(INDEX(tblContractForDeed[End Bal],ROW()-ROW(tblContractForDeed[#Headers])-1)&lt;0,0,INDEX(tblContractForDeed[End Bal],ROW()-ROW(tblContractForDeed[#Headers])-1)))</f>
        <v>0</v>
      </c>
      <c r="P346" s="447"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6">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594"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88">
        <f t="shared" si="71"/>
        <v>0</v>
      </c>
      <c r="M347" s="388">
        <f t="shared" si="81"/>
        <v>0</v>
      </c>
      <c r="N347" s="594" t="str">
        <f>INDEX(tblSubjectToLoan[Date],ROW()-ROW(tblContractForDeed[#Headers]))</f>
        <v/>
      </c>
      <c r="O347" s="276">
        <f>IF(ROW()=ROW(tblContractForDeed[#Headers])+1,$O$6,IF(INDEX(tblContractForDeed[End Bal],ROW()-ROW(tblContractForDeed[#Headers])-1)&lt;0,0,INDEX(tblContractForDeed[End Bal],ROW()-ROW(tblContractForDeed[#Headers])-1)))</f>
        <v>0</v>
      </c>
      <c r="P347" s="447"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6">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594"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88">
        <f t="shared" si="71"/>
        <v>0</v>
      </c>
      <c r="M348" s="388">
        <f t="shared" si="81"/>
        <v>0</v>
      </c>
      <c r="N348" s="594" t="str">
        <f>INDEX(tblSubjectToLoan[Date],ROW()-ROW(tblContractForDeed[#Headers]))</f>
        <v/>
      </c>
      <c r="O348" s="276">
        <f>IF(ROW()=ROW(tblContractForDeed[#Headers])+1,$O$6,IF(INDEX(tblContractForDeed[End Bal],ROW()-ROW(tblContractForDeed[#Headers])-1)&lt;0,0,INDEX(tblContractForDeed[End Bal],ROW()-ROW(tblContractForDeed[#Headers])-1)))</f>
        <v>0</v>
      </c>
      <c r="P348" s="447"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6">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594"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88">
        <f t="shared" si="71"/>
        <v>0</v>
      </c>
      <c r="M349" s="388">
        <f t="shared" si="81"/>
        <v>0</v>
      </c>
      <c r="N349" s="594" t="str">
        <f>INDEX(tblSubjectToLoan[Date],ROW()-ROW(tblContractForDeed[#Headers]))</f>
        <v/>
      </c>
      <c r="O349" s="276">
        <f>IF(ROW()=ROW(tblContractForDeed[#Headers])+1,$O$6,IF(INDEX(tblContractForDeed[End Bal],ROW()-ROW(tblContractForDeed[#Headers])-1)&lt;0,0,INDEX(tblContractForDeed[End Bal],ROW()-ROW(tblContractForDeed[#Headers])-1)))</f>
        <v>0</v>
      </c>
      <c r="P349" s="447"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6">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594"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88">
        <f t="shared" si="71"/>
        <v>0</v>
      </c>
      <c r="M350" s="388">
        <f t="shared" si="81"/>
        <v>0</v>
      </c>
      <c r="N350" s="594" t="str">
        <f>INDEX(tblSubjectToLoan[Date],ROW()-ROW(tblContractForDeed[#Headers]))</f>
        <v/>
      </c>
      <c r="O350" s="276">
        <f>IF(ROW()=ROW(tblContractForDeed[#Headers])+1,$O$6,IF(INDEX(tblContractForDeed[End Bal],ROW()-ROW(tblContractForDeed[#Headers])-1)&lt;0,0,INDEX(tblContractForDeed[End Bal],ROW()-ROW(tblContractForDeed[#Headers])-1)))</f>
        <v>0</v>
      </c>
      <c r="P350" s="447"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6">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594"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88">
        <f t="shared" si="71"/>
        <v>0</v>
      </c>
      <c r="M351" s="388">
        <f t="shared" si="81"/>
        <v>0</v>
      </c>
      <c r="N351" s="594" t="str">
        <f>INDEX(tblSubjectToLoan[Date],ROW()-ROW(tblContractForDeed[#Headers]))</f>
        <v/>
      </c>
      <c r="O351" s="276">
        <f>IF(ROW()=ROW(tblContractForDeed[#Headers])+1,$O$6,IF(INDEX(tblContractForDeed[End Bal],ROW()-ROW(tblContractForDeed[#Headers])-1)&lt;0,0,INDEX(tblContractForDeed[End Bal],ROW()-ROW(tblContractForDeed[#Headers])-1)))</f>
        <v>0</v>
      </c>
      <c r="P351" s="447"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6">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594"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88">
        <f t="shared" si="71"/>
        <v>0</v>
      </c>
      <c r="M352" s="388">
        <f t="shared" si="81"/>
        <v>0</v>
      </c>
      <c r="N352" s="594" t="str">
        <f>INDEX(tblSubjectToLoan[Date],ROW()-ROW(tblContractForDeed[#Headers]))</f>
        <v/>
      </c>
      <c r="O352" s="276">
        <f>IF(ROW()=ROW(tblContractForDeed[#Headers])+1,$O$6,IF(INDEX(tblContractForDeed[End Bal],ROW()-ROW(tblContractForDeed[#Headers])-1)&lt;0,0,INDEX(tblContractForDeed[End Bal],ROW()-ROW(tblContractForDeed[#Headers])-1)))</f>
        <v>0</v>
      </c>
      <c r="P352" s="447"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6">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594"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88">
        <f t="shared" si="71"/>
        <v>0</v>
      </c>
      <c r="M353" s="388">
        <f t="shared" si="81"/>
        <v>0</v>
      </c>
      <c r="N353" s="594" t="str">
        <f>INDEX(tblSubjectToLoan[Date],ROW()-ROW(tblContractForDeed[#Headers]))</f>
        <v/>
      </c>
      <c r="O353" s="276">
        <f>IF(ROW()=ROW(tblContractForDeed[#Headers])+1,$O$6,IF(INDEX(tblContractForDeed[End Bal],ROW()-ROW(tblContractForDeed[#Headers])-1)&lt;0,0,INDEX(tblContractForDeed[End Bal],ROW()-ROW(tblContractForDeed[#Headers])-1)))</f>
        <v>0</v>
      </c>
      <c r="P353" s="447"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6">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594"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88">
        <f t="shared" si="71"/>
        <v>0</v>
      </c>
      <c r="M354" s="388">
        <f t="shared" si="81"/>
        <v>0</v>
      </c>
      <c r="N354" s="594" t="str">
        <f>INDEX(tblSubjectToLoan[Date],ROW()-ROW(tblContractForDeed[#Headers]))</f>
        <v/>
      </c>
      <c r="O354" s="276">
        <f>IF(ROW()=ROW(tblContractForDeed[#Headers])+1,$O$6,IF(INDEX(tblContractForDeed[End Bal],ROW()-ROW(tblContractForDeed[#Headers])-1)&lt;0,0,INDEX(tblContractForDeed[End Bal],ROW()-ROW(tblContractForDeed[#Headers])-1)))</f>
        <v>0</v>
      </c>
      <c r="P354" s="447"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6">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595" t="str">
        <f t="shared" si="77"/>
        <v/>
      </c>
      <c r="B355" s="328">
        <f t="shared" si="78"/>
        <v>0</v>
      </c>
      <c r="C355" s="21">
        <f t="shared" si="75"/>
        <v>0</v>
      </c>
      <c r="D355" s="21">
        <f t="shared" si="79"/>
        <v>0</v>
      </c>
      <c r="E355" s="21">
        <f t="shared" si="76"/>
        <v>0</v>
      </c>
      <c r="F355" s="21">
        <f t="shared" si="84"/>
        <v>134.16999999999999</v>
      </c>
      <c r="G355" s="21">
        <f t="shared" si="84"/>
        <v>188.55</v>
      </c>
      <c r="H355" s="21">
        <f t="shared" si="73"/>
        <v>322.72000000000003</v>
      </c>
      <c r="I355" s="328">
        <f t="shared" si="82"/>
        <v>97531.839999999953</v>
      </c>
      <c r="J355" s="328">
        <f t="shared" si="83"/>
        <v>36068.259999999973</v>
      </c>
      <c r="K355" s="328">
        <f t="shared" si="80"/>
        <v>0</v>
      </c>
      <c r="L355" s="389">
        <f t="shared" si="71"/>
        <v>0</v>
      </c>
      <c r="M355" s="389">
        <f t="shared" si="81"/>
        <v>0</v>
      </c>
      <c r="N355" s="595" t="str">
        <f>INDEX(tblSubjectToLoan[Date],ROW()-ROW(tblContractForDeed[#Headers]))</f>
        <v/>
      </c>
      <c r="O355" s="328">
        <f>IF(ROW()=ROW(tblContractForDeed[#Headers])+1,$O$6,IF(INDEX(tblContractForDeed[End Bal],ROW()-ROW(tblContractForDeed[#Headers])-1)&lt;0,0,INDEX(tblContractForDeed[End Bal],ROW()-ROW(tblContractForDeed[#Headers])-1)))</f>
        <v>0</v>
      </c>
      <c r="P355" s="447"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8">
        <f>IF(tblContractForDeed[[#This Row],[Payment]]=0,0,MAX(0,MIN(tblContractForDeed[[#This Row],[Beg]],tblContractForDeed[[#This Row],[Payment]]-tblContractForDeed[[#This Row],[Int]])))</f>
        <v>0</v>
      </c>
      <c r="S355" s="328">
        <f>IF(OR(tblContractForDeed[[#This Row],[Date]]&lt;cfdContractDate,tblContractForDeed[[#This Row],[Date]]&gt;cfdEndDate),0,ROUND(tblContractForDeed[[#This Row],[Beg]]*(tblContractForDeed[[#This Row],[Int Rate]]/12),2))</f>
        <v>0</v>
      </c>
      <c r="T355" s="328">
        <f>IF(tblContractForDeed[[#This Row],[Payment]]=0,0,$W$2)</f>
        <v>0</v>
      </c>
      <c r="U355" s="328">
        <f>IF(tblContractForDeed[[#This Row],[Princ]]=0,0,$W$3)</f>
        <v>0</v>
      </c>
      <c r="V355" s="328">
        <f>SUM(tblContractForDeed[[#This Row],[Princ]],tblContractForDeed[[#This Row],[Int]],tblContractForDeed[[#This Row],[Ins]],tblContractForDeed[[#This Row],[Taxes]])</f>
        <v>0</v>
      </c>
      <c r="W355" s="328">
        <f>SUM(INDEX(tblContractForDeed[Princ],1):INDEX(tblContractForDeed[Princ],ROW()-ROW(tblContractForDeed[#Headers])))</f>
        <v>75258.000000000029</v>
      </c>
      <c r="X355" s="328">
        <f>IF(tblContractForDeed[[#This Row],[Beg]]&lt;=0,0,tblContractForDeed[[#This Row],[Beg]]-tblContractForDeed[[#This Row],[Princ]])</f>
        <v>0</v>
      </c>
      <c r="Y3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7">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8">
        <f>IF(INDEX(tblContractForDeed[End Bal],ROW()-ROW(tblBuyerOutputs[#Headers]))&lt;=0,0,($O$6+IF(ROW()=ROW(tblBuyerOutputs[#Headers])+1,0,INDEX(tblBuyerOutputs[Cumul Appr],ROW()-ROW(tblBuyerOutputs[#Headers])-1)))*$O$2/12)</f>
        <v>0</v>
      </c>
      <c r="AE355" s="328">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594"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88">
        <f t="shared" si="71"/>
        <v>0</v>
      </c>
      <c r="M356" s="388">
        <f t="shared" si="81"/>
        <v>0</v>
      </c>
      <c r="N356" s="594" t="str">
        <f>INDEX(tblSubjectToLoan[Date],ROW()-ROW(tblContractForDeed[#Headers]))</f>
        <v/>
      </c>
      <c r="O356" s="276">
        <f>IF(ROW()=ROW(tblContractForDeed[#Headers])+1,$O$6,IF(INDEX(tblContractForDeed[End Bal],ROW()-ROW(tblContractForDeed[#Headers])-1)&lt;0,0,INDEX(tblContractForDeed[End Bal],ROW()-ROW(tblContractForDeed[#Headers])-1)))</f>
        <v>0</v>
      </c>
      <c r="P356" s="447"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6">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594"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88">
        <f t="shared" si="71"/>
        <v>0</v>
      </c>
      <c r="M357" s="388">
        <f t="shared" si="81"/>
        <v>0</v>
      </c>
      <c r="N357" s="594" t="str">
        <f>INDEX(tblSubjectToLoan[Date],ROW()-ROW(tblContractForDeed[#Headers]))</f>
        <v/>
      </c>
      <c r="O357" s="276">
        <f>IF(ROW()=ROW(tblContractForDeed[#Headers])+1,$O$6,IF(INDEX(tblContractForDeed[End Bal],ROW()-ROW(tblContractForDeed[#Headers])-1)&lt;0,0,INDEX(tblContractForDeed[End Bal],ROW()-ROW(tblContractForDeed[#Headers])-1)))</f>
        <v>0</v>
      </c>
      <c r="P357" s="447"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6">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594"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88">
        <f t="shared" si="71"/>
        <v>0</v>
      </c>
      <c r="M358" s="388">
        <f t="shared" si="81"/>
        <v>0</v>
      </c>
      <c r="N358" s="594" t="str">
        <f>INDEX(tblSubjectToLoan[Date],ROW()-ROW(tblContractForDeed[#Headers]))</f>
        <v/>
      </c>
      <c r="O358" s="276">
        <f>IF(ROW()=ROW(tblContractForDeed[#Headers])+1,$O$6,IF(INDEX(tblContractForDeed[End Bal],ROW()-ROW(tblContractForDeed[#Headers])-1)&lt;0,0,INDEX(tblContractForDeed[End Bal],ROW()-ROW(tblContractForDeed[#Headers])-1)))</f>
        <v>0</v>
      </c>
      <c r="P358" s="447"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6">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594"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88">
        <f t="shared" si="71"/>
        <v>0</v>
      </c>
      <c r="M359" s="388">
        <f t="shared" si="81"/>
        <v>0</v>
      </c>
      <c r="N359" s="594" t="str">
        <f>INDEX(tblSubjectToLoan[Date],ROW()-ROW(tblContractForDeed[#Headers]))</f>
        <v/>
      </c>
      <c r="O359" s="276">
        <f>IF(ROW()=ROW(tblContractForDeed[#Headers])+1,$O$6,IF(INDEX(tblContractForDeed[End Bal],ROW()-ROW(tblContractForDeed[#Headers])-1)&lt;0,0,INDEX(tblContractForDeed[End Bal],ROW()-ROW(tblContractForDeed[#Headers])-1)))</f>
        <v>0</v>
      </c>
      <c r="P359" s="447"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6">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594"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88">
        <f t="shared" si="71"/>
        <v>0</v>
      </c>
      <c r="M360" s="388">
        <f t="shared" si="81"/>
        <v>0</v>
      </c>
      <c r="N360" s="594" t="str">
        <f>INDEX(tblSubjectToLoan[Date],ROW()-ROW(tblContractForDeed[#Headers]))</f>
        <v/>
      </c>
      <c r="O360" s="276">
        <f>IF(ROW()=ROW(tblContractForDeed[#Headers])+1,$O$6,IF(INDEX(tblContractForDeed[End Bal],ROW()-ROW(tblContractForDeed[#Headers])-1)&lt;0,0,INDEX(tblContractForDeed[End Bal],ROW()-ROW(tblContractForDeed[#Headers])-1)))</f>
        <v>0</v>
      </c>
      <c r="P360" s="447"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6">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594"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88">
        <f t="shared" si="71"/>
        <v>0</v>
      </c>
      <c r="M361" s="388">
        <f t="shared" si="81"/>
        <v>0</v>
      </c>
      <c r="N361" s="594" t="str">
        <f>INDEX(tblSubjectToLoan[Date],ROW()-ROW(tblContractForDeed[#Headers]))</f>
        <v/>
      </c>
      <c r="O361" s="276">
        <f>IF(ROW()=ROW(tblContractForDeed[#Headers])+1,$O$6,IF(INDEX(tblContractForDeed[End Bal],ROW()-ROW(tblContractForDeed[#Headers])-1)&lt;0,0,INDEX(tblContractForDeed[End Bal],ROW()-ROW(tblContractForDeed[#Headers])-1)))</f>
        <v>0</v>
      </c>
      <c r="P361" s="447"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6">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594"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88">
        <f t="shared" si="71"/>
        <v>0</v>
      </c>
      <c r="M362" s="388">
        <f t="shared" si="81"/>
        <v>0</v>
      </c>
      <c r="N362" s="594" t="str">
        <f>INDEX(tblSubjectToLoan[Date],ROW()-ROW(tblContractForDeed[#Headers]))</f>
        <v/>
      </c>
      <c r="O362" s="276">
        <f>IF(ROW()=ROW(tblContractForDeed[#Headers])+1,$O$6,IF(INDEX(tblContractForDeed[End Bal],ROW()-ROW(tblContractForDeed[#Headers])-1)&lt;0,0,INDEX(tblContractForDeed[End Bal],ROW()-ROW(tblContractForDeed[#Headers])-1)))</f>
        <v>0</v>
      </c>
      <c r="P362" s="447"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6">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594"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88">
        <f t="shared" si="71"/>
        <v>0</v>
      </c>
      <c r="M363" s="388">
        <f t="shared" si="81"/>
        <v>0</v>
      </c>
      <c r="N363" s="594" t="str">
        <f>INDEX(tblSubjectToLoan[Date],ROW()-ROW(tblContractForDeed[#Headers]))</f>
        <v/>
      </c>
      <c r="O363" s="276">
        <f>IF(ROW()=ROW(tblContractForDeed[#Headers])+1,$O$6,IF(INDEX(tblContractForDeed[End Bal],ROW()-ROW(tblContractForDeed[#Headers])-1)&lt;0,0,INDEX(tblContractForDeed[End Bal],ROW()-ROW(tblContractForDeed[#Headers])-1)))</f>
        <v>0</v>
      </c>
      <c r="P363" s="447"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6">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594"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88">
        <f t="shared" si="71"/>
        <v>0</v>
      </c>
      <c r="M364" s="388">
        <f t="shared" si="81"/>
        <v>0</v>
      </c>
      <c r="N364" s="594" t="str">
        <f>INDEX(tblSubjectToLoan[Date],ROW()-ROW(tblContractForDeed[#Headers]))</f>
        <v/>
      </c>
      <c r="O364" s="276">
        <f>IF(ROW()=ROW(tblContractForDeed[#Headers])+1,$O$6,IF(INDEX(tblContractForDeed[End Bal],ROW()-ROW(tblContractForDeed[#Headers])-1)&lt;0,0,INDEX(tblContractForDeed[End Bal],ROW()-ROW(tblContractForDeed[#Headers])-1)))</f>
        <v>0</v>
      </c>
      <c r="P364" s="447"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6">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594"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88">
        <f t="shared" si="71"/>
        <v>0</v>
      </c>
      <c r="M365" s="388">
        <f t="shared" si="81"/>
        <v>0</v>
      </c>
      <c r="N365" s="594" t="str">
        <f>INDEX(tblSubjectToLoan[Date],ROW()-ROW(tblContractForDeed[#Headers]))</f>
        <v/>
      </c>
      <c r="O365" s="276">
        <f>IF(ROW()=ROW(tblContractForDeed[#Headers])+1,$O$6,IF(INDEX(tblContractForDeed[End Bal],ROW()-ROW(tblContractForDeed[#Headers])-1)&lt;0,0,INDEX(tblContractForDeed[End Bal],ROW()-ROW(tblContractForDeed[#Headers])-1)))</f>
        <v>0</v>
      </c>
      <c r="P365" s="447"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6">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594"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88">
        <f t="shared" si="71"/>
        <v>0</v>
      </c>
      <c r="M366" s="388">
        <f t="shared" si="81"/>
        <v>0</v>
      </c>
      <c r="N366" s="594" t="str">
        <f>INDEX(tblSubjectToLoan[Date],ROW()-ROW(tblContractForDeed[#Headers]))</f>
        <v/>
      </c>
      <c r="O366" s="276">
        <f>IF(ROW()=ROW(tblContractForDeed[#Headers])+1,$O$6,IF(INDEX(tblContractForDeed[End Bal],ROW()-ROW(tblContractForDeed[#Headers])-1)&lt;0,0,INDEX(tblContractForDeed[End Bal],ROW()-ROW(tblContractForDeed[#Headers])-1)))</f>
        <v>0</v>
      </c>
      <c r="P366" s="447"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6">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595" t="str">
        <f t="shared" si="77"/>
        <v/>
      </c>
      <c r="B367" s="328">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8">
        <f t="shared" si="82"/>
        <v>97531.839999999953</v>
      </c>
      <c r="J367" s="328">
        <f t="shared" si="83"/>
        <v>36068.259999999973</v>
      </c>
      <c r="K367" s="328">
        <f t="shared" si="80"/>
        <v>0</v>
      </c>
      <c r="L367" s="389">
        <f t="shared" si="71"/>
        <v>0</v>
      </c>
      <c r="M367" s="389">
        <f t="shared" si="81"/>
        <v>0</v>
      </c>
      <c r="N367" s="595" t="str">
        <f>INDEX(tblSubjectToLoan[Date],ROW()-ROW(tblContractForDeed[#Headers]))</f>
        <v/>
      </c>
      <c r="O367" s="328">
        <f>IF(ROW()=ROW(tblContractForDeed[#Headers])+1,$O$6,IF(INDEX(tblContractForDeed[End Bal],ROW()-ROW(tblContractForDeed[#Headers])-1)&lt;0,0,INDEX(tblContractForDeed[End Bal],ROW()-ROW(tblContractForDeed[#Headers])-1)))</f>
        <v>0</v>
      </c>
      <c r="P367" s="447"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8">
        <f>IF(tblContractForDeed[[#This Row],[Payment]]=0,0,MAX(0,MIN(tblContractForDeed[[#This Row],[Beg]],tblContractForDeed[[#This Row],[Payment]]-tblContractForDeed[[#This Row],[Int]])))</f>
        <v>0</v>
      </c>
      <c r="S367" s="328">
        <f>IF(OR(tblContractForDeed[[#This Row],[Date]]&lt;cfdContractDate,tblContractForDeed[[#This Row],[Date]]&gt;cfdEndDate),0,ROUND(tblContractForDeed[[#This Row],[Beg]]*(tblContractForDeed[[#This Row],[Int Rate]]/12),2))</f>
        <v>0</v>
      </c>
      <c r="T367" s="328">
        <f>IF(tblContractForDeed[[#This Row],[Payment]]=0,0,$W$2)</f>
        <v>0</v>
      </c>
      <c r="U367" s="328">
        <f>IF(tblContractForDeed[[#This Row],[Princ]]=0,0,$W$3)</f>
        <v>0</v>
      </c>
      <c r="V367" s="328">
        <f>SUM(tblContractForDeed[[#This Row],[Princ]],tblContractForDeed[[#This Row],[Int]],tblContractForDeed[[#This Row],[Ins]],tblContractForDeed[[#This Row],[Taxes]])</f>
        <v>0</v>
      </c>
      <c r="W367" s="328">
        <f>SUM(INDEX(tblContractForDeed[Princ],1):INDEX(tblContractForDeed[Princ],ROW()-ROW(tblContractForDeed[#Headers])))</f>
        <v>75258.000000000029</v>
      </c>
      <c r="X367" s="328">
        <f>IF(tblContractForDeed[[#This Row],[Beg]]&lt;=0,0,tblContractForDeed[[#This Row],[Beg]]-tblContractForDeed[[#This Row],[Princ]])</f>
        <v>0</v>
      </c>
      <c r="Y3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7">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8">
        <f>IF(INDEX(tblContractForDeed[End Bal],ROW()-ROW(tblBuyerOutputs[#Headers]))&lt;=0,0,($O$6+IF(ROW()=ROW(tblBuyerOutputs[#Headers])+1,0,INDEX(tblBuyerOutputs[Cumul Appr],ROW()-ROW(tblBuyerOutputs[#Headers])-1)))*$O$2/12)</f>
        <v>0</v>
      </c>
      <c r="AE367" s="328">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594"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88">
        <f t="shared" si="71"/>
        <v>0</v>
      </c>
      <c r="M368" s="388">
        <f t="shared" si="81"/>
        <v>0</v>
      </c>
      <c r="N368" s="594" t="str">
        <f>INDEX(tblSubjectToLoan[Date],ROW()-ROW(tblContractForDeed[#Headers]))</f>
        <v/>
      </c>
      <c r="O368" s="276">
        <f>IF(ROW()=ROW(tblContractForDeed[#Headers])+1,$O$6,IF(INDEX(tblContractForDeed[End Bal],ROW()-ROW(tblContractForDeed[#Headers])-1)&lt;0,0,INDEX(tblContractForDeed[End Bal],ROW()-ROW(tblContractForDeed[#Headers])-1)))</f>
        <v>0</v>
      </c>
      <c r="P368" s="447"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6">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594"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88">
        <f t="shared" si="71"/>
        <v>0</v>
      </c>
      <c r="M369" s="388">
        <f t="shared" si="81"/>
        <v>0</v>
      </c>
      <c r="N369" s="594" t="str">
        <f>INDEX(tblSubjectToLoan[Date],ROW()-ROW(tblContractForDeed[#Headers]))</f>
        <v/>
      </c>
      <c r="O369" s="276">
        <f>IF(ROW()=ROW(tblContractForDeed[#Headers])+1,$O$6,IF(INDEX(tblContractForDeed[End Bal],ROW()-ROW(tblContractForDeed[#Headers])-1)&lt;0,0,INDEX(tblContractForDeed[End Bal],ROW()-ROW(tblContractForDeed[#Headers])-1)))</f>
        <v>0</v>
      </c>
      <c r="P369" s="447"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6">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594"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88">
        <f t="shared" si="71"/>
        <v>0</v>
      </c>
      <c r="M370" s="388">
        <f t="shared" si="81"/>
        <v>0</v>
      </c>
      <c r="N370" s="594" t="str">
        <f>INDEX(tblSubjectToLoan[Date],ROW()-ROW(tblContractForDeed[#Headers]))</f>
        <v/>
      </c>
      <c r="O370" s="276">
        <f>IF(ROW()=ROW(tblContractForDeed[#Headers])+1,$O$6,IF(INDEX(tblContractForDeed[End Bal],ROW()-ROW(tblContractForDeed[#Headers])-1)&lt;0,0,INDEX(tblContractForDeed[End Bal],ROW()-ROW(tblContractForDeed[#Headers])-1)))</f>
        <v>0</v>
      </c>
      <c r="P370" s="447"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6">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594"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88">
        <f t="shared" si="71"/>
        <v>0</v>
      </c>
      <c r="M371" s="388">
        <f t="shared" si="81"/>
        <v>0</v>
      </c>
      <c r="N371" s="594" t="str">
        <f>INDEX(tblSubjectToLoan[Date],ROW()-ROW(tblContractForDeed[#Headers]))</f>
        <v/>
      </c>
      <c r="O371" s="276">
        <f>IF(ROW()=ROW(tblContractForDeed[#Headers])+1,$O$6,IF(INDEX(tblContractForDeed[End Bal],ROW()-ROW(tblContractForDeed[#Headers])-1)&lt;0,0,INDEX(tblContractForDeed[End Bal],ROW()-ROW(tblContractForDeed[#Headers])-1)))</f>
        <v>0</v>
      </c>
      <c r="P371" s="447"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6">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594"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88">
        <f t="shared" ref="L372:L435" si="86">IF(MOD(M372,12)=0,M372/12,L371)</f>
        <v>0</v>
      </c>
      <c r="M372" s="388">
        <f t="shared" si="81"/>
        <v>0</v>
      </c>
      <c r="N372" s="594" t="str">
        <f>INDEX(tblSubjectToLoan[Date],ROW()-ROW(tblContractForDeed[#Headers]))</f>
        <v/>
      </c>
      <c r="O372" s="276">
        <f>IF(ROW()=ROW(tblContractForDeed[#Headers])+1,$O$6,IF(INDEX(tblContractForDeed[End Bal],ROW()-ROW(tblContractForDeed[#Headers])-1)&lt;0,0,INDEX(tblContractForDeed[End Bal],ROW()-ROW(tblContractForDeed[#Headers])-1)))</f>
        <v>0</v>
      </c>
      <c r="P372" s="447"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6">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594"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88">
        <f t="shared" si="86"/>
        <v>0</v>
      </c>
      <c r="M373" s="388">
        <f t="shared" si="81"/>
        <v>0</v>
      </c>
      <c r="N373" s="594" t="str">
        <f>INDEX(tblSubjectToLoan[Date],ROW()-ROW(tblContractForDeed[#Headers]))</f>
        <v/>
      </c>
      <c r="O373" s="276">
        <f>IF(ROW()=ROW(tblContractForDeed[#Headers])+1,$O$6,IF(INDEX(tblContractForDeed[End Bal],ROW()-ROW(tblContractForDeed[#Headers])-1)&lt;0,0,INDEX(tblContractForDeed[End Bal],ROW()-ROW(tblContractForDeed[#Headers])-1)))</f>
        <v>0</v>
      </c>
      <c r="P373" s="447"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6">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594"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88">
        <f t="shared" si="86"/>
        <v>0</v>
      </c>
      <c r="M374" s="388">
        <f t="shared" si="81"/>
        <v>0</v>
      </c>
      <c r="N374" s="594" t="str">
        <f>INDEX(tblSubjectToLoan[Date],ROW()-ROW(tblContractForDeed[#Headers]))</f>
        <v/>
      </c>
      <c r="O374" s="276">
        <f>IF(ROW()=ROW(tblContractForDeed[#Headers])+1,$O$6,IF(INDEX(tblContractForDeed[End Bal],ROW()-ROW(tblContractForDeed[#Headers])-1)&lt;0,0,INDEX(tblContractForDeed[End Bal],ROW()-ROW(tblContractForDeed[#Headers])-1)))</f>
        <v>0</v>
      </c>
      <c r="P374" s="447"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6">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594"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88">
        <f t="shared" si="86"/>
        <v>0</v>
      </c>
      <c r="M375" s="388">
        <f t="shared" si="81"/>
        <v>0</v>
      </c>
      <c r="N375" s="594" t="str">
        <f>INDEX(tblSubjectToLoan[Date],ROW()-ROW(tblContractForDeed[#Headers]))</f>
        <v/>
      </c>
      <c r="O375" s="276">
        <f>IF(ROW()=ROW(tblContractForDeed[#Headers])+1,$O$6,IF(INDEX(tblContractForDeed[End Bal],ROW()-ROW(tblContractForDeed[#Headers])-1)&lt;0,0,INDEX(tblContractForDeed[End Bal],ROW()-ROW(tblContractForDeed[#Headers])-1)))</f>
        <v>0</v>
      </c>
      <c r="P375" s="447"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6">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594"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88">
        <f t="shared" si="86"/>
        <v>0</v>
      </c>
      <c r="M376" s="388">
        <f t="shared" si="81"/>
        <v>0</v>
      </c>
      <c r="N376" s="594" t="str">
        <f>INDEX(tblSubjectToLoan[Date],ROW()-ROW(tblContractForDeed[#Headers]))</f>
        <v/>
      </c>
      <c r="O376" s="276">
        <f>IF(ROW()=ROW(tblContractForDeed[#Headers])+1,$O$6,IF(INDEX(tblContractForDeed[End Bal],ROW()-ROW(tblContractForDeed[#Headers])-1)&lt;0,0,INDEX(tblContractForDeed[End Bal],ROW()-ROW(tblContractForDeed[#Headers])-1)))</f>
        <v>0</v>
      </c>
      <c r="P376" s="447"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6">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594"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88">
        <f t="shared" si="86"/>
        <v>0</v>
      </c>
      <c r="M377" s="388">
        <f t="shared" si="81"/>
        <v>0</v>
      </c>
      <c r="N377" s="594" t="str">
        <f>INDEX(tblSubjectToLoan[Date],ROW()-ROW(tblContractForDeed[#Headers]))</f>
        <v/>
      </c>
      <c r="O377" s="276">
        <f>IF(ROW()=ROW(tblContractForDeed[#Headers])+1,$O$6,IF(INDEX(tblContractForDeed[End Bal],ROW()-ROW(tblContractForDeed[#Headers])-1)&lt;0,0,INDEX(tblContractForDeed[End Bal],ROW()-ROW(tblContractForDeed[#Headers])-1)))</f>
        <v>0</v>
      </c>
      <c r="P377" s="447"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6">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594"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88">
        <f t="shared" si="86"/>
        <v>0</v>
      </c>
      <c r="M378" s="388">
        <f t="shared" si="81"/>
        <v>0</v>
      </c>
      <c r="N378" s="594" t="str">
        <f>INDEX(tblSubjectToLoan[Date],ROW()-ROW(tblContractForDeed[#Headers]))</f>
        <v/>
      </c>
      <c r="O378" s="276">
        <f>IF(ROW()=ROW(tblContractForDeed[#Headers])+1,$O$6,IF(INDEX(tblContractForDeed[End Bal],ROW()-ROW(tblContractForDeed[#Headers])-1)&lt;0,0,INDEX(tblContractForDeed[End Bal],ROW()-ROW(tblContractForDeed[#Headers])-1)))</f>
        <v>0</v>
      </c>
      <c r="P378" s="447"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6">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595" t="str">
        <f t="shared" si="77"/>
        <v/>
      </c>
      <c r="B379" s="328">
        <f t="shared" si="78"/>
        <v>0</v>
      </c>
      <c r="C379" s="21">
        <f t="shared" si="75"/>
        <v>0</v>
      </c>
      <c r="D379" s="21">
        <f t="shared" si="79"/>
        <v>0</v>
      </c>
      <c r="E379" s="21">
        <f t="shared" si="76"/>
        <v>0</v>
      </c>
      <c r="F379" s="21">
        <f t="shared" si="85"/>
        <v>134.16999999999999</v>
      </c>
      <c r="G379" s="21">
        <f t="shared" si="85"/>
        <v>188.55</v>
      </c>
      <c r="H379" s="21">
        <f t="shared" si="73"/>
        <v>322.72000000000003</v>
      </c>
      <c r="I379" s="328">
        <f t="shared" si="82"/>
        <v>97531.839999999953</v>
      </c>
      <c r="J379" s="328">
        <f t="shared" si="83"/>
        <v>36068.259999999973</v>
      </c>
      <c r="K379" s="328">
        <f t="shared" si="80"/>
        <v>0</v>
      </c>
      <c r="L379" s="389">
        <f t="shared" si="86"/>
        <v>0</v>
      </c>
      <c r="M379" s="389">
        <f t="shared" si="81"/>
        <v>0</v>
      </c>
      <c r="N379" s="595" t="str">
        <f>INDEX(tblSubjectToLoan[Date],ROW()-ROW(tblContractForDeed[#Headers]))</f>
        <v/>
      </c>
      <c r="O379" s="328">
        <f>IF(ROW()=ROW(tblContractForDeed[#Headers])+1,$O$6,IF(INDEX(tblContractForDeed[End Bal],ROW()-ROW(tblContractForDeed[#Headers])-1)&lt;0,0,INDEX(tblContractForDeed[End Bal],ROW()-ROW(tblContractForDeed[#Headers])-1)))</f>
        <v>0</v>
      </c>
      <c r="P379" s="447"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8">
        <f>IF(tblContractForDeed[[#This Row],[Payment]]=0,0,MAX(0,MIN(tblContractForDeed[[#This Row],[Beg]],tblContractForDeed[[#This Row],[Payment]]-tblContractForDeed[[#This Row],[Int]])))</f>
        <v>0</v>
      </c>
      <c r="S379" s="328">
        <f>IF(OR(tblContractForDeed[[#This Row],[Date]]&lt;cfdContractDate,tblContractForDeed[[#This Row],[Date]]&gt;cfdEndDate),0,ROUND(tblContractForDeed[[#This Row],[Beg]]*(tblContractForDeed[[#This Row],[Int Rate]]/12),2))</f>
        <v>0</v>
      </c>
      <c r="T379" s="328">
        <f>IF(tblContractForDeed[[#This Row],[Payment]]=0,0,$W$2)</f>
        <v>0</v>
      </c>
      <c r="U379" s="328">
        <f>IF(tblContractForDeed[[#This Row],[Princ]]=0,0,$W$3)</f>
        <v>0</v>
      </c>
      <c r="V379" s="328">
        <f>SUM(tblContractForDeed[[#This Row],[Princ]],tblContractForDeed[[#This Row],[Int]],tblContractForDeed[[#This Row],[Ins]],tblContractForDeed[[#This Row],[Taxes]])</f>
        <v>0</v>
      </c>
      <c r="W379" s="328">
        <f>SUM(INDEX(tblContractForDeed[Princ],1):INDEX(tblContractForDeed[Princ],ROW()-ROW(tblContractForDeed[#Headers])))</f>
        <v>75258.000000000029</v>
      </c>
      <c r="X379" s="328">
        <f>IF(tblContractForDeed[[#This Row],[Beg]]&lt;=0,0,tblContractForDeed[[#This Row],[Beg]]-tblContractForDeed[[#This Row],[Princ]])</f>
        <v>0</v>
      </c>
      <c r="Y3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7">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8">
        <f>IF(INDEX(tblContractForDeed[End Bal],ROW()-ROW(tblBuyerOutputs[#Headers]))&lt;=0,0,($O$6+IF(ROW()=ROW(tblBuyerOutputs[#Headers])+1,0,INDEX(tblBuyerOutputs[Cumul Appr],ROW()-ROW(tblBuyerOutputs[#Headers])-1)))*$O$2/12)</f>
        <v>0</v>
      </c>
      <c r="AE379" s="328">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594"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88">
        <f t="shared" si="86"/>
        <v>0</v>
      </c>
      <c r="M380" s="388">
        <f t="shared" si="81"/>
        <v>0</v>
      </c>
      <c r="N380" s="594" t="str">
        <f>INDEX(tblSubjectToLoan[Date],ROW()-ROW(tblContractForDeed[#Headers]))</f>
        <v/>
      </c>
      <c r="O380" s="276">
        <f>IF(ROW()=ROW(tblContractForDeed[#Headers])+1,$O$6,IF(INDEX(tblContractForDeed[End Bal],ROW()-ROW(tblContractForDeed[#Headers])-1)&lt;0,0,INDEX(tblContractForDeed[End Bal],ROW()-ROW(tblContractForDeed[#Headers])-1)))</f>
        <v>0</v>
      </c>
      <c r="P380" s="447"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6">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594"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88">
        <f t="shared" si="86"/>
        <v>0</v>
      </c>
      <c r="M381" s="388">
        <f t="shared" si="81"/>
        <v>0</v>
      </c>
      <c r="N381" s="594" t="str">
        <f>INDEX(tblSubjectToLoan[Date],ROW()-ROW(tblContractForDeed[#Headers]))</f>
        <v/>
      </c>
      <c r="O381" s="276">
        <f>IF(ROW()=ROW(tblContractForDeed[#Headers])+1,$O$6,IF(INDEX(tblContractForDeed[End Bal],ROW()-ROW(tblContractForDeed[#Headers])-1)&lt;0,0,INDEX(tblContractForDeed[End Bal],ROW()-ROW(tblContractForDeed[#Headers])-1)))</f>
        <v>0</v>
      </c>
      <c r="P381" s="447"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6">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594"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88">
        <f t="shared" si="86"/>
        <v>0</v>
      </c>
      <c r="M382" s="388">
        <f t="shared" si="81"/>
        <v>0</v>
      </c>
      <c r="N382" s="594" t="str">
        <f>INDEX(tblSubjectToLoan[Date],ROW()-ROW(tblContractForDeed[#Headers]))</f>
        <v/>
      </c>
      <c r="O382" s="276">
        <f>IF(ROW()=ROW(tblContractForDeed[#Headers])+1,$O$6,IF(INDEX(tblContractForDeed[End Bal],ROW()-ROW(tblContractForDeed[#Headers])-1)&lt;0,0,INDEX(tblContractForDeed[End Bal],ROW()-ROW(tblContractForDeed[#Headers])-1)))</f>
        <v>0</v>
      </c>
      <c r="P382" s="447"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6">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594"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88">
        <f t="shared" si="86"/>
        <v>0</v>
      </c>
      <c r="M383" s="388">
        <f t="shared" si="81"/>
        <v>0</v>
      </c>
      <c r="N383" s="594" t="str">
        <f>INDEX(tblSubjectToLoan[Date],ROW()-ROW(tblContractForDeed[#Headers]))</f>
        <v/>
      </c>
      <c r="O383" s="276">
        <f>IF(ROW()=ROW(tblContractForDeed[#Headers])+1,$O$6,IF(INDEX(tblContractForDeed[End Bal],ROW()-ROW(tblContractForDeed[#Headers])-1)&lt;0,0,INDEX(tblContractForDeed[End Bal],ROW()-ROW(tblContractForDeed[#Headers])-1)))</f>
        <v>0</v>
      </c>
      <c r="P383" s="447"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6">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594"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88">
        <f t="shared" si="86"/>
        <v>0</v>
      </c>
      <c r="M384" s="388">
        <f t="shared" si="81"/>
        <v>0</v>
      </c>
      <c r="N384" s="594" t="str">
        <f>INDEX(tblSubjectToLoan[Date],ROW()-ROW(tblContractForDeed[#Headers]))</f>
        <v/>
      </c>
      <c r="O384" s="276">
        <f>IF(ROW()=ROW(tblContractForDeed[#Headers])+1,$O$6,IF(INDEX(tblContractForDeed[End Bal],ROW()-ROW(tblContractForDeed[#Headers])-1)&lt;0,0,INDEX(tblContractForDeed[End Bal],ROW()-ROW(tblContractForDeed[#Headers])-1)))</f>
        <v>0</v>
      </c>
      <c r="P384" s="447"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6">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594"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88">
        <f t="shared" si="86"/>
        <v>0</v>
      </c>
      <c r="M385" s="388">
        <f t="shared" si="81"/>
        <v>0</v>
      </c>
      <c r="N385" s="594" t="str">
        <f>INDEX(tblSubjectToLoan[Date],ROW()-ROW(tblContractForDeed[#Headers]))</f>
        <v/>
      </c>
      <c r="O385" s="276">
        <f>IF(ROW()=ROW(tblContractForDeed[#Headers])+1,$O$6,IF(INDEX(tblContractForDeed[End Bal],ROW()-ROW(tblContractForDeed[#Headers])-1)&lt;0,0,INDEX(tblContractForDeed[End Bal],ROW()-ROW(tblContractForDeed[#Headers])-1)))</f>
        <v>0</v>
      </c>
      <c r="P385" s="447"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6">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594"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88">
        <f t="shared" si="86"/>
        <v>0</v>
      </c>
      <c r="M386" s="388">
        <f t="shared" si="81"/>
        <v>0</v>
      </c>
      <c r="N386" s="594" t="str">
        <f>INDEX(tblSubjectToLoan[Date],ROW()-ROW(tblContractForDeed[#Headers]))</f>
        <v/>
      </c>
      <c r="O386" s="276">
        <f>IF(ROW()=ROW(tblContractForDeed[#Headers])+1,$O$6,IF(INDEX(tblContractForDeed[End Bal],ROW()-ROW(tblContractForDeed[#Headers])-1)&lt;0,0,INDEX(tblContractForDeed[End Bal],ROW()-ROW(tblContractForDeed[#Headers])-1)))</f>
        <v>0</v>
      </c>
      <c r="P386" s="447"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6">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594"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88">
        <f t="shared" si="86"/>
        <v>0</v>
      </c>
      <c r="M387" s="388">
        <f t="shared" si="81"/>
        <v>0</v>
      </c>
      <c r="N387" s="594" t="str">
        <f>INDEX(tblSubjectToLoan[Date],ROW()-ROW(tblContractForDeed[#Headers]))</f>
        <v/>
      </c>
      <c r="O387" s="276">
        <f>IF(ROW()=ROW(tblContractForDeed[#Headers])+1,$O$6,IF(INDEX(tblContractForDeed[End Bal],ROW()-ROW(tblContractForDeed[#Headers])-1)&lt;0,0,INDEX(tblContractForDeed[End Bal],ROW()-ROW(tblContractForDeed[#Headers])-1)))</f>
        <v>0</v>
      </c>
      <c r="P387" s="447"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6">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594"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88">
        <f t="shared" si="86"/>
        <v>0</v>
      </c>
      <c r="M388" s="388">
        <f t="shared" si="81"/>
        <v>0</v>
      </c>
      <c r="N388" s="594" t="str">
        <f>INDEX(tblSubjectToLoan[Date],ROW()-ROW(tblContractForDeed[#Headers]))</f>
        <v/>
      </c>
      <c r="O388" s="276">
        <f>IF(ROW()=ROW(tblContractForDeed[#Headers])+1,$O$6,IF(INDEX(tblContractForDeed[End Bal],ROW()-ROW(tblContractForDeed[#Headers])-1)&lt;0,0,INDEX(tblContractForDeed[End Bal],ROW()-ROW(tblContractForDeed[#Headers])-1)))</f>
        <v>0</v>
      </c>
      <c r="P388" s="447"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6">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594"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88">
        <f t="shared" si="86"/>
        <v>0</v>
      </c>
      <c r="M389" s="388">
        <f t="shared" si="81"/>
        <v>0</v>
      </c>
      <c r="N389" s="594" t="str">
        <f>INDEX(tblSubjectToLoan[Date],ROW()-ROW(tblContractForDeed[#Headers]))</f>
        <v/>
      </c>
      <c r="O389" s="276">
        <f>IF(ROW()=ROW(tblContractForDeed[#Headers])+1,$O$6,IF(INDEX(tblContractForDeed[End Bal],ROW()-ROW(tblContractForDeed[#Headers])-1)&lt;0,0,INDEX(tblContractForDeed[End Bal],ROW()-ROW(tblContractForDeed[#Headers])-1)))</f>
        <v>0</v>
      </c>
      <c r="P389" s="447"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6">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594"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88">
        <f t="shared" si="86"/>
        <v>0</v>
      </c>
      <c r="M390" s="388">
        <f t="shared" si="81"/>
        <v>0</v>
      </c>
      <c r="N390" s="594" t="str">
        <f>INDEX(tblSubjectToLoan[Date],ROW()-ROW(tblContractForDeed[#Headers]))</f>
        <v/>
      </c>
      <c r="O390" s="276">
        <f>IF(ROW()=ROW(tblContractForDeed[#Headers])+1,$O$6,IF(INDEX(tblContractForDeed[End Bal],ROW()-ROW(tblContractForDeed[#Headers])-1)&lt;0,0,INDEX(tblContractForDeed[End Bal],ROW()-ROW(tblContractForDeed[#Headers])-1)))</f>
        <v>0</v>
      </c>
      <c r="P390" s="447"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6">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595" t="str">
        <f t="shared" si="77"/>
        <v/>
      </c>
      <c r="B391" s="328">
        <f t="shared" si="78"/>
        <v>0</v>
      </c>
      <c r="C391" s="21">
        <f t="shared" si="75"/>
        <v>0</v>
      </c>
      <c r="D391" s="21">
        <f t="shared" si="79"/>
        <v>0</v>
      </c>
      <c r="E391" s="21">
        <f t="shared" si="76"/>
        <v>0</v>
      </c>
      <c r="F391" s="21">
        <f t="shared" si="87"/>
        <v>134.16999999999999</v>
      </c>
      <c r="G391" s="21">
        <f t="shared" si="87"/>
        <v>188.55</v>
      </c>
      <c r="H391" s="21">
        <f t="shared" si="88"/>
        <v>322.72000000000003</v>
      </c>
      <c r="I391" s="328">
        <f t="shared" si="82"/>
        <v>97531.839999999953</v>
      </c>
      <c r="J391" s="328">
        <f t="shared" si="83"/>
        <v>36068.259999999973</v>
      </c>
      <c r="K391" s="328">
        <f t="shared" si="80"/>
        <v>0</v>
      </c>
      <c r="L391" s="389">
        <f t="shared" si="86"/>
        <v>0</v>
      </c>
      <c r="M391" s="389">
        <f t="shared" si="81"/>
        <v>0</v>
      </c>
      <c r="N391" s="595" t="str">
        <f>INDEX(tblSubjectToLoan[Date],ROW()-ROW(tblContractForDeed[#Headers]))</f>
        <v/>
      </c>
      <c r="O391" s="328">
        <f>IF(ROW()=ROW(tblContractForDeed[#Headers])+1,$O$6,IF(INDEX(tblContractForDeed[End Bal],ROW()-ROW(tblContractForDeed[#Headers])-1)&lt;0,0,INDEX(tblContractForDeed[End Bal],ROW()-ROW(tblContractForDeed[#Headers])-1)))</f>
        <v>0</v>
      </c>
      <c r="P391" s="447"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8">
        <f>IF(tblContractForDeed[[#This Row],[Payment]]=0,0,MAX(0,MIN(tblContractForDeed[[#This Row],[Beg]],tblContractForDeed[[#This Row],[Payment]]-tblContractForDeed[[#This Row],[Int]])))</f>
        <v>0</v>
      </c>
      <c r="S391" s="328">
        <f>IF(OR(tblContractForDeed[[#This Row],[Date]]&lt;cfdContractDate,tblContractForDeed[[#This Row],[Date]]&gt;cfdEndDate),0,ROUND(tblContractForDeed[[#This Row],[Beg]]*(tblContractForDeed[[#This Row],[Int Rate]]/12),2))</f>
        <v>0</v>
      </c>
      <c r="T391" s="328">
        <f>IF(tblContractForDeed[[#This Row],[Payment]]=0,0,$W$2)</f>
        <v>0</v>
      </c>
      <c r="U391" s="328">
        <f>IF(tblContractForDeed[[#This Row],[Princ]]=0,0,$W$3)</f>
        <v>0</v>
      </c>
      <c r="V391" s="328">
        <f>SUM(tblContractForDeed[[#This Row],[Princ]],tblContractForDeed[[#This Row],[Int]],tblContractForDeed[[#This Row],[Ins]],tblContractForDeed[[#This Row],[Taxes]])</f>
        <v>0</v>
      </c>
      <c r="W391" s="328">
        <f>SUM(INDEX(tblContractForDeed[Princ],1):INDEX(tblContractForDeed[Princ],ROW()-ROW(tblContractForDeed[#Headers])))</f>
        <v>75258.000000000029</v>
      </c>
      <c r="X391" s="328">
        <f>IF(tblContractForDeed[[#This Row],[Beg]]&lt;=0,0,tblContractForDeed[[#This Row],[Beg]]-tblContractForDeed[[#This Row],[Princ]])</f>
        <v>0</v>
      </c>
      <c r="Y3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7">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8">
        <f>IF(INDEX(tblContractForDeed[End Bal],ROW()-ROW(tblBuyerOutputs[#Headers]))&lt;=0,0,($O$6+IF(ROW()=ROW(tblBuyerOutputs[#Headers])+1,0,INDEX(tblBuyerOutputs[Cumul Appr],ROW()-ROW(tblBuyerOutputs[#Headers])-1)))*$O$2/12)</f>
        <v>0</v>
      </c>
      <c r="AE391" s="328">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594"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88">
        <f t="shared" si="86"/>
        <v>0</v>
      </c>
      <c r="M392" s="388">
        <f t="shared" si="81"/>
        <v>0</v>
      </c>
      <c r="N392" s="594" t="str">
        <f>INDEX(tblSubjectToLoan[Date],ROW()-ROW(tblContractForDeed[#Headers]))</f>
        <v/>
      </c>
      <c r="O392" s="276">
        <f>IF(ROW()=ROW(tblContractForDeed[#Headers])+1,$O$6,IF(INDEX(tblContractForDeed[End Bal],ROW()-ROW(tblContractForDeed[#Headers])-1)&lt;0,0,INDEX(tblContractForDeed[End Bal],ROW()-ROW(tblContractForDeed[#Headers])-1)))</f>
        <v>0</v>
      </c>
      <c r="P392" s="447"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6">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594"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88">
        <f t="shared" si="86"/>
        <v>0</v>
      </c>
      <c r="M393" s="388">
        <f t="shared" si="81"/>
        <v>0</v>
      </c>
      <c r="N393" s="594" t="str">
        <f>INDEX(tblSubjectToLoan[Date],ROW()-ROW(tblContractForDeed[#Headers]))</f>
        <v/>
      </c>
      <c r="O393" s="276">
        <f>IF(ROW()=ROW(tblContractForDeed[#Headers])+1,$O$6,IF(INDEX(tblContractForDeed[End Bal],ROW()-ROW(tblContractForDeed[#Headers])-1)&lt;0,0,INDEX(tblContractForDeed[End Bal],ROW()-ROW(tblContractForDeed[#Headers])-1)))</f>
        <v>0</v>
      </c>
      <c r="P393" s="447"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6">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594"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88">
        <f t="shared" si="86"/>
        <v>0</v>
      </c>
      <c r="M394" s="388">
        <f t="shared" si="81"/>
        <v>0</v>
      </c>
      <c r="N394" s="594" t="str">
        <f>INDEX(tblSubjectToLoan[Date],ROW()-ROW(tblContractForDeed[#Headers]))</f>
        <v/>
      </c>
      <c r="O394" s="276">
        <f>IF(ROW()=ROW(tblContractForDeed[#Headers])+1,$O$6,IF(INDEX(tblContractForDeed[End Bal],ROW()-ROW(tblContractForDeed[#Headers])-1)&lt;0,0,INDEX(tblContractForDeed[End Bal],ROW()-ROW(tblContractForDeed[#Headers])-1)))</f>
        <v>0</v>
      </c>
      <c r="P394" s="447"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6">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594"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88">
        <f t="shared" si="86"/>
        <v>0</v>
      </c>
      <c r="M395" s="388">
        <f t="shared" si="81"/>
        <v>0</v>
      </c>
      <c r="N395" s="594" t="str">
        <f>INDEX(tblSubjectToLoan[Date],ROW()-ROW(tblContractForDeed[#Headers]))</f>
        <v/>
      </c>
      <c r="O395" s="276">
        <f>IF(ROW()=ROW(tblContractForDeed[#Headers])+1,$O$6,IF(INDEX(tblContractForDeed[End Bal],ROW()-ROW(tblContractForDeed[#Headers])-1)&lt;0,0,INDEX(tblContractForDeed[End Bal],ROW()-ROW(tblContractForDeed[#Headers])-1)))</f>
        <v>0</v>
      </c>
      <c r="P395" s="447"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6">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594"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88">
        <f t="shared" si="86"/>
        <v>0</v>
      </c>
      <c r="M396" s="388">
        <f t="shared" si="81"/>
        <v>0</v>
      </c>
      <c r="N396" s="594" t="str">
        <f>INDEX(tblSubjectToLoan[Date],ROW()-ROW(tblContractForDeed[#Headers]))</f>
        <v/>
      </c>
      <c r="O396" s="276">
        <f>IF(ROW()=ROW(tblContractForDeed[#Headers])+1,$O$6,IF(INDEX(tblContractForDeed[End Bal],ROW()-ROW(tblContractForDeed[#Headers])-1)&lt;0,0,INDEX(tblContractForDeed[End Bal],ROW()-ROW(tblContractForDeed[#Headers])-1)))</f>
        <v>0</v>
      </c>
      <c r="P396" s="447"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6">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594"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88">
        <f t="shared" si="86"/>
        <v>0</v>
      </c>
      <c r="M397" s="388">
        <f t="shared" si="81"/>
        <v>0</v>
      </c>
      <c r="N397" s="594" t="str">
        <f>INDEX(tblSubjectToLoan[Date],ROW()-ROW(tblContractForDeed[#Headers]))</f>
        <v/>
      </c>
      <c r="O397" s="276">
        <f>IF(ROW()=ROW(tblContractForDeed[#Headers])+1,$O$6,IF(INDEX(tblContractForDeed[End Bal],ROW()-ROW(tblContractForDeed[#Headers])-1)&lt;0,0,INDEX(tblContractForDeed[End Bal],ROW()-ROW(tblContractForDeed[#Headers])-1)))</f>
        <v>0</v>
      </c>
      <c r="P397" s="447"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6">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594"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88">
        <f t="shared" si="86"/>
        <v>0</v>
      </c>
      <c r="M398" s="388">
        <f t="shared" si="81"/>
        <v>0</v>
      </c>
      <c r="N398" s="594" t="str">
        <f>INDEX(tblSubjectToLoan[Date],ROW()-ROW(tblContractForDeed[#Headers]))</f>
        <v/>
      </c>
      <c r="O398" s="276">
        <f>IF(ROW()=ROW(tblContractForDeed[#Headers])+1,$O$6,IF(INDEX(tblContractForDeed[End Bal],ROW()-ROW(tblContractForDeed[#Headers])-1)&lt;0,0,INDEX(tblContractForDeed[End Bal],ROW()-ROW(tblContractForDeed[#Headers])-1)))</f>
        <v>0</v>
      </c>
      <c r="P398" s="447"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6">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594"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88">
        <f t="shared" si="86"/>
        <v>0</v>
      </c>
      <c r="M399" s="388">
        <f t="shared" si="81"/>
        <v>0</v>
      </c>
      <c r="N399" s="594" t="str">
        <f>INDEX(tblSubjectToLoan[Date],ROW()-ROW(tblContractForDeed[#Headers]))</f>
        <v/>
      </c>
      <c r="O399" s="276">
        <f>IF(ROW()=ROW(tblContractForDeed[#Headers])+1,$O$6,IF(INDEX(tblContractForDeed[End Bal],ROW()-ROW(tblContractForDeed[#Headers])-1)&lt;0,0,INDEX(tblContractForDeed[End Bal],ROW()-ROW(tblContractForDeed[#Headers])-1)))</f>
        <v>0</v>
      </c>
      <c r="P399" s="447"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6">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594"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88">
        <f t="shared" si="86"/>
        <v>0</v>
      </c>
      <c r="M400" s="388">
        <f t="shared" si="81"/>
        <v>0</v>
      </c>
      <c r="N400" s="594" t="str">
        <f>INDEX(tblSubjectToLoan[Date],ROW()-ROW(tblContractForDeed[#Headers]))</f>
        <v/>
      </c>
      <c r="O400" s="276">
        <f>IF(ROW()=ROW(tblContractForDeed[#Headers])+1,$O$6,IF(INDEX(tblContractForDeed[End Bal],ROW()-ROW(tblContractForDeed[#Headers])-1)&lt;0,0,INDEX(tblContractForDeed[End Bal],ROW()-ROW(tblContractForDeed[#Headers])-1)))</f>
        <v>0</v>
      </c>
      <c r="P400" s="447"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6">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594"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88">
        <f t="shared" si="86"/>
        <v>0</v>
      </c>
      <c r="M401" s="388">
        <f t="shared" si="81"/>
        <v>0</v>
      </c>
      <c r="N401" s="594" t="str">
        <f>INDEX(tblSubjectToLoan[Date],ROW()-ROW(tblContractForDeed[#Headers]))</f>
        <v/>
      </c>
      <c r="O401" s="276">
        <f>IF(ROW()=ROW(tblContractForDeed[#Headers])+1,$O$6,IF(INDEX(tblContractForDeed[End Bal],ROW()-ROW(tblContractForDeed[#Headers])-1)&lt;0,0,INDEX(tblContractForDeed[End Bal],ROW()-ROW(tblContractForDeed[#Headers])-1)))</f>
        <v>0</v>
      </c>
      <c r="P401" s="447"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6">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594"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88">
        <f t="shared" si="86"/>
        <v>0</v>
      </c>
      <c r="M402" s="388">
        <f t="shared" si="81"/>
        <v>0</v>
      </c>
      <c r="N402" s="594" t="str">
        <f>INDEX(tblSubjectToLoan[Date],ROW()-ROW(tblContractForDeed[#Headers]))</f>
        <v/>
      </c>
      <c r="O402" s="276">
        <f>IF(ROW()=ROW(tblContractForDeed[#Headers])+1,$O$6,IF(INDEX(tblContractForDeed[End Bal],ROW()-ROW(tblContractForDeed[#Headers])-1)&lt;0,0,INDEX(tblContractForDeed[End Bal],ROW()-ROW(tblContractForDeed[#Headers])-1)))</f>
        <v>0</v>
      </c>
      <c r="P402" s="447"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6">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595" t="str">
        <f t="shared" si="77"/>
        <v/>
      </c>
      <c r="B403" s="328">
        <f t="shared" si="78"/>
        <v>0</v>
      </c>
      <c r="C403" s="21">
        <f t="shared" si="75"/>
        <v>0</v>
      </c>
      <c r="D403" s="21">
        <f t="shared" si="79"/>
        <v>0</v>
      </c>
      <c r="E403" s="21">
        <f t="shared" si="76"/>
        <v>0</v>
      </c>
      <c r="F403" s="21">
        <f t="shared" si="89"/>
        <v>134.16999999999999</v>
      </c>
      <c r="G403" s="21">
        <f t="shared" si="89"/>
        <v>188.55</v>
      </c>
      <c r="H403" s="21">
        <f t="shared" si="88"/>
        <v>322.72000000000003</v>
      </c>
      <c r="I403" s="328">
        <f t="shared" si="82"/>
        <v>97531.839999999953</v>
      </c>
      <c r="J403" s="328">
        <f t="shared" si="83"/>
        <v>36068.259999999973</v>
      </c>
      <c r="K403" s="328">
        <f t="shared" si="80"/>
        <v>0</v>
      </c>
      <c r="L403" s="389">
        <f t="shared" si="86"/>
        <v>0</v>
      </c>
      <c r="M403" s="389">
        <f t="shared" si="81"/>
        <v>0</v>
      </c>
      <c r="N403" s="595" t="str">
        <f>INDEX(tblSubjectToLoan[Date],ROW()-ROW(tblContractForDeed[#Headers]))</f>
        <v/>
      </c>
      <c r="O403" s="328">
        <f>IF(ROW()=ROW(tblContractForDeed[#Headers])+1,$O$6,IF(INDEX(tblContractForDeed[End Bal],ROW()-ROW(tblContractForDeed[#Headers])-1)&lt;0,0,INDEX(tblContractForDeed[End Bal],ROW()-ROW(tblContractForDeed[#Headers])-1)))</f>
        <v>0</v>
      </c>
      <c r="P403" s="447"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8">
        <f>IF(tblContractForDeed[[#This Row],[Payment]]=0,0,MAX(0,MIN(tblContractForDeed[[#This Row],[Beg]],tblContractForDeed[[#This Row],[Payment]]-tblContractForDeed[[#This Row],[Int]])))</f>
        <v>0</v>
      </c>
      <c r="S403" s="328">
        <f>IF(OR(tblContractForDeed[[#This Row],[Date]]&lt;cfdContractDate,tblContractForDeed[[#This Row],[Date]]&gt;cfdEndDate),0,ROUND(tblContractForDeed[[#This Row],[Beg]]*(tblContractForDeed[[#This Row],[Int Rate]]/12),2))</f>
        <v>0</v>
      </c>
      <c r="T403" s="328">
        <f>IF(tblContractForDeed[[#This Row],[Payment]]=0,0,$W$2)</f>
        <v>0</v>
      </c>
      <c r="U403" s="328">
        <f>IF(tblContractForDeed[[#This Row],[Princ]]=0,0,$W$3)</f>
        <v>0</v>
      </c>
      <c r="V403" s="328">
        <f>SUM(tblContractForDeed[[#This Row],[Princ]],tblContractForDeed[[#This Row],[Int]],tblContractForDeed[[#This Row],[Ins]],tblContractForDeed[[#This Row],[Taxes]])</f>
        <v>0</v>
      </c>
      <c r="W403" s="328">
        <f>SUM(INDEX(tblContractForDeed[Princ],1):INDEX(tblContractForDeed[Princ],ROW()-ROW(tblContractForDeed[#Headers])))</f>
        <v>75258.000000000029</v>
      </c>
      <c r="X403" s="328">
        <f>IF(tblContractForDeed[[#This Row],[Beg]]&lt;=0,0,tblContractForDeed[[#This Row],[Beg]]-tblContractForDeed[[#This Row],[Princ]])</f>
        <v>0</v>
      </c>
      <c r="Y4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7">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8">
        <f>IF(INDEX(tblContractForDeed[End Bal],ROW()-ROW(tblBuyerOutputs[#Headers]))&lt;=0,0,($O$6+IF(ROW()=ROW(tblBuyerOutputs[#Headers])+1,0,INDEX(tblBuyerOutputs[Cumul Appr],ROW()-ROW(tblBuyerOutputs[#Headers])-1)))*$O$2/12)</f>
        <v>0</v>
      </c>
      <c r="AE403" s="328">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594"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88">
        <f t="shared" si="86"/>
        <v>0</v>
      </c>
      <c r="M404" s="388">
        <f t="shared" si="81"/>
        <v>0</v>
      </c>
      <c r="N404" s="594" t="str">
        <f>INDEX(tblSubjectToLoan[Date],ROW()-ROW(tblContractForDeed[#Headers]))</f>
        <v/>
      </c>
      <c r="O404" s="276">
        <f>IF(ROW()=ROW(tblContractForDeed[#Headers])+1,$O$6,IF(INDEX(tblContractForDeed[End Bal],ROW()-ROW(tblContractForDeed[#Headers])-1)&lt;0,0,INDEX(tblContractForDeed[End Bal],ROW()-ROW(tblContractForDeed[#Headers])-1)))</f>
        <v>0</v>
      </c>
      <c r="P404" s="447"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6">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594"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88">
        <f t="shared" si="86"/>
        <v>0</v>
      </c>
      <c r="M405" s="388">
        <f t="shared" ref="M405:M468" si="96">IF($A405&lt;&gt;"",M404+1,0)</f>
        <v>0</v>
      </c>
      <c r="N405" s="594" t="str">
        <f>INDEX(tblSubjectToLoan[Date],ROW()-ROW(tblContractForDeed[#Headers]))</f>
        <v/>
      </c>
      <c r="O405" s="276">
        <f>IF(ROW()=ROW(tblContractForDeed[#Headers])+1,$O$6,IF(INDEX(tblContractForDeed[End Bal],ROW()-ROW(tblContractForDeed[#Headers])-1)&lt;0,0,INDEX(tblContractForDeed[End Bal],ROW()-ROW(tblContractForDeed[#Headers])-1)))</f>
        <v>0</v>
      </c>
      <c r="P405" s="447"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6">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594"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88">
        <f t="shared" si="86"/>
        <v>0</v>
      </c>
      <c r="M406" s="388">
        <f t="shared" si="96"/>
        <v>0</v>
      </c>
      <c r="N406" s="594" t="str">
        <f>INDEX(tblSubjectToLoan[Date],ROW()-ROW(tblContractForDeed[#Headers]))</f>
        <v/>
      </c>
      <c r="O406" s="276">
        <f>IF(ROW()=ROW(tblContractForDeed[#Headers])+1,$O$6,IF(INDEX(tblContractForDeed[End Bal],ROW()-ROW(tblContractForDeed[#Headers])-1)&lt;0,0,INDEX(tblContractForDeed[End Bal],ROW()-ROW(tblContractForDeed[#Headers])-1)))</f>
        <v>0</v>
      </c>
      <c r="P406" s="447"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6">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594"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88">
        <f t="shared" si="86"/>
        <v>0</v>
      </c>
      <c r="M407" s="388">
        <f t="shared" si="96"/>
        <v>0</v>
      </c>
      <c r="N407" s="594" t="str">
        <f>INDEX(tblSubjectToLoan[Date],ROW()-ROW(tblContractForDeed[#Headers]))</f>
        <v/>
      </c>
      <c r="O407" s="276">
        <f>IF(ROW()=ROW(tblContractForDeed[#Headers])+1,$O$6,IF(INDEX(tblContractForDeed[End Bal],ROW()-ROW(tblContractForDeed[#Headers])-1)&lt;0,0,INDEX(tblContractForDeed[End Bal],ROW()-ROW(tblContractForDeed[#Headers])-1)))</f>
        <v>0</v>
      </c>
      <c r="P407" s="447"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6">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594"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88">
        <f t="shared" si="86"/>
        <v>0</v>
      </c>
      <c r="M408" s="388">
        <f t="shared" si="96"/>
        <v>0</v>
      </c>
      <c r="N408" s="594" t="str">
        <f>INDEX(tblSubjectToLoan[Date],ROW()-ROW(tblContractForDeed[#Headers]))</f>
        <v/>
      </c>
      <c r="O408" s="276">
        <f>IF(ROW()=ROW(tblContractForDeed[#Headers])+1,$O$6,IF(INDEX(tblContractForDeed[End Bal],ROW()-ROW(tblContractForDeed[#Headers])-1)&lt;0,0,INDEX(tblContractForDeed[End Bal],ROW()-ROW(tblContractForDeed[#Headers])-1)))</f>
        <v>0</v>
      </c>
      <c r="P408" s="447"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6">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594"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88">
        <f t="shared" si="86"/>
        <v>0</v>
      </c>
      <c r="M409" s="388">
        <f t="shared" si="96"/>
        <v>0</v>
      </c>
      <c r="N409" s="594" t="str">
        <f>INDEX(tblSubjectToLoan[Date],ROW()-ROW(tblContractForDeed[#Headers]))</f>
        <v/>
      </c>
      <c r="O409" s="276">
        <f>IF(ROW()=ROW(tblContractForDeed[#Headers])+1,$O$6,IF(INDEX(tblContractForDeed[End Bal],ROW()-ROW(tblContractForDeed[#Headers])-1)&lt;0,0,INDEX(tblContractForDeed[End Bal],ROW()-ROW(tblContractForDeed[#Headers])-1)))</f>
        <v>0</v>
      </c>
      <c r="P409" s="447"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6">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594"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88">
        <f t="shared" si="86"/>
        <v>0</v>
      </c>
      <c r="M410" s="388">
        <f t="shared" si="96"/>
        <v>0</v>
      </c>
      <c r="N410" s="594" t="str">
        <f>INDEX(tblSubjectToLoan[Date],ROW()-ROW(tblContractForDeed[#Headers]))</f>
        <v/>
      </c>
      <c r="O410" s="276">
        <f>IF(ROW()=ROW(tblContractForDeed[#Headers])+1,$O$6,IF(INDEX(tblContractForDeed[End Bal],ROW()-ROW(tblContractForDeed[#Headers])-1)&lt;0,0,INDEX(tblContractForDeed[End Bal],ROW()-ROW(tblContractForDeed[#Headers])-1)))</f>
        <v>0</v>
      </c>
      <c r="P410" s="447"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6">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594"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88">
        <f t="shared" si="86"/>
        <v>0</v>
      </c>
      <c r="M411" s="388">
        <f t="shared" si="96"/>
        <v>0</v>
      </c>
      <c r="N411" s="594" t="str">
        <f>INDEX(tblSubjectToLoan[Date],ROW()-ROW(tblContractForDeed[#Headers]))</f>
        <v/>
      </c>
      <c r="O411" s="276">
        <f>IF(ROW()=ROW(tblContractForDeed[#Headers])+1,$O$6,IF(INDEX(tblContractForDeed[End Bal],ROW()-ROW(tblContractForDeed[#Headers])-1)&lt;0,0,INDEX(tblContractForDeed[End Bal],ROW()-ROW(tblContractForDeed[#Headers])-1)))</f>
        <v>0</v>
      </c>
      <c r="P411" s="447"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6">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594"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88">
        <f t="shared" si="86"/>
        <v>0</v>
      </c>
      <c r="M412" s="388">
        <f t="shared" si="96"/>
        <v>0</v>
      </c>
      <c r="N412" s="594" t="str">
        <f>INDEX(tblSubjectToLoan[Date],ROW()-ROW(tblContractForDeed[#Headers]))</f>
        <v/>
      </c>
      <c r="O412" s="276">
        <f>IF(ROW()=ROW(tblContractForDeed[#Headers])+1,$O$6,IF(INDEX(tblContractForDeed[End Bal],ROW()-ROW(tblContractForDeed[#Headers])-1)&lt;0,0,INDEX(tblContractForDeed[End Bal],ROW()-ROW(tblContractForDeed[#Headers])-1)))</f>
        <v>0</v>
      </c>
      <c r="P412" s="447"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6">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594"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88">
        <f t="shared" si="86"/>
        <v>0</v>
      </c>
      <c r="M413" s="388">
        <f t="shared" si="96"/>
        <v>0</v>
      </c>
      <c r="N413" s="594" t="str">
        <f>INDEX(tblSubjectToLoan[Date],ROW()-ROW(tblContractForDeed[#Headers]))</f>
        <v/>
      </c>
      <c r="O413" s="276">
        <f>IF(ROW()=ROW(tblContractForDeed[#Headers])+1,$O$6,IF(INDEX(tblContractForDeed[End Bal],ROW()-ROW(tblContractForDeed[#Headers])-1)&lt;0,0,INDEX(tblContractForDeed[End Bal],ROW()-ROW(tblContractForDeed[#Headers])-1)))</f>
        <v>0</v>
      </c>
      <c r="P413" s="447"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6">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594"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88">
        <f t="shared" si="86"/>
        <v>0</v>
      </c>
      <c r="M414" s="388">
        <f t="shared" si="96"/>
        <v>0</v>
      </c>
      <c r="N414" s="594" t="str">
        <f>INDEX(tblSubjectToLoan[Date],ROW()-ROW(tblContractForDeed[#Headers]))</f>
        <v/>
      </c>
      <c r="O414" s="276">
        <f>IF(ROW()=ROW(tblContractForDeed[#Headers])+1,$O$6,IF(INDEX(tblContractForDeed[End Bal],ROW()-ROW(tblContractForDeed[#Headers])-1)&lt;0,0,INDEX(tblContractForDeed[End Bal],ROW()-ROW(tblContractForDeed[#Headers])-1)))</f>
        <v>0</v>
      </c>
      <c r="P414" s="447"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6">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595" t="str">
        <f t="shared" si="92"/>
        <v/>
      </c>
      <c r="B415" s="328">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8">
        <f t="shared" si="97"/>
        <v>97531.839999999953</v>
      </c>
      <c r="J415" s="328">
        <f t="shared" si="98"/>
        <v>36068.259999999973</v>
      </c>
      <c r="K415" s="328">
        <f t="shared" si="95"/>
        <v>0</v>
      </c>
      <c r="L415" s="389">
        <f t="shared" si="86"/>
        <v>0</v>
      </c>
      <c r="M415" s="389">
        <f t="shared" si="96"/>
        <v>0</v>
      </c>
      <c r="N415" s="595" t="str">
        <f>INDEX(tblSubjectToLoan[Date],ROW()-ROW(tblContractForDeed[#Headers]))</f>
        <v/>
      </c>
      <c r="O415" s="328">
        <f>IF(ROW()=ROW(tblContractForDeed[#Headers])+1,$O$6,IF(INDEX(tblContractForDeed[End Bal],ROW()-ROW(tblContractForDeed[#Headers])-1)&lt;0,0,INDEX(tblContractForDeed[End Bal],ROW()-ROW(tblContractForDeed[#Headers])-1)))</f>
        <v>0</v>
      </c>
      <c r="P415" s="447"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8">
        <f>IF(tblContractForDeed[[#This Row],[Payment]]=0,0,MAX(0,MIN(tblContractForDeed[[#This Row],[Beg]],tblContractForDeed[[#This Row],[Payment]]-tblContractForDeed[[#This Row],[Int]])))</f>
        <v>0</v>
      </c>
      <c r="S415" s="328">
        <f>IF(OR(tblContractForDeed[[#This Row],[Date]]&lt;cfdContractDate,tblContractForDeed[[#This Row],[Date]]&gt;cfdEndDate),0,ROUND(tblContractForDeed[[#This Row],[Beg]]*(tblContractForDeed[[#This Row],[Int Rate]]/12),2))</f>
        <v>0</v>
      </c>
      <c r="T415" s="328">
        <f>IF(tblContractForDeed[[#This Row],[Payment]]=0,0,$W$2)</f>
        <v>0</v>
      </c>
      <c r="U415" s="328">
        <f>IF(tblContractForDeed[[#This Row],[Princ]]=0,0,$W$3)</f>
        <v>0</v>
      </c>
      <c r="V415" s="328">
        <f>SUM(tblContractForDeed[[#This Row],[Princ]],tblContractForDeed[[#This Row],[Int]],tblContractForDeed[[#This Row],[Ins]],tblContractForDeed[[#This Row],[Taxes]])</f>
        <v>0</v>
      </c>
      <c r="W415" s="328">
        <f>SUM(INDEX(tblContractForDeed[Princ],1):INDEX(tblContractForDeed[Princ],ROW()-ROW(tblContractForDeed[#Headers])))</f>
        <v>75258.000000000029</v>
      </c>
      <c r="X415" s="328">
        <f>IF(tblContractForDeed[[#This Row],[Beg]]&lt;=0,0,tblContractForDeed[[#This Row],[Beg]]-tblContractForDeed[[#This Row],[Princ]])</f>
        <v>0</v>
      </c>
      <c r="Y4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7">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8">
        <f>IF(INDEX(tblContractForDeed[End Bal],ROW()-ROW(tblBuyerOutputs[#Headers]))&lt;=0,0,($O$6+IF(ROW()=ROW(tblBuyerOutputs[#Headers])+1,0,INDEX(tblBuyerOutputs[Cumul Appr],ROW()-ROW(tblBuyerOutputs[#Headers])-1)))*$O$2/12)</f>
        <v>0</v>
      </c>
      <c r="AE415" s="328">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594"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88">
        <f t="shared" si="86"/>
        <v>0</v>
      </c>
      <c r="M416" s="388">
        <f t="shared" si="96"/>
        <v>0</v>
      </c>
      <c r="N416" s="594" t="str">
        <f>INDEX(tblSubjectToLoan[Date],ROW()-ROW(tblContractForDeed[#Headers]))</f>
        <v/>
      </c>
      <c r="O416" s="276">
        <f>IF(ROW()=ROW(tblContractForDeed[#Headers])+1,$O$6,IF(INDEX(tblContractForDeed[End Bal],ROW()-ROW(tblContractForDeed[#Headers])-1)&lt;0,0,INDEX(tblContractForDeed[End Bal],ROW()-ROW(tblContractForDeed[#Headers])-1)))</f>
        <v>0</v>
      </c>
      <c r="P416" s="447"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6">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594"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88">
        <f t="shared" si="86"/>
        <v>0</v>
      </c>
      <c r="M417" s="388">
        <f t="shared" si="96"/>
        <v>0</v>
      </c>
      <c r="N417" s="594" t="str">
        <f>INDEX(tblSubjectToLoan[Date],ROW()-ROW(tblContractForDeed[#Headers]))</f>
        <v/>
      </c>
      <c r="O417" s="276">
        <f>IF(ROW()=ROW(tblContractForDeed[#Headers])+1,$O$6,IF(INDEX(tblContractForDeed[End Bal],ROW()-ROW(tblContractForDeed[#Headers])-1)&lt;0,0,INDEX(tblContractForDeed[End Bal],ROW()-ROW(tblContractForDeed[#Headers])-1)))</f>
        <v>0</v>
      </c>
      <c r="P417" s="447"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6">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594"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88">
        <f t="shared" si="86"/>
        <v>0</v>
      </c>
      <c r="M418" s="388">
        <f t="shared" si="96"/>
        <v>0</v>
      </c>
      <c r="N418" s="594" t="str">
        <f>INDEX(tblSubjectToLoan[Date],ROW()-ROW(tblContractForDeed[#Headers]))</f>
        <v/>
      </c>
      <c r="O418" s="276">
        <f>IF(ROW()=ROW(tblContractForDeed[#Headers])+1,$O$6,IF(INDEX(tblContractForDeed[End Bal],ROW()-ROW(tblContractForDeed[#Headers])-1)&lt;0,0,INDEX(tblContractForDeed[End Bal],ROW()-ROW(tblContractForDeed[#Headers])-1)))</f>
        <v>0</v>
      </c>
      <c r="P418" s="447"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6">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594"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88">
        <f t="shared" si="86"/>
        <v>0</v>
      </c>
      <c r="M419" s="388">
        <f t="shared" si="96"/>
        <v>0</v>
      </c>
      <c r="N419" s="594" t="str">
        <f>INDEX(tblSubjectToLoan[Date],ROW()-ROW(tblContractForDeed[#Headers]))</f>
        <v/>
      </c>
      <c r="O419" s="276">
        <f>IF(ROW()=ROW(tblContractForDeed[#Headers])+1,$O$6,IF(INDEX(tblContractForDeed[End Bal],ROW()-ROW(tblContractForDeed[#Headers])-1)&lt;0,0,INDEX(tblContractForDeed[End Bal],ROW()-ROW(tblContractForDeed[#Headers])-1)))</f>
        <v>0</v>
      </c>
      <c r="P419" s="447"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6">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594"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88">
        <f t="shared" si="86"/>
        <v>0</v>
      </c>
      <c r="M420" s="388">
        <f t="shared" si="96"/>
        <v>0</v>
      </c>
      <c r="N420" s="594" t="str">
        <f>INDEX(tblSubjectToLoan[Date],ROW()-ROW(tblContractForDeed[#Headers]))</f>
        <v/>
      </c>
      <c r="O420" s="276">
        <f>IF(ROW()=ROW(tblContractForDeed[#Headers])+1,$O$6,IF(INDEX(tblContractForDeed[End Bal],ROW()-ROW(tblContractForDeed[#Headers])-1)&lt;0,0,INDEX(tblContractForDeed[End Bal],ROW()-ROW(tblContractForDeed[#Headers])-1)))</f>
        <v>0</v>
      </c>
      <c r="P420" s="447"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6">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594"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88">
        <f t="shared" si="86"/>
        <v>0</v>
      </c>
      <c r="M421" s="388">
        <f t="shared" si="96"/>
        <v>0</v>
      </c>
      <c r="N421" s="594" t="str">
        <f>INDEX(tblSubjectToLoan[Date],ROW()-ROW(tblContractForDeed[#Headers]))</f>
        <v/>
      </c>
      <c r="O421" s="276">
        <f>IF(ROW()=ROW(tblContractForDeed[#Headers])+1,$O$6,IF(INDEX(tblContractForDeed[End Bal],ROW()-ROW(tblContractForDeed[#Headers])-1)&lt;0,0,INDEX(tblContractForDeed[End Bal],ROW()-ROW(tblContractForDeed[#Headers])-1)))</f>
        <v>0</v>
      </c>
      <c r="P421" s="447"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6">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594"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88">
        <f t="shared" si="86"/>
        <v>0</v>
      </c>
      <c r="M422" s="388">
        <f t="shared" si="96"/>
        <v>0</v>
      </c>
      <c r="N422" s="594" t="str">
        <f>INDEX(tblSubjectToLoan[Date],ROW()-ROW(tblContractForDeed[#Headers]))</f>
        <v/>
      </c>
      <c r="O422" s="276">
        <f>IF(ROW()=ROW(tblContractForDeed[#Headers])+1,$O$6,IF(INDEX(tblContractForDeed[End Bal],ROW()-ROW(tblContractForDeed[#Headers])-1)&lt;0,0,INDEX(tblContractForDeed[End Bal],ROW()-ROW(tblContractForDeed[#Headers])-1)))</f>
        <v>0</v>
      </c>
      <c r="P422" s="447"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6">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594"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88">
        <f t="shared" si="86"/>
        <v>0</v>
      </c>
      <c r="M423" s="388">
        <f t="shared" si="96"/>
        <v>0</v>
      </c>
      <c r="N423" s="594" t="str">
        <f>INDEX(tblSubjectToLoan[Date],ROW()-ROW(tblContractForDeed[#Headers]))</f>
        <v/>
      </c>
      <c r="O423" s="276">
        <f>IF(ROW()=ROW(tblContractForDeed[#Headers])+1,$O$6,IF(INDEX(tblContractForDeed[End Bal],ROW()-ROW(tblContractForDeed[#Headers])-1)&lt;0,0,INDEX(tblContractForDeed[End Bal],ROW()-ROW(tblContractForDeed[#Headers])-1)))</f>
        <v>0</v>
      </c>
      <c r="P423" s="447"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6">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594"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88">
        <f t="shared" si="86"/>
        <v>0</v>
      </c>
      <c r="M424" s="388">
        <f t="shared" si="96"/>
        <v>0</v>
      </c>
      <c r="N424" s="594" t="str">
        <f>INDEX(tblSubjectToLoan[Date],ROW()-ROW(tblContractForDeed[#Headers]))</f>
        <v/>
      </c>
      <c r="O424" s="276">
        <f>IF(ROW()=ROW(tblContractForDeed[#Headers])+1,$O$6,IF(INDEX(tblContractForDeed[End Bal],ROW()-ROW(tblContractForDeed[#Headers])-1)&lt;0,0,INDEX(tblContractForDeed[End Bal],ROW()-ROW(tblContractForDeed[#Headers])-1)))</f>
        <v>0</v>
      </c>
      <c r="P424" s="447"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6">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594"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88">
        <f t="shared" si="86"/>
        <v>0</v>
      </c>
      <c r="M425" s="388">
        <f t="shared" si="96"/>
        <v>0</v>
      </c>
      <c r="N425" s="594" t="str">
        <f>INDEX(tblSubjectToLoan[Date],ROW()-ROW(tblContractForDeed[#Headers]))</f>
        <v/>
      </c>
      <c r="O425" s="276">
        <f>IF(ROW()=ROW(tblContractForDeed[#Headers])+1,$O$6,IF(INDEX(tblContractForDeed[End Bal],ROW()-ROW(tblContractForDeed[#Headers])-1)&lt;0,0,INDEX(tblContractForDeed[End Bal],ROW()-ROW(tblContractForDeed[#Headers])-1)))</f>
        <v>0</v>
      </c>
      <c r="P425" s="447"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6">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594"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88">
        <f t="shared" si="86"/>
        <v>0</v>
      </c>
      <c r="M426" s="388">
        <f t="shared" si="96"/>
        <v>0</v>
      </c>
      <c r="N426" s="594" t="str">
        <f>INDEX(tblSubjectToLoan[Date],ROW()-ROW(tblContractForDeed[#Headers]))</f>
        <v/>
      </c>
      <c r="O426" s="276">
        <f>IF(ROW()=ROW(tblContractForDeed[#Headers])+1,$O$6,IF(INDEX(tblContractForDeed[End Bal],ROW()-ROW(tblContractForDeed[#Headers])-1)&lt;0,0,INDEX(tblContractForDeed[End Bal],ROW()-ROW(tblContractForDeed[#Headers])-1)))</f>
        <v>0</v>
      </c>
      <c r="P426" s="447"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6">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595" t="str">
        <f t="shared" si="92"/>
        <v/>
      </c>
      <c r="B427" s="328">
        <f t="shared" si="93"/>
        <v>0</v>
      </c>
      <c r="C427" s="21">
        <f t="shared" si="90"/>
        <v>0</v>
      </c>
      <c r="D427" s="21">
        <f t="shared" si="94"/>
        <v>0</v>
      </c>
      <c r="E427" s="21">
        <f t="shared" si="91"/>
        <v>0</v>
      </c>
      <c r="F427" s="21">
        <f t="shared" si="99"/>
        <v>134.16999999999999</v>
      </c>
      <c r="G427" s="21">
        <f t="shared" si="99"/>
        <v>188.55</v>
      </c>
      <c r="H427" s="21">
        <f t="shared" si="88"/>
        <v>322.72000000000003</v>
      </c>
      <c r="I427" s="328">
        <f t="shared" si="97"/>
        <v>97531.839999999953</v>
      </c>
      <c r="J427" s="328">
        <f t="shared" si="98"/>
        <v>36068.259999999973</v>
      </c>
      <c r="K427" s="328">
        <f t="shared" si="95"/>
        <v>0</v>
      </c>
      <c r="L427" s="389">
        <f t="shared" si="86"/>
        <v>0</v>
      </c>
      <c r="M427" s="389">
        <f t="shared" si="96"/>
        <v>0</v>
      </c>
      <c r="N427" s="595" t="str">
        <f>INDEX(tblSubjectToLoan[Date],ROW()-ROW(tblContractForDeed[#Headers]))</f>
        <v/>
      </c>
      <c r="O427" s="328">
        <f>IF(ROW()=ROW(tblContractForDeed[#Headers])+1,$O$6,IF(INDEX(tblContractForDeed[End Bal],ROW()-ROW(tblContractForDeed[#Headers])-1)&lt;0,0,INDEX(tblContractForDeed[End Bal],ROW()-ROW(tblContractForDeed[#Headers])-1)))</f>
        <v>0</v>
      </c>
      <c r="P427" s="447"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8">
        <f>IF(tblContractForDeed[[#This Row],[Payment]]=0,0,MAX(0,MIN(tblContractForDeed[[#This Row],[Beg]],tblContractForDeed[[#This Row],[Payment]]-tblContractForDeed[[#This Row],[Int]])))</f>
        <v>0</v>
      </c>
      <c r="S427" s="328">
        <f>IF(OR(tblContractForDeed[[#This Row],[Date]]&lt;cfdContractDate,tblContractForDeed[[#This Row],[Date]]&gt;cfdEndDate),0,ROUND(tblContractForDeed[[#This Row],[Beg]]*(tblContractForDeed[[#This Row],[Int Rate]]/12),2))</f>
        <v>0</v>
      </c>
      <c r="T427" s="328">
        <f>IF(tblContractForDeed[[#This Row],[Payment]]=0,0,$W$2)</f>
        <v>0</v>
      </c>
      <c r="U427" s="328">
        <f>IF(tblContractForDeed[[#This Row],[Princ]]=0,0,$W$3)</f>
        <v>0</v>
      </c>
      <c r="V427" s="328">
        <f>SUM(tblContractForDeed[[#This Row],[Princ]],tblContractForDeed[[#This Row],[Int]],tblContractForDeed[[#This Row],[Ins]],tblContractForDeed[[#This Row],[Taxes]])</f>
        <v>0</v>
      </c>
      <c r="W427" s="328">
        <f>SUM(INDEX(tblContractForDeed[Princ],1):INDEX(tblContractForDeed[Princ],ROW()-ROW(tblContractForDeed[#Headers])))</f>
        <v>75258.000000000029</v>
      </c>
      <c r="X427" s="328">
        <f>IF(tblContractForDeed[[#This Row],[Beg]]&lt;=0,0,tblContractForDeed[[#This Row],[Beg]]-tblContractForDeed[[#This Row],[Princ]])</f>
        <v>0</v>
      </c>
      <c r="Y4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7">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8">
        <f>IF(INDEX(tblContractForDeed[End Bal],ROW()-ROW(tblBuyerOutputs[#Headers]))&lt;=0,0,($O$6+IF(ROW()=ROW(tblBuyerOutputs[#Headers])+1,0,INDEX(tblBuyerOutputs[Cumul Appr],ROW()-ROW(tblBuyerOutputs[#Headers])-1)))*$O$2/12)</f>
        <v>0</v>
      </c>
      <c r="AE427" s="328">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594"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88">
        <f t="shared" si="86"/>
        <v>0</v>
      </c>
      <c r="M428" s="388">
        <f t="shared" si="96"/>
        <v>0</v>
      </c>
      <c r="N428" s="594" t="str">
        <f>INDEX(tblSubjectToLoan[Date],ROW()-ROW(tblContractForDeed[#Headers]))</f>
        <v/>
      </c>
      <c r="O428" s="276">
        <f>IF(ROW()=ROW(tblContractForDeed[#Headers])+1,$O$6,IF(INDEX(tblContractForDeed[End Bal],ROW()-ROW(tblContractForDeed[#Headers])-1)&lt;0,0,INDEX(tblContractForDeed[End Bal],ROW()-ROW(tblContractForDeed[#Headers])-1)))</f>
        <v>0</v>
      </c>
      <c r="P428" s="447"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6">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594"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88">
        <f t="shared" si="86"/>
        <v>0</v>
      </c>
      <c r="M429" s="388">
        <f t="shared" si="96"/>
        <v>0</v>
      </c>
      <c r="N429" s="594" t="str">
        <f>INDEX(tblSubjectToLoan[Date],ROW()-ROW(tblContractForDeed[#Headers]))</f>
        <v/>
      </c>
      <c r="O429" s="276">
        <f>IF(ROW()=ROW(tblContractForDeed[#Headers])+1,$O$6,IF(INDEX(tblContractForDeed[End Bal],ROW()-ROW(tblContractForDeed[#Headers])-1)&lt;0,0,INDEX(tblContractForDeed[End Bal],ROW()-ROW(tblContractForDeed[#Headers])-1)))</f>
        <v>0</v>
      </c>
      <c r="P429" s="447"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6">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594"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88">
        <f t="shared" si="86"/>
        <v>0</v>
      </c>
      <c r="M430" s="388">
        <f t="shared" si="96"/>
        <v>0</v>
      </c>
      <c r="N430" s="594" t="str">
        <f>INDEX(tblSubjectToLoan[Date],ROW()-ROW(tblContractForDeed[#Headers]))</f>
        <v/>
      </c>
      <c r="O430" s="276">
        <f>IF(ROW()=ROW(tblContractForDeed[#Headers])+1,$O$6,IF(INDEX(tblContractForDeed[End Bal],ROW()-ROW(tblContractForDeed[#Headers])-1)&lt;0,0,INDEX(tblContractForDeed[End Bal],ROW()-ROW(tblContractForDeed[#Headers])-1)))</f>
        <v>0</v>
      </c>
      <c r="P430" s="447"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6">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594"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88">
        <f t="shared" si="86"/>
        <v>0</v>
      </c>
      <c r="M431" s="388">
        <f t="shared" si="96"/>
        <v>0</v>
      </c>
      <c r="N431" s="594" t="str">
        <f>INDEX(tblSubjectToLoan[Date],ROW()-ROW(tblContractForDeed[#Headers]))</f>
        <v/>
      </c>
      <c r="O431" s="276">
        <f>IF(ROW()=ROW(tblContractForDeed[#Headers])+1,$O$6,IF(INDEX(tblContractForDeed[End Bal],ROW()-ROW(tblContractForDeed[#Headers])-1)&lt;0,0,INDEX(tblContractForDeed[End Bal],ROW()-ROW(tblContractForDeed[#Headers])-1)))</f>
        <v>0</v>
      </c>
      <c r="P431" s="447"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6">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594"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88">
        <f t="shared" si="86"/>
        <v>0</v>
      </c>
      <c r="M432" s="388">
        <f t="shared" si="96"/>
        <v>0</v>
      </c>
      <c r="N432" s="594" t="str">
        <f>INDEX(tblSubjectToLoan[Date],ROW()-ROW(tblContractForDeed[#Headers]))</f>
        <v/>
      </c>
      <c r="O432" s="276">
        <f>IF(ROW()=ROW(tblContractForDeed[#Headers])+1,$O$6,IF(INDEX(tblContractForDeed[End Bal],ROW()-ROW(tblContractForDeed[#Headers])-1)&lt;0,0,INDEX(tblContractForDeed[End Bal],ROW()-ROW(tblContractForDeed[#Headers])-1)))</f>
        <v>0</v>
      </c>
      <c r="P432" s="447"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6">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594"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88">
        <f t="shared" si="86"/>
        <v>0</v>
      </c>
      <c r="M433" s="388">
        <f t="shared" si="96"/>
        <v>0</v>
      </c>
      <c r="N433" s="594" t="str">
        <f>INDEX(tblSubjectToLoan[Date],ROW()-ROW(tblContractForDeed[#Headers]))</f>
        <v/>
      </c>
      <c r="O433" s="276">
        <f>IF(ROW()=ROW(tblContractForDeed[#Headers])+1,$O$6,IF(INDEX(tblContractForDeed[End Bal],ROW()-ROW(tblContractForDeed[#Headers])-1)&lt;0,0,INDEX(tblContractForDeed[End Bal],ROW()-ROW(tblContractForDeed[#Headers])-1)))</f>
        <v>0</v>
      </c>
      <c r="P433" s="447"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6">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594"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88">
        <f t="shared" si="86"/>
        <v>0</v>
      </c>
      <c r="M434" s="388">
        <f t="shared" si="96"/>
        <v>0</v>
      </c>
      <c r="N434" s="594" t="str">
        <f>INDEX(tblSubjectToLoan[Date],ROW()-ROW(tblContractForDeed[#Headers]))</f>
        <v/>
      </c>
      <c r="O434" s="276">
        <f>IF(ROW()=ROW(tblContractForDeed[#Headers])+1,$O$6,IF(INDEX(tblContractForDeed[End Bal],ROW()-ROW(tblContractForDeed[#Headers])-1)&lt;0,0,INDEX(tblContractForDeed[End Bal],ROW()-ROW(tblContractForDeed[#Headers])-1)))</f>
        <v>0</v>
      </c>
      <c r="P434" s="447"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6">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594"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88">
        <f t="shared" si="86"/>
        <v>0</v>
      </c>
      <c r="M435" s="388">
        <f t="shared" si="96"/>
        <v>0</v>
      </c>
      <c r="N435" s="594" t="str">
        <f>INDEX(tblSubjectToLoan[Date],ROW()-ROW(tblContractForDeed[#Headers]))</f>
        <v/>
      </c>
      <c r="O435" s="276">
        <f>IF(ROW()=ROW(tblContractForDeed[#Headers])+1,$O$6,IF(INDEX(tblContractForDeed[End Bal],ROW()-ROW(tblContractForDeed[#Headers])-1)&lt;0,0,INDEX(tblContractForDeed[End Bal],ROW()-ROW(tblContractForDeed[#Headers])-1)))</f>
        <v>0</v>
      </c>
      <c r="P435" s="447"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6">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594"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88">
        <f t="shared" ref="L436:L499" si="101">IF(MOD(M436,12)=0,M436/12,L435)</f>
        <v>0</v>
      </c>
      <c r="M436" s="388">
        <f t="shared" si="96"/>
        <v>0</v>
      </c>
      <c r="N436" s="594" t="str">
        <f>INDEX(tblSubjectToLoan[Date],ROW()-ROW(tblContractForDeed[#Headers]))</f>
        <v/>
      </c>
      <c r="O436" s="276">
        <f>IF(ROW()=ROW(tblContractForDeed[#Headers])+1,$O$6,IF(INDEX(tblContractForDeed[End Bal],ROW()-ROW(tblContractForDeed[#Headers])-1)&lt;0,0,INDEX(tblContractForDeed[End Bal],ROW()-ROW(tblContractForDeed[#Headers])-1)))</f>
        <v>0</v>
      </c>
      <c r="P436" s="447"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6">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594"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88">
        <f t="shared" si="101"/>
        <v>0</v>
      </c>
      <c r="M437" s="388">
        <f t="shared" si="96"/>
        <v>0</v>
      </c>
      <c r="N437" s="594" t="str">
        <f>INDEX(tblSubjectToLoan[Date],ROW()-ROW(tblContractForDeed[#Headers]))</f>
        <v/>
      </c>
      <c r="O437" s="276">
        <f>IF(ROW()=ROW(tblContractForDeed[#Headers])+1,$O$6,IF(INDEX(tblContractForDeed[End Bal],ROW()-ROW(tblContractForDeed[#Headers])-1)&lt;0,0,INDEX(tblContractForDeed[End Bal],ROW()-ROW(tblContractForDeed[#Headers])-1)))</f>
        <v>0</v>
      </c>
      <c r="P437" s="447"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6">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594"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88">
        <f t="shared" si="101"/>
        <v>0</v>
      </c>
      <c r="M438" s="388">
        <f t="shared" si="96"/>
        <v>0</v>
      </c>
      <c r="N438" s="594" t="str">
        <f>INDEX(tblSubjectToLoan[Date],ROW()-ROW(tblContractForDeed[#Headers]))</f>
        <v/>
      </c>
      <c r="O438" s="276">
        <f>IF(ROW()=ROW(tblContractForDeed[#Headers])+1,$O$6,IF(INDEX(tblContractForDeed[End Bal],ROW()-ROW(tblContractForDeed[#Headers])-1)&lt;0,0,INDEX(tblContractForDeed[End Bal],ROW()-ROW(tblContractForDeed[#Headers])-1)))</f>
        <v>0</v>
      </c>
      <c r="P438" s="447"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6">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595" t="str">
        <f t="shared" si="92"/>
        <v/>
      </c>
      <c r="B439" s="328">
        <f t="shared" si="93"/>
        <v>0</v>
      </c>
      <c r="C439" s="21">
        <f t="shared" si="90"/>
        <v>0</v>
      </c>
      <c r="D439" s="21">
        <f t="shared" si="94"/>
        <v>0</v>
      </c>
      <c r="E439" s="21">
        <f t="shared" si="91"/>
        <v>0</v>
      </c>
      <c r="F439" s="21">
        <f t="shared" si="100"/>
        <v>134.16999999999999</v>
      </c>
      <c r="G439" s="21">
        <f t="shared" si="100"/>
        <v>188.55</v>
      </c>
      <c r="H439" s="21">
        <f t="shared" si="88"/>
        <v>322.72000000000003</v>
      </c>
      <c r="I439" s="328">
        <f t="shared" si="97"/>
        <v>97531.839999999953</v>
      </c>
      <c r="J439" s="328">
        <f t="shared" si="98"/>
        <v>36068.259999999973</v>
      </c>
      <c r="K439" s="328">
        <f t="shared" si="95"/>
        <v>0</v>
      </c>
      <c r="L439" s="389">
        <f t="shared" si="101"/>
        <v>0</v>
      </c>
      <c r="M439" s="389">
        <f t="shared" si="96"/>
        <v>0</v>
      </c>
      <c r="N439" s="595" t="str">
        <f>INDEX(tblSubjectToLoan[Date],ROW()-ROW(tblContractForDeed[#Headers]))</f>
        <v/>
      </c>
      <c r="O439" s="328">
        <f>IF(ROW()=ROW(tblContractForDeed[#Headers])+1,$O$6,IF(INDEX(tblContractForDeed[End Bal],ROW()-ROW(tblContractForDeed[#Headers])-1)&lt;0,0,INDEX(tblContractForDeed[End Bal],ROW()-ROW(tblContractForDeed[#Headers])-1)))</f>
        <v>0</v>
      </c>
      <c r="P439" s="447"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8">
        <f>IF(tblContractForDeed[[#This Row],[Payment]]=0,0,MAX(0,MIN(tblContractForDeed[[#This Row],[Beg]],tblContractForDeed[[#This Row],[Payment]]-tblContractForDeed[[#This Row],[Int]])))</f>
        <v>0</v>
      </c>
      <c r="S439" s="328">
        <f>IF(OR(tblContractForDeed[[#This Row],[Date]]&lt;cfdContractDate,tblContractForDeed[[#This Row],[Date]]&gt;cfdEndDate),0,ROUND(tblContractForDeed[[#This Row],[Beg]]*(tblContractForDeed[[#This Row],[Int Rate]]/12),2))</f>
        <v>0</v>
      </c>
      <c r="T439" s="328">
        <f>IF(tblContractForDeed[[#This Row],[Payment]]=0,0,$W$2)</f>
        <v>0</v>
      </c>
      <c r="U439" s="328">
        <f>IF(tblContractForDeed[[#This Row],[Princ]]=0,0,$W$3)</f>
        <v>0</v>
      </c>
      <c r="V439" s="328">
        <f>SUM(tblContractForDeed[[#This Row],[Princ]],tblContractForDeed[[#This Row],[Int]],tblContractForDeed[[#This Row],[Ins]],tblContractForDeed[[#This Row],[Taxes]])</f>
        <v>0</v>
      </c>
      <c r="W439" s="328">
        <f>SUM(INDEX(tblContractForDeed[Princ],1):INDEX(tblContractForDeed[Princ],ROW()-ROW(tblContractForDeed[#Headers])))</f>
        <v>75258.000000000029</v>
      </c>
      <c r="X439" s="328">
        <f>IF(tblContractForDeed[[#This Row],[Beg]]&lt;=0,0,tblContractForDeed[[#This Row],[Beg]]-tblContractForDeed[[#This Row],[Princ]])</f>
        <v>0</v>
      </c>
      <c r="Y4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7">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8">
        <f>IF(INDEX(tblContractForDeed[End Bal],ROW()-ROW(tblBuyerOutputs[#Headers]))&lt;=0,0,($O$6+IF(ROW()=ROW(tblBuyerOutputs[#Headers])+1,0,INDEX(tblBuyerOutputs[Cumul Appr],ROW()-ROW(tblBuyerOutputs[#Headers])-1)))*$O$2/12)</f>
        <v>0</v>
      </c>
      <c r="AE439" s="328">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594"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88">
        <f t="shared" si="101"/>
        <v>0</v>
      </c>
      <c r="M440" s="388">
        <f t="shared" si="96"/>
        <v>0</v>
      </c>
      <c r="N440" s="594" t="str">
        <f>INDEX(tblSubjectToLoan[Date],ROW()-ROW(tblContractForDeed[#Headers]))</f>
        <v/>
      </c>
      <c r="O440" s="276">
        <f>IF(ROW()=ROW(tblContractForDeed[#Headers])+1,$O$6,IF(INDEX(tblContractForDeed[End Bal],ROW()-ROW(tblContractForDeed[#Headers])-1)&lt;0,0,INDEX(tblContractForDeed[End Bal],ROW()-ROW(tblContractForDeed[#Headers])-1)))</f>
        <v>0</v>
      </c>
      <c r="P440" s="447"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6">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594"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88">
        <f t="shared" si="101"/>
        <v>0</v>
      </c>
      <c r="M441" s="388">
        <f t="shared" si="96"/>
        <v>0</v>
      </c>
      <c r="N441" s="594" t="str">
        <f>INDEX(tblSubjectToLoan[Date],ROW()-ROW(tblContractForDeed[#Headers]))</f>
        <v/>
      </c>
      <c r="O441" s="276">
        <f>IF(ROW()=ROW(tblContractForDeed[#Headers])+1,$O$6,IF(INDEX(tblContractForDeed[End Bal],ROW()-ROW(tblContractForDeed[#Headers])-1)&lt;0,0,INDEX(tblContractForDeed[End Bal],ROW()-ROW(tblContractForDeed[#Headers])-1)))</f>
        <v>0</v>
      </c>
      <c r="P441" s="447"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6">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594"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88">
        <f t="shared" si="101"/>
        <v>0</v>
      </c>
      <c r="M442" s="388">
        <f t="shared" si="96"/>
        <v>0</v>
      </c>
      <c r="N442" s="594" t="str">
        <f>INDEX(tblSubjectToLoan[Date],ROW()-ROW(tblContractForDeed[#Headers]))</f>
        <v/>
      </c>
      <c r="O442" s="276">
        <f>IF(ROW()=ROW(tblContractForDeed[#Headers])+1,$O$6,IF(INDEX(tblContractForDeed[End Bal],ROW()-ROW(tblContractForDeed[#Headers])-1)&lt;0,0,INDEX(tblContractForDeed[End Bal],ROW()-ROW(tblContractForDeed[#Headers])-1)))</f>
        <v>0</v>
      </c>
      <c r="P442" s="447"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6">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594"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88">
        <f t="shared" si="101"/>
        <v>0</v>
      </c>
      <c r="M443" s="388">
        <f t="shared" si="96"/>
        <v>0</v>
      </c>
      <c r="N443" s="594" t="str">
        <f>INDEX(tblSubjectToLoan[Date],ROW()-ROW(tblContractForDeed[#Headers]))</f>
        <v/>
      </c>
      <c r="O443" s="276">
        <f>IF(ROW()=ROW(tblContractForDeed[#Headers])+1,$O$6,IF(INDEX(tblContractForDeed[End Bal],ROW()-ROW(tblContractForDeed[#Headers])-1)&lt;0,0,INDEX(tblContractForDeed[End Bal],ROW()-ROW(tblContractForDeed[#Headers])-1)))</f>
        <v>0</v>
      </c>
      <c r="P443" s="447"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6">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594"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88">
        <f t="shared" si="101"/>
        <v>0</v>
      </c>
      <c r="M444" s="388">
        <f t="shared" si="96"/>
        <v>0</v>
      </c>
      <c r="N444" s="594" t="str">
        <f>INDEX(tblSubjectToLoan[Date],ROW()-ROW(tblContractForDeed[#Headers]))</f>
        <v/>
      </c>
      <c r="O444" s="276">
        <f>IF(ROW()=ROW(tblContractForDeed[#Headers])+1,$O$6,IF(INDEX(tblContractForDeed[End Bal],ROW()-ROW(tblContractForDeed[#Headers])-1)&lt;0,0,INDEX(tblContractForDeed[End Bal],ROW()-ROW(tblContractForDeed[#Headers])-1)))</f>
        <v>0</v>
      </c>
      <c r="P444" s="447"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6">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594"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88">
        <f t="shared" si="101"/>
        <v>0</v>
      </c>
      <c r="M445" s="388">
        <f t="shared" si="96"/>
        <v>0</v>
      </c>
      <c r="N445" s="594" t="str">
        <f>INDEX(tblSubjectToLoan[Date],ROW()-ROW(tblContractForDeed[#Headers]))</f>
        <v/>
      </c>
      <c r="O445" s="276">
        <f>IF(ROW()=ROW(tblContractForDeed[#Headers])+1,$O$6,IF(INDEX(tblContractForDeed[End Bal],ROW()-ROW(tblContractForDeed[#Headers])-1)&lt;0,0,INDEX(tblContractForDeed[End Bal],ROW()-ROW(tblContractForDeed[#Headers])-1)))</f>
        <v>0</v>
      </c>
      <c r="P445" s="447"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6">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594"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88">
        <f t="shared" si="101"/>
        <v>0</v>
      </c>
      <c r="M446" s="388">
        <f t="shared" si="96"/>
        <v>0</v>
      </c>
      <c r="N446" s="594" t="str">
        <f>INDEX(tblSubjectToLoan[Date],ROW()-ROW(tblContractForDeed[#Headers]))</f>
        <v/>
      </c>
      <c r="O446" s="276">
        <f>IF(ROW()=ROW(tblContractForDeed[#Headers])+1,$O$6,IF(INDEX(tblContractForDeed[End Bal],ROW()-ROW(tblContractForDeed[#Headers])-1)&lt;0,0,INDEX(tblContractForDeed[End Bal],ROW()-ROW(tblContractForDeed[#Headers])-1)))</f>
        <v>0</v>
      </c>
      <c r="P446" s="447"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6">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594"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88">
        <f t="shared" si="101"/>
        <v>0</v>
      </c>
      <c r="M447" s="388">
        <f t="shared" si="96"/>
        <v>0</v>
      </c>
      <c r="N447" s="594" t="str">
        <f>INDEX(tblSubjectToLoan[Date],ROW()-ROW(tblContractForDeed[#Headers]))</f>
        <v/>
      </c>
      <c r="O447" s="276">
        <f>IF(ROW()=ROW(tblContractForDeed[#Headers])+1,$O$6,IF(INDEX(tblContractForDeed[End Bal],ROW()-ROW(tblContractForDeed[#Headers])-1)&lt;0,0,INDEX(tblContractForDeed[End Bal],ROW()-ROW(tblContractForDeed[#Headers])-1)))</f>
        <v>0</v>
      </c>
      <c r="P447" s="447"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6">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594"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88">
        <f t="shared" si="101"/>
        <v>0</v>
      </c>
      <c r="M448" s="388">
        <f t="shared" si="96"/>
        <v>0</v>
      </c>
      <c r="N448" s="594" t="str">
        <f>INDEX(tblSubjectToLoan[Date],ROW()-ROW(tblContractForDeed[#Headers]))</f>
        <v/>
      </c>
      <c r="O448" s="276">
        <f>IF(ROW()=ROW(tblContractForDeed[#Headers])+1,$O$6,IF(INDEX(tblContractForDeed[End Bal],ROW()-ROW(tblContractForDeed[#Headers])-1)&lt;0,0,INDEX(tblContractForDeed[End Bal],ROW()-ROW(tblContractForDeed[#Headers])-1)))</f>
        <v>0</v>
      </c>
      <c r="P448" s="447"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6">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594"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88">
        <f t="shared" si="101"/>
        <v>0</v>
      </c>
      <c r="M449" s="388">
        <f t="shared" si="96"/>
        <v>0</v>
      </c>
      <c r="N449" s="594" t="str">
        <f>INDEX(tblSubjectToLoan[Date],ROW()-ROW(tblContractForDeed[#Headers]))</f>
        <v/>
      </c>
      <c r="O449" s="276">
        <f>IF(ROW()=ROW(tblContractForDeed[#Headers])+1,$O$6,IF(INDEX(tblContractForDeed[End Bal],ROW()-ROW(tblContractForDeed[#Headers])-1)&lt;0,0,INDEX(tblContractForDeed[End Bal],ROW()-ROW(tblContractForDeed[#Headers])-1)))</f>
        <v>0</v>
      </c>
      <c r="P449" s="447"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6">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594"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88">
        <f t="shared" si="101"/>
        <v>0</v>
      </c>
      <c r="M450" s="388">
        <f t="shared" si="96"/>
        <v>0</v>
      </c>
      <c r="N450" s="594" t="str">
        <f>INDEX(tblSubjectToLoan[Date],ROW()-ROW(tblContractForDeed[#Headers]))</f>
        <v/>
      </c>
      <c r="O450" s="276">
        <f>IF(ROW()=ROW(tblContractForDeed[#Headers])+1,$O$6,IF(INDEX(tblContractForDeed[End Bal],ROW()-ROW(tblContractForDeed[#Headers])-1)&lt;0,0,INDEX(tblContractForDeed[End Bal],ROW()-ROW(tblContractForDeed[#Headers])-1)))</f>
        <v>0</v>
      </c>
      <c r="P450" s="447"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6">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595" t="str">
        <f t="shared" si="92"/>
        <v/>
      </c>
      <c r="B451" s="328">
        <f t="shared" si="93"/>
        <v>0</v>
      </c>
      <c r="C451" s="21">
        <f t="shared" si="90"/>
        <v>0</v>
      </c>
      <c r="D451" s="21">
        <f t="shared" si="94"/>
        <v>0</v>
      </c>
      <c r="E451" s="21">
        <f t="shared" si="91"/>
        <v>0</v>
      </c>
      <c r="F451" s="21">
        <f t="shared" si="102"/>
        <v>134.16999999999999</v>
      </c>
      <c r="G451" s="21">
        <f t="shared" si="102"/>
        <v>188.55</v>
      </c>
      <c r="H451" s="21">
        <f t="shared" si="103"/>
        <v>322.72000000000003</v>
      </c>
      <c r="I451" s="328">
        <f t="shared" si="97"/>
        <v>97531.839999999953</v>
      </c>
      <c r="J451" s="328">
        <f t="shared" si="98"/>
        <v>36068.259999999973</v>
      </c>
      <c r="K451" s="328">
        <f t="shared" si="95"/>
        <v>0</v>
      </c>
      <c r="L451" s="389">
        <f t="shared" si="101"/>
        <v>0</v>
      </c>
      <c r="M451" s="389">
        <f t="shared" si="96"/>
        <v>0</v>
      </c>
      <c r="N451" s="595" t="str">
        <f>INDEX(tblSubjectToLoan[Date],ROW()-ROW(tblContractForDeed[#Headers]))</f>
        <v/>
      </c>
      <c r="O451" s="328">
        <f>IF(ROW()=ROW(tblContractForDeed[#Headers])+1,$O$6,IF(INDEX(tblContractForDeed[End Bal],ROW()-ROW(tblContractForDeed[#Headers])-1)&lt;0,0,INDEX(tblContractForDeed[End Bal],ROW()-ROW(tblContractForDeed[#Headers])-1)))</f>
        <v>0</v>
      </c>
      <c r="P451" s="447"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8">
        <f>IF(tblContractForDeed[[#This Row],[Payment]]=0,0,MAX(0,MIN(tblContractForDeed[[#This Row],[Beg]],tblContractForDeed[[#This Row],[Payment]]-tblContractForDeed[[#This Row],[Int]])))</f>
        <v>0</v>
      </c>
      <c r="S451" s="328">
        <f>IF(OR(tblContractForDeed[[#This Row],[Date]]&lt;cfdContractDate,tblContractForDeed[[#This Row],[Date]]&gt;cfdEndDate),0,ROUND(tblContractForDeed[[#This Row],[Beg]]*(tblContractForDeed[[#This Row],[Int Rate]]/12),2))</f>
        <v>0</v>
      </c>
      <c r="T451" s="328">
        <f>IF(tblContractForDeed[[#This Row],[Payment]]=0,0,$W$2)</f>
        <v>0</v>
      </c>
      <c r="U451" s="328">
        <f>IF(tblContractForDeed[[#This Row],[Princ]]=0,0,$W$3)</f>
        <v>0</v>
      </c>
      <c r="V451" s="328">
        <f>SUM(tblContractForDeed[[#This Row],[Princ]],tblContractForDeed[[#This Row],[Int]],tblContractForDeed[[#This Row],[Ins]],tblContractForDeed[[#This Row],[Taxes]])</f>
        <v>0</v>
      </c>
      <c r="W451" s="328">
        <f>SUM(INDEX(tblContractForDeed[Princ],1):INDEX(tblContractForDeed[Princ],ROW()-ROW(tblContractForDeed[#Headers])))</f>
        <v>75258.000000000029</v>
      </c>
      <c r="X451" s="328">
        <f>IF(tblContractForDeed[[#This Row],[Beg]]&lt;=0,0,tblContractForDeed[[#This Row],[Beg]]-tblContractForDeed[[#This Row],[Princ]])</f>
        <v>0</v>
      </c>
      <c r="Y4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7">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8">
        <f>IF(INDEX(tblContractForDeed[End Bal],ROW()-ROW(tblBuyerOutputs[#Headers]))&lt;=0,0,($O$6+IF(ROW()=ROW(tblBuyerOutputs[#Headers])+1,0,INDEX(tblBuyerOutputs[Cumul Appr],ROW()-ROW(tblBuyerOutputs[#Headers])-1)))*$O$2/12)</f>
        <v>0</v>
      </c>
      <c r="AE451" s="328">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594"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88">
        <f t="shared" si="101"/>
        <v>0</v>
      </c>
      <c r="M452" s="388">
        <f t="shared" si="96"/>
        <v>0</v>
      </c>
      <c r="N452" s="594" t="str">
        <f>INDEX(tblSubjectToLoan[Date],ROW()-ROW(tblContractForDeed[#Headers]))</f>
        <v/>
      </c>
      <c r="O452" s="276">
        <f>IF(ROW()=ROW(tblContractForDeed[#Headers])+1,$O$6,IF(INDEX(tblContractForDeed[End Bal],ROW()-ROW(tblContractForDeed[#Headers])-1)&lt;0,0,INDEX(tblContractForDeed[End Bal],ROW()-ROW(tblContractForDeed[#Headers])-1)))</f>
        <v>0</v>
      </c>
      <c r="P452" s="447"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6">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594"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88">
        <f t="shared" si="101"/>
        <v>0</v>
      </c>
      <c r="M453" s="388">
        <f t="shared" si="96"/>
        <v>0</v>
      </c>
      <c r="N453" s="594" t="str">
        <f>INDEX(tblSubjectToLoan[Date],ROW()-ROW(tblContractForDeed[#Headers]))</f>
        <v/>
      </c>
      <c r="O453" s="276">
        <f>IF(ROW()=ROW(tblContractForDeed[#Headers])+1,$O$6,IF(INDEX(tblContractForDeed[End Bal],ROW()-ROW(tblContractForDeed[#Headers])-1)&lt;0,0,INDEX(tblContractForDeed[End Bal],ROW()-ROW(tblContractForDeed[#Headers])-1)))</f>
        <v>0</v>
      </c>
      <c r="P453" s="447"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6">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594"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88">
        <f t="shared" si="101"/>
        <v>0</v>
      </c>
      <c r="M454" s="388">
        <f t="shared" si="96"/>
        <v>0</v>
      </c>
      <c r="N454" s="594" t="str">
        <f>INDEX(tblSubjectToLoan[Date],ROW()-ROW(tblContractForDeed[#Headers]))</f>
        <v/>
      </c>
      <c r="O454" s="276">
        <f>IF(ROW()=ROW(tblContractForDeed[#Headers])+1,$O$6,IF(INDEX(tblContractForDeed[End Bal],ROW()-ROW(tblContractForDeed[#Headers])-1)&lt;0,0,INDEX(tblContractForDeed[End Bal],ROW()-ROW(tblContractForDeed[#Headers])-1)))</f>
        <v>0</v>
      </c>
      <c r="P454" s="447"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6">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594"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88">
        <f t="shared" si="101"/>
        <v>0</v>
      </c>
      <c r="M455" s="388">
        <f t="shared" si="96"/>
        <v>0</v>
      </c>
      <c r="N455" s="594" t="str">
        <f>INDEX(tblSubjectToLoan[Date],ROW()-ROW(tblContractForDeed[#Headers]))</f>
        <v/>
      </c>
      <c r="O455" s="276">
        <f>IF(ROW()=ROW(tblContractForDeed[#Headers])+1,$O$6,IF(INDEX(tblContractForDeed[End Bal],ROW()-ROW(tblContractForDeed[#Headers])-1)&lt;0,0,INDEX(tblContractForDeed[End Bal],ROW()-ROW(tblContractForDeed[#Headers])-1)))</f>
        <v>0</v>
      </c>
      <c r="P455" s="447"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6">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594"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88">
        <f t="shared" si="101"/>
        <v>0</v>
      </c>
      <c r="M456" s="388">
        <f t="shared" si="96"/>
        <v>0</v>
      </c>
      <c r="N456" s="594" t="str">
        <f>INDEX(tblSubjectToLoan[Date],ROW()-ROW(tblContractForDeed[#Headers]))</f>
        <v/>
      </c>
      <c r="O456" s="276">
        <f>IF(ROW()=ROW(tblContractForDeed[#Headers])+1,$O$6,IF(INDEX(tblContractForDeed[End Bal],ROW()-ROW(tblContractForDeed[#Headers])-1)&lt;0,0,INDEX(tblContractForDeed[End Bal],ROW()-ROW(tblContractForDeed[#Headers])-1)))</f>
        <v>0</v>
      </c>
      <c r="P456" s="447"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6">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594"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88">
        <f t="shared" si="101"/>
        <v>0</v>
      </c>
      <c r="M457" s="388">
        <f t="shared" si="96"/>
        <v>0</v>
      </c>
      <c r="N457" s="594" t="str">
        <f>INDEX(tblSubjectToLoan[Date],ROW()-ROW(tblContractForDeed[#Headers]))</f>
        <v/>
      </c>
      <c r="O457" s="276">
        <f>IF(ROW()=ROW(tblContractForDeed[#Headers])+1,$O$6,IF(INDEX(tblContractForDeed[End Bal],ROW()-ROW(tblContractForDeed[#Headers])-1)&lt;0,0,INDEX(tblContractForDeed[End Bal],ROW()-ROW(tblContractForDeed[#Headers])-1)))</f>
        <v>0</v>
      </c>
      <c r="P457" s="447"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6">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594"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88">
        <f t="shared" si="101"/>
        <v>0</v>
      </c>
      <c r="M458" s="388">
        <f t="shared" si="96"/>
        <v>0</v>
      </c>
      <c r="N458" s="594" t="str">
        <f>INDEX(tblSubjectToLoan[Date],ROW()-ROW(tblContractForDeed[#Headers]))</f>
        <v/>
      </c>
      <c r="O458" s="276">
        <f>IF(ROW()=ROW(tblContractForDeed[#Headers])+1,$O$6,IF(INDEX(tblContractForDeed[End Bal],ROW()-ROW(tblContractForDeed[#Headers])-1)&lt;0,0,INDEX(tblContractForDeed[End Bal],ROW()-ROW(tblContractForDeed[#Headers])-1)))</f>
        <v>0</v>
      </c>
      <c r="P458" s="447"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6">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594"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88">
        <f t="shared" si="101"/>
        <v>0</v>
      </c>
      <c r="M459" s="388">
        <f t="shared" si="96"/>
        <v>0</v>
      </c>
      <c r="N459" s="594" t="str">
        <f>INDEX(tblSubjectToLoan[Date],ROW()-ROW(tblContractForDeed[#Headers]))</f>
        <v/>
      </c>
      <c r="O459" s="276">
        <f>IF(ROW()=ROW(tblContractForDeed[#Headers])+1,$O$6,IF(INDEX(tblContractForDeed[End Bal],ROW()-ROW(tblContractForDeed[#Headers])-1)&lt;0,0,INDEX(tblContractForDeed[End Bal],ROW()-ROW(tblContractForDeed[#Headers])-1)))</f>
        <v>0</v>
      </c>
      <c r="P459" s="447"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6">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594"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88">
        <f t="shared" si="101"/>
        <v>0</v>
      </c>
      <c r="M460" s="388">
        <f t="shared" si="96"/>
        <v>0</v>
      </c>
      <c r="N460" s="594" t="str">
        <f>INDEX(tblSubjectToLoan[Date],ROW()-ROW(tblContractForDeed[#Headers]))</f>
        <v/>
      </c>
      <c r="O460" s="276">
        <f>IF(ROW()=ROW(tblContractForDeed[#Headers])+1,$O$6,IF(INDEX(tblContractForDeed[End Bal],ROW()-ROW(tblContractForDeed[#Headers])-1)&lt;0,0,INDEX(tblContractForDeed[End Bal],ROW()-ROW(tblContractForDeed[#Headers])-1)))</f>
        <v>0</v>
      </c>
      <c r="P460" s="447"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6">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594"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88">
        <f t="shared" si="101"/>
        <v>0</v>
      </c>
      <c r="M461" s="388">
        <f t="shared" si="96"/>
        <v>0</v>
      </c>
      <c r="N461" s="594" t="str">
        <f>INDEX(tblSubjectToLoan[Date],ROW()-ROW(tblContractForDeed[#Headers]))</f>
        <v/>
      </c>
      <c r="O461" s="276">
        <f>IF(ROW()=ROW(tblContractForDeed[#Headers])+1,$O$6,IF(INDEX(tblContractForDeed[End Bal],ROW()-ROW(tblContractForDeed[#Headers])-1)&lt;0,0,INDEX(tblContractForDeed[End Bal],ROW()-ROW(tblContractForDeed[#Headers])-1)))</f>
        <v>0</v>
      </c>
      <c r="P461" s="447"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6">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594"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88">
        <f t="shared" si="101"/>
        <v>0</v>
      </c>
      <c r="M462" s="388">
        <f t="shared" si="96"/>
        <v>0</v>
      </c>
      <c r="N462" s="594" t="str">
        <f>INDEX(tblSubjectToLoan[Date],ROW()-ROW(tblContractForDeed[#Headers]))</f>
        <v/>
      </c>
      <c r="O462" s="276">
        <f>IF(ROW()=ROW(tblContractForDeed[#Headers])+1,$O$6,IF(INDEX(tblContractForDeed[End Bal],ROW()-ROW(tblContractForDeed[#Headers])-1)&lt;0,0,INDEX(tblContractForDeed[End Bal],ROW()-ROW(tblContractForDeed[#Headers])-1)))</f>
        <v>0</v>
      </c>
      <c r="P462" s="447"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6">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595" t="str">
        <f t="shared" si="92"/>
        <v/>
      </c>
      <c r="B463" s="328">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8">
        <f t="shared" si="97"/>
        <v>97531.839999999953</v>
      </c>
      <c r="J463" s="328">
        <f t="shared" si="98"/>
        <v>36068.259999999973</v>
      </c>
      <c r="K463" s="328">
        <f t="shared" si="95"/>
        <v>0</v>
      </c>
      <c r="L463" s="389">
        <f t="shared" si="101"/>
        <v>0</v>
      </c>
      <c r="M463" s="389">
        <f t="shared" si="96"/>
        <v>0</v>
      </c>
      <c r="N463" s="595" t="str">
        <f>INDEX(tblSubjectToLoan[Date],ROW()-ROW(tblContractForDeed[#Headers]))</f>
        <v/>
      </c>
      <c r="O463" s="328">
        <f>IF(ROW()=ROW(tblContractForDeed[#Headers])+1,$O$6,IF(INDEX(tblContractForDeed[End Bal],ROW()-ROW(tblContractForDeed[#Headers])-1)&lt;0,0,INDEX(tblContractForDeed[End Bal],ROW()-ROW(tblContractForDeed[#Headers])-1)))</f>
        <v>0</v>
      </c>
      <c r="P463" s="447"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8">
        <f>IF(tblContractForDeed[[#This Row],[Payment]]=0,0,MAX(0,MIN(tblContractForDeed[[#This Row],[Beg]],tblContractForDeed[[#This Row],[Payment]]-tblContractForDeed[[#This Row],[Int]])))</f>
        <v>0</v>
      </c>
      <c r="S463" s="328">
        <f>IF(OR(tblContractForDeed[[#This Row],[Date]]&lt;cfdContractDate,tblContractForDeed[[#This Row],[Date]]&gt;cfdEndDate),0,ROUND(tblContractForDeed[[#This Row],[Beg]]*(tblContractForDeed[[#This Row],[Int Rate]]/12),2))</f>
        <v>0</v>
      </c>
      <c r="T463" s="328">
        <f>IF(tblContractForDeed[[#This Row],[Payment]]=0,0,$W$2)</f>
        <v>0</v>
      </c>
      <c r="U463" s="328">
        <f>IF(tblContractForDeed[[#This Row],[Princ]]=0,0,$W$3)</f>
        <v>0</v>
      </c>
      <c r="V463" s="328">
        <f>SUM(tblContractForDeed[[#This Row],[Princ]],tblContractForDeed[[#This Row],[Int]],tblContractForDeed[[#This Row],[Ins]],tblContractForDeed[[#This Row],[Taxes]])</f>
        <v>0</v>
      </c>
      <c r="W463" s="328">
        <f>SUM(INDEX(tblContractForDeed[Princ],1):INDEX(tblContractForDeed[Princ],ROW()-ROW(tblContractForDeed[#Headers])))</f>
        <v>75258.000000000029</v>
      </c>
      <c r="X463" s="328">
        <f>IF(tblContractForDeed[[#This Row],[Beg]]&lt;=0,0,tblContractForDeed[[#This Row],[Beg]]-tblContractForDeed[[#This Row],[Princ]])</f>
        <v>0</v>
      </c>
      <c r="Y4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7">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8">
        <f>IF(INDEX(tblContractForDeed[End Bal],ROW()-ROW(tblBuyerOutputs[#Headers]))&lt;=0,0,($O$6+IF(ROW()=ROW(tblBuyerOutputs[#Headers])+1,0,INDEX(tblBuyerOutputs[Cumul Appr],ROW()-ROW(tblBuyerOutputs[#Headers])-1)))*$O$2/12)</f>
        <v>0</v>
      </c>
      <c r="AE463" s="328">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594"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88">
        <f t="shared" si="101"/>
        <v>0</v>
      </c>
      <c r="M464" s="388">
        <f t="shared" si="96"/>
        <v>0</v>
      </c>
      <c r="N464" s="594" t="str">
        <f>INDEX(tblSubjectToLoan[Date],ROW()-ROW(tblContractForDeed[#Headers]))</f>
        <v/>
      </c>
      <c r="O464" s="276">
        <f>IF(ROW()=ROW(tblContractForDeed[#Headers])+1,$O$6,IF(INDEX(tblContractForDeed[End Bal],ROW()-ROW(tblContractForDeed[#Headers])-1)&lt;0,0,INDEX(tblContractForDeed[End Bal],ROW()-ROW(tblContractForDeed[#Headers])-1)))</f>
        <v>0</v>
      </c>
      <c r="P464" s="447"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6">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594"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88">
        <f t="shared" si="101"/>
        <v>0</v>
      </c>
      <c r="M465" s="388">
        <f t="shared" si="96"/>
        <v>0</v>
      </c>
      <c r="N465" s="594" t="str">
        <f>INDEX(tblSubjectToLoan[Date],ROW()-ROW(tblContractForDeed[#Headers]))</f>
        <v/>
      </c>
      <c r="O465" s="276">
        <f>IF(ROW()=ROW(tblContractForDeed[#Headers])+1,$O$6,IF(INDEX(tblContractForDeed[End Bal],ROW()-ROW(tblContractForDeed[#Headers])-1)&lt;0,0,INDEX(tblContractForDeed[End Bal],ROW()-ROW(tblContractForDeed[#Headers])-1)))</f>
        <v>0</v>
      </c>
      <c r="P465" s="447"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6">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594"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88">
        <f t="shared" si="101"/>
        <v>0</v>
      </c>
      <c r="M466" s="388">
        <f t="shared" si="96"/>
        <v>0</v>
      </c>
      <c r="N466" s="594" t="str">
        <f>INDEX(tblSubjectToLoan[Date],ROW()-ROW(tblContractForDeed[#Headers]))</f>
        <v/>
      </c>
      <c r="O466" s="276">
        <f>IF(ROW()=ROW(tblContractForDeed[#Headers])+1,$O$6,IF(INDEX(tblContractForDeed[End Bal],ROW()-ROW(tblContractForDeed[#Headers])-1)&lt;0,0,INDEX(tblContractForDeed[End Bal],ROW()-ROW(tblContractForDeed[#Headers])-1)))</f>
        <v>0</v>
      </c>
      <c r="P466" s="447"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6">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594"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88">
        <f t="shared" si="101"/>
        <v>0</v>
      </c>
      <c r="M467" s="388">
        <f t="shared" si="96"/>
        <v>0</v>
      </c>
      <c r="N467" s="594" t="str">
        <f>INDEX(tblSubjectToLoan[Date],ROW()-ROW(tblContractForDeed[#Headers]))</f>
        <v/>
      </c>
      <c r="O467" s="276">
        <f>IF(ROW()=ROW(tblContractForDeed[#Headers])+1,$O$6,IF(INDEX(tblContractForDeed[End Bal],ROW()-ROW(tblContractForDeed[#Headers])-1)&lt;0,0,INDEX(tblContractForDeed[End Bal],ROW()-ROW(tblContractForDeed[#Headers])-1)))</f>
        <v>0</v>
      </c>
      <c r="P467" s="447"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6">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594"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88">
        <f t="shared" si="101"/>
        <v>0</v>
      </c>
      <c r="M468" s="388">
        <f t="shared" si="96"/>
        <v>0</v>
      </c>
      <c r="N468" s="594" t="str">
        <f>INDEX(tblSubjectToLoan[Date],ROW()-ROW(tblContractForDeed[#Headers]))</f>
        <v/>
      </c>
      <c r="O468" s="276">
        <f>IF(ROW()=ROW(tblContractForDeed[#Headers])+1,$O$6,IF(INDEX(tblContractForDeed[End Bal],ROW()-ROW(tblContractForDeed[#Headers])-1)&lt;0,0,INDEX(tblContractForDeed[End Bal],ROW()-ROW(tblContractForDeed[#Headers])-1)))</f>
        <v>0</v>
      </c>
      <c r="P468" s="447"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6">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594"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88">
        <f t="shared" si="101"/>
        <v>0</v>
      </c>
      <c r="M469" s="388">
        <f t="shared" ref="M469:M532" si="111">IF($A469&lt;&gt;"",M468+1,0)</f>
        <v>0</v>
      </c>
      <c r="N469" s="594" t="str">
        <f>INDEX(tblSubjectToLoan[Date],ROW()-ROW(tblContractForDeed[#Headers]))</f>
        <v/>
      </c>
      <c r="O469" s="276">
        <f>IF(ROW()=ROW(tblContractForDeed[#Headers])+1,$O$6,IF(INDEX(tblContractForDeed[End Bal],ROW()-ROW(tblContractForDeed[#Headers])-1)&lt;0,0,INDEX(tblContractForDeed[End Bal],ROW()-ROW(tblContractForDeed[#Headers])-1)))</f>
        <v>0</v>
      </c>
      <c r="P469" s="447"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6">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594"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88">
        <f t="shared" si="101"/>
        <v>0</v>
      </c>
      <c r="M470" s="388">
        <f t="shared" si="111"/>
        <v>0</v>
      </c>
      <c r="N470" s="594" t="str">
        <f>INDEX(tblSubjectToLoan[Date],ROW()-ROW(tblContractForDeed[#Headers]))</f>
        <v/>
      </c>
      <c r="O470" s="276">
        <f>IF(ROW()=ROW(tblContractForDeed[#Headers])+1,$O$6,IF(INDEX(tblContractForDeed[End Bal],ROW()-ROW(tblContractForDeed[#Headers])-1)&lt;0,0,INDEX(tblContractForDeed[End Bal],ROW()-ROW(tblContractForDeed[#Headers])-1)))</f>
        <v>0</v>
      </c>
      <c r="P470" s="447"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6">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594"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88">
        <f t="shared" si="101"/>
        <v>0</v>
      </c>
      <c r="M471" s="388">
        <f t="shared" si="111"/>
        <v>0</v>
      </c>
      <c r="N471" s="594" t="str">
        <f>INDEX(tblSubjectToLoan[Date],ROW()-ROW(tblContractForDeed[#Headers]))</f>
        <v/>
      </c>
      <c r="O471" s="276">
        <f>IF(ROW()=ROW(tblContractForDeed[#Headers])+1,$O$6,IF(INDEX(tblContractForDeed[End Bal],ROW()-ROW(tblContractForDeed[#Headers])-1)&lt;0,0,INDEX(tblContractForDeed[End Bal],ROW()-ROW(tblContractForDeed[#Headers])-1)))</f>
        <v>0</v>
      </c>
      <c r="P471" s="447"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6">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594"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88">
        <f t="shared" si="101"/>
        <v>0</v>
      </c>
      <c r="M472" s="388">
        <f t="shared" si="111"/>
        <v>0</v>
      </c>
      <c r="N472" s="594" t="str">
        <f>INDEX(tblSubjectToLoan[Date],ROW()-ROW(tblContractForDeed[#Headers]))</f>
        <v/>
      </c>
      <c r="O472" s="276">
        <f>IF(ROW()=ROW(tblContractForDeed[#Headers])+1,$O$6,IF(INDEX(tblContractForDeed[End Bal],ROW()-ROW(tblContractForDeed[#Headers])-1)&lt;0,0,INDEX(tblContractForDeed[End Bal],ROW()-ROW(tblContractForDeed[#Headers])-1)))</f>
        <v>0</v>
      </c>
      <c r="P472" s="447"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6">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594"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88">
        <f t="shared" si="101"/>
        <v>0</v>
      </c>
      <c r="M473" s="388">
        <f t="shared" si="111"/>
        <v>0</v>
      </c>
      <c r="N473" s="594" t="str">
        <f>INDEX(tblSubjectToLoan[Date],ROW()-ROW(tblContractForDeed[#Headers]))</f>
        <v/>
      </c>
      <c r="O473" s="276">
        <f>IF(ROW()=ROW(tblContractForDeed[#Headers])+1,$O$6,IF(INDEX(tblContractForDeed[End Bal],ROW()-ROW(tblContractForDeed[#Headers])-1)&lt;0,0,INDEX(tblContractForDeed[End Bal],ROW()-ROW(tblContractForDeed[#Headers])-1)))</f>
        <v>0</v>
      </c>
      <c r="P473" s="447"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6">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594"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88">
        <f t="shared" si="101"/>
        <v>0</v>
      </c>
      <c r="M474" s="388">
        <f t="shared" si="111"/>
        <v>0</v>
      </c>
      <c r="N474" s="594" t="str">
        <f>INDEX(tblSubjectToLoan[Date],ROW()-ROW(tblContractForDeed[#Headers]))</f>
        <v/>
      </c>
      <c r="O474" s="276">
        <f>IF(ROW()=ROW(tblContractForDeed[#Headers])+1,$O$6,IF(INDEX(tblContractForDeed[End Bal],ROW()-ROW(tblContractForDeed[#Headers])-1)&lt;0,0,INDEX(tblContractForDeed[End Bal],ROW()-ROW(tblContractForDeed[#Headers])-1)))</f>
        <v>0</v>
      </c>
      <c r="P474" s="447"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6">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595" t="str">
        <f t="shared" si="107"/>
        <v/>
      </c>
      <c r="B475" s="328">
        <f t="shared" si="108"/>
        <v>0</v>
      </c>
      <c r="C475" s="21">
        <f t="shared" si="105"/>
        <v>0</v>
      </c>
      <c r="D475" s="21">
        <f t="shared" si="109"/>
        <v>0</v>
      </c>
      <c r="E475" s="21">
        <f t="shared" si="106"/>
        <v>0</v>
      </c>
      <c r="F475" s="21">
        <f t="shared" si="104"/>
        <v>134.16999999999999</v>
      </c>
      <c r="G475" s="21">
        <f t="shared" si="104"/>
        <v>188.55</v>
      </c>
      <c r="H475" s="21">
        <f t="shared" si="103"/>
        <v>322.72000000000003</v>
      </c>
      <c r="I475" s="328">
        <f t="shared" si="112"/>
        <v>97531.839999999953</v>
      </c>
      <c r="J475" s="328">
        <f t="shared" si="113"/>
        <v>36068.259999999973</v>
      </c>
      <c r="K475" s="328">
        <f t="shared" si="110"/>
        <v>0</v>
      </c>
      <c r="L475" s="389">
        <f t="shared" si="101"/>
        <v>0</v>
      </c>
      <c r="M475" s="389">
        <f t="shared" si="111"/>
        <v>0</v>
      </c>
      <c r="N475" s="595" t="str">
        <f>INDEX(tblSubjectToLoan[Date],ROW()-ROW(tblContractForDeed[#Headers]))</f>
        <v/>
      </c>
      <c r="O475" s="328">
        <f>IF(ROW()=ROW(tblContractForDeed[#Headers])+1,$O$6,IF(INDEX(tblContractForDeed[End Bal],ROW()-ROW(tblContractForDeed[#Headers])-1)&lt;0,0,INDEX(tblContractForDeed[End Bal],ROW()-ROW(tblContractForDeed[#Headers])-1)))</f>
        <v>0</v>
      </c>
      <c r="P475" s="447"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8">
        <f>IF(tblContractForDeed[[#This Row],[Payment]]=0,0,MAX(0,MIN(tblContractForDeed[[#This Row],[Beg]],tblContractForDeed[[#This Row],[Payment]]-tblContractForDeed[[#This Row],[Int]])))</f>
        <v>0</v>
      </c>
      <c r="S475" s="328">
        <f>IF(OR(tblContractForDeed[[#This Row],[Date]]&lt;cfdContractDate,tblContractForDeed[[#This Row],[Date]]&gt;cfdEndDate),0,ROUND(tblContractForDeed[[#This Row],[Beg]]*(tblContractForDeed[[#This Row],[Int Rate]]/12),2))</f>
        <v>0</v>
      </c>
      <c r="T475" s="328">
        <f>IF(tblContractForDeed[[#This Row],[Payment]]=0,0,$W$2)</f>
        <v>0</v>
      </c>
      <c r="U475" s="328">
        <f>IF(tblContractForDeed[[#This Row],[Princ]]=0,0,$W$3)</f>
        <v>0</v>
      </c>
      <c r="V475" s="328">
        <f>SUM(tblContractForDeed[[#This Row],[Princ]],tblContractForDeed[[#This Row],[Int]],tblContractForDeed[[#This Row],[Ins]],tblContractForDeed[[#This Row],[Taxes]])</f>
        <v>0</v>
      </c>
      <c r="W475" s="328">
        <f>SUM(INDEX(tblContractForDeed[Princ],1):INDEX(tblContractForDeed[Princ],ROW()-ROW(tblContractForDeed[#Headers])))</f>
        <v>75258.000000000029</v>
      </c>
      <c r="X475" s="328">
        <f>IF(tblContractForDeed[[#This Row],[Beg]]&lt;=0,0,tblContractForDeed[[#This Row],[Beg]]-tblContractForDeed[[#This Row],[Princ]])</f>
        <v>0</v>
      </c>
      <c r="Y4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7">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8">
        <f>IF(INDEX(tblContractForDeed[End Bal],ROW()-ROW(tblBuyerOutputs[#Headers]))&lt;=0,0,($O$6+IF(ROW()=ROW(tblBuyerOutputs[#Headers])+1,0,INDEX(tblBuyerOutputs[Cumul Appr],ROW()-ROW(tblBuyerOutputs[#Headers])-1)))*$O$2/12)</f>
        <v>0</v>
      </c>
      <c r="AE475" s="328">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594"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88">
        <f t="shared" si="101"/>
        <v>0</v>
      </c>
      <c r="M476" s="388">
        <f t="shared" si="111"/>
        <v>0</v>
      </c>
      <c r="N476" s="594" t="str">
        <f>INDEX(tblSubjectToLoan[Date],ROW()-ROW(tblContractForDeed[#Headers]))</f>
        <v/>
      </c>
      <c r="O476" s="276">
        <f>IF(ROW()=ROW(tblContractForDeed[#Headers])+1,$O$6,IF(INDEX(tblContractForDeed[End Bal],ROW()-ROW(tblContractForDeed[#Headers])-1)&lt;0,0,INDEX(tblContractForDeed[End Bal],ROW()-ROW(tblContractForDeed[#Headers])-1)))</f>
        <v>0</v>
      </c>
      <c r="P476" s="447"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6">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594"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88">
        <f t="shared" si="101"/>
        <v>0</v>
      </c>
      <c r="M477" s="388">
        <f t="shared" si="111"/>
        <v>0</v>
      </c>
      <c r="N477" s="594" t="str">
        <f>INDEX(tblSubjectToLoan[Date],ROW()-ROW(tblContractForDeed[#Headers]))</f>
        <v/>
      </c>
      <c r="O477" s="276">
        <f>IF(ROW()=ROW(tblContractForDeed[#Headers])+1,$O$6,IF(INDEX(tblContractForDeed[End Bal],ROW()-ROW(tblContractForDeed[#Headers])-1)&lt;0,0,INDEX(tblContractForDeed[End Bal],ROW()-ROW(tblContractForDeed[#Headers])-1)))</f>
        <v>0</v>
      </c>
      <c r="P477" s="447"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6">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594"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88">
        <f t="shared" si="101"/>
        <v>0</v>
      </c>
      <c r="M478" s="388">
        <f t="shared" si="111"/>
        <v>0</v>
      </c>
      <c r="N478" s="594" t="str">
        <f>INDEX(tblSubjectToLoan[Date],ROW()-ROW(tblContractForDeed[#Headers]))</f>
        <v/>
      </c>
      <c r="O478" s="276">
        <f>IF(ROW()=ROW(tblContractForDeed[#Headers])+1,$O$6,IF(INDEX(tblContractForDeed[End Bal],ROW()-ROW(tblContractForDeed[#Headers])-1)&lt;0,0,INDEX(tblContractForDeed[End Bal],ROW()-ROW(tblContractForDeed[#Headers])-1)))</f>
        <v>0</v>
      </c>
      <c r="P478" s="447"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6">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594"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88">
        <f t="shared" si="101"/>
        <v>0</v>
      </c>
      <c r="M479" s="388">
        <f t="shared" si="111"/>
        <v>0</v>
      </c>
      <c r="N479" s="594" t="str">
        <f>INDEX(tblSubjectToLoan[Date],ROW()-ROW(tblContractForDeed[#Headers]))</f>
        <v/>
      </c>
      <c r="O479" s="276">
        <f>IF(ROW()=ROW(tblContractForDeed[#Headers])+1,$O$6,IF(INDEX(tblContractForDeed[End Bal],ROW()-ROW(tblContractForDeed[#Headers])-1)&lt;0,0,INDEX(tblContractForDeed[End Bal],ROW()-ROW(tblContractForDeed[#Headers])-1)))</f>
        <v>0</v>
      </c>
      <c r="P479" s="447"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6">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594"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88">
        <f t="shared" si="101"/>
        <v>0</v>
      </c>
      <c r="M480" s="388">
        <f t="shared" si="111"/>
        <v>0</v>
      </c>
      <c r="N480" s="594" t="str">
        <f>INDEX(tblSubjectToLoan[Date],ROW()-ROW(tblContractForDeed[#Headers]))</f>
        <v/>
      </c>
      <c r="O480" s="276">
        <f>IF(ROW()=ROW(tblContractForDeed[#Headers])+1,$O$6,IF(INDEX(tblContractForDeed[End Bal],ROW()-ROW(tblContractForDeed[#Headers])-1)&lt;0,0,INDEX(tblContractForDeed[End Bal],ROW()-ROW(tblContractForDeed[#Headers])-1)))</f>
        <v>0</v>
      </c>
      <c r="P480" s="447"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6">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594"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88">
        <f t="shared" si="101"/>
        <v>0</v>
      </c>
      <c r="M481" s="388">
        <f t="shared" si="111"/>
        <v>0</v>
      </c>
      <c r="N481" s="594" t="str">
        <f>INDEX(tblSubjectToLoan[Date],ROW()-ROW(tblContractForDeed[#Headers]))</f>
        <v/>
      </c>
      <c r="O481" s="276">
        <f>IF(ROW()=ROW(tblContractForDeed[#Headers])+1,$O$6,IF(INDEX(tblContractForDeed[End Bal],ROW()-ROW(tblContractForDeed[#Headers])-1)&lt;0,0,INDEX(tblContractForDeed[End Bal],ROW()-ROW(tblContractForDeed[#Headers])-1)))</f>
        <v>0</v>
      </c>
      <c r="P481" s="447"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6">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594"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88">
        <f t="shared" si="101"/>
        <v>0</v>
      </c>
      <c r="M482" s="388">
        <f t="shared" si="111"/>
        <v>0</v>
      </c>
      <c r="N482" s="594" t="str">
        <f>INDEX(tblSubjectToLoan[Date],ROW()-ROW(tblContractForDeed[#Headers]))</f>
        <v/>
      </c>
      <c r="O482" s="276">
        <f>IF(ROW()=ROW(tblContractForDeed[#Headers])+1,$O$6,IF(INDEX(tblContractForDeed[End Bal],ROW()-ROW(tblContractForDeed[#Headers])-1)&lt;0,0,INDEX(tblContractForDeed[End Bal],ROW()-ROW(tblContractForDeed[#Headers])-1)))</f>
        <v>0</v>
      </c>
      <c r="P482" s="447"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6">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594"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88">
        <f t="shared" si="101"/>
        <v>0</v>
      </c>
      <c r="M483" s="388">
        <f t="shared" si="111"/>
        <v>0</v>
      </c>
      <c r="N483" s="594" t="str">
        <f>INDEX(tblSubjectToLoan[Date],ROW()-ROW(tblContractForDeed[#Headers]))</f>
        <v/>
      </c>
      <c r="O483" s="276">
        <f>IF(ROW()=ROW(tblContractForDeed[#Headers])+1,$O$6,IF(INDEX(tblContractForDeed[End Bal],ROW()-ROW(tblContractForDeed[#Headers])-1)&lt;0,0,INDEX(tblContractForDeed[End Bal],ROW()-ROW(tblContractForDeed[#Headers])-1)))</f>
        <v>0</v>
      </c>
      <c r="P483" s="447"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6">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594"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88">
        <f t="shared" si="101"/>
        <v>0</v>
      </c>
      <c r="M484" s="388">
        <f t="shared" si="111"/>
        <v>0</v>
      </c>
      <c r="N484" s="594" t="str">
        <f>INDEX(tblSubjectToLoan[Date],ROW()-ROW(tblContractForDeed[#Headers]))</f>
        <v/>
      </c>
      <c r="O484" s="276">
        <f>IF(ROW()=ROW(tblContractForDeed[#Headers])+1,$O$6,IF(INDEX(tblContractForDeed[End Bal],ROW()-ROW(tblContractForDeed[#Headers])-1)&lt;0,0,INDEX(tblContractForDeed[End Bal],ROW()-ROW(tblContractForDeed[#Headers])-1)))</f>
        <v>0</v>
      </c>
      <c r="P484" s="447"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6">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594"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88">
        <f t="shared" si="101"/>
        <v>0</v>
      </c>
      <c r="M485" s="388">
        <f t="shared" si="111"/>
        <v>0</v>
      </c>
      <c r="N485" s="594" t="str">
        <f>INDEX(tblSubjectToLoan[Date],ROW()-ROW(tblContractForDeed[#Headers]))</f>
        <v/>
      </c>
      <c r="O485" s="276">
        <f>IF(ROW()=ROW(tblContractForDeed[#Headers])+1,$O$6,IF(INDEX(tblContractForDeed[End Bal],ROW()-ROW(tblContractForDeed[#Headers])-1)&lt;0,0,INDEX(tblContractForDeed[End Bal],ROW()-ROW(tblContractForDeed[#Headers])-1)))</f>
        <v>0</v>
      </c>
      <c r="P485" s="447"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6">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594"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88">
        <f t="shared" si="101"/>
        <v>0</v>
      </c>
      <c r="M486" s="388">
        <f t="shared" si="111"/>
        <v>0</v>
      </c>
      <c r="N486" s="594" t="str">
        <f>INDEX(tblSubjectToLoan[Date],ROW()-ROW(tblContractForDeed[#Headers]))</f>
        <v/>
      </c>
      <c r="O486" s="276">
        <f>IF(ROW()=ROW(tblContractForDeed[#Headers])+1,$O$6,IF(INDEX(tblContractForDeed[End Bal],ROW()-ROW(tblContractForDeed[#Headers])-1)&lt;0,0,INDEX(tblContractForDeed[End Bal],ROW()-ROW(tblContractForDeed[#Headers])-1)))</f>
        <v>0</v>
      </c>
      <c r="P486" s="447"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6">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595" t="str">
        <f t="shared" si="107"/>
        <v/>
      </c>
      <c r="B487" s="328">
        <f t="shared" si="108"/>
        <v>0</v>
      </c>
      <c r="C487" s="21">
        <f t="shared" si="105"/>
        <v>0</v>
      </c>
      <c r="D487" s="21">
        <f t="shared" si="109"/>
        <v>0</v>
      </c>
      <c r="E487" s="21">
        <f t="shared" si="106"/>
        <v>0</v>
      </c>
      <c r="F487" s="21">
        <f t="shared" si="114"/>
        <v>134.16999999999999</v>
      </c>
      <c r="G487" s="21">
        <f t="shared" si="114"/>
        <v>188.55</v>
      </c>
      <c r="H487" s="21">
        <f t="shared" si="103"/>
        <v>322.72000000000003</v>
      </c>
      <c r="I487" s="328">
        <f t="shared" si="112"/>
        <v>97531.839999999953</v>
      </c>
      <c r="J487" s="328">
        <f t="shared" si="113"/>
        <v>36068.259999999973</v>
      </c>
      <c r="K487" s="328">
        <f t="shared" si="110"/>
        <v>0</v>
      </c>
      <c r="L487" s="389">
        <f t="shared" si="101"/>
        <v>0</v>
      </c>
      <c r="M487" s="389">
        <f t="shared" si="111"/>
        <v>0</v>
      </c>
      <c r="N487" s="595" t="str">
        <f>INDEX(tblSubjectToLoan[Date],ROW()-ROW(tblContractForDeed[#Headers]))</f>
        <v/>
      </c>
      <c r="O487" s="328">
        <f>IF(ROW()=ROW(tblContractForDeed[#Headers])+1,$O$6,IF(INDEX(tblContractForDeed[End Bal],ROW()-ROW(tblContractForDeed[#Headers])-1)&lt;0,0,INDEX(tblContractForDeed[End Bal],ROW()-ROW(tblContractForDeed[#Headers])-1)))</f>
        <v>0</v>
      </c>
      <c r="P487" s="447"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8">
        <f>IF(tblContractForDeed[[#This Row],[Payment]]=0,0,MAX(0,MIN(tblContractForDeed[[#This Row],[Beg]],tblContractForDeed[[#This Row],[Payment]]-tblContractForDeed[[#This Row],[Int]])))</f>
        <v>0</v>
      </c>
      <c r="S487" s="328">
        <f>IF(OR(tblContractForDeed[[#This Row],[Date]]&lt;cfdContractDate,tblContractForDeed[[#This Row],[Date]]&gt;cfdEndDate),0,ROUND(tblContractForDeed[[#This Row],[Beg]]*(tblContractForDeed[[#This Row],[Int Rate]]/12),2))</f>
        <v>0</v>
      </c>
      <c r="T487" s="328">
        <f>IF(tblContractForDeed[[#This Row],[Payment]]=0,0,$W$2)</f>
        <v>0</v>
      </c>
      <c r="U487" s="328">
        <f>IF(tblContractForDeed[[#This Row],[Princ]]=0,0,$W$3)</f>
        <v>0</v>
      </c>
      <c r="V487" s="328">
        <f>SUM(tblContractForDeed[[#This Row],[Princ]],tblContractForDeed[[#This Row],[Int]],tblContractForDeed[[#This Row],[Ins]],tblContractForDeed[[#This Row],[Taxes]])</f>
        <v>0</v>
      </c>
      <c r="W487" s="328">
        <f>SUM(INDEX(tblContractForDeed[Princ],1):INDEX(tblContractForDeed[Princ],ROW()-ROW(tblContractForDeed[#Headers])))</f>
        <v>75258.000000000029</v>
      </c>
      <c r="X487" s="328">
        <f>IF(tblContractForDeed[[#This Row],[Beg]]&lt;=0,0,tblContractForDeed[[#This Row],[Beg]]-tblContractForDeed[[#This Row],[Princ]])</f>
        <v>0</v>
      </c>
      <c r="Y4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7">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8">
        <f>IF(INDEX(tblContractForDeed[End Bal],ROW()-ROW(tblBuyerOutputs[#Headers]))&lt;=0,0,($O$6+IF(ROW()=ROW(tblBuyerOutputs[#Headers])+1,0,INDEX(tblBuyerOutputs[Cumul Appr],ROW()-ROW(tblBuyerOutputs[#Headers])-1)))*$O$2/12)</f>
        <v>0</v>
      </c>
      <c r="AE487" s="328">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594"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88">
        <f t="shared" si="101"/>
        <v>0</v>
      </c>
      <c r="M488" s="388">
        <f t="shared" si="111"/>
        <v>0</v>
      </c>
      <c r="N488" s="594" t="str">
        <f>INDEX(tblSubjectToLoan[Date],ROW()-ROW(tblContractForDeed[#Headers]))</f>
        <v/>
      </c>
      <c r="O488" s="276">
        <f>IF(ROW()=ROW(tblContractForDeed[#Headers])+1,$O$6,IF(INDEX(tblContractForDeed[End Bal],ROW()-ROW(tblContractForDeed[#Headers])-1)&lt;0,0,INDEX(tblContractForDeed[End Bal],ROW()-ROW(tblContractForDeed[#Headers])-1)))</f>
        <v>0</v>
      </c>
      <c r="P488" s="447"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6">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594"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88">
        <f t="shared" si="101"/>
        <v>0</v>
      </c>
      <c r="M489" s="388">
        <f t="shared" si="111"/>
        <v>0</v>
      </c>
      <c r="N489" s="594" t="str">
        <f>INDEX(tblSubjectToLoan[Date],ROW()-ROW(tblContractForDeed[#Headers]))</f>
        <v/>
      </c>
      <c r="O489" s="276">
        <f>IF(ROW()=ROW(tblContractForDeed[#Headers])+1,$O$6,IF(INDEX(tblContractForDeed[End Bal],ROW()-ROW(tblContractForDeed[#Headers])-1)&lt;0,0,INDEX(tblContractForDeed[End Bal],ROW()-ROW(tblContractForDeed[#Headers])-1)))</f>
        <v>0</v>
      </c>
      <c r="P489" s="447"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6">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594"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88">
        <f t="shared" si="101"/>
        <v>0</v>
      </c>
      <c r="M490" s="388">
        <f t="shared" si="111"/>
        <v>0</v>
      </c>
      <c r="N490" s="594" t="str">
        <f>INDEX(tblSubjectToLoan[Date],ROW()-ROW(tblContractForDeed[#Headers]))</f>
        <v/>
      </c>
      <c r="O490" s="276">
        <f>IF(ROW()=ROW(tblContractForDeed[#Headers])+1,$O$6,IF(INDEX(tblContractForDeed[End Bal],ROW()-ROW(tblContractForDeed[#Headers])-1)&lt;0,0,INDEX(tblContractForDeed[End Bal],ROW()-ROW(tblContractForDeed[#Headers])-1)))</f>
        <v>0</v>
      </c>
      <c r="P490" s="447"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6">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594"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88">
        <f t="shared" si="101"/>
        <v>0</v>
      </c>
      <c r="M491" s="388">
        <f t="shared" si="111"/>
        <v>0</v>
      </c>
      <c r="N491" s="594" t="str">
        <f>INDEX(tblSubjectToLoan[Date],ROW()-ROW(tblContractForDeed[#Headers]))</f>
        <v/>
      </c>
      <c r="O491" s="276">
        <f>IF(ROW()=ROW(tblContractForDeed[#Headers])+1,$O$6,IF(INDEX(tblContractForDeed[End Bal],ROW()-ROW(tblContractForDeed[#Headers])-1)&lt;0,0,INDEX(tblContractForDeed[End Bal],ROW()-ROW(tblContractForDeed[#Headers])-1)))</f>
        <v>0</v>
      </c>
      <c r="P491" s="447"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6">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594"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88">
        <f t="shared" si="101"/>
        <v>0</v>
      </c>
      <c r="M492" s="388">
        <f t="shared" si="111"/>
        <v>0</v>
      </c>
      <c r="N492" s="594" t="str">
        <f>INDEX(tblSubjectToLoan[Date],ROW()-ROW(tblContractForDeed[#Headers]))</f>
        <v/>
      </c>
      <c r="O492" s="276">
        <f>IF(ROW()=ROW(tblContractForDeed[#Headers])+1,$O$6,IF(INDEX(tblContractForDeed[End Bal],ROW()-ROW(tblContractForDeed[#Headers])-1)&lt;0,0,INDEX(tblContractForDeed[End Bal],ROW()-ROW(tblContractForDeed[#Headers])-1)))</f>
        <v>0</v>
      </c>
      <c r="P492" s="447"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6">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594"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88">
        <f t="shared" si="101"/>
        <v>0</v>
      </c>
      <c r="M493" s="388">
        <f t="shared" si="111"/>
        <v>0</v>
      </c>
      <c r="N493" s="594" t="str">
        <f>INDEX(tblSubjectToLoan[Date],ROW()-ROW(tblContractForDeed[#Headers]))</f>
        <v/>
      </c>
      <c r="O493" s="276">
        <f>IF(ROW()=ROW(tblContractForDeed[#Headers])+1,$O$6,IF(INDEX(tblContractForDeed[End Bal],ROW()-ROW(tblContractForDeed[#Headers])-1)&lt;0,0,INDEX(tblContractForDeed[End Bal],ROW()-ROW(tblContractForDeed[#Headers])-1)))</f>
        <v>0</v>
      </c>
      <c r="P493" s="447"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6">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594"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88">
        <f t="shared" si="101"/>
        <v>0</v>
      </c>
      <c r="M494" s="388">
        <f t="shared" si="111"/>
        <v>0</v>
      </c>
      <c r="N494" s="594" t="str">
        <f>INDEX(tblSubjectToLoan[Date],ROW()-ROW(tblContractForDeed[#Headers]))</f>
        <v/>
      </c>
      <c r="O494" s="276">
        <f>IF(ROW()=ROW(tblContractForDeed[#Headers])+1,$O$6,IF(INDEX(tblContractForDeed[End Bal],ROW()-ROW(tblContractForDeed[#Headers])-1)&lt;0,0,INDEX(tblContractForDeed[End Bal],ROW()-ROW(tblContractForDeed[#Headers])-1)))</f>
        <v>0</v>
      </c>
      <c r="P494" s="447"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6">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594"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88">
        <f t="shared" si="101"/>
        <v>0</v>
      </c>
      <c r="M495" s="388">
        <f t="shared" si="111"/>
        <v>0</v>
      </c>
      <c r="N495" s="594" t="str">
        <f>INDEX(tblSubjectToLoan[Date],ROW()-ROW(tblContractForDeed[#Headers]))</f>
        <v/>
      </c>
      <c r="O495" s="276">
        <f>IF(ROW()=ROW(tblContractForDeed[#Headers])+1,$O$6,IF(INDEX(tblContractForDeed[End Bal],ROW()-ROW(tblContractForDeed[#Headers])-1)&lt;0,0,INDEX(tblContractForDeed[End Bal],ROW()-ROW(tblContractForDeed[#Headers])-1)))</f>
        <v>0</v>
      </c>
      <c r="P495" s="447"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6">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594" t="str">
        <f t="shared" si="107"/>
        <v/>
      </c>
      <c r="B496" s="276">
        <f t="shared" si="108"/>
        <v>0</v>
      </c>
      <c r="C496" s="14">
        <f t="shared" si="105"/>
        <v>0</v>
      </c>
      <c r="D496" s="14">
        <f t="shared" si="109"/>
        <v>0</v>
      </c>
      <c r="E496" s="14">
        <f t="shared" si="106"/>
        <v>0</v>
      </c>
      <c r="K496" s="276">
        <f t="shared" si="110"/>
        <v>0</v>
      </c>
      <c r="L496" s="388">
        <f t="shared" si="101"/>
        <v>0</v>
      </c>
      <c r="M496" s="388">
        <f t="shared" si="111"/>
        <v>0</v>
      </c>
      <c r="N496" s="594" t="str">
        <f>INDEX(tblSubjectToLoan[Date],ROW()-ROW(tblContractForDeed[#Headers]))</f>
        <v/>
      </c>
      <c r="O496" s="276">
        <f>IF(ROW()=ROW(tblContractForDeed[#Headers])+1,$O$6,IF(INDEX(tblContractForDeed[End Bal],ROW()-ROW(tblContractForDeed[#Headers])-1)&lt;0,0,INDEX(tblContractForDeed[End Bal],ROW()-ROW(tblContractForDeed[#Headers])-1)))</f>
        <v>0</v>
      </c>
      <c r="P496" s="447"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6">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594" t="str">
        <f t="shared" si="107"/>
        <v/>
      </c>
      <c r="B497" s="276">
        <f t="shared" si="108"/>
        <v>0</v>
      </c>
      <c r="C497" s="14">
        <f t="shared" si="105"/>
        <v>0</v>
      </c>
      <c r="D497" s="14">
        <f t="shared" si="109"/>
        <v>0</v>
      </c>
      <c r="E497" s="14">
        <f t="shared" si="106"/>
        <v>0</v>
      </c>
      <c r="K497" s="276">
        <f t="shared" si="110"/>
        <v>0</v>
      </c>
      <c r="L497" s="388">
        <f t="shared" si="101"/>
        <v>0</v>
      </c>
      <c r="M497" s="388">
        <f t="shared" si="111"/>
        <v>0</v>
      </c>
      <c r="N497" s="594" t="str">
        <f>INDEX(tblSubjectToLoan[Date],ROW()-ROW(tblContractForDeed[#Headers]))</f>
        <v/>
      </c>
      <c r="O497" s="276">
        <f>IF(ROW()=ROW(tblContractForDeed[#Headers])+1,$O$6,IF(INDEX(tblContractForDeed[End Bal],ROW()-ROW(tblContractForDeed[#Headers])-1)&lt;0,0,INDEX(tblContractForDeed[End Bal],ROW()-ROW(tblContractForDeed[#Headers])-1)))</f>
        <v>0</v>
      </c>
      <c r="P497" s="447"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6">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594" t="str">
        <f t="shared" si="107"/>
        <v/>
      </c>
      <c r="B498" s="276">
        <f t="shared" si="108"/>
        <v>0</v>
      </c>
      <c r="C498" s="14">
        <f t="shared" si="105"/>
        <v>0</v>
      </c>
      <c r="D498" s="14">
        <f t="shared" si="109"/>
        <v>0</v>
      </c>
      <c r="E498" s="14">
        <f t="shared" si="106"/>
        <v>0</v>
      </c>
      <c r="K498" s="276">
        <f t="shared" si="110"/>
        <v>0</v>
      </c>
      <c r="L498" s="388">
        <f t="shared" si="101"/>
        <v>0</v>
      </c>
      <c r="M498" s="388">
        <f t="shared" si="111"/>
        <v>0</v>
      </c>
      <c r="N498" s="594" t="str">
        <f>INDEX(tblSubjectToLoan[Date],ROW()-ROW(tblContractForDeed[#Headers]))</f>
        <v/>
      </c>
      <c r="O498" s="276">
        <f>IF(ROW()=ROW(tblContractForDeed[#Headers])+1,$O$6,IF(INDEX(tblContractForDeed[End Bal],ROW()-ROW(tblContractForDeed[#Headers])-1)&lt;0,0,INDEX(tblContractForDeed[End Bal],ROW()-ROW(tblContractForDeed[#Headers])-1)))</f>
        <v>0</v>
      </c>
      <c r="P498" s="447"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6">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595" t="str">
        <f t="shared" si="107"/>
        <v/>
      </c>
      <c r="B499" s="328">
        <f t="shared" si="108"/>
        <v>0</v>
      </c>
      <c r="C499" s="21">
        <f t="shared" si="105"/>
        <v>0</v>
      </c>
      <c r="D499" s="21">
        <f t="shared" si="109"/>
        <v>0</v>
      </c>
      <c r="E499" s="21">
        <f t="shared" si="106"/>
        <v>0</v>
      </c>
      <c r="F499" s="21"/>
      <c r="G499" s="21"/>
      <c r="H499" s="21"/>
      <c r="I499" s="328"/>
      <c r="J499" s="328"/>
      <c r="K499" s="328">
        <f t="shared" si="110"/>
        <v>0</v>
      </c>
      <c r="L499" s="389">
        <f t="shared" si="101"/>
        <v>0</v>
      </c>
      <c r="M499" s="389">
        <f t="shared" si="111"/>
        <v>0</v>
      </c>
      <c r="N499" s="595" t="str">
        <f>INDEX(tblSubjectToLoan[Date],ROW()-ROW(tblContractForDeed[#Headers]))</f>
        <v/>
      </c>
      <c r="O499" s="276">
        <f>IF(ROW()=ROW(tblContractForDeed[#Headers])+1,$O$6,IF(INDEX(tblContractForDeed[End Bal],ROW()-ROW(tblContractForDeed[#Headers])-1)&lt;0,0,INDEX(tblContractForDeed[End Bal],ROW()-ROW(tblContractForDeed[#Headers])-1)))</f>
        <v>0</v>
      </c>
      <c r="P499" s="447"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6">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8">
        <f>IF(INDEX(tblContractForDeed[End Bal],ROW()-ROW(tblBuyerOutputs[#Headers]))&lt;=0,0,($O$6+IF(ROW()=ROW(tblBuyerOutputs[#Headers])+1,0,INDEX(tblBuyerOutputs[Cumul Appr],ROW()-ROW(tblBuyerOutputs[#Headers])-1)))*$O$2/12)</f>
        <v>0</v>
      </c>
      <c r="AE499" s="328">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594" t="str">
        <f t="shared" si="107"/>
        <v/>
      </c>
      <c r="B500" s="276">
        <f t="shared" si="108"/>
        <v>0</v>
      </c>
      <c r="C500" s="14">
        <f t="shared" si="105"/>
        <v>0</v>
      </c>
      <c r="D500" s="14">
        <f t="shared" si="109"/>
        <v>0</v>
      </c>
      <c r="E500" s="14">
        <f t="shared" si="106"/>
        <v>0</v>
      </c>
      <c r="K500" s="276">
        <f t="shared" si="110"/>
        <v>0</v>
      </c>
      <c r="L500" s="388">
        <f t="shared" ref="L500:L563" si="116">IF(MOD(M500,12)=0,M500/12,L499)</f>
        <v>0</v>
      </c>
      <c r="M500" s="388">
        <f t="shared" si="111"/>
        <v>0</v>
      </c>
      <c r="N500" s="594" t="str">
        <f>INDEX(tblSubjectToLoan[Date],ROW()-ROW(tblContractForDeed[#Headers]))</f>
        <v/>
      </c>
      <c r="O500" s="276">
        <f>IF(ROW()=ROW(tblContractForDeed[#Headers])+1,$O$6,IF(INDEX(tblContractForDeed[End Bal],ROW()-ROW(tblContractForDeed[#Headers])-1)&lt;0,0,INDEX(tblContractForDeed[End Bal],ROW()-ROW(tblContractForDeed[#Headers])-1)))</f>
        <v>0</v>
      </c>
      <c r="P500" s="447"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6">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594" t="str">
        <f t="shared" si="107"/>
        <v/>
      </c>
      <c r="B501" s="276">
        <f t="shared" si="108"/>
        <v>0</v>
      </c>
      <c r="C501" s="14">
        <f t="shared" si="105"/>
        <v>0</v>
      </c>
      <c r="D501" s="14">
        <f t="shared" si="109"/>
        <v>0</v>
      </c>
      <c r="E501" s="14">
        <f t="shared" si="106"/>
        <v>0</v>
      </c>
      <c r="K501" s="276">
        <f t="shared" si="110"/>
        <v>0</v>
      </c>
      <c r="L501" s="388">
        <f t="shared" si="116"/>
        <v>0</v>
      </c>
      <c r="M501" s="388">
        <f t="shared" si="111"/>
        <v>0</v>
      </c>
      <c r="N501" s="594" t="str">
        <f>INDEX(tblSubjectToLoan[Date],ROW()-ROW(tblContractForDeed[#Headers]))</f>
        <v/>
      </c>
      <c r="O501" s="276">
        <f>IF(ROW()=ROW(tblContractForDeed[#Headers])+1,$O$6,IF(INDEX(tblContractForDeed[End Bal],ROW()-ROW(tblContractForDeed[#Headers])-1)&lt;0,0,INDEX(tblContractForDeed[End Bal],ROW()-ROW(tblContractForDeed[#Headers])-1)))</f>
        <v>0</v>
      </c>
      <c r="P501" s="447"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6">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594" t="str">
        <f t="shared" si="107"/>
        <v/>
      </c>
      <c r="B502" s="276">
        <f t="shared" si="108"/>
        <v>0</v>
      </c>
      <c r="C502" s="14">
        <f t="shared" si="105"/>
        <v>0</v>
      </c>
      <c r="D502" s="14">
        <f t="shared" si="109"/>
        <v>0</v>
      </c>
      <c r="E502" s="14">
        <f t="shared" si="106"/>
        <v>0</v>
      </c>
      <c r="K502" s="276">
        <f t="shared" si="110"/>
        <v>0</v>
      </c>
      <c r="L502" s="388">
        <f t="shared" si="116"/>
        <v>0</v>
      </c>
      <c r="M502" s="388">
        <f t="shared" si="111"/>
        <v>0</v>
      </c>
      <c r="N502" s="594" t="str">
        <f>INDEX(tblSubjectToLoan[Date],ROW()-ROW(tblContractForDeed[#Headers]))</f>
        <v/>
      </c>
      <c r="O502" s="276">
        <f>IF(ROW()=ROW(tblContractForDeed[#Headers])+1,$O$6,IF(INDEX(tblContractForDeed[End Bal],ROW()-ROW(tblContractForDeed[#Headers])-1)&lt;0,0,INDEX(tblContractForDeed[End Bal],ROW()-ROW(tblContractForDeed[#Headers])-1)))</f>
        <v>0</v>
      </c>
      <c r="P502" s="447"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6">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594" t="str">
        <f t="shared" si="107"/>
        <v/>
      </c>
      <c r="B503" s="276">
        <f t="shared" si="108"/>
        <v>0</v>
      </c>
      <c r="C503" s="14">
        <f t="shared" si="105"/>
        <v>0</v>
      </c>
      <c r="D503" s="14">
        <f t="shared" si="109"/>
        <v>0</v>
      </c>
      <c r="E503" s="14">
        <f t="shared" si="106"/>
        <v>0</v>
      </c>
      <c r="K503" s="276">
        <f t="shared" si="110"/>
        <v>0</v>
      </c>
      <c r="L503" s="388">
        <f t="shared" si="116"/>
        <v>0</v>
      </c>
      <c r="M503" s="388">
        <f t="shared" si="111"/>
        <v>0</v>
      </c>
      <c r="N503" s="594" t="str">
        <f>INDEX(tblSubjectToLoan[Date],ROW()-ROW(tblContractForDeed[#Headers]))</f>
        <v/>
      </c>
      <c r="O503" s="276">
        <f>IF(ROW()=ROW(tblContractForDeed[#Headers])+1,$O$6,IF(INDEX(tblContractForDeed[End Bal],ROW()-ROW(tblContractForDeed[#Headers])-1)&lt;0,0,INDEX(tblContractForDeed[End Bal],ROW()-ROW(tblContractForDeed[#Headers])-1)))</f>
        <v>0</v>
      </c>
      <c r="P503" s="447"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6">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594" t="str">
        <f t="shared" si="107"/>
        <v/>
      </c>
      <c r="B504" s="276">
        <f t="shared" si="108"/>
        <v>0</v>
      </c>
      <c r="C504" s="14">
        <f t="shared" si="105"/>
        <v>0</v>
      </c>
      <c r="D504" s="14">
        <f t="shared" si="109"/>
        <v>0</v>
      </c>
      <c r="E504" s="14">
        <f t="shared" si="106"/>
        <v>0</v>
      </c>
      <c r="K504" s="276">
        <f t="shared" si="110"/>
        <v>0</v>
      </c>
      <c r="L504" s="388">
        <f t="shared" si="116"/>
        <v>0</v>
      </c>
      <c r="M504" s="388">
        <f t="shared" si="111"/>
        <v>0</v>
      </c>
      <c r="N504" s="594" t="str">
        <f>INDEX(tblSubjectToLoan[Date],ROW()-ROW(tblContractForDeed[#Headers]))</f>
        <v/>
      </c>
      <c r="O504" s="276">
        <f>IF(ROW()=ROW(tblContractForDeed[#Headers])+1,$O$6,IF(INDEX(tblContractForDeed[End Bal],ROW()-ROW(tblContractForDeed[#Headers])-1)&lt;0,0,INDEX(tblContractForDeed[End Bal],ROW()-ROW(tblContractForDeed[#Headers])-1)))</f>
        <v>0</v>
      </c>
      <c r="P504" s="447"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6">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594" t="str">
        <f t="shared" si="107"/>
        <v/>
      </c>
      <c r="B505" s="276">
        <f t="shared" si="108"/>
        <v>0</v>
      </c>
      <c r="C505" s="14">
        <f t="shared" si="105"/>
        <v>0</v>
      </c>
      <c r="D505" s="14">
        <f t="shared" si="109"/>
        <v>0</v>
      </c>
      <c r="E505" s="14">
        <f t="shared" si="106"/>
        <v>0</v>
      </c>
      <c r="K505" s="276">
        <f t="shared" si="110"/>
        <v>0</v>
      </c>
      <c r="L505" s="388">
        <f t="shared" si="116"/>
        <v>0</v>
      </c>
      <c r="M505" s="388">
        <f t="shared" si="111"/>
        <v>0</v>
      </c>
      <c r="N505" s="594" t="str">
        <f>INDEX(tblSubjectToLoan[Date],ROW()-ROW(tblContractForDeed[#Headers]))</f>
        <v/>
      </c>
      <c r="O505" s="276">
        <f>IF(ROW()=ROW(tblContractForDeed[#Headers])+1,$O$6,IF(INDEX(tblContractForDeed[End Bal],ROW()-ROW(tblContractForDeed[#Headers])-1)&lt;0,0,INDEX(tblContractForDeed[End Bal],ROW()-ROW(tblContractForDeed[#Headers])-1)))</f>
        <v>0</v>
      </c>
      <c r="P505" s="447"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6">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594" t="str">
        <f t="shared" si="107"/>
        <v/>
      </c>
      <c r="B506" s="276">
        <f t="shared" si="108"/>
        <v>0</v>
      </c>
      <c r="C506" s="14">
        <f t="shared" si="105"/>
        <v>0</v>
      </c>
      <c r="D506" s="14">
        <f t="shared" si="109"/>
        <v>0</v>
      </c>
      <c r="E506" s="14">
        <f t="shared" si="106"/>
        <v>0</v>
      </c>
      <c r="K506" s="276">
        <f t="shared" si="110"/>
        <v>0</v>
      </c>
      <c r="L506" s="388">
        <f t="shared" si="116"/>
        <v>0</v>
      </c>
      <c r="M506" s="388">
        <f t="shared" si="111"/>
        <v>0</v>
      </c>
      <c r="N506" s="594" t="str">
        <f>INDEX(tblSubjectToLoan[Date],ROW()-ROW(tblContractForDeed[#Headers]))</f>
        <v/>
      </c>
      <c r="O506" s="276">
        <f>IF(ROW()=ROW(tblContractForDeed[#Headers])+1,$O$6,IF(INDEX(tblContractForDeed[End Bal],ROW()-ROW(tblContractForDeed[#Headers])-1)&lt;0,0,INDEX(tblContractForDeed[End Bal],ROW()-ROW(tblContractForDeed[#Headers])-1)))</f>
        <v>0</v>
      </c>
      <c r="P506" s="447"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6">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594" t="str">
        <f t="shared" si="107"/>
        <v/>
      </c>
      <c r="B507" s="276">
        <f t="shared" si="108"/>
        <v>0</v>
      </c>
      <c r="C507" s="14">
        <f t="shared" si="105"/>
        <v>0</v>
      </c>
      <c r="D507" s="14">
        <f t="shared" si="109"/>
        <v>0</v>
      </c>
      <c r="E507" s="14">
        <f t="shared" si="106"/>
        <v>0</v>
      </c>
      <c r="K507" s="276">
        <f t="shared" si="110"/>
        <v>0</v>
      </c>
      <c r="L507" s="388">
        <f t="shared" si="116"/>
        <v>0</v>
      </c>
      <c r="M507" s="388">
        <f t="shared" si="111"/>
        <v>0</v>
      </c>
      <c r="N507" s="594" t="str">
        <f>INDEX(tblSubjectToLoan[Date],ROW()-ROW(tblContractForDeed[#Headers]))</f>
        <v/>
      </c>
      <c r="O507" s="276">
        <f>IF(ROW()=ROW(tblContractForDeed[#Headers])+1,$O$6,IF(INDEX(tblContractForDeed[End Bal],ROW()-ROW(tblContractForDeed[#Headers])-1)&lt;0,0,INDEX(tblContractForDeed[End Bal],ROW()-ROW(tblContractForDeed[#Headers])-1)))</f>
        <v>0</v>
      </c>
      <c r="P507" s="447"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6">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594" t="str">
        <f t="shared" si="107"/>
        <v/>
      </c>
      <c r="B508" s="276">
        <f t="shared" si="108"/>
        <v>0</v>
      </c>
      <c r="C508" s="14">
        <f t="shared" si="105"/>
        <v>0</v>
      </c>
      <c r="D508" s="14">
        <f t="shared" si="109"/>
        <v>0</v>
      </c>
      <c r="E508" s="14">
        <f t="shared" si="106"/>
        <v>0</v>
      </c>
      <c r="K508" s="276">
        <f t="shared" si="110"/>
        <v>0</v>
      </c>
      <c r="L508" s="388">
        <f t="shared" si="116"/>
        <v>0</v>
      </c>
      <c r="M508" s="388">
        <f t="shared" si="111"/>
        <v>0</v>
      </c>
      <c r="N508" s="594" t="str">
        <f>INDEX(tblSubjectToLoan[Date],ROW()-ROW(tblContractForDeed[#Headers]))</f>
        <v/>
      </c>
      <c r="O508" s="276">
        <f>IF(ROW()=ROW(tblContractForDeed[#Headers])+1,$O$6,IF(INDEX(tblContractForDeed[End Bal],ROW()-ROW(tblContractForDeed[#Headers])-1)&lt;0,0,INDEX(tblContractForDeed[End Bal],ROW()-ROW(tblContractForDeed[#Headers])-1)))</f>
        <v>0</v>
      </c>
      <c r="P508" s="447"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6">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594" t="str">
        <f t="shared" si="107"/>
        <v/>
      </c>
      <c r="B509" s="276">
        <f t="shared" si="108"/>
        <v>0</v>
      </c>
      <c r="C509" s="14">
        <f t="shared" si="105"/>
        <v>0</v>
      </c>
      <c r="D509" s="14">
        <f t="shared" si="109"/>
        <v>0</v>
      </c>
      <c r="E509" s="14">
        <f t="shared" si="106"/>
        <v>0</v>
      </c>
      <c r="K509" s="276">
        <f t="shared" si="110"/>
        <v>0</v>
      </c>
      <c r="L509" s="388">
        <f t="shared" si="116"/>
        <v>0</v>
      </c>
      <c r="M509" s="388">
        <f t="shared" si="111"/>
        <v>0</v>
      </c>
      <c r="N509" s="594" t="str">
        <f>INDEX(tblSubjectToLoan[Date],ROW()-ROW(tblContractForDeed[#Headers]))</f>
        <v/>
      </c>
      <c r="O509" s="276">
        <f>IF(ROW()=ROW(tblContractForDeed[#Headers])+1,$O$6,IF(INDEX(tblContractForDeed[End Bal],ROW()-ROW(tblContractForDeed[#Headers])-1)&lt;0,0,INDEX(tblContractForDeed[End Bal],ROW()-ROW(tblContractForDeed[#Headers])-1)))</f>
        <v>0</v>
      </c>
      <c r="P509" s="447"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6">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594" t="str">
        <f t="shared" si="107"/>
        <v/>
      </c>
      <c r="B510" s="276">
        <f t="shared" si="108"/>
        <v>0</v>
      </c>
      <c r="C510" s="14">
        <f t="shared" si="105"/>
        <v>0</v>
      </c>
      <c r="D510" s="14">
        <f t="shared" si="109"/>
        <v>0</v>
      </c>
      <c r="E510" s="14">
        <f t="shared" si="106"/>
        <v>0</v>
      </c>
      <c r="K510" s="276">
        <f t="shared" si="110"/>
        <v>0</v>
      </c>
      <c r="L510" s="388">
        <f t="shared" si="116"/>
        <v>0</v>
      </c>
      <c r="M510" s="388">
        <f t="shared" si="111"/>
        <v>0</v>
      </c>
      <c r="N510" s="594" t="str">
        <f>INDEX(tblSubjectToLoan[Date],ROW()-ROW(tblContractForDeed[#Headers]))</f>
        <v/>
      </c>
      <c r="O510" s="276">
        <f>IF(ROW()=ROW(tblContractForDeed[#Headers])+1,$O$6,IF(INDEX(tblContractForDeed[End Bal],ROW()-ROW(tblContractForDeed[#Headers])-1)&lt;0,0,INDEX(tblContractForDeed[End Bal],ROW()-ROW(tblContractForDeed[#Headers])-1)))</f>
        <v>0</v>
      </c>
      <c r="P510" s="447"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6">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595" t="str">
        <f t="shared" si="107"/>
        <v/>
      </c>
      <c r="B511" s="328">
        <f t="shared" si="108"/>
        <v>0</v>
      </c>
      <c r="C511" s="21">
        <f t="shared" si="105"/>
        <v>0</v>
      </c>
      <c r="D511" s="21">
        <f t="shared" si="109"/>
        <v>0</v>
      </c>
      <c r="E511" s="21">
        <f t="shared" si="106"/>
        <v>0</v>
      </c>
      <c r="F511" s="21"/>
      <c r="G511" s="21"/>
      <c r="H511" s="21"/>
      <c r="I511" s="328"/>
      <c r="J511" s="328"/>
      <c r="K511" s="328">
        <f t="shared" si="110"/>
        <v>0</v>
      </c>
      <c r="L511" s="389">
        <f t="shared" si="116"/>
        <v>0</v>
      </c>
      <c r="M511" s="389">
        <f t="shared" si="111"/>
        <v>0</v>
      </c>
      <c r="N511" s="595" t="str">
        <f>INDEX(tblSubjectToLoan[Date],ROW()-ROW(tblContractForDeed[#Headers]))</f>
        <v/>
      </c>
      <c r="O511" s="276">
        <f>IF(ROW()=ROW(tblContractForDeed[#Headers])+1,$O$6,IF(INDEX(tblContractForDeed[End Bal],ROW()-ROW(tblContractForDeed[#Headers])-1)&lt;0,0,INDEX(tblContractForDeed[End Bal],ROW()-ROW(tblContractForDeed[#Headers])-1)))</f>
        <v>0</v>
      </c>
      <c r="P511" s="447"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6">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8">
        <f>IF(INDEX(tblContractForDeed[End Bal],ROW()-ROW(tblBuyerOutputs[#Headers]))&lt;=0,0,($O$6+IF(ROW()=ROW(tblBuyerOutputs[#Headers])+1,0,INDEX(tblBuyerOutputs[Cumul Appr],ROW()-ROW(tblBuyerOutputs[#Headers])-1)))*$O$2/12)</f>
        <v>0</v>
      </c>
      <c r="AE511" s="328">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594" t="str">
        <f t="shared" si="107"/>
        <v/>
      </c>
      <c r="B512" s="276">
        <f t="shared" si="108"/>
        <v>0</v>
      </c>
      <c r="C512" s="14">
        <f t="shared" si="105"/>
        <v>0</v>
      </c>
      <c r="D512" s="14">
        <f t="shared" si="109"/>
        <v>0</v>
      </c>
      <c r="E512" s="14">
        <f t="shared" si="106"/>
        <v>0</v>
      </c>
      <c r="K512" s="276">
        <f t="shared" si="110"/>
        <v>0</v>
      </c>
      <c r="L512" s="388">
        <f t="shared" si="116"/>
        <v>0</v>
      </c>
      <c r="M512" s="388">
        <f t="shared" si="111"/>
        <v>0</v>
      </c>
      <c r="N512" s="594" t="str">
        <f>INDEX(tblSubjectToLoan[Date],ROW()-ROW(tblContractForDeed[#Headers]))</f>
        <v/>
      </c>
      <c r="O512" s="276">
        <f>IF(ROW()=ROW(tblContractForDeed[#Headers])+1,$O$6,IF(INDEX(tblContractForDeed[End Bal],ROW()-ROW(tblContractForDeed[#Headers])-1)&lt;0,0,INDEX(tblContractForDeed[End Bal],ROW()-ROW(tblContractForDeed[#Headers])-1)))</f>
        <v>0</v>
      </c>
      <c r="P512" s="447"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6">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594" t="str">
        <f t="shared" si="107"/>
        <v/>
      </c>
      <c r="B513" s="276">
        <f t="shared" si="108"/>
        <v>0</v>
      </c>
      <c r="C513" s="14">
        <f t="shared" si="105"/>
        <v>0</v>
      </c>
      <c r="D513" s="14">
        <f t="shared" si="109"/>
        <v>0</v>
      </c>
      <c r="E513" s="14">
        <f t="shared" si="106"/>
        <v>0</v>
      </c>
      <c r="K513" s="276">
        <f t="shared" si="110"/>
        <v>0</v>
      </c>
      <c r="L513" s="388">
        <f t="shared" si="116"/>
        <v>0</v>
      </c>
      <c r="M513" s="388">
        <f t="shared" si="111"/>
        <v>0</v>
      </c>
      <c r="N513" s="594" t="str">
        <f>INDEX(tblSubjectToLoan[Date],ROW()-ROW(tblContractForDeed[#Headers]))</f>
        <v/>
      </c>
      <c r="O513" s="276">
        <f>IF(ROW()=ROW(tblContractForDeed[#Headers])+1,$O$6,IF(INDEX(tblContractForDeed[End Bal],ROW()-ROW(tblContractForDeed[#Headers])-1)&lt;0,0,INDEX(tblContractForDeed[End Bal],ROW()-ROW(tblContractForDeed[#Headers])-1)))</f>
        <v>0</v>
      </c>
      <c r="P513" s="447"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6">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594" t="str">
        <f t="shared" si="107"/>
        <v/>
      </c>
      <c r="B514" s="276">
        <f t="shared" si="108"/>
        <v>0</v>
      </c>
      <c r="C514" s="14">
        <f t="shared" si="105"/>
        <v>0</v>
      </c>
      <c r="D514" s="14">
        <f t="shared" si="109"/>
        <v>0</v>
      </c>
      <c r="E514" s="14">
        <f t="shared" si="106"/>
        <v>0</v>
      </c>
      <c r="K514" s="276">
        <f t="shared" si="110"/>
        <v>0</v>
      </c>
      <c r="L514" s="388">
        <f t="shared" si="116"/>
        <v>0</v>
      </c>
      <c r="M514" s="388">
        <f t="shared" si="111"/>
        <v>0</v>
      </c>
      <c r="N514" s="594" t="str">
        <f>INDEX(tblSubjectToLoan[Date],ROW()-ROW(tblContractForDeed[#Headers]))</f>
        <v/>
      </c>
      <c r="O514" s="276">
        <f>IF(ROW()=ROW(tblContractForDeed[#Headers])+1,$O$6,IF(INDEX(tblContractForDeed[End Bal],ROW()-ROW(tblContractForDeed[#Headers])-1)&lt;0,0,INDEX(tblContractForDeed[End Bal],ROW()-ROW(tblContractForDeed[#Headers])-1)))</f>
        <v>0</v>
      </c>
      <c r="P514" s="447"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6">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594" t="str">
        <f t="shared" si="107"/>
        <v/>
      </c>
      <c r="B515" s="276">
        <f t="shared" si="108"/>
        <v>0</v>
      </c>
      <c r="C515" s="14">
        <f t="shared" si="105"/>
        <v>0</v>
      </c>
      <c r="D515" s="14">
        <f t="shared" si="109"/>
        <v>0</v>
      </c>
      <c r="E515" s="14">
        <f t="shared" si="106"/>
        <v>0</v>
      </c>
      <c r="K515" s="276">
        <f t="shared" si="110"/>
        <v>0</v>
      </c>
      <c r="L515" s="388">
        <f t="shared" si="116"/>
        <v>0</v>
      </c>
      <c r="M515" s="388">
        <f t="shared" si="111"/>
        <v>0</v>
      </c>
      <c r="N515" s="594" t="str">
        <f>INDEX(tblSubjectToLoan[Date],ROW()-ROW(tblContractForDeed[#Headers]))</f>
        <v/>
      </c>
      <c r="O515" s="276">
        <f>IF(ROW()=ROW(tblContractForDeed[#Headers])+1,$O$6,IF(INDEX(tblContractForDeed[End Bal],ROW()-ROW(tblContractForDeed[#Headers])-1)&lt;0,0,INDEX(tblContractForDeed[End Bal],ROW()-ROW(tblContractForDeed[#Headers])-1)))</f>
        <v>0</v>
      </c>
      <c r="P515" s="447"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6">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594" t="str">
        <f t="shared" si="107"/>
        <v/>
      </c>
      <c r="B516" s="276">
        <f t="shared" si="108"/>
        <v>0</v>
      </c>
      <c r="C516" s="14">
        <f t="shared" si="105"/>
        <v>0</v>
      </c>
      <c r="D516" s="14">
        <f t="shared" si="109"/>
        <v>0</v>
      </c>
      <c r="E516" s="14">
        <f t="shared" si="106"/>
        <v>0</v>
      </c>
      <c r="K516" s="276">
        <f t="shared" si="110"/>
        <v>0</v>
      </c>
      <c r="L516" s="388">
        <f t="shared" si="116"/>
        <v>0</v>
      </c>
      <c r="M516" s="388">
        <f t="shared" si="111"/>
        <v>0</v>
      </c>
      <c r="N516" s="594" t="str">
        <f>INDEX(tblSubjectToLoan[Date],ROW()-ROW(tblContractForDeed[#Headers]))</f>
        <v/>
      </c>
      <c r="O516" s="276">
        <f>IF(ROW()=ROW(tblContractForDeed[#Headers])+1,$O$6,IF(INDEX(tblContractForDeed[End Bal],ROW()-ROW(tblContractForDeed[#Headers])-1)&lt;0,0,INDEX(tblContractForDeed[End Bal],ROW()-ROW(tblContractForDeed[#Headers])-1)))</f>
        <v>0</v>
      </c>
      <c r="P516" s="447"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6">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594" t="str">
        <f t="shared" si="107"/>
        <v/>
      </c>
      <c r="B517" s="276">
        <f t="shared" si="108"/>
        <v>0</v>
      </c>
      <c r="C517" s="14">
        <f t="shared" si="105"/>
        <v>0</v>
      </c>
      <c r="D517" s="14">
        <f t="shared" si="109"/>
        <v>0</v>
      </c>
      <c r="E517" s="14">
        <f t="shared" si="106"/>
        <v>0</v>
      </c>
      <c r="K517" s="276">
        <f t="shared" si="110"/>
        <v>0</v>
      </c>
      <c r="L517" s="388">
        <f t="shared" si="116"/>
        <v>0</v>
      </c>
      <c r="M517" s="388">
        <f t="shared" si="111"/>
        <v>0</v>
      </c>
      <c r="N517" s="594" t="str">
        <f>INDEX(tblSubjectToLoan[Date],ROW()-ROW(tblContractForDeed[#Headers]))</f>
        <v/>
      </c>
      <c r="O517" s="276">
        <f>IF(ROW()=ROW(tblContractForDeed[#Headers])+1,$O$6,IF(INDEX(tblContractForDeed[End Bal],ROW()-ROW(tblContractForDeed[#Headers])-1)&lt;0,0,INDEX(tblContractForDeed[End Bal],ROW()-ROW(tblContractForDeed[#Headers])-1)))</f>
        <v>0</v>
      </c>
      <c r="P517" s="447"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6">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594" t="str">
        <f t="shared" si="107"/>
        <v/>
      </c>
      <c r="B518" s="276">
        <f t="shared" si="108"/>
        <v>0</v>
      </c>
      <c r="C518" s="14">
        <f t="shared" si="105"/>
        <v>0</v>
      </c>
      <c r="D518" s="14">
        <f t="shared" si="109"/>
        <v>0</v>
      </c>
      <c r="E518" s="14">
        <f t="shared" si="106"/>
        <v>0</v>
      </c>
      <c r="K518" s="276">
        <f t="shared" si="110"/>
        <v>0</v>
      </c>
      <c r="L518" s="388">
        <f t="shared" si="116"/>
        <v>0</v>
      </c>
      <c r="M518" s="388">
        <f t="shared" si="111"/>
        <v>0</v>
      </c>
      <c r="N518" s="594" t="str">
        <f>INDEX(tblSubjectToLoan[Date],ROW()-ROW(tblContractForDeed[#Headers]))</f>
        <v/>
      </c>
      <c r="O518" s="276">
        <f>IF(ROW()=ROW(tblContractForDeed[#Headers])+1,$O$6,IF(INDEX(tblContractForDeed[End Bal],ROW()-ROW(tblContractForDeed[#Headers])-1)&lt;0,0,INDEX(tblContractForDeed[End Bal],ROW()-ROW(tblContractForDeed[#Headers])-1)))</f>
        <v>0</v>
      </c>
      <c r="P518" s="447"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6">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594" t="str">
        <f t="shared" si="107"/>
        <v/>
      </c>
      <c r="B519" s="276">
        <f t="shared" si="108"/>
        <v>0</v>
      </c>
      <c r="C519" s="14">
        <f t="shared" si="105"/>
        <v>0</v>
      </c>
      <c r="D519" s="14">
        <f t="shared" si="109"/>
        <v>0</v>
      </c>
      <c r="E519" s="14">
        <f t="shared" si="106"/>
        <v>0</v>
      </c>
      <c r="K519" s="276">
        <f t="shared" si="110"/>
        <v>0</v>
      </c>
      <c r="L519" s="388">
        <f t="shared" si="116"/>
        <v>0</v>
      </c>
      <c r="M519" s="388">
        <f t="shared" si="111"/>
        <v>0</v>
      </c>
      <c r="N519" s="594" t="str">
        <f>INDEX(tblSubjectToLoan[Date],ROW()-ROW(tblContractForDeed[#Headers]))</f>
        <v/>
      </c>
      <c r="O519" s="276">
        <f>IF(ROW()=ROW(tblContractForDeed[#Headers])+1,$O$6,IF(INDEX(tblContractForDeed[End Bal],ROW()-ROW(tblContractForDeed[#Headers])-1)&lt;0,0,INDEX(tblContractForDeed[End Bal],ROW()-ROW(tblContractForDeed[#Headers])-1)))</f>
        <v>0</v>
      </c>
      <c r="P519" s="447"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6">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594" t="str">
        <f t="shared" si="107"/>
        <v/>
      </c>
      <c r="B520" s="276">
        <f t="shared" si="108"/>
        <v>0</v>
      </c>
      <c r="C520" s="14">
        <f t="shared" si="105"/>
        <v>0</v>
      </c>
      <c r="D520" s="14">
        <f t="shared" si="109"/>
        <v>0</v>
      </c>
      <c r="E520" s="14">
        <f t="shared" si="106"/>
        <v>0</v>
      </c>
      <c r="K520" s="276">
        <f t="shared" si="110"/>
        <v>0</v>
      </c>
      <c r="L520" s="388">
        <f t="shared" si="116"/>
        <v>0</v>
      </c>
      <c r="M520" s="388">
        <f t="shared" si="111"/>
        <v>0</v>
      </c>
      <c r="N520" s="594" t="str">
        <f>INDEX(tblSubjectToLoan[Date],ROW()-ROW(tblContractForDeed[#Headers]))</f>
        <v/>
      </c>
      <c r="O520" s="276">
        <f>IF(ROW()=ROW(tblContractForDeed[#Headers])+1,$O$6,IF(INDEX(tblContractForDeed[End Bal],ROW()-ROW(tblContractForDeed[#Headers])-1)&lt;0,0,INDEX(tblContractForDeed[End Bal],ROW()-ROW(tblContractForDeed[#Headers])-1)))</f>
        <v>0</v>
      </c>
      <c r="P520" s="447"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6">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594" t="str">
        <f t="shared" si="107"/>
        <v/>
      </c>
      <c r="B521" s="276">
        <f t="shared" si="108"/>
        <v>0</v>
      </c>
      <c r="C521" s="14">
        <f t="shared" si="105"/>
        <v>0</v>
      </c>
      <c r="D521" s="14">
        <f t="shared" si="109"/>
        <v>0</v>
      </c>
      <c r="E521" s="14">
        <f t="shared" si="106"/>
        <v>0</v>
      </c>
      <c r="K521" s="276">
        <f t="shared" si="110"/>
        <v>0</v>
      </c>
      <c r="L521" s="388">
        <f t="shared" si="116"/>
        <v>0</v>
      </c>
      <c r="M521" s="388">
        <f t="shared" si="111"/>
        <v>0</v>
      </c>
      <c r="N521" s="594" t="str">
        <f>INDEX(tblSubjectToLoan[Date],ROW()-ROW(tblContractForDeed[#Headers]))</f>
        <v/>
      </c>
      <c r="O521" s="276">
        <f>IF(ROW()=ROW(tblContractForDeed[#Headers])+1,$O$6,IF(INDEX(tblContractForDeed[End Bal],ROW()-ROW(tblContractForDeed[#Headers])-1)&lt;0,0,INDEX(tblContractForDeed[End Bal],ROW()-ROW(tblContractForDeed[#Headers])-1)))</f>
        <v>0</v>
      </c>
      <c r="P521" s="447"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6">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594" t="str">
        <f t="shared" si="107"/>
        <v/>
      </c>
      <c r="B522" s="276">
        <f t="shared" si="108"/>
        <v>0</v>
      </c>
      <c r="C522" s="14">
        <f t="shared" si="105"/>
        <v>0</v>
      </c>
      <c r="D522" s="14">
        <f t="shared" si="109"/>
        <v>0</v>
      </c>
      <c r="E522" s="14">
        <f t="shared" si="106"/>
        <v>0</v>
      </c>
      <c r="K522" s="276">
        <f t="shared" si="110"/>
        <v>0</v>
      </c>
      <c r="L522" s="388">
        <f t="shared" si="116"/>
        <v>0</v>
      </c>
      <c r="M522" s="388">
        <f t="shared" si="111"/>
        <v>0</v>
      </c>
      <c r="N522" s="594" t="str">
        <f>INDEX(tblSubjectToLoan[Date],ROW()-ROW(tblContractForDeed[#Headers]))</f>
        <v/>
      </c>
      <c r="O522" s="276">
        <f>IF(ROW()=ROW(tblContractForDeed[#Headers])+1,$O$6,IF(INDEX(tblContractForDeed[End Bal],ROW()-ROW(tblContractForDeed[#Headers])-1)&lt;0,0,INDEX(tblContractForDeed[End Bal],ROW()-ROW(tblContractForDeed[#Headers])-1)))</f>
        <v>0</v>
      </c>
      <c r="P522" s="447"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6">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595" t="str">
        <f t="shared" si="107"/>
        <v/>
      </c>
      <c r="B523" s="328">
        <f t="shared" si="108"/>
        <v>0</v>
      </c>
      <c r="C523" s="21">
        <f t="shared" si="105"/>
        <v>0</v>
      </c>
      <c r="D523" s="21">
        <f t="shared" si="109"/>
        <v>0</v>
      </c>
      <c r="E523" s="21">
        <f t="shared" si="106"/>
        <v>0</v>
      </c>
      <c r="F523" s="21"/>
      <c r="G523" s="21"/>
      <c r="H523" s="21"/>
      <c r="I523" s="328"/>
      <c r="J523" s="328"/>
      <c r="K523" s="328">
        <f t="shared" si="110"/>
        <v>0</v>
      </c>
      <c r="L523" s="389">
        <f t="shared" si="116"/>
        <v>0</v>
      </c>
      <c r="M523" s="389">
        <f t="shared" si="111"/>
        <v>0</v>
      </c>
      <c r="N523" s="595" t="str">
        <f>INDEX(tblSubjectToLoan[Date],ROW()-ROW(tblContractForDeed[#Headers]))</f>
        <v/>
      </c>
      <c r="O523" s="276">
        <f>IF(ROW()=ROW(tblContractForDeed[#Headers])+1,$O$6,IF(INDEX(tblContractForDeed[End Bal],ROW()-ROW(tblContractForDeed[#Headers])-1)&lt;0,0,INDEX(tblContractForDeed[End Bal],ROW()-ROW(tblContractForDeed[#Headers])-1)))</f>
        <v>0</v>
      </c>
      <c r="P523" s="447"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6">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8">
        <f>IF(INDEX(tblContractForDeed[End Bal],ROW()-ROW(tblBuyerOutputs[#Headers]))&lt;=0,0,($O$6+IF(ROW()=ROW(tblBuyerOutputs[#Headers])+1,0,INDEX(tblBuyerOutputs[Cumul Appr],ROW()-ROW(tblBuyerOutputs[#Headers])-1)))*$O$2/12)</f>
        <v>0</v>
      </c>
      <c r="AE523" s="328">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594" t="str">
        <f t="shared" si="107"/>
        <v/>
      </c>
      <c r="B524" s="276">
        <f t="shared" si="108"/>
        <v>0</v>
      </c>
      <c r="C524" s="14">
        <f t="shared" si="105"/>
        <v>0</v>
      </c>
      <c r="D524" s="14">
        <f t="shared" si="109"/>
        <v>0</v>
      </c>
      <c r="E524" s="14">
        <f t="shared" si="106"/>
        <v>0</v>
      </c>
      <c r="K524" s="276">
        <f t="shared" si="110"/>
        <v>0</v>
      </c>
      <c r="L524" s="388">
        <f t="shared" si="116"/>
        <v>0</v>
      </c>
      <c r="M524" s="388">
        <f t="shared" si="111"/>
        <v>0</v>
      </c>
      <c r="N524" s="594" t="str">
        <f>INDEX(tblSubjectToLoan[Date],ROW()-ROW(tblContractForDeed[#Headers]))</f>
        <v/>
      </c>
      <c r="O524" s="276">
        <f>IF(ROW()=ROW(tblContractForDeed[#Headers])+1,$O$6,IF(INDEX(tblContractForDeed[End Bal],ROW()-ROW(tblContractForDeed[#Headers])-1)&lt;0,0,INDEX(tblContractForDeed[End Bal],ROW()-ROW(tblContractForDeed[#Headers])-1)))</f>
        <v>0</v>
      </c>
      <c r="P524" s="447"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6">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594" t="str">
        <f t="shared" si="107"/>
        <v/>
      </c>
      <c r="B525" s="276">
        <f t="shared" si="108"/>
        <v>0</v>
      </c>
      <c r="C525" s="14">
        <f t="shared" si="105"/>
        <v>0</v>
      </c>
      <c r="D525" s="14">
        <f t="shared" si="109"/>
        <v>0</v>
      </c>
      <c r="E525" s="14">
        <f t="shared" si="106"/>
        <v>0</v>
      </c>
      <c r="K525" s="276">
        <f t="shared" si="110"/>
        <v>0</v>
      </c>
      <c r="L525" s="388">
        <f t="shared" si="116"/>
        <v>0</v>
      </c>
      <c r="M525" s="388">
        <f t="shared" si="111"/>
        <v>0</v>
      </c>
      <c r="N525" s="594" t="str">
        <f>INDEX(tblSubjectToLoan[Date],ROW()-ROW(tblContractForDeed[#Headers]))</f>
        <v/>
      </c>
      <c r="O525" s="276">
        <f>IF(ROW()=ROW(tblContractForDeed[#Headers])+1,$O$6,IF(INDEX(tblContractForDeed[End Bal],ROW()-ROW(tblContractForDeed[#Headers])-1)&lt;0,0,INDEX(tblContractForDeed[End Bal],ROW()-ROW(tblContractForDeed[#Headers])-1)))</f>
        <v>0</v>
      </c>
      <c r="P525" s="447"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6">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594" t="str">
        <f t="shared" si="107"/>
        <v/>
      </c>
      <c r="B526" s="276">
        <f t="shared" si="108"/>
        <v>0</v>
      </c>
      <c r="C526" s="14">
        <f t="shared" si="105"/>
        <v>0</v>
      </c>
      <c r="D526" s="14">
        <f t="shared" si="109"/>
        <v>0</v>
      </c>
      <c r="E526" s="14">
        <f t="shared" si="106"/>
        <v>0</v>
      </c>
      <c r="K526" s="276">
        <f t="shared" si="110"/>
        <v>0</v>
      </c>
      <c r="L526" s="388">
        <f t="shared" si="116"/>
        <v>0</v>
      </c>
      <c r="M526" s="388">
        <f t="shared" si="111"/>
        <v>0</v>
      </c>
      <c r="N526" s="594" t="str">
        <f>INDEX(tblSubjectToLoan[Date],ROW()-ROW(tblContractForDeed[#Headers]))</f>
        <v/>
      </c>
      <c r="O526" s="276">
        <f>IF(ROW()=ROW(tblContractForDeed[#Headers])+1,$O$6,IF(INDEX(tblContractForDeed[End Bal],ROW()-ROW(tblContractForDeed[#Headers])-1)&lt;0,0,INDEX(tblContractForDeed[End Bal],ROW()-ROW(tblContractForDeed[#Headers])-1)))</f>
        <v>0</v>
      </c>
      <c r="P526" s="447"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6">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594" t="str">
        <f t="shared" si="107"/>
        <v/>
      </c>
      <c r="B527" s="276">
        <f t="shared" si="108"/>
        <v>0</v>
      </c>
      <c r="C527" s="14">
        <f t="shared" si="105"/>
        <v>0</v>
      </c>
      <c r="D527" s="14">
        <f t="shared" si="109"/>
        <v>0</v>
      </c>
      <c r="E527" s="14">
        <f t="shared" si="106"/>
        <v>0</v>
      </c>
      <c r="K527" s="276">
        <f t="shared" si="110"/>
        <v>0</v>
      </c>
      <c r="L527" s="388">
        <f t="shared" si="116"/>
        <v>0</v>
      </c>
      <c r="M527" s="388">
        <f t="shared" si="111"/>
        <v>0</v>
      </c>
      <c r="N527" s="594" t="str">
        <f>INDEX(tblSubjectToLoan[Date],ROW()-ROW(tblContractForDeed[#Headers]))</f>
        <v/>
      </c>
      <c r="O527" s="276">
        <f>IF(ROW()=ROW(tblContractForDeed[#Headers])+1,$O$6,IF(INDEX(tblContractForDeed[End Bal],ROW()-ROW(tblContractForDeed[#Headers])-1)&lt;0,0,INDEX(tblContractForDeed[End Bal],ROW()-ROW(tblContractForDeed[#Headers])-1)))</f>
        <v>0</v>
      </c>
      <c r="P527" s="447"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6">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594" t="str">
        <f t="shared" si="107"/>
        <v/>
      </c>
      <c r="B528" s="276">
        <f t="shared" si="108"/>
        <v>0</v>
      </c>
      <c r="C528" s="14">
        <f t="shared" si="105"/>
        <v>0</v>
      </c>
      <c r="D528" s="14">
        <f t="shared" si="109"/>
        <v>0</v>
      </c>
      <c r="E528" s="14">
        <f t="shared" si="106"/>
        <v>0</v>
      </c>
      <c r="K528" s="276">
        <f t="shared" si="110"/>
        <v>0</v>
      </c>
      <c r="L528" s="388">
        <f t="shared" si="116"/>
        <v>0</v>
      </c>
      <c r="M528" s="388">
        <f t="shared" si="111"/>
        <v>0</v>
      </c>
      <c r="N528" s="594" t="str">
        <f>INDEX(tblSubjectToLoan[Date],ROW()-ROW(tblContractForDeed[#Headers]))</f>
        <v/>
      </c>
      <c r="O528" s="276">
        <f>IF(ROW()=ROW(tblContractForDeed[#Headers])+1,$O$6,IF(INDEX(tblContractForDeed[End Bal],ROW()-ROW(tblContractForDeed[#Headers])-1)&lt;0,0,INDEX(tblContractForDeed[End Bal],ROW()-ROW(tblContractForDeed[#Headers])-1)))</f>
        <v>0</v>
      </c>
      <c r="P528" s="447"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6">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594" t="str">
        <f t="shared" si="107"/>
        <v/>
      </c>
      <c r="B529" s="276">
        <f t="shared" si="108"/>
        <v>0</v>
      </c>
      <c r="C529" s="14">
        <f t="shared" si="105"/>
        <v>0</v>
      </c>
      <c r="D529" s="14">
        <f t="shared" si="109"/>
        <v>0</v>
      </c>
      <c r="E529" s="14">
        <f t="shared" si="106"/>
        <v>0</v>
      </c>
      <c r="K529" s="276">
        <f t="shared" si="110"/>
        <v>0</v>
      </c>
      <c r="L529" s="388">
        <f t="shared" si="116"/>
        <v>0</v>
      </c>
      <c r="M529" s="388">
        <f t="shared" si="111"/>
        <v>0</v>
      </c>
      <c r="N529" s="594" t="str">
        <f>INDEX(tblSubjectToLoan[Date],ROW()-ROW(tblContractForDeed[#Headers]))</f>
        <v/>
      </c>
      <c r="O529" s="276">
        <f>IF(ROW()=ROW(tblContractForDeed[#Headers])+1,$O$6,IF(INDEX(tblContractForDeed[End Bal],ROW()-ROW(tblContractForDeed[#Headers])-1)&lt;0,0,INDEX(tblContractForDeed[End Bal],ROW()-ROW(tblContractForDeed[#Headers])-1)))</f>
        <v>0</v>
      </c>
      <c r="P529" s="447"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6">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594" t="str">
        <f t="shared" si="107"/>
        <v/>
      </c>
      <c r="B530" s="276">
        <f t="shared" si="108"/>
        <v>0</v>
      </c>
      <c r="C530" s="14">
        <f t="shared" si="105"/>
        <v>0</v>
      </c>
      <c r="D530" s="14">
        <f t="shared" si="109"/>
        <v>0</v>
      </c>
      <c r="E530" s="14">
        <f t="shared" si="106"/>
        <v>0</v>
      </c>
      <c r="K530" s="276">
        <f t="shared" si="110"/>
        <v>0</v>
      </c>
      <c r="L530" s="388">
        <f t="shared" si="116"/>
        <v>0</v>
      </c>
      <c r="M530" s="388">
        <f t="shared" si="111"/>
        <v>0</v>
      </c>
      <c r="N530" s="594" t="str">
        <f>INDEX(tblSubjectToLoan[Date],ROW()-ROW(tblContractForDeed[#Headers]))</f>
        <v/>
      </c>
      <c r="O530" s="276">
        <f>IF(ROW()=ROW(tblContractForDeed[#Headers])+1,$O$6,IF(INDEX(tblContractForDeed[End Bal],ROW()-ROW(tblContractForDeed[#Headers])-1)&lt;0,0,INDEX(tblContractForDeed[End Bal],ROW()-ROW(tblContractForDeed[#Headers])-1)))</f>
        <v>0</v>
      </c>
      <c r="P530" s="447"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6">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594" t="str">
        <f t="shared" si="107"/>
        <v/>
      </c>
      <c r="B531" s="276">
        <f t="shared" si="108"/>
        <v>0</v>
      </c>
      <c r="C531" s="14">
        <f t="shared" si="105"/>
        <v>0</v>
      </c>
      <c r="D531" s="14">
        <f t="shared" si="109"/>
        <v>0</v>
      </c>
      <c r="E531" s="14">
        <f t="shared" si="106"/>
        <v>0</v>
      </c>
      <c r="K531" s="276">
        <f t="shared" si="110"/>
        <v>0</v>
      </c>
      <c r="L531" s="388">
        <f t="shared" si="116"/>
        <v>0</v>
      </c>
      <c r="M531" s="388">
        <f t="shared" si="111"/>
        <v>0</v>
      </c>
      <c r="N531" s="594" t="str">
        <f>INDEX(tblSubjectToLoan[Date],ROW()-ROW(tblContractForDeed[#Headers]))</f>
        <v/>
      </c>
      <c r="O531" s="276">
        <f>IF(ROW()=ROW(tblContractForDeed[#Headers])+1,$O$6,IF(INDEX(tblContractForDeed[End Bal],ROW()-ROW(tblContractForDeed[#Headers])-1)&lt;0,0,INDEX(tblContractForDeed[End Bal],ROW()-ROW(tblContractForDeed[#Headers])-1)))</f>
        <v>0</v>
      </c>
      <c r="P531" s="447"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6">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594"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88">
        <f t="shared" si="116"/>
        <v>0</v>
      </c>
      <c r="M532" s="388">
        <f t="shared" si="111"/>
        <v>0</v>
      </c>
      <c r="N532" s="594" t="str">
        <f>INDEX(tblSubjectToLoan[Date],ROW()-ROW(tblContractForDeed[#Headers]))</f>
        <v/>
      </c>
      <c r="O532" s="276">
        <f>IF(ROW()=ROW(tblContractForDeed[#Headers])+1,$O$6,IF(INDEX(tblContractForDeed[End Bal],ROW()-ROW(tblContractForDeed[#Headers])-1)&lt;0,0,INDEX(tblContractForDeed[End Bal],ROW()-ROW(tblContractForDeed[#Headers])-1)))</f>
        <v>0</v>
      </c>
      <c r="P532" s="447"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6">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594"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88">
        <f t="shared" si="116"/>
        <v>0</v>
      </c>
      <c r="M533" s="388">
        <f t="shared" ref="M533:M596" si="123">IF($A533&lt;&gt;"",M532+1,0)</f>
        <v>0</v>
      </c>
      <c r="N533" s="594" t="str">
        <f>INDEX(tblSubjectToLoan[Date],ROW()-ROW(tblContractForDeed[#Headers]))</f>
        <v/>
      </c>
      <c r="O533" s="276">
        <f>IF(ROW()=ROW(tblContractForDeed[#Headers])+1,$O$6,IF(INDEX(tblContractForDeed[End Bal],ROW()-ROW(tblContractForDeed[#Headers])-1)&lt;0,0,INDEX(tblContractForDeed[End Bal],ROW()-ROW(tblContractForDeed[#Headers])-1)))</f>
        <v>0</v>
      </c>
      <c r="P533" s="447"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6">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594" t="str">
        <f t="shared" si="119"/>
        <v/>
      </c>
      <c r="B534" s="276">
        <f t="shared" si="120"/>
        <v>0</v>
      </c>
      <c r="C534" s="14">
        <f t="shared" si="117"/>
        <v>0</v>
      </c>
      <c r="D534" s="14">
        <f t="shared" si="121"/>
        <v>0</v>
      </c>
      <c r="E534" s="14">
        <f t="shared" si="118"/>
        <v>0</v>
      </c>
      <c r="K534" s="276">
        <f t="shared" si="122"/>
        <v>0</v>
      </c>
      <c r="L534" s="388">
        <f t="shared" si="116"/>
        <v>0</v>
      </c>
      <c r="M534" s="388">
        <f t="shared" si="123"/>
        <v>0</v>
      </c>
      <c r="N534" s="594" t="str">
        <f>INDEX(tblSubjectToLoan[Date],ROW()-ROW(tblContractForDeed[#Headers]))</f>
        <v/>
      </c>
      <c r="O534" s="276">
        <f>IF(ROW()=ROW(tblContractForDeed[#Headers])+1,$O$6,IF(INDEX(tblContractForDeed[End Bal],ROW()-ROW(tblContractForDeed[#Headers])-1)&lt;0,0,INDEX(tblContractForDeed[End Bal],ROW()-ROW(tblContractForDeed[#Headers])-1)))</f>
        <v>0</v>
      </c>
      <c r="P534" s="447"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6">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595" t="str">
        <f t="shared" si="119"/>
        <v/>
      </c>
      <c r="B535" s="328">
        <f t="shared" si="120"/>
        <v>0</v>
      </c>
      <c r="C535" s="21">
        <f t="shared" si="117"/>
        <v>0</v>
      </c>
      <c r="D535" s="21">
        <f t="shared" si="121"/>
        <v>0</v>
      </c>
      <c r="E535" s="21">
        <f t="shared" si="118"/>
        <v>0</v>
      </c>
      <c r="F535" s="21"/>
      <c r="G535" s="21"/>
      <c r="H535" s="21"/>
      <c r="I535" s="328"/>
      <c r="J535" s="328"/>
      <c r="K535" s="328">
        <f t="shared" si="122"/>
        <v>0</v>
      </c>
      <c r="L535" s="389">
        <f t="shared" si="116"/>
        <v>0</v>
      </c>
      <c r="M535" s="389">
        <f t="shared" si="123"/>
        <v>0</v>
      </c>
      <c r="N535" s="595" t="str">
        <f>INDEX(tblSubjectToLoan[Date],ROW()-ROW(tblContractForDeed[#Headers]))</f>
        <v/>
      </c>
      <c r="O535" s="276">
        <f>IF(ROW()=ROW(tblContractForDeed[#Headers])+1,$O$6,IF(INDEX(tblContractForDeed[End Bal],ROW()-ROW(tblContractForDeed[#Headers])-1)&lt;0,0,INDEX(tblContractForDeed[End Bal],ROW()-ROW(tblContractForDeed[#Headers])-1)))</f>
        <v>0</v>
      </c>
      <c r="P535" s="447"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6">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8">
        <f>IF(INDEX(tblContractForDeed[End Bal],ROW()-ROW(tblBuyerOutputs[#Headers]))&lt;=0,0,($O$6+IF(ROW()=ROW(tblBuyerOutputs[#Headers])+1,0,INDEX(tblBuyerOutputs[Cumul Appr],ROW()-ROW(tblBuyerOutputs[#Headers])-1)))*$O$2/12)</f>
        <v>0</v>
      </c>
      <c r="AE535" s="328">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594" t="str">
        <f t="shared" si="119"/>
        <v/>
      </c>
      <c r="B536" s="276">
        <f t="shared" si="120"/>
        <v>0</v>
      </c>
      <c r="C536" s="14">
        <f t="shared" si="117"/>
        <v>0</v>
      </c>
      <c r="D536" s="14">
        <f t="shared" si="121"/>
        <v>0</v>
      </c>
      <c r="E536" s="14">
        <f t="shared" si="118"/>
        <v>0</v>
      </c>
      <c r="K536" s="276">
        <f t="shared" si="122"/>
        <v>0</v>
      </c>
      <c r="L536" s="388">
        <f t="shared" si="116"/>
        <v>0</v>
      </c>
      <c r="M536" s="388">
        <f t="shared" si="123"/>
        <v>0</v>
      </c>
      <c r="N536" s="594" t="str">
        <f>INDEX(tblSubjectToLoan[Date],ROW()-ROW(tblContractForDeed[#Headers]))</f>
        <v/>
      </c>
      <c r="O536" s="276">
        <f>IF(ROW()=ROW(tblContractForDeed[#Headers])+1,$O$6,IF(INDEX(tblContractForDeed[End Bal],ROW()-ROW(tblContractForDeed[#Headers])-1)&lt;0,0,INDEX(tblContractForDeed[End Bal],ROW()-ROW(tblContractForDeed[#Headers])-1)))</f>
        <v>0</v>
      </c>
      <c r="P536" s="447"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6">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594" t="str">
        <f t="shared" si="119"/>
        <v/>
      </c>
      <c r="B537" s="276">
        <f t="shared" si="120"/>
        <v>0</v>
      </c>
      <c r="C537" s="14">
        <f t="shared" si="117"/>
        <v>0</v>
      </c>
      <c r="D537" s="14">
        <f t="shared" si="121"/>
        <v>0</v>
      </c>
      <c r="E537" s="14">
        <f t="shared" si="118"/>
        <v>0</v>
      </c>
      <c r="K537" s="276">
        <f t="shared" si="122"/>
        <v>0</v>
      </c>
      <c r="L537" s="388">
        <f t="shared" si="116"/>
        <v>0</v>
      </c>
      <c r="M537" s="388">
        <f t="shared" si="123"/>
        <v>0</v>
      </c>
      <c r="N537" s="594" t="str">
        <f>INDEX(tblSubjectToLoan[Date],ROW()-ROW(tblContractForDeed[#Headers]))</f>
        <v/>
      </c>
      <c r="O537" s="276">
        <f>IF(ROW()=ROW(tblContractForDeed[#Headers])+1,$O$6,IF(INDEX(tblContractForDeed[End Bal],ROW()-ROW(tblContractForDeed[#Headers])-1)&lt;0,0,INDEX(tblContractForDeed[End Bal],ROW()-ROW(tblContractForDeed[#Headers])-1)))</f>
        <v>0</v>
      </c>
      <c r="P537" s="447"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6">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594" t="str">
        <f t="shared" si="119"/>
        <v/>
      </c>
      <c r="B538" s="276">
        <f t="shared" si="120"/>
        <v>0</v>
      </c>
      <c r="C538" s="14">
        <f t="shared" si="117"/>
        <v>0</v>
      </c>
      <c r="D538" s="14">
        <f t="shared" si="121"/>
        <v>0</v>
      </c>
      <c r="E538" s="14">
        <f t="shared" si="118"/>
        <v>0</v>
      </c>
      <c r="K538" s="276">
        <f t="shared" si="122"/>
        <v>0</v>
      </c>
      <c r="L538" s="388">
        <f t="shared" si="116"/>
        <v>0</v>
      </c>
      <c r="M538" s="388">
        <f t="shared" si="123"/>
        <v>0</v>
      </c>
      <c r="N538" s="594" t="str">
        <f>INDEX(tblSubjectToLoan[Date],ROW()-ROW(tblContractForDeed[#Headers]))</f>
        <v/>
      </c>
      <c r="O538" s="276">
        <f>IF(ROW()=ROW(tblContractForDeed[#Headers])+1,$O$6,IF(INDEX(tblContractForDeed[End Bal],ROW()-ROW(tblContractForDeed[#Headers])-1)&lt;0,0,INDEX(tblContractForDeed[End Bal],ROW()-ROW(tblContractForDeed[#Headers])-1)))</f>
        <v>0</v>
      </c>
      <c r="P538" s="447"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6">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594" t="str">
        <f t="shared" si="119"/>
        <v/>
      </c>
      <c r="B539" s="276">
        <f t="shared" si="120"/>
        <v>0</v>
      </c>
      <c r="C539" s="14">
        <f t="shared" si="117"/>
        <v>0</v>
      </c>
      <c r="D539" s="14">
        <f t="shared" si="121"/>
        <v>0</v>
      </c>
      <c r="E539" s="14">
        <f t="shared" si="118"/>
        <v>0</v>
      </c>
      <c r="K539" s="276">
        <f t="shared" si="122"/>
        <v>0</v>
      </c>
      <c r="L539" s="388">
        <f t="shared" si="116"/>
        <v>0</v>
      </c>
      <c r="M539" s="388">
        <f t="shared" si="123"/>
        <v>0</v>
      </c>
      <c r="N539" s="594" t="str">
        <f>INDEX(tblSubjectToLoan[Date],ROW()-ROW(tblContractForDeed[#Headers]))</f>
        <v/>
      </c>
      <c r="O539" s="276">
        <f>IF(ROW()=ROW(tblContractForDeed[#Headers])+1,$O$6,IF(INDEX(tblContractForDeed[End Bal],ROW()-ROW(tblContractForDeed[#Headers])-1)&lt;0,0,INDEX(tblContractForDeed[End Bal],ROW()-ROW(tblContractForDeed[#Headers])-1)))</f>
        <v>0</v>
      </c>
      <c r="P539" s="447"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6">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594" t="str">
        <f t="shared" si="119"/>
        <v/>
      </c>
      <c r="B540" s="276">
        <f t="shared" si="120"/>
        <v>0</v>
      </c>
      <c r="C540" s="14">
        <f t="shared" si="117"/>
        <v>0</v>
      </c>
      <c r="D540" s="14">
        <f t="shared" si="121"/>
        <v>0</v>
      </c>
      <c r="E540" s="14">
        <f t="shared" si="118"/>
        <v>0</v>
      </c>
      <c r="K540" s="276">
        <f t="shared" si="122"/>
        <v>0</v>
      </c>
      <c r="L540" s="388">
        <f t="shared" si="116"/>
        <v>0</v>
      </c>
      <c r="M540" s="388">
        <f t="shared" si="123"/>
        <v>0</v>
      </c>
      <c r="N540" s="594" t="str">
        <f>INDEX(tblSubjectToLoan[Date],ROW()-ROW(tblContractForDeed[#Headers]))</f>
        <v/>
      </c>
      <c r="O540" s="276">
        <f>IF(ROW()=ROW(tblContractForDeed[#Headers])+1,$O$6,IF(INDEX(tblContractForDeed[End Bal],ROW()-ROW(tblContractForDeed[#Headers])-1)&lt;0,0,INDEX(tblContractForDeed[End Bal],ROW()-ROW(tblContractForDeed[#Headers])-1)))</f>
        <v>0</v>
      </c>
      <c r="P540" s="447"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6">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594" t="str">
        <f t="shared" si="119"/>
        <v/>
      </c>
      <c r="B541" s="276">
        <f t="shared" si="120"/>
        <v>0</v>
      </c>
      <c r="C541" s="14">
        <f t="shared" si="117"/>
        <v>0</v>
      </c>
      <c r="D541" s="14">
        <f t="shared" si="121"/>
        <v>0</v>
      </c>
      <c r="E541" s="14">
        <f t="shared" si="118"/>
        <v>0</v>
      </c>
      <c r="K541" s="276">
        <f t="shared" si="122"/>
        <v>0</v>
      </c>
      <c r="L541" s="388">
        <f t="shared" si="116"/>
        <v>0</v>
      </c>
      <c r="M541" s="388">
        <f t="shared" si="123"/>
        <v>0</v>
      </c>
      <c r="N541" s="594" t="str">
        <f>INDEX(tblSubjectToLoan[Date],ROW()-ROW(tblContractForDeed[#Headers]))</f>
        <v/>
      </c>
      <c r="O541" s="276">
        <f>IF(ROW()=ROW(tblContractForDeed[#Headers])+1,$O$6,IF(INDEX(tblContractForDeed[End Bal],ROW()-ROW(tblContractForDeed[#Headers])-1)&lt;0,0,INDEX(tblContractForDeed[End Bal],ROW()-ROW(tblContractForDeed[#Headers])-1)))</f>
        <v>0</v>
      </c>
      <c r="P541" s="447"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6">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594" t="str">
        <f t="shared" si="119"/>
        <v/>
      </c>
      <c r="B542" s="276">
        <f t="shared" si="120"/>
        <v>0</v>
      </c>
      <c r="C542" s="14">
        <f t="shared" si="117"/>
        <v>0</v>
      </c>
      <c r="D542" s="14">
        <f t="shared" si="121"/>
        <v>0</v>
      </c>
      <c r="E542" s="14">
        <f t="shared" si="118"/>
        <v>0</v>
      </c>
      <c r="K542" s="276">
        <f t="shared" si="122"/>
        <v>0</v>
      </c>
      <c r="L542" s="388">
        <f t="shared" si="116"/>
        <v>0</v>
      </c>
      <c r="M542" s="388">
        <f t="shared" si="123"/>
        <v>0</v>
      </c>
      <c r="N542" s="594" t="str">
        <f>INDEX(tblSubjectToLoan[Date],ROW()-ROW(tblContractForDeed[#Headers]))</f>
        <v/>
      </c>
      <c r="O542" s="276">
        <f>IF(ROW()=ROW(tblContractForDeed[#Headers])+1,$O$6,IF(INDEX(tblContractForDeed[End Bal],ROW()-ROW(tblContractForDeed[#Headers])-1)&lt;0,0,INDEX(tblContractForDeed[End Bal],ROW()-ROW(tblContractForDeed[#Headers])-1)))</f>
        <v>0</v>
      </c>
      <c r="P542" s="447"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6">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594" t="str">
        <f t="shared" si="119"/>
        <v/>
      </c>
      <c r="B543" s="276">
        <f t="shared" si="120"/>
        <v>0</v>
      </c>
      <c r="C543" s="14">
        <f t="shared" si="117"/>
        <v>0</v>
      </c>
      <c r="D543" s="14">
        <f t="shared" si="121"/>
        <v>0</v>
      </c>
      <c r="E543" s="14">
        <f t="shared" si="118"/>
        <v>0</v>
      </c>
      <c r="K543" s="276">
        <f t="shared" si="122"/>
        <v>0</v>
      </c>
      <c r="L543" s="388">
        <f t="shared" si="116"/>
        <v>0</v>
      </c>
      <c r="M543" s="388">
        <f t="shared" si="123"/>
        <v>0</v>
      </c>
      <c r="N543" s="594" t="str">
        <f>INDEX(tblSubjectToLoan[Date],ROW()-ROW(tblContractForDeed[#Headers]))</f>
        <v/>
      </c>
      <c r="O543" s="276">
        <f>IF(ROW()=ROW(tblContractForDeed[#Headers])+1,$O$6,IF(INDEX(tblContractForDeed[End Bal],ROW()-ROW(tblContractForDeed[#Headers])-1)&lt;0,0,INDEX(tblContractForDeed[End Bal],ROW()-ROW(tblContractForDeed[#Headers])-1)))</f>
        <v>0</v>
      </c>
      <c r="P543" s="447"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6">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594" t="str">
        <f t="shared" si="119"/>
        <v/>
      </c>
      <c r="B544" s="276">
        <f t="shared" si="120"/>
        <v>0</v>
      </c>
      <c r="C544" s="14">
        <f t="shared" si="117"/>
        <v>0</v>
      </c>
      <c r="D544" s="14">
        <f t="shared" si="121"/>
        <v>0</v>
      </c>
      <c r="E544" s="14">
        <f t="shared" si="118"/>
        <v>0</v>
      </c>
      <c r="K544" s="276">
        <f t="shared" si="122"/>
        <v>0</v>
      </c>
      <c r="L544" s="388">
        <f t="shared" si="116"/>
        <v>0</v>
      </c>
      <c r="M544" s="388">
        <f t="shared" si="123"/>
        <v>0</v>
      </c>
      <c r="N544" s="594" t="str">
        <f>INDEX(tblSubjectToLoan[Date],ROW()-ROW(tblContractForDeed[#Headers]))</f>
        <v/>
      </c>
      <c r="O544" s="276">
        <f>IF(ROW()=ROW(tblContractForDeed[#Headers])+1,$O$6,IF(INDEX(tblContractForDeed[End Bal],ROW()-ROW(tblContractForDeed[#Headers])-1)&lt;0,0,INDEX(tblContractForDeed[End Bal],ROW()-ROW(tblContractForDeed[#Headers])-1)))</f>
        <v>0</v>
      </c>
      <c r="P544" s="447"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6">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594" t="str">
        <f t="shared" si="119"/>
        <v/>
      </c>
      <c r="B545" s="276">
        <f t="shared" si="120"/>
        <v>0</v>
      </c>
      <c r="C545" s="14">
        <f t="shared" si="117"/>
        <v>0</v>
      </c>
      <c r="D545" s="14">
        <f t="shared" si="121"/>
        <v>0</v>
      </c>
      <c r="E545" s="14">
        <f t="shared" si="118"/>
        <v>0</v>
      </c>
      <c r="K545" s="276">
        <f t="shared" si="122"/>
        <v>0</v>
      </c>
      <c r="L545" s="388">
        <f t="shared" si="116"/>
        <v>0</v>
      </c>
      <c r="M545" s="388">
        <f t="shared" si="123"/>
        <v>0</v>
      </c>
      <c r="N545" s="594" t="str">
        <f>INDEX(tblSubjectToLoan[Date],ROW()-ROW(tblContractForDeed[#Headers]))</f>
        <v/>
      </c>
      <c r="O545" s="276">
        <f>IF(ROW()=ROW(tblContractForDeed[#Headers])+1,$O$6,IF(INDEX(tblContractForDeed[End Bal],ROW()-ROW(tblContractForDeed[#Headers])-1)&lt;0,0,INDEX(tblContractForDeed[End Bal],ROW()-ROW(tblContractForDeed[#Headers])-1)))</f>
        <v>0</v>
      </c>
      <c r="P545" s="447"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6">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594" t="str">
        <f t="shared" si="119"/>
        <v/>
      </c>
      <c r="B546" s="276">
        <f t="shared" si="120"/>
        <v>0</v>
      </c>
      <c r="C546" s="14">
        <f t="shared" si="117"/>
        <v>0</v>
      </c>
      <c r="D546" s="14">
        <f t="shared" si="121"/>
        <v>0</v>
      </c>
      <c r="E546" s="14">
        <f t="shared" si="118"/>
        <v>0</v>
      </c>
      <c r="K546" s="276">
        <f t="shared" si="122"/>
        <v>0</v>
      </c>
      <c r="L546" s="388">
        <f t="shared" si="116"/>
        <v>0</v>
      </c>
      <c r="M546" s="388">
        <f t="shared" si="123"/>
        <v>0</v>
      </c>
      <c r="N546" s="594" t="str">
        <f>INDEX(tblSubjectToLoan[Date],ROW()-ROW(tblContractForDeed[#Headers]))</f>
        <v/>
      </c>
      <c r="O546" s="276">
        <f>IF(ROW()=ROW(tblContractForDeed[#Headers])+1,$O$6,IF(INDEX(tblContractForDeed[End Bal],ROW()-ROW(tblContractForDeed[#Headers])-1)&lt;0,0,INDEX(tblContractForDeed[End Bal],ROW()-ROW(tblContractForDeed[#Headers])-1)))</f>
        <v>0</v>
      </c>
      <c r="P546" s="447"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6">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595" t="str">
        <f t="shared" si="119"/>
        <v/>
      </c>
      <c r="B547" s="328">
        <f t="shared" si="120"/>
        <v>0</v>
      </c>
      <c r="C547" s="21">
        <f t="shared" si="117"/>
        <v>0</v>
      </c>
      <c r="D547" s="21">
        <f t="shared" si="121"/>
        <v>0</v>
      </c>
      <c r="E547" s="21">
        <f t="shared" si="118"/>
        <v>0</v>
      </c>
      <c r="F547" s="21"/>
      <c r="G547" s="21"/>
      <c r="H547" s="21"/>
      <c r="I547" s="328"/>
      <c r="J547" s="328"/>
      <c r="K547" s="328">
        <f t="shared" si="122"/>
        <v>0</v>
      </c>
      <c r="L547" s="389">
        <f t="shared" si="116"/>
        <v>0</v>
      </c>
      <c r="M547" s="389">
        <f t="shared" si="123"/>
        <v>0</v>
      </c>
      <c r="N547" s="595" t="str">
        <f>INDEX(tblSubjectToLoan[Date],ROW()-ROW(tblContractForDeed[#Headers]))</f>
        <v/>
      </c>
      <c r="O547" s="276">
        <f>IF(ROW()=ROW(tblContractForDeed[#Headers])+1,$O$6,IF(INDEX(tblContractForDeed[End Bal],ROW()-ROW(tblContractForDeed[#Headers])-1)&lt;0,0,INDEX(tblContractForDeed[End Bal],ROW()-ROW(tblContractForDeed[#Headers])-1)))</f>
        <v>0</v>
      </c>
      <c r="P547" s="447"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6">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8">
        <f>IF(INDEX(tblContractForDeed[End Bal],ROW()-ROW(tblBuyerOutputs[#Headers]))&lt;=0,0,($O$6+IF(ROW()=ROW(tblBuyerOutputs[#Headers])+1,0,INDEX(tblBuyerOutputs[Cumul Appr],ROW()-ROW(tblBuyerOutputs[#Headers])-1)))*$O$2/12)</f>
        <v>0</v>
      </c>
      <c r="AE547" s="328">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594" t="str">
        <f t="shared" si="119"/>
        <v/>
      </c>
      <c r="B548" s="276">
        <f t="shared" si="120"/>
        <v>0</v>
      </c>
      <c r="C548" s="14">
        <f t="shared" si="117"/>
        <v>0</v>
      </c>
      <c r="D548" s="14">
        <f t="shared" si="121"/>
        <v>0</v>
      </c>
      <c r="E548" s="14">
        <f t="shared" si="118"/>
        <v>0</v>
      </c>
      <c r="K548" s="276">
        <f t="shared" si="122"/>
        <v>0</v>
      </c>
      <c r="L548" s="388">
        <f t="shared" si="116"/>
        <v>0</v>
      </c>
      <c r="M548" s="388">
        <f t="shared" si="123"/>
        <v>0</v>
      </c>
      <c r="N548" s="594" t="str">
        <f>INDEX(tblSubjectToLoan[Date],ROW()-ROW(tblContractForDeed[#Headers]))</f>
        <v/>
      </c>
      <c r="O548" s="276">
        <f>IF(ROW()=ROW(tblContractForDeed[#Headers])+1,$O$6,IF(INDEX(tblContractForDeed[End Bal],ROW()-ROW(tblContractForDeed[#Headers])-1)&lt;0,0,INDEX(tblContractForDeed[End Bal],ROW()-ROW(tblContractForDeed[#Headers])-1)))</f>
        <v>0</v>
      </c>
      <c r="P548" s="447"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6">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594" t="str">
        <f t="shared" si="119"/>
        <v/>
      </c>
      <c r="B549" s="276">
        <f t="shared" si="120"/>
        <v>0</v>
      </c>
      <c r="C549" s="14">
        <f t="shared" si="117"/>
        <v>0</v>
      </c>
      <c r="D549" s="14">
        <f t="shared" si="121"/>
        <v>0</v>
      </c>
      <c r="E549" s="14">
        <f t="shared" si="118"/>
        <v>0</v>
      </c>
      <c r="K549" s="276">
        <f t="shared" si="122"/>
        <v>0</v>
      </c>
      <c r="L549" s="388">
        <f t="shared" si="116"/>
        <v>0</v>
      </c>
      <c r="M549" s="388">
        <f t="shared" si="123"/>
        <v>0</v>
      </c>
      <c r="N549" s="594" t="str">
        <f>INDEX(tblSubjectToLoan[Date],ROW()-ROW(tblContractForDeed[#Headers]))</f>
        <v/>
      </c>
      <c r="O549" s="276">
        <f>IF(ROW()=ROW(tblContractForDeed[#Headers])+1,$O$6,IF(INDEX(tblContractForDeed[End Bal],ROW()-ROW(tblContractForDeed[#Headers])-1)&lt;0,0,INDEX(tblContractForDeed[End Bal],ROW()-ROW(tblContractForDeed[#Headers])-1)))</f>
        <v>0</v>
      </c>
      <c r="P549" s="447"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594" t="str">
        <f t="shared" si="119"/>
        <v/>
      </c>
      <c r="B550" s="276">
        <f t="shared" si="120"/>
        <v>0</v>
      </c>
      <c r="C550" s="14">
        <f t="shared" si="117"/>
        <v>0</v>
      </c>
      <c r="D550" s="14">
        <f t="shared" si="121"/>
        <v>0</v>
      </c>
      <c r="E550" s="14">
        <f t="shared" si="118"/>
        <v>0</v>
      </c>
      <c r="K550" s="276">
        <f t="shared" si="122"/>
        <v>0</v>
      </c>
      <c r="L550" s="388">
        <f t="shared" si="116"/>
        <v>0</v>
      </c>
      <c r="M550" s="388">
        <f t="shared" si="123"/>
        <v>0</v>
      </c>
      <c r="N550" s="594" t="str">
        <f>INDEX(tblSubjectToLoan[Date],ROW()-ROW(tblContractForDeed[#Headers]))</f>
        <v/>
      </c>
      <c r="O550" s="276">
        <f>IF(ROW()=ROW(tblContractForDeed[#Headers])+1,$O$6,IF(INDEX(tblContractForDeed[End Bal],ROW()-ROW(tblContractForDeed[#Headers])-1)&lt;0,0,INDEX(tblContractForDeed[End Bal],ROW()-ROW(tblContractForDeed[#Headers])-1)))</f>
        <v>0</v>
      </c>
      <c r="P550" s="447"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594" t="str">
        <f t="shared" si="119"/>
        <v/>
      </c>
      <c r="B551" s="276">
        <f t="shared" si="120"/>
        <v>0</v>
      </c>
      <c r="C551" s="14">
        <f t="shared" si="117"/>
        <v>0</v>
      </c>
      <c r="D551" s="14">
        <f t="shared" si="121"/>
        <v>0</v>
      </c>
      <c r="E551" s="14">
        <f t="shared" si="118"/>
        <v>0</v>
      </c>
      <c r="K551" s="276">
        <f t="shared" si="122"/>
        <v>0</v>
      </c>
      <c r="L551" s="388">
        <f t="shared" si="116"/>
        <v>0</v>
      </c>
      <c r="M551" s="388">
        <f t="shared" si="123"/>
        <v>0</v>
      </c>
      <c r="N551" s="594" t="str">
        <f>INDEX(tblSubjectToLoan[Date],ROW()-ROW(tblContractForDeed[#Headers]))</f>
        <v/>
      </c>
      <c r="O551" s="276">
        <f>IF(ROW()=ROW(tblContractForDeed[#Headers])+1,$O$6,IF(INDEX(tblContractForDeed[End Bal],ROW()-ROW(tblContractForDeed[#Headers])-1)&lt;0,0,INDEX(tblContractForDeed[End Bal],ROW()-ROW(tblContractForDeed[#Headers])-1)))</f>
        <v>0</v>
      </c>
      <c r="P551" s="447"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594" t="str">
        <f t="shared" si="119"/>
        <v/>
      </c>
      <c r="B552" s="276">
        <f t="shared" si="120"/>
        <v>0</v>
      </c>
      <c r="C552" s="14">
        <f t="shared" si="117"/>
        <v>0</v>
      </c>
      <c r="D552" s="14">
        <f t="shared" si="121"/>
        <v>0</v>
      </c>
      <c r="E552" s="14">
        <f t="shared" si="118"/>
        <v>0</v>
      </c>
      <c r="K552" s="276">
        <f t="shared" si="122"/>
        <v>0</v>
      </c>
      <c r="L552" s="388">
        <f t="shared" si="116"/>
        <v>0</v>
      </c>
      <c r="M552" s="388">
        <f t="shared" si="123"/>
        <v>0</v>
      </c>
      <c r="N552" s="594" t="str">
        <f>INDEX(tblSubjectToLoan[Date],ROW()-ROW(tblContractForDeed[#Headers]))</f>
        <v/>
      </c>
      <c r="O552" s="276">
        <f>IF(ROW()=ROW(tblContractForDeed[#Headers])+1,$O$6,IF(INDEX(tblContractForDeed[End Bal],ROW()-ROW(tblContractForDeed[#Headers])-1)&lt;0,0,INDEX(tblContractForDeed[End Bal],ROW()-ROW(tblContractForDeed[#Headers])-1)))</f>
        <v>0</v>
      </c>
      <c r="P552" s="447"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594" t="str">
        <f t="shared" si="119"/>
        <v/>
      </c>
      <c r="B553" s="276">
        <f t="shared" si="120"/>
        <v>0</v>
      </c>
      <c r="C553" s="14">
        <f t="shared" si="117"/>
        <v>0</v>
      </c>
      <c r="D553" s="14">
        <f t="shared" si="121"/>
        <v>0</v>
      </c>
      <c r="E553" s="14">
        <f t="shared" si="118"/>
        <v>0</v>
      </c>
      <c r="K553" s="276">
        <f t="shared" si="122"/>
        <v>0</v>
      </c>
      <c r="L553" s="388">
        <f t="shared" si="116"/>
        <v>0</v>
      </c>
      <c r="M553" s="388">
        <f t="shared" si="123"/>
        <v>0</v>
      </c>
      <c r="N553" s="594" t="str">
        <f>INDEX(tblSubjectToLoan[Date],ROW()-ROW(tblContractForDeed[#Headers]))</f>
        <v/>
      </c>
      <c r="O553" s="276">
        <f>IF(ROW()=ROW(tblContractForDeed[#Headers])+1,$O$6,IF(INDEX(tblContractForDeed[End Bal],ROW()-ROW(tblContractForDeed[#Headers])-1)&lt;0,0,INDEX(tblContractForDeed[End Bal],ROW()-ROW(tblContractForDeed[#Headers])-1)))</f>
        <v>0</v>
      </c>
      <c r="P553" s="447"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594" t="str">
        <f t="shared" si="119"/>
        <v/>
      </c>
      <c r="B554" s="276">
        <f t="shared" si="120"/>
        <v>0</v>
      </c>
      <c r="C554" s="14">
        <f t="shared" si="117"/>
        <v>0</v>
      </c>
      <c r="D554" s="14">
        <f t="shared" si="121"/>
        <v>0</v>
      </c>
      <c r="E554" s="14">
        <f t="shared" si="118"/>
        <v>0</v>
      </c>
      <c r="K554" s="276">
        <f t="shared" si="122"/>
        <v>0</v>
      </c>
      <c r="L554" s="388">
        <f t="shared" si="116"/>
        <v>0</v>
      </c>
      <c r="M554" s="388">
        <f t="shared" si="123"/>
        <v>0</v>
      </c>
      <c r="N554" s="594" t="str">
        <f>INDEX(tblSubjectToLoan[Date],ROW()-ROW(tblContractForDeed[#Headers]))</f>
        <v/>
      </c>
      <c r="O554" s="276">
        <f>IF(ROW()=ROW(tblContractForDeed[#Headers])+1,$O$6,IF(INDEX(tblContractForDeed[End Bal],ROW()-ROW(tblContractForDeed[#Headers])-1)&lt;0,0,INDEX(tblContractForDeed[End Bal],ROW()-ROW(tblContractForDeed[#Headers])-1)))</f>
        <v>0</v>
      </c>
      <c r="P554" s="447"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594" t="str">
        <f t="shared" si="119"/>
        <v/>
      </c>
      <c r="B555" s="276">
        <f t="shared" si="120"/>
        <v>0</v>
      </c>
      <c r="C555" s="14">
        <f t="shared" si="117"/>
        <v>0</v>
      </c>
      <c r="D555" s="14">
        <f t="shared" si="121"/>
        <v>0</v>
      </c>
      <c r="E555" s="14">
        <f t="shared" si="118"/>
        <v>0</v>
      </c>
      <c r="K555" s="276">
        <f t="shared" si="122"/>
        <v>0</v>
      </c>
      <c r="L555" s="388">
        <f t="shared" si="116"/>
        <v>0</v>
      </c>
      <c r="M555" s="388">
        <f t="shared" si="123"/>
        <v>0</v>
      </c>
      <c r="N555" s="594" t="str">
        <f>INDEX(tblSubjectToLoan[Date],ROW()-ROW(tblContractForDeed[#Headers]))</f>
        <v/>
      </c>
      <c r="O555" s="276">
        <f>IF(ROW()=ROW(tblContractForDeed[#Headers])+1,$O$6,IF(INDEX(tblContractForDeed[End Bal],ROW()-ROW(tblContractForDeed[#Headers])-1)&lt;0,0,INDEX(tblContractForDeed[End Bal],ROW()-ROW(tblContractForDeed[#Headers])-1)))</f>
        <v>0</v>
      </c>
      <c r="P555" s="447"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594" t="str">
        <f t="shared" si="119"/>
        <v/>
      </c>
      <c r="B556" s="276">
        <f t="shared" si="120"/>
        <v>0</v>
      </c>
      <c r="C556" s="14">
        <f t="shared" si="117"/>
        <v>0</v>
      </c>
      <c r="D556" s="14">
        <f t="shared" si="121"/>
        <v>0</v>
      </c>
      <c r="E556" s="14">
        <f t="shared" si="118"/>
        <v>0</v>
      </c>
      <c r="K556" s="276">
        <f t="shared" si="122"/>
        <v>0</v>
      </c>
      <c r="L556" s="388">
        <f t="shared" si="116"/>
        <v>0</v>
      </c>
      <c r="M556" s="388">
        <f t="shared" si="123"/>
        <v>0</v>
      </c>
      <c r="N556" s="594" t="str">
        <f>INDEX(tblSubjectToLoan[Date],ROW()-ROW(tblContractForDeed[#Headers]))</f>
        <v/>
      </c>
      <c r="O556" s="276">
        <f>IF(ROW()=ROW(tblContractForDeed[#Headers])+1,$O$6,IF(INDEX(tblContractForDeed[End Bal],ROW()-ROW(tblContractForDeed[#Headers])-1)&lt;0,0,INDEX(tblContractForDeed[End Bal],ROW()-ROW(tblContractForDeed[#Headers])-1)))</f>
        <v>0</v>
      </c>
      <c r="P556" s="447"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594" t="str">
        <f t="shared" si="119"/>
        <v/>
      </c>
      <c r="B557" s="276">
        <f t="shared" si="120"/>
        <v>0</v>
      </c>
      <c r="C557" s="14">
        <f t="shared" si="117"/>
        <v>0</v>
      </c>
      <c r="D557" s="14">
        <f t="shared" si="121"/>
        <v>0</v>
      </c>
      <c r="E557" s="14">
        <f t="shared" si="118"/>
        <v>0</v>
      </c>
      <c r="K557" s="276">
        <f t="shared" si="122"/>
        <v>0</v>
      </c>
      <c r="L557" s="388">
        <f t="shared" si="116"/>
        <v>0</v>
      </c>
      <c r="M557" s="388">
        <f t="shared" si="123"/>
        <v>0</v>
      </c>
      <c r="N557" s="594" t="str">
        <f>INDEX(tblSubjectToLoan[Date],ROW()-ROW(tblContractForDeed[#Headers]))</f>
        <v/>
      </c>
      <c r="O557" s="276">
        <f>IF(ROW()=ROW(tblContractForDeed[#Headers])+1,$O$6,IF(INDEX(tblContractForDeed[End Bal],ROW()-ROW(tblContractForDeed[#Headers])-1)&lt;0,0,INDEX(tblContractForDeed[End Bal],ROW()-ROW(tblContractForDeed[#Headers])-1)))</f>
        <v>0</v>
      </c>
      <c r="P557" s="447"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594" t="str">
        <f t="shared" si="119"/>
        <v/>
      </c>
      <c r="B558" s="276">
        <f t="shared" si="120"/>
        <v>0</v>
      </c>
      <c r="C558" s="14">
        <f t="shared" si="117"/>
        <v>0</v>
      </c>
      <c r="D558" s="14">
        <f t="shared" si="121"/>
        <v>0</v>
      </c>
      <c r="E558" s="14">
        <f t="shared" si="118"/>
        <v>0</v>
      </c>
      <c r="K558" s="276">
        <f t="shared" si="122"/>
        <v>0</v>
      </c>
      <c r="L558" s="388">
        <f t="shared" si="116"/>
        <v>0</v>
      </c>
      <c r="M558" s="388">
        <f t="shared" si="123"/>
        <v>0</v>
      </c>
      <c r="N558" s="594" t="str">
        <f>INDEX(tblSubjectToLoan[Date],ROW()-ROW(tblContractForDeed[#Headers]))</f>
        <v/>
      </c>
      <c r="O558" s="276">
        <f>IF(ROW()=ROW(tblContractForDeed[#Headers])+1,$O$6,IF(INDEX(tblContractForDeed[End Bal],ROW()-ROW(tblContractForDeed[#Headers])-1)&lt;0,0,INDEX(tblContractForDeed[End Bal],ROW()-ROW(tblContractForDeed[#Headers])-1)))</f>
        <v>0</v>
      </c>
      <c r="P558" s="447"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595" t="str">
        <f t="shared" si="119"/>
        <v/>
      </c>
      <c r="B559" s="328">
        <f t="shared" si="120"/>
        <v>0</v>
      </c>
      <c r="C559" s="21">
        <f t="shared" si="117"/>
        <v>0</v>
      </c>
      <c r="D559" s="21">
        <f t="shared" si="121"/>
        <v>0</v>
      </c>
      <c r="E559" s="21">
        <f t="shared" si="118"/>
        <v>0</v>
      </c>
      <c r="F559" s="21"/>
      <c r="G559" s="21"/>
      <c r="H559" s="21"/>
      <c r="I559" s="328"/>
      <c r="J559" s="328"/>
      <c r="K559" s="328">
        <f t="shared" si="122"/>
        <v>0</v>
      </c>
      <c r="L559" s="389">
        <f t="shared" si="116"/>
        <v>0</v>
      </c>
      <c r="M559" s="389">
        <f t="shared" si="123"/>
        <v>0</v>
      </c>
      <c r="N559" s="595" t="str">
        <f>INDEX(tblSubjectToLoan[Date],ROW()-ROW(tblContractForDeed[#Headers]))</f>
        <v/>
      </c>
      <c r="O559" s="328">
        <f>IF(ROW()=ROW(tblContractForDeed[#Headers])+1,$O$6,IF(INDEX(tblContractForDeed[End Bal],ROW()-ROW(tblContractForDeed[#Headers])-1)&lt;0,0,INDEX(tblContractForDeed[End Bal],ROW()-ROW(tblContractForDeed[#Headers])-1)))</f>
        <v>0</v>
      </c>
      <c r="P559" s="447"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8">
        <f>SUM(INDEX(tblContractForDeed[Princ],1):INDEX(tblContractForDeed[Princ],ROW()-ROW(tblContractForDeed[#Headers])))</f>
        <v>75258.000000000029</v>
      </c>
      <c r="X559" s="328">
        <f>IF(tblContractForDeed[[#This Row],[Beg]]&lt;=0,0,tblContractForDeed[[#This Row],[Beg]]-tblContractForDeed[[#This Row],[Princ]])</f>
        <v>0</v>
      </c>
      <c r="Y55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8">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8">
        <f>IF(INDEX(tblContractForDeed[End Bal],ROW()-ROW(tblBuyerOutputs[#Headers]))&lt;=0,0,($O$6+IF(ROW()=ROW(tblBuyerOutputs[#Headers])+1,0,INDEX(tblBuyerOutputs[Cumul Appr],ROW()-ROW(tblBuyerOutputs[#Headers])-1)))*$O$2/12)</f>
        <v>0</v>
      </c>
      <c r="AE559" s="328">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594" t="str">
        <f t="shared" si="119"/>
        <v/>
      </c>
      <c r="B560" s="276">
        <f t="shared" si="120"/>
        <v>0</v>
      </c>
      <c r="C560" s="14">
        <f t="shared" si="117"/>
        <v>0</v>
      </c>
      <c r="D560" s="14">
        <f t="shared" si="121"/>
        <v>0</v>
      </c>
      <c r="E560" s="14">
        <f t="shared" si="118"/>
        <v>0</v>
      </c>
      <c r="K560" s="276">
        <f t="shared" si="122"/>
        <v>0</v>
      </c>
      <c r="L560" s="388">
        <f t="shared" si="116"/>
        <v>0</v>
      </c>
      <c r="M560" s="388">
        <f t="shared" si="123"/>
        <v>0</v>
      </c>
      <c r="N560" s="594" t="str">
        <f>INDEX(tblSubjectToLoan[Date],ROW()-ROW(tblContractForDeed[#Headers]))</f>
        <v/>
      </c>
      <c r="O560" s="276">
        <f>IF(ROW()=ROW(tblContractForDeed[#Headers])+1,$O$6,IF(INDEX(tblContractForDeed[End Bal],ROW()-ROW(tblContractForDeed[#Headers])-1)&lt;0,0,INDEX(tblContractForDeed[End Bal],ROW()-ROW(tblContractForDeed[#Headers])-1)))</f>
        <v>0</v>
      </c>
      <c r="P560" s="447"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594" t="str">
        <f t="shared" si="119"/>
        <v/>
      </c>
      <c r="B561" s="276">
        <f t="shared" si="120"/>
        <v>0</v>
      </c>
      <c r="C561" s="14">
        <f t="shared" si="117"/>
        <v>0</v>
      </c>
      <c r="D561" s="14">
        <f t="shared" si="121"/>
        <v>0</v>
      </c>
      <c r="E561" s="14">
        <f t="shared" si="118"/>
        <v>0</v>
      </c>
      <c r="K561" s="276">
        <f t="shared" si="122"/>
        <v>0</v>
      </c>
      <c r="L561" s="388">
        <f t="shared" si="116"/>
        <v>0</v>
      </c>
      <c r="M561" s="388">
        <f t="shared" si="123"/>
        <v>0</v>
      </c>
      <c r="N561" s="594" t="str">
        <f>INDEX(tblSubjectToLoan[Date],ROW()-ROW(tblContractForDeed[#Headers]))</f>
        <v/>
      </c>
      <c r="O561" s="276">
        <f>IF(ROW()=ROW(tblContractForDeed[#Headers])+1,$O$6,IF(INDEX(tblContractForDeed[End Bal],ROW()-ROW(tblContractForDeed[#Headers])-1)&lt;0,0,INDEX(tblContractForDeed[End Bal],ROW()-ROW(tblContractForDeed[#Headers])-1)))</f>
        <v>0</v>
      </c>
      <c r="P561" s="447"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594" t="str">
        <f t="shared" si="119"/>
        <v/>
      </c>
      <c r="B562" s="276">
        <f t="shared" si="120"/>
        <v>0</v>
      </c>
      <c r="C562" s="14">
        <f t="shared" si="117"/>
        <v>0</v>
      </c>
      <c r="D562" s="14">
        <f t="shared" si="121"/>
        <v>0</v>
      </c>
      <c r="E562" s="14">
        <f t="shared" si="118"/>
        <v>0</v>
      </c>
      <c r="K562" s="276">
        <f t="shared" si="122"/>
        <v>0</v>
      </c>
      <c r="L562" s="388">
        <f t="shared" si="116"/>
        <v>0</v>
      </c>
      <c r="M562" s="388">
        <f t="shared" si="123"/>
        <v>0</v>
      </c>
      <c r="N562" s="594" t="str">
        <f>INDEX(tblSubjectToLoan[Date],ROW()-ROW(tblContractForDeed[#Headers]))</f>
        <v/>
      </c>
      <c r="O562" s="276">
        <f>IF(ROW()=ROW(tblContractForDeed[#Headers])+1,$O$6,IF(INDEX(tblContractForDeed[End Bal],ROW()-ROW(tblContractForDeed[#Headers])-1)&lt;0,0,INDEX(tblContractForDeed[End Bal],ROW()-ROW(tblContractForDeed[#Headers])-1)))</f>
        <v>0</v>
      </c>
      <c r="P562" s="447"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594" t="str">
        <f t="shared" si="119"/>
        <v/>
      </c>
      <c r="B563" s="276">
        <f t="shared" si="120"/>
        <v>0</v>
      </c>
      <c r="C563" s="14">
        <f t="shared" si="117"/>
        <v>0</v>
      </c>
      <c r="D563" s="14">
        <f t="shared" si="121"/>
        <v>0</v>
      </c>
      <c r="E563" s="14">
        <f t="shared" si="118"/>
        <v>0</v>
      </c>
      <c r="K563" s="276">
        <f t="shared" si="122"/>
        <v>0</v>
      </c>
      <c r="L563" s="388">
        <f t="shared" si="116"/>
        <v>0</v>
      </c>
      <c r="M563" s="388">
        <f t="shared" si="123"/>
        <v>0</v>
      </c>
      <c r="N563" s="594" t="str">
        <f>INDEX(tblSubjectToLoan[Date],ROW()-ROW(tblContractForDeed[#Headers]))</f>
        <v/>
      </c>
      <c r="O563" s="276">
        <f>IF(ROW()=ROW(tblContractForDeed[#Headers])+1,$O$6,IF(INDEX(tblContractForDeed[End Bal],ROW()-ROW(tblContractForDeed[#Headers])-1)&lt;0,0,INDEX(tblContractForDeed[End Bal],ROW()-ROW(tblContractForDeed[#Headers])-1)))</f>
        <v>0</v>
      </c>
      <c r="P563" s="447"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594" t="str">
        <f t="shared" si="119"/>
        <v/>
      </c>
      <c r="B564" s="276">
        <f t="shared" si="120"/>
        <v>0</v>
      </c>
      <c r="C564" s="14">
        <f t="shared" si="117"/>
        <v>0</v>
      </c>
      <c r="D564" s="14">
        <f t="shared" si="121"/>
        <v>0</v>
      </c>
      <c r="E564" s="14">
        <f t="shared" si="118"/>
        <v>0</v>
      </c>
      <c r="K564" s="276">
        <f t="shared" si="122"/>
        <v>0</v>
      </c>
      <c r="L564" s="388">
        <f t="shared" ref="L564:L627" si="124">IF(MOD(M564,12)=0,M564/12,L563)</f>
        <v>0</v>
      </c>
      <c r="M564" s="388">
        <f t="shared" si="123"/>
        <v>0</v>
      </c>
      <c r="N564" s="594" t="str">
        <f>INDEX(tblSubjectToLoan[Date],ROW()-ROW(tblContractForDeed[#Headers]))</f>
        <v/>
      </c>
      <c r="O564" s="276">
        <f>IF(ROW()=ROW(tblContractForDeed[#Headers])+1,$O$6,IF(INDEX(tblContractForDeed[End Bal],ROW()-ROW(tblContractForDeed[#Headers])-1)&lt;0,0,INDEX(tblContractForDeed[End Bal],ROW()-ROW(tblContractForDeed[#Headers])-1)))</f>
        <v>0</v>
      </c>
      <c r="P564" s="447"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594" t="str">
        <f t="shared" si="119"/>
        <v/>
      </c>
      <c r="B565" s="276">
        <f t="shared" si="120"/>
        <v>0</v>
      </c>
      <c r="C565" s="14">
        <f t="shared" si="117"/>
        <v>0</v>
      </c>
      <c r="D565" s="14">
        <f t="shared" si="121"/>
        <v>0</v>
      </c>
      <c r="E565" s="14">
        <f t="shared" si="118"/>
        <v>0</v>
      </c>
      <c r="K565" s="276">
        <f t="shared" si="122"/>
        <v>0</v>
      </c>
      <c r="L565" s="388">
        <f t="shared" si="124"/>
        <v>0</v>
      </c>
      <c r="M565" s="388">
        <f t="shared" si="123"/>
        <v>0</v>
      </c>
      <c r="N565" s="594" t="str">
        <f>INDEX(tblSubjectToLoan[Date],ROW()-ROW(tblContractForDeed[#Headers]))</f>
        <v/>
      </c>
      <c r="O565" s="276">
        <f>IF(ROW()=ROW(tblContractForDeed[#Headers])+1,$O$6,IF(INDEX(tblContractForDeed[End Bal],ROW()-ROW(tblContractForDeed[#Headers])-1)&lt;0,0,INDEX(tblContractForDeed[End Bal],ROW()-ROW(tblContractForDeed[#Headers])-1)))</f>
        <v>0</v>
      </c>
      <c r="P565" s="447"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594" t="str">
        <f t="shared" si="119"/>
        <v/>
      </c>
      <c r="B566" s="276">
        <f t="shared" si="120"/>
        <v>0</v>
      </c>
      <c r="C566" s="14">
        <f t="shared" si="117"/>
        <v>0</v>
      </c>
      <c r="D566" s="14">
        <f t="shared" si="121"/>
        <v>0</v>
      </c>
      <c r="E566" s="14">
        <f t="shared" si="118"/>
        <v>0</v>
      </c>
      <c r="K566" s="276">
        <f t="shared" si="122"/>
        <v>0</v>
      </c>
      <c r="L566" s="388">
        <f t="shared" si="124"/>
        <v>0</v>
      </c>
      <c r="M566" s="388">
        <f t="shared" si="123"/>
        <v>0</v>
      </c>
      <c r="N566" s="594" t="str">
        <f>INDEX(tblSubjectToLoan[Date],ROW()-ROW(tblContractForDeed[#Headers]))</f>
        <v/>
      </c>
      <c r="O566" s="276">
        <f>IF(ROW()=ROW(tblContractForDeed[#Headers])+1,$O$6,IF(INDEX(tblContractForDeed[End Bal],ROW()-ROW(tblContractForDeed[#Headers])-1)&lt;0,0,INDEX(tblContractForDeed[End Bal],ROW()-ROW(tblContractForDeed[#Headers])-1)))</f>
        <v>0</v>
      </c>
      <c r="P566" s="447"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594" t="str">
        <f t="shared" si="119"/>
        <v/>
      </c>
      <c r="B567" s="276">
        <f t="shared" si="120"/>
        <v>0</v>
      </c>
      <c r="C567" s="14">
        <f t="shared" si="117"/>
        <v>0</v>
      </c>
      <c r="D567" s="14">
        <f t="shared" si="121"/>
        <v>0</v>
      </c>
      <c r="E567" s="14">
        <f t="shared" si="118"/>
        <v>0</v>
      </c>
      <c r="K567" s="276">
        <f t="shared" si="122"/>
        <v>0</v>
      </c>
      <c r="L567" s="388">
        <f t="shared" si="124"/>
        <v>0</v>
      </c>
      <c r="M567" s="388">
        <f t="shared" si="123"/>
        <v>0</v>
      </c>
      <c r="N567" s="594" t="str">
        <f>INDEX(tblSubjectToLoan[Date],ROW()-ROW(tblContractForDeed[#Headers]))</f>
        <v/>
      </c>
      <c r="O567" s="276">
        <f>IF(ROW()=ROW(tblContractForDeed[#Headers])+1,$O$6,IF(INDEX(tblContractForDeed[End Bal],ROW()-ROW(tblContractForDeed[#Headers])-1)&lt;0,0,INDEX(tblContractForDeed[End Bal],ROW()-ROW(tblContractForDeed[#Headers])-1)))</f>
        <v>0</v>
      </c>
      <c r="P567" s="447"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594" t="str">
        <f t="shared" si="119"/>
        <v/>
      </c>
      <c r="B568" s="276">
        <f t="shared" si="120"/>
        <v>0</v>
      </c>
      <c r="C568" s="14">
        <f t="shared" si="117"/>
        <v>0</v>
      </c>
      <c r="D568" s="14">
        <f t="shared" si="121"/>
        <v>0</v>
      </c>
      <c r="E568" s="14">
        <f t="shared" si="118"/>
        <v>0</v>
      </c>
      <c r="K568" s="276">
        <f t="shared" si="122"/>
        <v>0</v>
      </c>
      <c r="L568" s="388">
        <f t="shared" si="124"/>
        <v>0</v>
      </c>
      <c r="M568" s="388">
        <f t="shared" si="123"/>
        <v>0</v>
      </c>
      <c r="N568" s="594" t="str">
        <f>INDEX(tblSubjectToLoan[Date],ROW()-ROW(tblContractForDeed[#Headers]))</f>
        <v/>
      </c>
      <c r="O568" s="276">
        <f>IF(ROW()=ROW(tblContractForDeed[#Headers])+1,$O$6,IF(INDEX(tblContractForDeed[End Bal],ROW()-ROW(tblContractForDeed[#Headers])-1)&lt;0,0,INDEX(tblContractForDeed[End Bal],ROW()-ROW(tblContractForDeed[#Headers])-1)))</f>
        <v>0</v>
      </c>
      <c r="P568" s="447"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594" t="str">
        <f t="shared" si="119"/>
        <v/>
      </c>
      <c r="B569" s="276">
        <f t="shared" si="120"/>
        <v>0</v>
      </c>
      <c r="C569" s="14">
        <f t="shared" si="117"/>
        <v>0</v>
      </c>
      <c r="D569" s="14">
        <f t="shared" si="121"/>
        <v>0</v>
      </c>
      <c r="E569" s="14">
        <f t="shared" si="118"/>
        <v>0</v>
      </c>
      <c r="K569" s="276">
        <f t="shared" si="122"/>
        <v>0</v>
      </c>
      <c r="L569" s="388">
        <f t="shared" si="124"/>
        <v>0</v>
      </c>
      <c r="M569" s="388">
        <f t="shared" si="123"/>
        <v>0</v>
      </c>
      <c r="N569" s="594" t="str">
        <f>INDEX(tblSubjectToLoan[Date],ROW()-ROW(tblContractForDeed[#Headers]))</f>
        <v/>
      </c>
      <c r="O569" s="276">
        <f>IF(ROW()=ROW(tblContractForDeed[#Headers])+1,$O$6,IF(INDEX(tblContractForDeed[End Bal],ROW()-ROW(tblContractForDeed[#Headers])-1)&lt;0,0,INDEX(tblContractForDeed[End Bal],ROW()-ROW(tblContractForDeed[#Headers])-1)))</f>
        <v>0</v>
      </c>
      <c r="P569" s="447"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594" t="str">
        <f t="shared" si="119"/>
        <v/>
      </c>
      <c r="B570" s="276">
        <f t="shared" si="120"/>
        <v>0</v>
      </c>
      <c r="C570" s="14">
        <f t="shared" si="117"/>
        <v>0</v>
      </c>
      <c r="D570" s="14">
        <f t="shared" si="121"/>
        <v>0</v>
      </c>
      <c r="E570" s="14">
        <f t="shared" si="118"/>
        <v>0</v>
      </c>
      <c r="K570" s="276">
        <f t="shared" si="122"/>
        <v>0</v>
      </c>
      <c r="L570" s="388">
        <f t="shared" si="124"/>
        <v>0</v>
      </c>
      <c r="M570" s="388">
        <f t="shared" si="123"/>
        <v>0</v>
      </c>
      <c r="N570" s="594" t="str">
        <f>INDEX(tblSubjectToLoan[Date],ROW()-ROW(tblContractForDeed[#Headers]))</f>
        <v/>
      </c>
      <c r="O570" s="276">
        <f>IF(ROW()=ROW(tblContractForDeed[#Headers])+1,$O$6,IF(INDEX(tblContractForDeed[End Bal],ROW()-ROW(tblContractForDeed[#Headers])-1)&lt;0,0,INDEX(tblContractForDeed[End Bal],ROW()-ROW(tblContractForDeed[#Headers])-1)))</f>
        <v>0</v>
      </c>
      <c r="P570" s="447"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595" t="str">
        <f t="shared" si="119"/>
        <v/>
      </c>
      <c r="B571" s="328">
        <f t="shared" si="120"/>
        <v>0</v>
      </c>
      <c r="C571" s="21">
        <f t="shared" si="117"/>
        <v>0</v>
      </c>
      <c r="D571" s="21">
        <f t="shared" si="121"/>
        <v>0</v>
      </c>
      <c r="E571" s="21">
        <f t="shared" si="118"/>
        <v>0</v>
      </c>
      <c r="F571" s="21"/>
      <c r="G571" s="21"/>
      <c r="H571" s="21"/>
      <c r="I571" s="328"/>
      <c r="J571" s="328"/>
      <c r="K571" s="328">
        <f t="shared" si="122"/>
        <v>0</v>
      </c>
      <c r="L571" s="389">
        <f t="shared" si="124"/>
        <v>0</v>
      </c>
      <c r="M571" s="389">
        <f t="shared" si="123"/>
        <v>0</v>
      </c>
      <c r="N571" s="595" t="str">
        <f>INDEX(tblSubjectToLoan[Date],ROW()-ROW(tblContractForDeed[#Headers]))</f>
        <v/>
      </c>
      <c r="O571" s="328">
        <f>IF(ROW()=ROW(tblContractForDeed[#Headers])+1,$O$6,IF(INDEX(tblContractForDeed[End Bal],ROW()-ROW(tblContractForDeed[#Headers])-1)&lt;0,0,INDEX(tblContractForDeed[End Bal],ROW()-ROW(tblContractForDeed[#Headers])-1)))</f>
        <v>0</v>
      </c>
      <c r="P571" s="447"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8">
        <f>SUM(INDEX(tblContractForDeed[Princ],1):INDEX(tblContractForDeed[Princ],ROW()-ROW(tblContractForDeed[#Headers])))</f>
        <v>75258.000000000029</v>
      </c>
      <c r="X571" s="328">
        <f>IF(tblContractForDeed[[#This Row],[Beg]]&lt;=0,0,tblContractForDeed[[#This Row],[Beg]]-tblContractForDeed[[#This Row],[Princ]])</f>
        <v>0</v>
      </c>
      <c r="Y57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8">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8">
        <f>IF(INDEX(tblContractForDeed[End Bal],ROW()-ROW(tblBuyerOutputs[#Headers]))&lt;=0,0,($O$6+IF(ROW()=ROW(tblBuyerOutputs[#Headers])+1,0,INDEX(tblBuyerOutputs[Cumul Appr],ROW()-ROW(tblBuyerOutputs[#Headers])-1)))*$O$2/12)</f>
        <v>0</v>
      </c>
      <c r="AE571" s="328">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594" t="str">
        <f t="shared" si="119"/>
        <v/>
      </c>
      <c r="B572" s="276">
        <f t="shared" si="120"/>
        <v>0</v>
      </c>
      <c r="C572" s="14">
        <f t="shared" si="117"/>
        <v>0</v>
      </c>
      <c r="D572" s="14">
        <f t="shared" si="121"/>
        <v>0</v>
      </c>
      <c r="E572" s="14">
        <f t="shared" si="118"/>
        <v>0</v>
      </c>
      <c r="K572" s="276">
        <f t="shared" si="122"/>
        <v>0</v>
      </c>
      <c r="L572" s="388">
        <f t="shared" si="124"/>
        <v>0</v>
      </c>
      <c r="M572" s="388">
        <f t="shared" si="123"/>
        <v>0</v>
      </c>
      <c r="N572" s="594" t="str">
        <f>INDEX(tblSubjectToLoan[Date],ROW()-ROW(tblContractForDeed[#Headers]))</f>
        <v/>
      </c>
      <c r="O572" s="276">
        <f>IF(ROW()=ROW(tblContractForDeed[#Headers])+1,$O$6,IF(INDEX(tblContractForDeed[End Bal],ROW()-ROW(tblContractForDeed[#Headers])-1)&lt;0,0,INDEX(tblContractForDeed[End Bal],ROW()-ROW(tblContractForDeed[#Headers])-1)))</f>
        <v>0</v>
      </c>
      <c r="P572" s="447"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594" t="str">
        <f t="shared" si="119"/>
        <v/>
      </c>
      <c r="B573" s="276">
        <f t="shared" si="120"/>
        <v>0</v>
      </c>
      <c r="C573" s="14">
        <f t="shared" si="117"/>
        <v>0</v>
      </c>
      <c r="D573" s="14">
        <f t="shared" si="121"/>
        <v>0</v>
      </c>
      <c r="E573" s="14">
        <f t="shared" si="118"/>
        <v>0</v>
      </c>
      <c r="K573" s="276">
        <f t="shared" si="122"/>
        <v>0</v>
      </c>
      <c r="L573" s="388">
        <f t="shared" si="124"/>
        <v>0</v>
      </c>
      <c r="M573" s="388">
        <f t="shared" si="123"/>
        <v>0</v>
      </c>
      <c r="N573" s="594" t="str">
        <f>INDEX(tblSubjectToLoan[Date],ROW()-ROW(tblContractForDeed[#Headers]))</f>
        <v/>
      </c>
      <c r="O573" s="276">
        <f>IF(ROW()=ROW(tblContractForDeed[#Headers])+1,$O$6,IF(INDEX(tblContractForDeed[End Bal],ROW()-ROW(tblContractForDeed[#Headers])-1)&lt;0,0,INDEX(tblContractForDeed[End Bal],ROW()-ROW(tblContractForDeed[#Headers])-1)))</f>
        <v>0</v>
      </c>
      <c r="P573" s="447"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594" t="str">
        <f t="shared" si="119"/>
        <v/>
      </c>
      <c r="B574" s="276">
        <f t="shared" si="120"/>
        <v>0</v>
      </c>
      <c r="C574" s="14">
        <f t="shared" si="117"/>
        <v>0</v>
      </c>
      <c r="D574" s="14">
        <f t="shared" si="121"/>
        <v>0</v>
      </c>
      <c r="E574" s="14">
        <f t="shared" si="118"/>
        <v>0</v>
      </c>
      <c r="K574" s="276">
        <f t="shared" si="122"/>
        <v>0</v>
      </c>
      <c r="L574" s="388">
        <f t="shared" si="124"/>
        <v>0</v>
      </c>
      <c r="M574" s="388">
        <f t="shared" si="123"/>
        <v>0</v>
      </c>
      <c r="N574" s="594" t="str">
        <f>INDEX(tblSubjectToLoan[Date],ROW()-ROW(tblContractForDeed[#Headers]))</f>
        <v/>
      </c>
      <c r="O574" s="276">
        <f>IF(ROW()=ROW(tblContractForDeed[#Headers])+1,$O$6,IF(INDEX(tblContractForDeed[End Bal],ROW()-ROW(tblContractForDeed[#Headers])-1)&lt;0,0,INDEX(tblContractForDeed[End Bal],ROW()-ROW(tblContractForDeed[#Headers])-1)))</f>
        <v>0</v>
      </c>
      <c r="P574" s="447"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594" t="str">
        <f t="shared" si="119"/>
        <v/>
      </c>
      <c r="B575" s="276">
        <f t="shared" si="120"/>
        <v>0</v>
      </c>
      <c r="C575" s="14">
        <f t="shared" si="117"/>
        <v>0</v>
      </c>
      <c r="D575" s="14">
        <f t="shared" si="121"/>
        <v>0</v>
      </c>
      <c r="E575" s="14">
        <f t="shared" si="118"/>
        <v>0</v>
      </c>
      <c r="K575" s="276">
        <f t="shared" si="122"/>
        <v>0</v>
      </c>
      <c r="L575" s="388">
        <f t="shared" si="124"/>
        <v>0</v>
      </c>
      <c r="M575" s="388">
        <f t="shared" si="123"/>
        <v>0</v>
      </c>
      <c r="N575" s="594" t="str">
        <f>INDEX(tblSubjectToLoan[Date],ROW()-ROW(tblContractForDeed[#Headers]))</f>
        <v/>
      </c>
      <c r="O575" s="276">
        <f>IF(ROW()=ROW(tblContractForDeed[#Headers])+1,$O$6,IF(INDEX(tblContractForDeed[End Bal],ROW()-ROW(tblContractForDeed[#Headers])-1)&lt;0,0,INDEX(tblContractForDeed[End Bal],ROW()-ROW(tblContractForDeed[#Headers])-1)))</f>
        <v>0</v>
      </c>
      <c r="P575" s="447"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594" t="str">
        <f t="shared" si="119"/>
        <v/>
      </c>
      <c r="B576" s="276">
        <f t="shared" si="120"/>
        <v>0</v>
      </c>
      <c r="C576" s="14">
        <f t="shared" si="117"/>
        <v>0</v>
      </c>
      <c r="D576" s="14">
        <f t="shared" si="121"/>
        <v>0</v>
      </c>
      <c r="E576" s="14">
        <f t="shared" si="118"/>
        <v>0</v>
      </c>
      <c r="K576" s="276">
        <f t="shared" si="122"/>
        <v>0</v>
      </c>
      <c r="L576" s="388">
        <f t="shared" si="124"/>
        <v>0</v>
      </c>
      <c r="M576" s="388">
        <f t="shared" si="123"/>
        <v>0</v>
      </c>
      <c r="N576" s="594" t="str">
        <f>INDEX(tblSubjectToLoan[Date],ROW()-ROW(tblContractForDeed[#Headers]))</f>
        <v/>
      </c>
      <c r="O576" s="276">
        <f>IF(ROW()=ROW(tblContractForDeed[#Headers])+1,$O$6,IF(INDEX(tblContractForDeed[End Bal],ROW()-ROW(tblContractForDeed[#Headers])-1)&lt;0,0,INDEX(tblContractForDeed[End Bal],ROW()-ROW(tblContractForDeed[#Headers])-1)))</f>
        <v>0</v>
      </c>
      <c r="P576" s="447"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594" t="str">
        <f t="shared" si="119"/>
        <v/>
      </c>
      <c r="B577" s="276">
        <f t="shared" si="120"/>
        <v>0</v>
      </c>
      <c r="C577" s="14">
        <f t="shared" si="117"/>
        <v>0</v>
      </c>
      <c r="D577" s="14">
        <f t="shared" si="121"/>
        <v>0</v>
      </c>
      <c r="E577" s="14">
        <f t="shared" si="118"/>
        <v>0</v>
      </c>
      <c r="K577" s="276">
        <f t="shared" si="122"/>
        <v>0</v>
      </c>
      <c r="L577" s="388">
        <f t="shared" si="124"/>
        <v>0</v>
      </c>
      <c r="M577" s="388">
        <f t="shared" si="123"/>
        <v>0</v>
      </c>
      <c r="N577" s="594" t="str">
        <f>INDEX(tblSubjectToLoan[Date],ROW()-ROW(tblContractForDeed[#Headers]))</f>
        <v/>
      </c>
      <c r="O577" s="276">
        <f>IF(ROW()=ROW(tblContractForDeed[#Headers])+1,$O$6,IF(INDEX(tblContractForDeed[End Bal],ROW()-ROW(tblContractForDeed[#Headers])-1)&lt;0,0,INDEX(tblContractForDeed[End Bal],ROW()-ROW(tblContractForDeed[#Headers])-1)))</f>
        <v>0</v>
      </c>
      <c r="P577" s="447"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594" t="str">
        <f t="shared" si="119"/>
        <v/>
      </c>
      <c r="B578" s="276">
        <f t="shared" si="120"/>
        <v>0</v>
      </c>
      <c r="C578" s="14">
        <f t="shared" si="117"/>
        <v>0</v>
      </c>
      <c r="D578" s="14">
        <f t="shared" si="121"/>
        <v>0</v>
      </c>
      <c r="E578" s="14">
        <f t="shared" si="118"/>
        <v>0</v>
      </c>
      <c r="K578" s="276">
        <f t="shared" si="122"/>
        <v>0</v>
      </c>
      <c r="L578" s="388">
        <f t="shared" si="124"/>
        <v>0</v>
      </c>
      <c r="M578" s="388">
        <f t="shared" si="123"/>
        <v>0</v>
      </c>
      <c r="N578" s="594" t="str">
        <f>INDEX(tblSubjectToLoan[Date],ROW()-ROW(tblContractForDeed[#Headers]))</f>
        <v/>
      </c>
      <c r="O578" s="276">
        <f>IF(ROW()=ROW(tblContractForDeed[#Headers])+1,$O$6,IF(INDEX(tblContractForDeed[End Bal],ROW()-ROW(tblContractForDeed[#Headers])-1)&lt;0,0,INDEX(tblContractForDeed[End Bal],ROW()-ROW(tblContractForDeed[#Headers])-1)))</f>
        <v>0</v>
      </c>
      <c r="P578" s="447"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594" t="str">
        <f t="shared" si="119"/>
        <v/>
      </c>
      <c r="B579" s="276">
        <f t="shared" si="120"/>
        <v>0</v>
      </c>
      <c r="C579" s="14">
        <f t="shared" si="117"/>
        <v>0</v>
      </c>
      <c r="D579" s="14">
        <f t="shared" si="121"/>
        <v>0</v>
      </c>
      <c r="E579" s="14">
        <f t="shared" si="118"/>
        <v>0</v>
      </c>
      <c r="K579" s="276">
        <f t="shared" si="122"/>
        <v>0</v>
      </c>
      <c r="L579" s="388">
        <f t="shared" si="124"/>
        <v>0</v>
      </c>
      <c r="M579" s="388">
        <f t="shared" si="123"/>
        <v>0</v>
      </c>
      <c r="N579" s="594" t="str">
        <f>INDEX(tblSubjectToLoan[Date],ROW()-ROW(tblContractForDeed[#Headers]))</f>
        <v/>
      </c>
      <c r="O579" s="276">
        <f>IF(ROW()=ROW(tblContractForDeed[#Headers])+1,$O$6,IF(INDEX(tblContractForDeed[End Bal],ROW()-ROW(tblContractForDeed[#Headers])-1)&lt;0,0,INDEX(tblContractForDeed[End Bal],ROW()-ROW(tblContractForDeed[#Headers])-1)))</f>
        <v>0</v>
      </c>
      <c r="P579" s="447"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594" t="str">
        <f t="shared" si="119"/>
        <v/>
      </c>
      <c r="B580" s="276">
        <f t="shared" si="120"/>
        <v>0</v>
      </c>
      <c r="C580" s="14">
        <f t="shared" si="117"/>
        <v>0</v>
      </c>
      <c r="D580" s="14">
        <f t="shared" si="121"/>
        <v>0</v>
      </c>
      <c r="E580" s="14">
        <f t="shared" si="118"/>
        <v>0</v>
      </c>
      <c r="K580" s="276">
        <f t="shared" si="122"/>
        <v>0</v>
      </c>
      <c r="L580" s="388">
        <f t="shared" si="124"/>
        <v>0</v>
      </c>
      <c r="M580" s="388">
        <f t="shared" si="123"/>
        <v>0</v>
      </c>
      <c r="N580" s="594" t="str">
        <f>INDEX(tblSubjectToLoan[Date],ROW()-ROW(tblContractForDeed[#Headers]))</f>
        <v/>
      </c>
      <c r="O580" s="276">
        <f>IF(ROW()=ROW(tblContractForDeed[#Headers])+1,$O$6,IF(INDEX(tblContractForDeed[End Bal],ROW()-ROW(tblContractForDeed[#Headers])-1)&lt;0,0,INDEX(tblContractForDeed[End Bal],ROW()-ROW(tblContractForDeed[#Headers])-1)))</f>
        <v>0</v>
      </c>
      <c r="P580" s="447"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594" t="str">
        <f t="shared" si="119"/>
        <v/>
      </c>
      <c r="B581" s="276">
        <f t="shared" si="120"/>
        <v>0</v>
      </c>
      <c r="C581" s="14">
        <f t="shared" si="117"/>
        <v>0</v>
      </c>
      <c r="D581" s="14">
        <f t="shared" si="121"/>
        <v>0</v>
      </c>
      <c r="E581" s="14">
        <f t="shared" si="118"/>
        <v>0</v>
      </c>
      <c r="K581" s="276">
        <f t="shared" si="122"/>
        <v>0</v>
      </c>
      <c r="L581" s="388">
        <f t="shared" si="124"/>
        <v>0</v>
      </c>
      <c r="M581" s="388">
        <f t="shared" si="123"/>
        <v>0</v>
      </c>
      <c r="N581" s="594" t="str">
        <f>INDEX(tblSubjectToLoan[Date],ROW()-ROW(tblContractForDeed[#Headers]))</f>
        <v/>
      </c>
      <c r="O581" s="276">
        <f>IF(ROW()=ROW(tblContractForDeed[#Headers])+1,$O$6,IF(INDEX(tblContractForDeed[End Bal],ROW()-ROW(tblContractForDeed[#Headers])-1)&lt;0,0,INDEX(tblContractForDeed[End Bal],ROW()-ROW(tblContractForDeed[#Headers])-1)))</f>
        <v>0</v>
      </c>
      <c r="P581" s="447"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594" t="str">
        <f t="shared" si="119"/>
        <v/>
      </c>
      <c r="B582" s="276">
        <f t="shared" si="120"/>
        <v>0</v>
      </c>
      <c r="C582" s="14">
        <f t="shared" si="117"/>
        <v>0</v>
      </c>
      <c r="D582" s="14">
        <f t="shared" si="121"/>
        <v>0</v>
      </c>
      <c r="E582" s="14">
        <f t="shared" si="118"/>
        <v>0</v>
      </c>
      <c r="K582" s="276">
        <f t="shared" si="122"/>
        <v>0</v>
      </c>
      <c r="L582" s="388">
        <f t="shared" si="124"/>
        <v>0</v>
      </c>
      <c r="M582" s="388">
        <f t="shared" si="123"/>
        <v>0</v>
      </c>
      <c r="N582" s="594" t="str">
        <f>INDEX(tblSubjectToLoan[Date],ROW()-ROW(tblContractForDeed[#Headers]))</f>
        <v/>
      </c>
      <c r="O582" s="276">
        <f>IF(ROW()=ROW(tblContractForDeed[#Headers])+1,$O$6,IF(INDEX(tblContractForDeed[End Bal],ROW()-ROW(tblContractForDeed[#Headers])-1)&lt;0,0,INDEX(tblContractForDeed[End Bal],ROW()-ROW(tblContractForDeed[#Headers])-1)))</f>
        <v>0</v>
      </c>
      <c r="P582" s="447"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595" t="str">
        <f t="shared" si="119"/>
        <v/>
      </c>
      <c r="B583" s="328">
        <f t="shared" si="120"/>
        <v>0</v>
      </c>
      <c r="C583" s="21">
        <f t="shared" si="117"/>
        <v>0</v>
      </c>
      <c r="D583" s="21">
        <f t="shared" si="121"/>
        <v>0</v>
      </c>
      <c r="E583" s="21">
        <f t="shared" si="118"/>
        <v>0</v>
      </c>
      <c r="F583" s="21"/>
      <c r="G583" s="21"/>
      <c r="H583" s="21"/>
      <c r="I583" s="328"/>
      <c r="J583" s="328"/>
      <c r="K583" s="328">
        <f t="shared" si="122"/>
        <v>0</v>
      </c>
      <c r="L583" s="389">
        <f t="shared" si="124"/>
        <v>0</v>
      </c>
      <c r="M583" s="389">
        <f t="shared" si="123"/>
        <v>0</v>
      </c>
      <c r="N583" s="595" t="str">
        <f>INDEX(tblSubjectToLoan[Date],ROW()-ROW(tblContractForDeed[#Headers]))</f>
        <v/>
      </c>
      <c r="O583" s="328">
        <f>IF(ROW()=ROW(tblContractForDeed[#Headers])+1,$O$6,IF(INDEX(tblContractForDeed[End Bal],ROW()-ROW(tblContractForDeed[#Headers])-1)&lt;0,0,INDEX(tblContractForDeed[End Bal],ROW()-ROW(tblContractForDeed[#Headers])-1)))</f>
        <v>0</v>
      </c>
      <c r="P583" s="447"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8">
        <f>SUM(INDEX(tblContractForDeed[Princ],1):INDEX(tblContractForDeed[Princ],ROW()-ROW(tblContractForDeed[#Headers])))</f>
        <v>75258.000000000029</v>
      </c>
      <c r="X583" s="328">
        <f>IF(tblContractForDeed[[#This Row],[Beg]]&lt;=0,0,tblContractForDeed[[#This Row],[Beg]]-tblContractForDeed[[#This Row],[Princ]])</f>
        <v>0</v>
      </c>
      <c r="Y58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8">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8">
        <f>IF(INDEX(tblContractForDeed[End Bal],ROW()-ROW(tblBuyerOutputs[#Headers]))&lt;=0,0,($O$6+IF(ROW()=ROW(tblBuyerOutputs[#Headers])+1,0,INDEX(tblBuyerOutputs[Cumul Appr],ROW()-ROW(tblBuyerOutputs[#Headers])-1)))*$O$2/12)</f>
        <v>0</v>
      </c>
      <c r="AE583" s="328">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594" t="str">
        <f t="shared" si="119"/>
        <v/>
      </c>
      <c r="B584" s="276">
        <f t="shared" si="120"/>
        <v>0</v>
      </c>
      <c r="C584" s="14">
        <f t="shared" si="117"/>
        <v>0</v>
      </c>
      <c r="D584" s="14">
        <f t="shared" si="121"/>
        <v>0</v>
      </c>
      <c r="E584" s="14">
        <f t="shared" si="118"/>
        <v>0</v>
      </c>
      <c r="K584" s="276">
        <f t="shared" si="122"/>
        <v>0</v>
      </c>
      <c r="L584" s="388">
        <f t="shared" si="124"/>
        <v>0</v>
      </c>
      <c r="M584" s="388">
        <f t="shared" si="123"/>
        <v>0</v>
      </c>
      <c r="N584" s="594" t="str">
        <f>INDEX(tblSubjectToLoan[Date],ROW()-ROW(tblContractForDeed[#Headers]))</f>
        <v/>
      </c>
      <c r="O584" s="276">
        <f>IF(ROW()=ROW(tblContractForDeed[#Headers])+1,$O$6,IF(INDEX(tblContractForDeed[End Bal],ROW()-ROW(tblContractForDeed[#Headers])-1)&lt;0,0,INDEX(tblContractForDeed[End Bal],ROW()-ROW(tblContractForDeed[#Headers])-1)))</f>
        <v>0</v>
      </c>
      <c r="P584" s="447"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594" t="str">
        <f t="shared" si="119"/>
        <v/>
      </c>
      <c r="B585" s="276">
        <f t="shared" si="120"/>
        <v>0</v>
      </c>
      <c r="C585" s="14">
        <f t="shared" si="117"/>
        <v>0</v>
      </c>
      <c r="D585" s="14">
        <f t="shared" si="121"/>
        <v>0</v>
      </c>
      <c r="E585" s="14">
        <f t="shared" si="118"/>
        <v>0</v>
      </c>
      <c r="K585" s="276">
        <f t="shared" si="122"/>
        <v>0</v>
      </c>
      <c r="L585" s="388">
        <f t="shared" si="124"/>
        <v>0</v>
      </c>
      <c r="M585" s="388">
        <f t="shared" si="123"/>
        <v>0</v>
      </c>
      <c r="N585" s="594" t="str">
        <f>INDEX(tblSubjectToLoan[Date],ROW()-ROW(tblContractForDeed[#Headers]))</f>
        <v/>
      </c>
      <c r="O585" s="276">
        <f>IF(ROW()=ROW(tblContractForDeed[#Headers])+1,$O$6,IF(INDEX(tblContractForDeed[End Bal],ROW()-ROW(tblContractForDeed[#Headers])-1)&lt;0,0,INDEX(tblContractForDeed[End Bal],ROW()-ROW(tblContractForDeed[#Headers])-1)))</f>
        <v>0</v>
      </c>
      <c r="P585" s="447"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594" t="str">
        <f t="shared" si="119"/>
        <v/>
      </c>
      <c r="B586" s="276">
        <f t="shared" si="120"/>
        <v>0</v>
      </c>
      <c r="C586" s="14">
        <f t="shared" si="117"/>
        <v>0</v>
      </c>
      <c r="D586" s="14">
        <f t="shared" si="121"/>
        <v>0</v>
      </c>
      <c r="E586" s="14">
        <f t="shared" si="118"/>
        <v>0</v>
      </c>
      <c r="K586" s="276">
        <f t="shared" si="122"/>
        <v>0</v>
      </c>
      <c r="L586" s="388">
        <f t="shared" si="124"/>
        <v>0</v>
      </c>
      <c r="M586" s="388">
        <f t="shared" si="123"/>
        <v>0</v>
      </c>
      <c r="N586" s="594" t="str">
        <f>INDEX(tblSubjectToLoan[Date],ROW()-ROW(tblContractForDeed[#Headers]))</f>
        <v/>
      </c>
      <c r="O586" s="276">
        <f>IF(ROW()=ROW(tblContractForDeed[#Headers])+1,$O$6,IF(INDEX(tblContractForDeed[End Bal],ROW()-ROW(tblContractForDeed[#Headers])-1)&lt;0,0,INDEX(tblContractForDeed[End Bal],ROW()-ROW(tblContractForDeed[#Headers])-1)))</f>
        <v>0</v>
      </c>
      <c r="P586" s="447"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594" t="str">
        <f t="shared" si="119"/>
        <v/>
      </c>
      <c r="B587" s="276">
        <f t="shared" si="120"/>
        <v>0</v>
      </c>
      <c r="C587" s="14">
        <f t="shared" si="117"/>
        <v>0</v>
      </c>
      <c r="D587" s="14">
        <f t="shared" si="121"/>
        <v>0</v>
      </c>
      <c r="E587" s="14">
        <f t="shared" si="118"/>
        <v>0</v>
      </c>
      <c r="K587" s="276">
        <f t="shared" si="122"/>
        <v>0</v>
      </c>
      <c r="L587" s="388">
        <f t="shared" si="124"/>
        <v>0</v>
      </c>
      <c r="M587" s="388">
        <f t="shared" si="123"/>
        <v>0</v>
      </c>
      <c r="N587" s="594" t="str">
        <f>INDEX(tblSubjectToLoan[Date],ROW()-ROW(tblContractForDeed[#Headers]))</f>
        <v/>
      </c>
      <c r="O587" s="276">
        <f>IF(ROW()=ROW(tblContractForDeed[#Headers])+1,$O$6,IF(INDEX(tblContractForDeed[End Bal],ROW()-ROW(tblContractForDeed[#Headers])-1)&lt;0,0,INDEX(tblContractForDeed[End Bal],ROW()-ROW(tblContractForDeed[#Headers])-1)))</f>
        <v>0</v>
      </c>
      <c r="P587" s="447"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594" t="str">
        <f t="shared" si="119"/>
        <v/>
      </c>
      <c r="B588" s="276">
        <f t="shared" si="120"/>
        <v>0</v>
      </c>
      <c r="C588" s="14">
        <f t="shared" si="117"/>
        <v>0</v>
      </c>
      <c r="D588" s="14">
        <f t="shared" si="121"/>
        <v>0</v>
      </c>
      <c r="E588" s="14">
        <f t="shared" si="118"/>
        <v>0</v>
      </c>
      <c r="K588" s="276">
        <f t="shared" si="122"/>
        <v>0</v>
      </c>
      <c r="L588" s="388">
        <f t="shared" si="124"/>
        <v>0</v>
      </c>
      <c r="M588" s="388">
        <f t="shared" si="123"/>
        <v>0</v>
      </c>
      <c r="N588" s="594" t="str">
        <f>INDEX(tblSubjectToLoan[Date],ROW()-ROW(tblContractForDeed[#Headers]))</f>
        <v/>
      </c>
      <c r="O588" s="276">
        <f>IF(ROW()=ROW(tblContractForDeed[#Headers])+1,$O$6,IF(INDEX(tblContractForDeed[End Bal],ROW()-ROW(tblContractForDeed[#Headers])-1)&lt;0,0,INDEX(tblContractForDeed[End Bal],ROW()-ROW(tblContractForDeed[#Headers])-1)))</f>
        <v>0</v>
      </c>
      <c r="P588" s="447"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594" t="str">
        <f t="shared" si="119"/>
        <v/>
      </c>
      <c r="B589" s="276">
        <f t="shared" si="120"/>
        <v>0</v>
      </c>
      <c r="C589" s="14">
        <f t="shared" si="117"/>
        <v>0</v>
      </c>
      <c r="D589" s="14">
        <f t="shared" si="121"/>
        <v>0</v>
      </c>
      <c r="E589" s="14">
        <f t="shared" si="118"/>
        <v>0</v>
      </c>
      <c r="K589" s="276">
        <f t="shared" si="122"/>
        <v>0</v>
      </c>
      <c r="L589" s="388">
        <f t="shared" si="124"/>
        <v>0</v>
      </c>
      <c r="M589" s="388">
        <f t="shared" si="123"/>
        <v>0</v>
      </c>
      <c r="N589" s="594" t="str">
        <f>INDEX(tblSubjectToLoan[Date],ROW()-ROW(tblContractForDeed[#Headers]))</f>
        <v/>
      </c>
      <c r="O589" s="276">
        <f>IF(ROW()=ROW(tblContractForDeed[#Headers])+1,$O$6,IF(INDEX(tblContractForDeed[End Bal],ROW()-ROW(tblContractForDeed[#Headers])-1)&lt;0,0,INDEX(tblContractForDeed[End Bal],ROW()-ROW(tblContractForDeed[#Headers])-1)))</f>
        <v>0</v>
      </c>
      <c r="P589" s="447"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594" t="str">
        <f t="shared" si="119"/>
        <v/>
      </c>
      <c r="B590" s="276">
        <f t="shared" si="120"/>
        <v>0</v>
      </c>
      <c r="C590" s="14">
        <f t="shared" si="117"/>
        <v>0</v>
      </c>
      <c r="D590" s="14">
        <f t="shared" si="121"/>
        <v>0</v>
      </c>
      <c r="E590" s="14">
        <f t="shared" si="118"/>
        <v>0</v>
      </c>
      <c r="K590" s="276">
        <f t="shared" si="122"/>
        <v>0</v>
      </c>
      <c r="L590" s="388">
        <f t="shared" si="124"/>
        <v>0</v>
      </c>
      <c r="M590" s="388">
        <f t="shared" si="123"/>
        <v>0</v>
      </c>
      <c r="N590" s="594" t="str">
        <f>INDEX(tblSubjectToLoan[Date],ROW()-ROW(tblContractForDeed[#Headers]))</f>
        <v/>
      </c>
      <c r="O590" s="276">
        <f>IF(ROW()=ROW(tblContractForDeed[#Headers])+1,$O$6,IF(INDEX(tblContractForDeed[End Bal],ROW()-ROW(tblContractForDeed[#Headers])-1)&lt;0,0,INDEX(tblContractForDeed[End Bal],ROW()-ROW(tblContractForDeed[#Headers])-1)))</f>
        <v>0</v>
      </c>
      <c r="P590" s="447"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594" t="str">
        <f t="shared" si="119"/>
        <v/>
      </c>
      <c r="B591" s="276">
        <f t="shared" si="120"/>
        <v>0</v>
      </c>
      <c r="C591" s="14">
        <f t="shared" si="117"/>
        <v>0</v>
      </c>
      <c r="D591" s="14">
        <f t="shared" si="121"/>
        <v>0</v>
      </c>
      <c r="E591" s="14">
        <f t="shared" si="118"/>
        <v>0</v>
      </c>
      <c r="K591" s="276">
        <f t="shared" si="122"/>
        <v>0</v>
      </c>
      <c r="L591" s="388">
        <f t="shared" si="124"/>
        <v>0</v>
      </c>
      <c r="M591" s="388">
        <f t="shared" si="123"/>
        <v>0</v>
      </c>
      <c r="N591" s="594" t="str">
        <f>INDEX(tblSubjectToLoan[Date],ROW()-ROW(tblContractForDeed[#Headers]))</f>
        <v/>
      </c>
      <c r="O591" s="276">
        <f>IF(ROW()=ROW(tblContractForDeed[#Headers])+1,$O$6,IF(INDEX(tblContractForDeed[End Bal],ROW()-ROW(tblContractForDeed[#Headers])-1)&lt;0,0,INDEX(tblContractForDeed[End Bal],ROW()-ROW(tblContractForDeed[#Headers])-1)))</f>
        <v>0</v>
      </c>
      <c r="P591" s="447"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594" t="str">
        <f t="shared" si="119"/>
        <v/>
      </c>
      <c r="B592" s="276">
        <f t="shared" si="120"/>
        <v>0</v>
      </c>
      <c r="C592" s="14">
        <f t="shared" si="117"/>
        <v>0</v>
      </c>
      <c r="D592" s="14">
        <f t="shared" si="121"/>
        <v>0</v>
      </c>
      <c r="E592" s="14">
        <f t="shared" si="118"/>
        <v>0</v>
      </c>
      <c r="K592" s="276">
        <f t="shared" si="122"/>
        <v>0</v>
      </c>
      <c r="L592" s="388">
        <f t="shared" si="124"/>
        <v>0</v>
      </c>
      <c r="M592" s="388">
        <f t="shared" si="123"/>
        <v>0</v>
      </c>
      <c r="N592" s="594" t="str">
        <f>INDEX(tblSubjectToLoan[Date],ROW()-ROW(tblContractForDeed[#Headers]))</f>
        <v/>
      </c>
      <c r="O592" s="276">
        <f>IF(ROW()=ROW(tblContractForDeed[#Headers])+1,$O$6,IF(INDEX(tblContractForDeed[End Bal],ROW()-ROW(tblContractForDeed[#Headers])-1)&lt;0,0,INDEX(tblContractForDeed[End Bal],ROW()-ROW(tblContractForDeed[#Headers])-1)))</f>
        <v>0</v>
      </c>
      <c r="P592" s="447"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594" t="str">
        <f t="shared" si="119"/>
        <v/>
      </c>
      <c r="B593" s="276">
        <f t="shared" si="120"/>
        <v>0</v>
      </c>
      <c r="C593" s="14">
        <f t="shared" si="117"/>
        <v>0</v>
      </c>
      <c r="D593" s="14">
        <f t="shared" si="121"/>
        <v>0</v>
      </c>
      <c r="E593" s="14">
        <f t="shared" si="118"/>
        <v>0</v>
      </c>
      <c r="K593" s="276">
        <f t="shared" si="122"/>
        <v>0</v>
      </c>
      <c r="L593" s="388">
        <f t="shared" si="124"/>
        <v>0</v>
      </c>
      <c r="M593" s="388">
        <f t="shared" si="123"/>
        <v>0</v>
      </c>
      <c r="N593" s="594" t="str">
        <f>INDEX(tblSubjectToLoan[Date],ROW()-ROW(tblContractForDeed[#Headers]))</f>
        <v/>
      </c>
      <c r="O593" s="276">
        <f>IF(ROW()=ROW(tblContractForDeed[#Headers])+1,$O$6,IF(INDEX(tblContractForDeed[End Bal],ROW()-ROW(tblContractForDeed[#Headers])-1)&lt;0,0,INDEX(tblContractForDeed[End Bal],ROW()-ROW(tblContractForDeed[#Headers])-1)))</f>
        <v>0</v>
      </c>
      <c r="P593" s="447"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594" t="str">
        <f t="shared" si="119"/>
        <v/>
      </c>
      <c r="B594" s="276">
        <f t="shared" si="120"/>
        <v>0</v>
      </c>
      <c r="C594" s="14">
        <f t="shared" si="117"/>
        <v>0</v>
      </c>
      <c r="D594" s="14">
        <f t="shared" si="121"/>
        <v>0</v>
      </c>
      <c r="E594" s="14">
        <f t="shared" si="118"/>
        <v>0</v>
      </c>
      <c r="K594" s="276">
        <f t="shared" si="122"/>
        <v>0</v>
      </c>
      <c r="L594" s="388">
        <f t="shared" si="124"/>
        <v>0</v>
      </c>
      <c r="M594" s="388">
        <f t="shared" si="123"/>
        <v>0</v>
      </c>
      <c r="N594" s="594" t="str">
        <f>INDEX(tblSubjectToLoan[Date],ROW()-ROW(tblContractForDeed[#Headers]))</f>
        <v/>
      </c>
      <c r="O594" s="276">
        <f>IF(ROW()=ROW(tblContractForDeed[#Headers])+1,$O$6,IF(INDEX(tblContractForDeed[End Bal],ROW()-ROW(tblContractForDeed[#Headers])-1)&lt;0,0,INDEX(tblContractForDeed[End Bal],ROW()-ROW(tblContractForDeed[#Headers])-1)))</f>
        <v>0</v>
      </c>
      <c r="P594" s="447"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595" t="str">
        <f t="shared" si="119"/>
        <v/>
      </c>
      <c r="B595" s="328">
        <f t="shared" si="120"/>
        <v>0</v>
      </c>
      <c r="C595" s="21">
        <f t="shared" si="117"/>
        <v>0</v>
      </c>
      <c r="D595" s="21">
        <f t="shared" si="121"/>
        <v>0</v>
      </c>
      <c r="E595" s="21">
        <f t="shared" si="118"/>
        <v>0</v>
      </c>
      <c r="F595" s="21"/>
      <c r="G595" s="21"/>
      <c r="H595" s="21"/>
      <c r="I595" s="328"/>
      <c r="J595" s="328"/>
      <c r="K595" s="328">
        <f t="shared" si="122"/>
        <v>0</v>
      </c>
      <c r="L595" s="389">
        <f t="shared" si="124"/>
        <v>0</v>
      </c>
      <c r="M595" s="389">
        <f t="shared" si="123"/>
        <v>0</v>
      </c>
      <c r="N595" s="595" t="str">
        <f>INDEX(tblSubjectToLoan[Date],ROW()-ROW(tblContractForDeed[#Headers]))</f>
        <v/>
      </c>
      <c r="O595" s="328">
        <f>IF(ROW()=ROW(tblContractForDeed[#Headers])+1,$O$6,IF(INDEX(tblContractForDeed[End Bal],ROW()-ROW(tblContractForDeed[#Headers])-1)&lt;0,0,INDEX(tblContractForDeed[End Bal],ROW()-ROW(tblContractForDeed[#Headers])-1)))</f>
        <v>0</v>
      </c>
      <c r="P595" s="447"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8">
        <f>SUM(INDEX(tblContractForDeed[Princ],1):INDEX(tblContractForDeed[Princ],ROW()-ROW(tblContractForDeed[#Headers])))</f>
        <v>75258.000000000029</v>
      </c>
      <c r="X595" s="328">
        <f>IF(tblContractForDeed[[#This Row],[Beg]]&lt;=0,0,tblContractForDeed[[#This Row],[Beg]]-tblContractForDeed[[#This Row],[Princ]])</f>
        <v>0</v>
      </c>
      <c r="Y59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8">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8">
        <f>IF(INDEX(tblContractForDeed[End Bal],ROW()-ROW(tblBuyerOutputs[#Headers]))&lt;=0,0,($O$6+IF(ROW()=ROW(tblBuyerOutputs[#Headers])+1,0,INDEX(tblBuyerOutputs[Cumul Appr],ROW()-ROW(tblBuyerOutputs[#Headers])-1)))*$O$2/12)</f>
        <v>0</v>
      </c>
      <c r="AE595" s="328">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594"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88">
        <f t="shared" si="124"/>
        <v>0</v>
      </c>
      <c r="M596" s="388">
        <f t="shared" si="123"/>
        <v>0</v>
      </c>
      <c r="N596" s="594" t="str">
        <f>INDEX(tblSubjectToLoan[Date],ROW()-ROW(tblContractForDeed[#Headers]))</f>
        <v/>
      </c>
      <c r="O596" s="276">
        <f>IF(ROW()=ROW(tblContractForDeed[#Headers])+1,$O$6,IF(INDEX(tblContractForDeed[End Bal],ROW()-ROW(tblContractForDeed[#Headers])-1)&lt;0,0,INDEX(tblContractForDeed[End Bal],ROW()-ROW(tblContractForDeed[#Headers])-1)))</f>
        <v>0</v>
      </c>
      <c r="P596" s="447"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594"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88">
        <f t="shared" si="124"/>
        <v>0</v>
      </c>
      <c r="M597" s="388">
        <f t="shared" ref="M597:M660" si="131">IF($A597&lt;&gt;"",M596+1,0)</f>
        <v>0</v>
      </c>
      <c r="N597" s="594" t="str">
        <f>INDEX(tblSubjectToLoan[Date],ROW()-ROW(tblContractForDeed[#Headers]))</f>
        <v/>
      </c>
      <c r="O597" s="276">
        <f>IF(ROW()=ROW(tblContractForDeed[#Headers])+1,$O$6,IF(INDEX(tblContractForDeed[End Bal],ROW()-ROW(tblContractForDeed[#Headers])-1)&lt;0,0,INDEX(tblContractForDeed[End Bal],ROW()-ROW(tblContractForDeed[#Headers])-1)))</f>
        <v>0</v>
      </c>
      <c r="P597" s="447"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594" t="str">
        <f t="shared" si="127"/>
        <v/>
      </c>
      <c r="B598" s="276">
        <f t="shared" si="128"/>
        <v>0</v>
      </c>
      <c r="C598" s="14">
        <f t="shared" si="125"/>
        <v>0</v>
      </c>
      <c r="D598" s="14">
        <f t="shared" si="129"/>
        <v>0</v>
      </c>
      <c r="E598" s="14">
        <f t="shared" si="126"/>
        <v>0</v>
      </c>
      <c r="K598" s="276">
        <f t="shared" si="130"/>
        <v>0</v>
      </c>
      <c r="L598" s="388">
        <f t="shared" si="124"/>
        <v>0</v>
      </c>
      <c r="M598" s="388">
        <f t="shared" si="131"/>
        <v>0</v>
      </c>
      <c r="N598" s="594" t="str">
        <f>INDEX(tblSubjectToLoan[Date],ROW()-ROW(tblContractForDeed[#Headers]))</f>
        <v/>
      </c>
      <c r="O598" s="276">
        <f>IF(ROW()=ROW(tblContractForDeed[#Headers])+1,$O$6,IF(INDEX(tblContractForDeed[End Bal],ROW()-ROW(tblContractForDeed[#Headers])-1)&lt;0,0,INDEX(tblContractForDeed[End Bal],ROW()-ROW(tblContractForDeed[#Headers])-1)))</f>
        <v>0</v>
      </c>
      <c r="P598" s="447"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594" t="str">
        <f t="shared" si="127"/>
        <v/>
      </c>
      <c r="B599" s="276">
        <f t="shared" si="128"/>
        <v>0</v>
      </c>
      <c r="C599" s="14">
        <f t="shared" si="125"/>
        <v>0</v>
      </c>
      <c r="D599" s="14">
        <f t="shared" si="129"/>
        <v>0</v>
      </c>
      <c r="E599" s="14">
        <f t="shared" si="126"/>
        <v>0</v>
      </c>
      <c r="K599" s="276">
        <f t="shared" si="130"/>
        <v>0</v>
      </c>
      <c r="L599" s="388">
        <f t="shared" si="124"/>
        <v>0</v>
      </c>
      <c r="M599" s="388">
        <f t="shared" si="131"/>
        <v>0</v>
      </c>
      <c r="N599" s="594" t="str">
        <f>INDEX(tblSubjectToLoan[Date],ROW()-ROW(tblContractForDeed[#Headers]))</f>
        <v/>
      </c>
      <c r="O599" s="276">
        <f>IF(ROW()=ROW(tblContractForDeed[#Headers])+1,$O$6,IF(INDEX(tblContractForDeed[End Bal],ROW()-ROW(tblContractForDeed[#Headers])-1)&lt;0,0,INDEX(tblContractForDeed[End Bal],ROW()-ROW(tblContractForDeed[#Headers])-1)))</f>
        <v>0</v>
      </c>
      <c r="P599" s="447"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594" t="str">
        <f t="shared" si="127"/>
        <v/>
      </c>
      <c r="B600" s="276">
        <f t="shared" si="128"/>
        <v>0</v>
      </c>
      <c r="C600" s="14">
        <f t="shared" si="125"/>
        <v>0</v>
      </c>
      <c r="D600" s="14">
        <f t="shared" si="129"/>
        <v>0</v>
      </c>
      <c r="E600" s="14">
        <f t="shared" si="126"/>
        <v>0</v>
      </c>
      <c r="K600" s="276">
        <f t="shared" si="130"/>
        <v>0</v>
      </c>
      <c r="L600" s="388">
        <f t="shared" si="124"/>
        <v>0</v>
      </c>
      <c r="M600" s="388">
        <f t="shared" si="131"/>
        <v>0</v>
      </c>
      <c r="N600" s="594" t="str">
        <f>INDEX(tblSubjectToLoan[Date],ROW()-ROW(tblContractForDeed[#Headers]))</f>
        <v/>
      </c>
      <c r="O600" s="276">
        <f>IF(ROW()=ROW(tblContractForDeed[#Headers])+1,$O$6,IF(INDEX(tblContractForDeed[End Bal],ROW()-ROW(tblContractForDeed[#Headers])-1)&lt;0,0,INDEX(tblContractForDeed[End Bal],ROW()-ROW(tblContractForDeed[#Headers])-1)))</f>
        <v>0</v>
      </c>
      <c r="P600" s="447"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594" t="str">
        <f t="shared" si="127"/>
        <v/>
      </c>
      <c r="B601" s="276">
        <f t="shared" si="128"/>
        <v>0</v>
      </c>
      <c r="C601" s="14">
        <f t="shared" si="125"/>
        <v>0</v>
      </c>
      <c r="D601" s="14">
        <f t="shared" si="129"/>
        <v>0</v>
      </c>
      <c r="E601" s="14">
        <f t="shared" si="126"/>
        <v>0</v>
      </c>
      <c r="K601" s="276">
        <f t="shared" si="130"/>
        <v>0</v>
      </c>
      <c r="L601" s="388">
        <f t="shared" si="124"/>
        <v>0</v>
      </c>
      <c r="M601" s="388">
        <f t="shared" si="131"/>
        <v>0</v>
      </c>
      <c r="N601" s="594" t="str">
        <f>INDEX(tblSubjectToLoan[Date],ROW()-ROW(tblContractForDeed[#Headers]))</f>
        <v/>
      </c>
      <c r="O601" s="276">
        <f>IF(ROW()=ROW(tblContractForDeed[#Headers])+1,$O$6,IF(INDEX(tblContractForDeed[End Bal],ROW()-ROW(tblContractForDeed[#Headers])-1)&lt;0,0,INDEX(tblContractForDeed[End Bal],ROW()-ROW(tblContractForDeed[#Headers])-1)))</f>
        <v>0</v>
      </c>
      <c r="P601" s="447"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594" t="str">
        <f t="shared" si="127"/>
        <v/>
      </c>
      <c r="B602" s="276">
        <f t="shared" si="128"/>
        <v>0</v>
      </c>
      <c r="C602" s="14">
        <f t="shared" si="125"/>
        <v>0</v>
      </c>
      <c r="D602" s="14">
        <f t="shared" si="129"/>
        <v>0</v>
      </c>
      <c r="E602" s="14">
        <f t="shared" si="126"/>
        <v>0</v>
      </c>
      <c r="K602" s="276">
        <f t="shared" si="130"/>
        <v>0</v>
      </c>
      <c r="L602" s="388">
        <f t="shared" si="124"/>
        <v>0</v>
      </c>
      <c r="M602" s="388">
        <f t="shared" si="131"/>
        <v>0</v>
      </c>
      <c r="N602" s="594" t="str">
        <f>INDEX(tblSubjectToLoan[Date],ROW()-ROW(tblContractForDeed[#Headers]))</f>
        <v/>
      </c>
      <c r="O602" s="276">
        <f>IF(ROW()=ROW(tblContractForDeed[#Headers])+1,$O$6,IF(INDEX(tblContractForDeed[End Bal],ROW()-ROW(tblContractForDeed[#Headers])-1)&lt;0,0,INDEX(tblContractForDeed[End Bal],ROW()-ROW(tblContractForDeed[#Headers])-1)))</f>
        <v>0</v>
      </c>
      <c r="P602" s="447"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594" t="str">
        <f t="shared" si="127"/>
        <v/>
      </c>
      <c r="B603" s="276">
        <f t="shared" si="128"/>
        <v>0</v>
      </c>
      <c r="C603" s="14">
        <f t="shared" si="125"/>
        <v>0</v>
      </c>
      <c r="D603" s="14">
        <f t="shared" si="129"/>
        <v>0</v>
      </c>
      <c r="E603" s="14">
        <f t="shared" si="126"/>
        <v>0</v>
      </c>
      <c r="K603" s="276">
        <f t="shared" si="130"/>
        <v>0</v>
      </c>
      <c r="L603" s="388">
        <f t="shared" si="124"/>
        <v>0</v>
      </c>
      <c r="M603" s="388">
        <f t="shared" si="131"/>
        <v>0</v>
      </c>
      <c r="N603" s="594" t="str">
        <f>INDEX(tblSubjectToLoan[Date],ROW()-ROW(tblContractForDeed[#Headers]))</f>
        <v/>
      </c>
      <c r="O603" s="276">
        <f>IF(ROW()=ROW(tblContractForDeed[#Headers])+1,$O$6,IF(INDEX(tblContractForDeed[End Bal],ROW()-ROW(tblContractForDeed[#Headers])-1)&lt;0,0,INDEX(tblContractForDeed[End Bal],ROW()-ROW(tblContractForDeed[#Headers])-1)))</f>
        <v>0</v>
      </c>
      <c r="P603" s="447"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594" t="str">
        <f t="shared" si="127"/>
        <v/>
      </c>
      <c r="B604" s="276">
        <f t="shared" si="128"/>
        <v>0</v>
      </c>
      <c r="C604" s="14">
        <f t="shared" si="125"/>
        <v>0</v>
      </c>
      <c r="D604" s="14">
        <f t="shared" si="129"/>
        <v>0</v>
      </c>
      <c r="E604" s="14">
        <f t="shared" si="126"/>
        <v>0</v>
      </c>
      <c r="K604" s="276">
        <f t="shared" si="130"/>
        <v>0</v>
      </c>
      <c r="L604" s="388">
        <f t="shared" si="124"/>
        <v>0</v>
      </c>
      <c r="M604" s="388">
        <f t="shared" si="131"/>
        <v>0</v>
      </c>
      <c r="N604" s="594" t="str">
        <f>INDEX(tblSubjectToLoan[Date],ROW()-ROW(tblContractForDeed[#Headers]))</f>
        <v/>
      </c>
      <c r="O604" s="276">
        <f>IF(ROW()=ROW(tblContractForDeed[#Headers])+1,$O$6,IF(INDEX(tblContractForDeed[End Bal],ROW()-ROW(tblContractForDeed[#Headers])-1)&lt;0,0,INDEX(tblContractForDeed[End Bal],ROW()-ROW(tblContractForDeed[#Headers])-1)))</f>
        <v>0</v>
      </c>
      <c r="P604" s="447"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594" t="str">
        <f t="shared" si="127"/>
        <v/>
      </c>
      <c r="B605" s="276">
        <f t="shared" si="128"/>
        <v>0</v>
      </c>
      <c r="C605" s="14">
        <f t="shared" si="125"/>
        <v>0</v>
      </c>
      <c r="D605" s="14">
        <f t="shared" si="129"/>
        <v>0</v>
      </c>
      <c r="E605" s="14">
        <f t="shared" si="126"/>
        <v>0</v>
      </c>
      <c r="K605" s="276">
        <f t="shared" si="130"/>
        <v>0</v>
      </c>
      <c r="L605" s="388">
        <f t="shared" si="124"/>
        <v>0</v>
      </c>
      <c r="M605" s="388">
        <f t="shared" si="131"/>
        <v>0</v>
      </c>
      <c r="N605" s="594" t="str">
        <f>INDEX(tblSubjectToLoan[Date],ROW()-ROW(tblContractForDeed[#Headers]))</f>
        <v/>
      </c>
      <c r="O605" s="276">
        <f>IF(ROW()=ROW(tblContractForDeed[#Headers])+1,$O$6,IF(INDEX(tblContractForDeed[End Bal],ROW()-ROW(tblContractForDeed[#Headers])-1)&lt;0,0,INDEX(tblContractForDeed[End Bal],ROW()-ROW(tblContractForDeed[#Headers])-1)))</f>
        <v>0</v>
      </c>
      <c r="P605" s="447"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594" t="str">
        <f t="shared" si="127"/>
        <v/>
      </c>
      <c r="B606" s="276">
        <f t="shared" si="128"/>
        <v>0</v>
      </c>
      <c r="C606" s="14">
        <f t="shared" si="125"/>
        <v>0</v>
      </c>
      <c r="D606" s="14">
        <f t="shared" si="129"/>
        <v>0</v>
      </c>
      <c r="E606" s="14">
        <f t="shared" si="126"/>
        <v>0</v>
      </c>
      <c r="K606" s="276">
        <f t="shared" si="130"/>
        <v>0</v>
      </c>
      <c r="L606" s="388">
        <f t="shared" si="124"/>
        <v>0</v>
      </c>
      <c r="M606" s="388">
        <f t="shared" si="131"/>
        <v>0</v>
      </c>
      <c r="N606" s="594" t="str">
        <f>INDEX(tblSubjectToLoan[Date],ROW()-ROW(tblContractForDeed[#Headers]))</f>
        <v/>
      </c>
      <c r="O606" s="276">
        <f>IF(ROW()=ROW(tblContractForDeed[#Headers])+1,$O$6,IF(INDEX(tblContractForDeed[End Bal],ROW()-ROW(tblContractForDeed[#Headers])-1)&lt;0,0,INDEX(tblContractForDeed[End Bal],ROW()-ROW(tblContractForDeed[#Headers])-1)))</f>
        <v>0</v>
      </c>
      <c r="P606" s="447"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595" t="str">
        <f t="shared" si="127"/>
        <v/>
      </c>
      <c r="B607" s="328">
        <f t="shared" si="128"/>
        <v>0</v>
      </c>
      <c r="C607" s="21">
        <f t="shared" si="125"/>
        <v>0</v>
      </c>
      <c r="D607" s="21">
        <f t="shared" si="129"/>
        <v>0</v>
      </c>
      <c r="E607" s="21">
        <f t="shared" si="126"/>
        <v>0</v>
      </c>
      <c r="F607" s="21"/>
      <c r="G607" s="21"/>
      <c r="H607" s="21"/>
      <c r="I607" s="328"/>
      <c r="J607" s="328"/>
      <c r="K607" s="328">
        <f t="shared" si="130"/>
        <v>0</v>
      </c>
      <c r="L607" s="389">
        <f t="shared" si="124"/>
        <v>0</v>
      </c>
      <c r="M607" s="389">
        <f t="shared" si="131"/>
        <v>0</v>
      </c>
      <c r="N607" s="595" t="str">
        <f>INDEX(tblSubjectToLoan[Date],ROW()-ROW(tblContractForDeed[#Headers]))</f>
        <v/>
      </c>
      <c r="O607" s="328">
        <f>IF(ROW()=ROW(tblContractForDeed[#Headers])+1,$O$6,IF(INDEX(tblContractForDeed[End Bal],ROW()-ROW(tblContractForDeed[#Headers])-1)&lt;0,0,INDEX(tblContractForDeed[End Bal],ROW()-ROW(tblContractForDeed[#Headers])-1)))</f>
        <v>0</v>
      </c>
      <c r="P607" s="447"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8">
        <f>SUM(INDEX(tblContractForDeed[Princ],1):INDEX(tblContractForDeed[Princ],ROW()-ROW(tblContractForDeed[#Headers])))</f>
        <v>75258.000000000029</v>
      </c>
      <c r="X607" s="328">
        <f>IF(tblContractForDeed[[#This Row],[Beg]]&lt;=0,0,tblContractForDeed[[#This Row],[Beg]]-tblContractForDeed[[#This Row],[Princ]])</f>
        <v>0</v>
      </c>
      <c r="Y60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8">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8">
        <f>IF(INDEX(tblContractForDeed[End Bal],ROW()-ROW(tblBuyerOutputs[#Headers]))&lt;=0,0,($O$6+IF(ROW()=ROW(tblBuyerOutputs[#Headers])+1,0,INDEX(tblBuyerOutputs[Cumul Appr],ROW()-ROW(tblBuyerOutputs[#Headers])-1)))*$O$2/12)</f>
        <v>0</v>
      </c>
      <c r="AE607" s="328">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594" t="str">
        <f t="shared" si="127"/>
        <v/>
      </c>
      <c r="B608" s="276">
        <f t="shared" si="128"/>
        <v>0</v>
      </c>
      <c r="C608" s="14">
        <f t="shared" si="125"/>
        <v>0</v>
      </c>
      <c r="D608" s="14">
        <f t="shared" si="129"/>
        <v>0</v>
      </c>
      <c r="E608" s="14">
        <f t="shared" si="126"/>
        <v>0</v>
      </c>
      <c r="K608" s="276">
        <f t="shared" si="130"/>
        <v>0</v>
      </c>
      <c r="L608" s="388">
        <f t="shared" si="124"/>
        <v>0</v>
      </c>
      <c r="M608" s="388">
        <f t="shared" si="131"/>
        <v>0</v>
      </c>
      <c r="N608" s="594" t="str">
        <f>INDEX(tblSubjectToLoan[Date],ROW()-ROW(tblContractForDeed[#Headers]))</f>
        <v/>
      </c>
      <c r="O608" s="276">
        <f>IF(ROW()=ROW(tblContractForDeed[#Headers])+1,$O$6,IF(INDEX(tblContractForDeed[End Bal],ROW()-ROW(tblContractForDeed[#Headers])-1)&lt;0,0,INDEX(tblContractForDeed[End Bal],ROW()-ROW(tblContractForDeed[#Headers])-1)))</f>
        <v>0</v>
      </c>
      <c r="P608" s="447"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594" t="str">
        <f t="shared" si="127"/>
        <v/>
      </c>
      <c r="B609" s="276">
        <f t="shared" si="128"/>
        <v>0</v>
      </c>
      <c r="C609" s="14">
        <f t="shared" si="125"/>
        <v>0</v>
      </c>
      <c r="D609" s="14">
        <f t="shared" si="129"/>
        <v>0</v>
      </c>
      <c r="E609" s="14">
        <f t="shared" si="126"/>
        <v>0</v>
      </c>
      <c r="K609" s="276">
        <f t="shared" si="130"/>
        <v>0</v>
      </c>
      <c r="L609" s="388">
        <f t="shared" si="124"/>
        <v>0</v>
      </c>
      <c r="M609" s="388">
        <f t="shared" si="131"/>
        <v>0</v>
      </c>
      <c r="N609" s="594" t="str">
        <f>INDEX(tblSubjectToLoan[Date],ROW()-ROW(tblContractForDeed[#Headers]))</f>
        <v/>
      </c>
      <c r="O609" s="276">
        <f>IF(ROW()=ROW(tblContractForDeed[#Headers])+1,$O$6,IF(INDEX(tblContractForDeed[End Bal],ROW()-ROW(tblContractForDeed[#Headers])-1)&lt;0,0,INDEX(tblContractForDeed[End Bal],ROW()-ROW(tblContractForDeed[#Headers])-1)))</f>
        <v>0</v>
      </c>
      <c r="P609" s="447"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594" t="str">
        <f t="shared" si="127"/>
        <v/>
      </c>
      <c r="B610" s="276">
        <f t="shared" si="128"/>
        <v>0</v>
      </c>
      <c r="C610" s="14">
        <f t="shared" si="125"/>
        <v>0</v>
      </c>
      <c r="D610" s="14">
        <f t="shared" si="129"/>
        <v>0</v>
      </c>
      <c r="E610" s="14">
        <f t="shared" si="126"/>
        <v>0</v>
      </c>
      <c r="K610" s="276">
        <f t="shared" si="130"/>
        <v>0</v>
      </c>
      <c r="L610" s="388">
        <f t="shared" si="124"/>
        <v>0</v>
      </c>
      <c r="M610" s="388">
        <f t="shared" si="131"/>
        <v>0</v>
      </c>
      <c r="N610" s="594" t="str">
        <f>INDEX(tblSubjectToLoan[Date],ROW()-ROW(tblContractForDeed[#Headers]))</f>
        <v/>
      </c>
      <c r="O610" s="276">
        <f>IF(ROW()=ROW(tblContractForDeed[#Headers])+1,$O$6,IF(INDEX(tblContractForDeed[End Bal],ROW()-ROW(tblContractForDeed[#Headers])-1)&lt;0,0,INDEX(tblContractForDeed[End Bal],ROW()-ROW(tblContractForDeed[#Headers])-1)))</f>
        <v>0</v>
      </c>
      <c r="P610" s="447"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594" t="str">
        <f t="shared" si="127"/>
        <v/>
      </c>
      <c r="B611" s="276">
        <f t="shared" si="128"/>
        <v>0</v>
      </c>
      <c r="C611" s="14">
        <f t="shared" si="125"/>
        <v>0</v>
      </c>
      <c r="D611" s="14">
        <f t="shared" si="129"/>
        <v>0</v>
      </c>
      <c r="E611" s="14">
        <f t="shared" si="126"/>
        <v>0</v>
      </c>
      <c r="K611" s="276">
        <f t="shared" si="130"/>
        <v>0</v>
      </c>
      <c r="L611" s="388">
        <f t="shared" si="124"/>
        <v>0</v>
      </c>
      <c r="M611" s="388">
        <f t="shared" si="131"/>
        <v>0</v>
      </c>
      <c r="N611" s="594" t="str">
        <f>INDEX(tblSubjectToLoan[Date],ROW()-ROW(tblContractForDeed[#Headers]))</f>
        <v/>
      </c>
      <c r="O611" s="276">
        <f>IF(ROW()=ROW(tblContractForDeed[#Headers])+1,$O$6,IF(INDEX(tblContractForDeed[End Bal],ROW()-ROW(tblContractForDeed[#Headers])-1)&lt;0,0,INDEX(tblContractForDeed[End Bal],ROW()-ROW(tblContractForDeed[#Headers])-1)))</f>
        <v>0</v>
      </c>
      <c r="P611" s="447"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594" t="str">
        <f t="shared" si="127"/>
        <v/>
      </c>
      <c r="B612" s="276">
        <f t="shared" si="128"/>
        <v>0</v>
      </c>
      <c r="C612" s="14">
        <f t="shared" si="125"/>
        <v>0</v>
      </c>
      <c r="D612" s="14">
        <f t="shared" si="129"/>
        <v>0</v>
      </c>
      <c r="E612" s="14">
        <f t="shared" si="126"/>
        <v>0</v>
      </c>
      <c r="K612" s="276">
        <f t="shared" si="130"/>
        <v>0</v>
      </c>
      <c r="L612" s="388">
        <f t="shared" si="124"/>
        <v>0</v>
      </c>
      <c r="M612" s="388">
        <f t="shared" si="131"/>
        <v>0</v>
      </c>
      <c r="N612" s="594" t="str">
        <f>INDEX(tblSubjectToLoan[Date],ROW()-ROW(tblContractForDeed[#Headers]))</f>
        <v/>
      </c>
      <c r="O612" s="276">
        <f>IF(ROW()=ROW(tblContractForDeed[#Headers])+1,$O$6,IF(INDEX(tblContractForDeed[End Bal],ROW()-ROW(tblContractForDeed[#Headers])-1)&lt;0,0,INDEX(tblContractForDeed[End Bal],ROW()-ROW(tblContractForDeed[#Headers])-1)))</f>
        <v>0</v>
      </c>
      <c r="P612" s="447"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594" t="str">
        <f t="shared" si="127"/>
        <v/>
      </c>
      <c r="B613" s="276">
        <f t="shared" si="128"/>
        <v>0</v>
      </c>
      <c r="C613" s="14">
        <f t="shared" si="125"/>
        <v>0</v>
      </c>
      <c r="D613" s="14">
        <f t="shared" si="129"/>
        <v>0</v>
      </c>
      <c r="E613" s="14">
        <f t="shared" si="126"/>
        <v>0</v>
      </c>
      <c r="K613" s="276">
        <f t="shared" si="130"/>
        <v>0</v>
      </c>
      <c r="L613" s="388">
        <f t="shared" si="124"/>
        <v>0</v>
      </c>
      <c r="M613" s="388">
        <f t="shared" si="131"/>
        <v>0</v>
      </c>
      <c r="N613" s="594" t="str">
        <f>INDEX(tblSubjectToLoan[Date],ROW()-ROW(tblContractForDeed[#Headers]))</f>
        <v/>
      </c>
      <c r="O613" s="276">
        <f>IF(ROW()=ROW(tblContractForDeed[#Headers])+1,$O$6,IF(INDEX(tblContractForDeed[End Bal],ROW()-ROW(tblContractForDeed[#Headers])-1)&lt;0,0,INDEX(tblContractForDeed[End Bal],ROW()-ROW(tblContractForDeed[#Headers])-1)))</f>
        <v>0</v>
      </c>
      <c r="P613" s="447"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594" t="str">
        <f t="shared" si="127"/>
        <v/>
      </c>
      <c r="B614" s="276">
        <f t="shared" si="128"/>
        <v>0</v>
      </c>
      <c r="C614" s="14">
        <f t="shared" si="125"/>
        <v>0</v>
      </c>
      <c r="D614" s="14">
        <f t="shared" si="129"/>
        <v>0</v>
      </c>
      <c r="E614" s="14">
        <f t="shared" si="126"/>
        <v>0</v>
      </c>
      <c r="K614" s="276">
        <f t="shared" si="130"/>
        <v>0</v>
      </c>
      <c r="L614" s="388">
        <f t="shared" si="124"/>
        <v>0</v>
      </c>
      <c r="M614" s="388">
        <f t="shared" si="131"/>
        <v>0</v>
      </c>
      <c r="N614" s="594" t="str">
        <f>INDEX(tblSubjectToLoan[Date],ROW()-ROW(tblContractForDeed[#Headers]))</f>
        <v/>
      </c>
      <c r="O614" s="276">
        <f>IF(ROW()=ROW(tblContractForDeed[#Headers])+1,$O$6,IF(INDEX(tblContractForDeed[End Bal],ROW()-ROW(tblContractForDeed[#Headers])-1)&lt;0,0,INDEX(tblContractForDeed[End Bal],ROW()-ROW(tblContractForDeed[#Headers])-1)))</f>
        <v>0</v>
      </c>
      <c r="P614" s="447"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594" t="str">
        <f t="shared" si="127"/>
        <v/>
      </c>
      <c r="B615" s="276">
        <f t="shared" si="128"/>
        <v>0</v>
      </c>
      <c r="C615" s="14">
        <f t="shared" si="125"/>
        <v>0</v>
      </c>
      <c r="D615" s="14">
        <f t="shared" si="129"/>
        <v>0</v>
      </c>
      <c r="E615" s="14">
        <f t="shared" si="126"/>
        <v>0</v>
      </c>
      <c r="K615" s="276">
        <f t="shared" si="130"/>
        <v>0</v>
      </c>
      <c r="L615" s="388">
        <f t="shared" si="124"/>
        <v>0</v>
      </c>
      <c r="M615" s="388">
        <f t="shared" si="131"/>
        <v>0</v>
      </c>
      <c r="N615" s="594" t="str">
        <f>INDEX(tblSubjectToLoan[Date],ROW()-ROW(tblContractForDeed[#Headers]))</f>
        <v/>
      </c>
      <c r="O615" s="276">
        <f>IF(ROW()=ROW(tblContractForDeed[#Headers])+1,$O$6,IF(INDEX(tblContractForDeed[End Bal],ROW()-ROW(tblContractForDeed[#Headers])-1)&lt;0,0,INDEX(tblContractForDeed[End Bal],ROW()-ROW(tblContractForDeed[#Headers])-1)))</f>
        <v>0</v>
      </c>
      <c r="P615" s="447"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594" t="str">
        <f t="shared" si="127"/>
        <v/>
      </c>
      <c r="B616" s="276">
        <f t="shared" si="128"/>
        <v>0</v>
      </c>
      <c r="C616" s="14">
        <f t="shared" si="125"/>
        <v>0</v>
      </c>
      <c r="D616" s="14">
        <f t="shared" si="129"/>
        <v>0</v>
      </c>
      <c r="E616" s="14">
        <f t="shared" si="126"/>
        <v>0</v>
      </c>
      <c r="K616" s="276">
        <f t="shared" si="130"/>
        <v>0</v>
      </c>
      <c r="L616" s="388">
        <f t="shared" si="124"/>
        <v>0</v>
      </c>
      <c r="M616" s="388">
        <f t="shared" si="131"/>
        <v>0</v>
      </c>
      <c r="N616" s="594" t="str">
        <f>INDEX(tblSubjectToLoan[Date],ROW()-ROW(tblContractForDeed[#Headers]))</f>
        <v/>
      </c>
      <c r="O616" s="276">
        <f>IF(ROW()=ROW(tblContractForDeed[#Headers])+1,$O$6,IF(INDEX(tblContractForDeed[End Bal],ROW()-ROW(tblContractForDeed[#Headers])-1)&lt;0,0,INDEX(tblContractForDeed[End Bal],ROW()-ROW(tblContractForDeed[#Headers])-1)))</f>
        <v>0</v>
      </c>
      <c r="P616" s="447"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594" t="str">
        <f t="shared" si="127"/>
        <v/>
      </c>
      <c r="B617" s="276">
        <f t="shared" si="128"/>
        <v>0</v>
      </c>
      <c r="C617" s="14">
        <f t="shared" si="125"/>
        <v>0</v>
      </c>
      <c r="D617" s="14">
        <f t="shared" si="129"/>
        <v>0</v>
      </c>
      <c r="E617" s="14">
        <f t="shared" si="126"/>
        <v>0</v>
      </c>
      <c r="K617" s="276">
        <f t="shared" si="130"/>
        <v>0</v>
      </c>
      <c r="L617" s="388">
        <f t="shared" si="124"/>
        <v>0</v>
      </c>
      <c r="M617" s="388">
        <f t="shared" si="131"/>
        <v>0</v>
      </c>
      <c r="N617" s="594" t="str">
        <f>INDEX(tblSubjectToLoan[Date],ROW()-ROW(tblContractForDeed[#Headers]))</f>
        <v/>
      </c>
      <c r="O617" s="276">
        <f>IF(ROW()=ROW(tblContractForDeed[#Headers])+1,$O$6,IF(INDEX(tblContractForDeed[End Bal],ROW()-ROW(tblContractForDeed[#Headers])-1)&lt;0,0,INDEX(tblContractForDeed[End Bal],ROW()-ROW(tblContractForDeed[#Headers])-1)))</f>
        <v>0</v>
      </c>
      <c r="P617" s="447"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594" t="str">
        <f t="shared" si="127"/>
        <v/>
      </c>
      <c r="B618" s="276">
        <f t="shared" si="128"/>
        <v>0</v>
      </c>
      <c r="C618" s="14">
        <f t="shared" si="125"/>
        <v>0</v>
      </c>
      <c r="D618" s="14">
        <f t="shared" si="129"/>
        <v>0</v>
      </c>
      <c r="E618" s="14">
        <f t="shared" si="126"/>
        <v>0</v>
      </c>
      <c r="K618" s="276">
        <f t="shared" si="130"/>
        <v>0</v>
      </c>
      <c r="L618" s="388">
        <f t="shared" si="124"/>
        <v>0</v>
      </c>
      <c r="M618" s="388">
        <f t="shared" si="131"/>
        <v>0</v>
      </c>
      <c r="N618" s="594" t="str">
        <f>INDEX(tblSubjectToLoan[Date],ROW()-ROW(tblContractForDeed[#Headers]))</f>
        <v/>
      </c>
      <c r="O618" s="276">
        <f>IF(ROW()=ROW(tblContractForDeed[#Headers])+1,$O$6,IF(INDEX(tblContractForDeed[End Bal],ROW()-ROW(tblContractForDeed[#Headers])-1)&lt;0,0,INDEX(tblContractForDeed[End Bal],ROW()-ROW(tblContractForDeed[#Headers])-1)))</f>
        <v>0</v>
      </c>
      <c r="P618" s="447"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595" t="str">
        <f t="shared" si="127"/>
        <v/>
      </c>
      <c r="B619" s="328">
        <f t="shared" si="128"/>
        <v>0</v>
      </c>
      <c r="C619" s="21">
        <f t="shared" si="125"/>
        <v>0</v>
      </c>
      <c r="D619" s="21">
        <f t="shared" si="129"/>
        <v>0</v>
      </c>
      <c r="E619" s="21">
        <f t="shared" si="126"/>
        <v>0</v>
      </c>
      <c r="F619" s="21"/>
      <c r="G619" s="21"/>
      <c r="H619" s="21"/>
      <c r="I619" s="328"/>
      <c r="J619" s="328"/>
      <c r="K619" s="328">
        <f t="shared" si="130"/>
        <v>0</v>
      </c>
      <c r="L619" s="389">
        <f t="shared" si="124"/>
        <v>0</v>
      </c>
      <c r="M619" s="389">
        <f t="shared" si="131"/>
        <v>0</v>
      </c>
      <c r="N619" s="595" t="str">
        <f>INDEX(tblSubjectToLoan[Date],ROW()-ROW(tblContractForDeed[#Headers]))</f>
        <v/>
      </c>
      <c r="O619" s="328">
        <f>IF(ROW()=ROW(tblContractForDeed[#Headers])+1,$O$6,IF(INDEX(tblContractForDeed[End Bal],ROW()-ROW(tblContractForDeed[#Headers])-1)&lt;0,0,INDEX(tblContractForDeed[End Bal],ROW()-ROW(tblContractForDeed[#Headers])-1)))</f>
        <v>0</v>
      </c>
      <c r="P619" s="447"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8">
        <f>SUM(INDEX(tblContractForDeed[Princ],1):INDEX(tblContractForDeed[Princ],ROW()-ROW(tblContractForDeed[#Headers])))</f>
        <v>75258.000000000029</v>
      </c>
      <c r="X619" s="328">
        <f>IF(tblContractForDeed[[#This Row],[Beg]]&lt;=0,0,tblContractForDeed[[#This Row],[Beg]]-tblContractForDeed[[#This Row],[Princ]])</f>
        <v>0</v>
      </c>
      <c r="Y61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8">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8">
        <f>IF(INDEX(tblContractForDeed[End Bal],ROW()-ROW(tblBuyerOutputs[#Headers]))&lt;=0,0,($O$6+IF(ROW()=ROW(tblBuyerOutputs[#Headers])+1,0,INDEX(tblBuyerOutputs[Cumul Appr],ROW()-ROW(tblBuyerOutputs[#Headers])-1)))*$O$2/12)</f>
        <v>0</v>
      </c>
      <c r="AE619" s="328">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594" t="str">
        <f t="shared" si="127"/>
        <v/>
      </c>
      <c r="B620" s="276">
        <f t="shared" si="128"/>
        <v>0</v>
      </c>
      <c r="C620" s="14">
        <f t="shared" si="125"/>
        <v>0</v>
      </c>
      <c r="D620" s="14">
        <f t="shared" si="129"/>
        <v>0</v>
      </c>
      <c r="E620" s="14">
        <f t="shared" si="126"/>
        <v>0</v>
      </c>
      <c r="K620" s="276">
        <f t="shared" si="130"/>
        <v>0</v>
      </c>
      <c r="L620" s="388">
        <f t="shared" si="124"/>
        <v>0</v>
      </c>
      <c r="M620" s="388">
        <f t="shared" si="131"/>
        <v>0</v>
      </c>
      <c r="N620" s="594" t="str">
        <f>INDEX(tblSubjectToLoan[Date],ROW()-ROW(tblContractForDeed[#Headers]))</f>
        <v/>
      </c>
      <c r="O620" s="276">
        <f>IF(ROW()=ROW(tblContractForDeed[#Headers])+1,$O$6,IF(INDEX(tblContractForDeed[End Bal],ROW()-ROW(tblContractForDeed[#Headers])-1)&lt;0,0,INDEX(tblContractForDeed[End Bal],ROW()-ROW(tblContractForDeed[#Headers])-1)))</f>
        <v>0</v>
      </c>
      <c r="P620" s="447"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594" t="str">
        <f t="shared" si="127"/>
        <v/>
      </c>
      <c r="B621" s="276">
        <f t="shared" si="128"/>
        <v>0</v>
      </c>
      <c r="C621" s="14">
        <f t="shared" si="125"/>
        <v>0</v>
      </c>
      <c r="D621" s="14">
        <f t="shared" si="129"/>
        <v>0</v>
      </c>
      <c r="E621" s="14">
        <f t="shared" si="126"/>
        <v>0</v>
      </c>
      <c r="K621" s="276">
        <f t="shared" si="130"/>
        <v>0</v>
      </c>
      <c r="L621" s="388">
        <f t="shared" si="124"/>
        <v>0</v>
      </c>
      <c r="M621" s="388">
        <f t="shared" si="131"/>
        <v>0</v>
      </c>
      <c r="N621" s="594" t="str">
        <f>INDEX(tblSubjectToLoan[Date],ROW()-ROW(tblContractForDeed[#Headers]))</f>
        <v/>
      </c>
      <c r="O621" s="276">
        <f>IF(ROW()=ROW(tblContractForDeed[#Headers])+1,$O$6,IF(INDEX(tblContractForDeed[End Bal],ROW()-ROW(tblContractForDeed[#Headers])-1)&lt;0,0,INDEX(tblContractForDeed[End Bal],ROW()-ROW(tblContractForDeed[#Headers])-1)))</f>
        <v>0</v>
      </c>
      <c r="P621" s="447"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594" t="str">
        <f t="shared" si="127"/>
        <v/>
      </c>
      <c r="B622" s="276">
        <f t="shared" si="128"/>
        <v>0</v>
      </c>
      <c r="C622" s="14">
        <f t="shared" si="125"/>
        <v>0</v>
      </c>
      <c r="D622" s="14">
        <f t="shared" si="129"/>
        <v>0</v>
      </c>
      <c r="E622" s="14">
        <f t="shared" si="126"/>
        <v>0</v>
      </c>
      <c r="K622" s="276">
        <f t="shared" si="130"/>
        <v>0</v>
      </c>
      <c r="L622" s="388">
        <f t="shared" si="124"/>
        <v>0</v>
      </c>
      <c r="M622" s="388">
        <f t="shared" si="131"/>
        <v>0</v>
      </c>
      <c r="N622" s="594" t="str">
        <f>INDEX(tblSubjectToLoan[Date],ROW()-ROW(tblContractForDeed[#Headers]))</f>
        <v/>
      </c>
      <c r="O622" s="276">
        <f>IF(ROW()=ROW(tblContractForDeed[#Headers])+1,$O$6,IF(INDEX(tblContractForDeed[End Bal],ROW()-ROW(tblContractForDeed[#Headers])-1)&lt;0,0,INDEX(tblContractForDeed[End Bal],ROW()-ROW(tblContractForDeed[#Headers])-1)))</f>
        <v>0</v>
      </c>
      <c r="P622" s="447"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594" t="str">
        <f t="shared" si="127"/>
        <v/>
      </c>
      <c r="B623" s="276">
        <f t="shared" si="128"/>
        <v>0</v>
      </c>
      <c r="C623" s="14">
        <f t="shared" si="125"/>
        <v>0</v>
      </c>
      <c r="D623" s="14">
        <f t="shared" si="129"/>
        <v>0</v>
      </c>
      <c r="E623" s="14">
        <f t="shared" si="126"/>
        <v>0</v>
      </c>
      <c r="K623" s="276">
        <f t="shared" si="130"/>
        <v>0</v>
      </c>
      <c r="L623" s="388">
        <f t="shared" si="124"/>
        <v>0</v>
      </c>
      <c r="M623" s="388">
        <f t="shared" si="131"/>
        <v>0</v>
      </c>
      <c r="N623" s="594" t="str">
        <f>INDEX(tblSubjectToLoan[Date],ROW()-ROW(tblContractForDeed[#Headers]))</f>
        <v/>
      </c>
      <c r="O623" s="276">
        <f>IF(ROW()=ROW(tblContractForDeed[#Headers])+1,$O$6,IF(INDEX(tblContractForDeed[End Bal],ROW()-ROW(tblContractForDeed[#Headers])-1)&lt;0,0,INDEX(tblContractForDeed[End Bal],ROW()-ROW(tblContractForDeed[#Headers])-1)))</f>
        <v>0</v>
      </c>
      <c r="P623" s="447"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594" t="str">
        <f t="shared" si="127"/>
        <v/>
      </c>
      <c r="B624" s="276">
        <f t="shared" si="128"/>
        <v>0</v>
      </c>
      <c r="C624" s="14">
        <f t="shared" si="125"/>
        <v>0</v>
      </c>
      <c r="D624" s="14">
        <f t="shared" si="129"/>
        <v>0</v>
      </c>
      <c r="E624" s="14">
        <f t="shared" si="126"/>
        <v>0</v>
      </c>
      <c r="K624" s="276">
        <f t="shared" si="130"/>
        <v>0</v>
      </c>
      <c r="L624" s="388">
        <f t="shared" si="124"/>
        <v>0</v>
      </c>
      <c r="M624" s="388">
        <f t="shared" si="131"/>
        <v>0</v>
      </c>
      <c r="N624" s="594" t="str">
        <f>INDEX(tblSubjectToLoan[Date],ROW()-ROW(tblContractForDeed[#Headers]))</f>
        <v/>
      </c>
      <c r="O624" s="276">
        <f>IF(ROW()=ROW(tblContractForDeed[#Headers])+1,$O$6,IF(INDEX(tblContractForDeed[End Bal],ROW()-ROW(tblContractForDeed[#Headers])-1)&lt;0,0,INDEX(tblContractForDeed[End Bal],ROW()-ROW(tblContractForDeed[#Headers])-1)))</f>
        <v>0</v>
      </c>
      <c r="P624" s="447"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594" t="str">
        <f t="shared" si="127"/>
        <v/>
      </c>
      <c r="B625" s="276">
        <f t="shared" si="128"/>
        <v>0</v>
      </c>
      <c r="C625" s="14">
        <f t="shared" si="125"/>
        <v>0</v>
      </c>
      <c r="D625" s="14">
        <f t="shared" si="129"/>
        <v>0</v>
      </c>
      <c r="E625" s="14">
        <f t="shared" si="126"/>
        <v>0</v>
      </c>
      <c r="K625" s="276">
        <f t="shared" si="130"/>
        <v>0</v>
      </c>
      <c r="L625" s="388">
        <f t="shared" si="124"/>
        <v>0</v>
      </c>
      <c r="M625" s="388">
        <f t="shared" si="131"/>
        <v>0</v>
      </c>
      <c r="N625" s="594" t="str">
        <f>INDEX(tblSubjectToLoan[Date],ROW()-ROW(tblContractForDeed[#Headers]))</f>
        <v/>
      </c>
      <c r="O625" s="276">
        <f>IF(ROW()=ROW(tblContractForDeed[#Headers])+1,$O$6,IF(INDEX(tblContractForDeed[End Bal],ROW()-ROW(tblContractForDeed[#Headers])-1)&lt;0,0,INDEX(tblContractForDeed[End Bal],ROW()-ROW(tblContractForDeed[#Headers])-1)))</f>
        <v>0</v>
      </c>
      <c r="P625" s="447"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594" t="str">
        <f t="shared" si="127"/>
        <v/>
      </c>
      <c r="B626" s="276">
        <f t="shared" si="128"/>
        <v>0</v>
      </c>
      <c r="C626" s="14">
        <f t="shared" si="125"/>
        <v>0</v>
      </c>
      <c r="D626" s="14">
        <f t="shared" si="129"/>
        <v>0</v>
      </c>
      <c r="E626" s="14">
        <f t="shared" si="126"/>
        <v>0</v>
      </c>
      <c r="K626" s="276">
        <f t="shared" si="130"/>
        <v>0</v>
      </c>
      <c r="L626" s="388">
        <f t="shared" si="124"/>
        <v>0</v>
      </c>
      <c r="M626" s="388">
        <f t="shared" si="131"/>
        <v>0</v>
      </c>
      <c r="N626" s="594" t="str">
        <f>INDEX(tblSubjectToLoan[Date],ROW()-ROW(tblContractForDeed[#Headers]))</f>
        <v/>
      </c>
      <c r="O626" s="276">
        <f>IF(ROW()=ROW(tblContractForDeed[#Headers])+1,$O$6,IF(INDEX(tblContractForDeed[End Bal],ROW()-ROW(tblContractForDeed[#Headers])-1)&lt;0,0,INDEX(tblContractForDeed[End Bal],ROW()-ROW(tblContractForDeed[#Headers])-1)))</f>
        <v>0</v>
      </c>
      <c r="P626" s="447"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594" t="str">
        <f t="shared" si="127"/>
        <v/>
      </c>
      <c r="B627" s="276">
        <f t="shared" si="128"/>
        <v>0</v>
      </c>
      <c r="C627" s="14">
        <f t="shared" si="125"/>
        <v>0</v>
      </c>
      <c r="D627" s="14">
        <f t="shared" si="129"/>
        <v>0</v>
      </c>
      <c r="E627" s="14">
        <f t="shared" si="126"/>
        <v>0</v>
      </c>
      <c r="K627" s="276">
        <f t="shared" si="130"/>
        <v>0</v>
      </c>
      <c r="L627" s="388">
        <f t="shared" si="124"/>
        <v>0</v>
      </c>
      <c r="M627" s="388">
        <f t="shared" si="131"/>
        <v>0</v>
      </c>
      <c r="N627" s="594" t="str">
        <f>INDEX(tblSubjectToLoan[Date],ROW()-ROW(tblContractForDeed[#Headers]))</f>
        <v/>
      </c>
      <c r="O627" s="276">
        <f>IF(ROW()=ROW(tblContractForDeed[#Headers])+1,$O$6,IF(INDEX(tblContractForDeed[End Bal],ROW()-ROW(tblContractForDeed[#Headers])-1)&lt;0,0,INDEX(tblContractForDeed[End Bal],ROW()-ROW(tblContractForDeed[#Headers])-1)))</f>
        <v>0</v>
      </c>
      <c r="P627" s="447"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594" t="str">
        <f t="shared" si="127"/>
        <v/>
      </c>
      <c r="B628" s="276">
        <f t="shared" si="128"/>
        <v>0</v>
      </c>
      <c r="C628" s="14">
        <f t="shared" si="125"/>
        <v>0</v>
      </c>
      <c r="D628" s="14">
        <f t="shared" si="129"/>
        <v>0</v>
      </c>
      <c r="E628" s="14">
        <f t="shared" si="126"/>
        <v>0</v>
      </c>
      <c r="K628" s="276">
        <f t="shared" si="130"/>
        <v>0</v>
      </c>
      <c r="L628" s="388">
        <f t="shared" ref="L628:L691" si="132">IF(MOD(M628,12)=0,M628/12,L627)</f>
        <v>0</v>
      </c>
      <c r="M628" s="388">
        <f t="shared" si="131"/>
        <v>0</v>
      </c>
      <c r="N628" s="594" t="str">
        <f>INDEX(tblSubjectToLoan[Date],ROW()-ROW(tblContractForDeed[#Headers]))</f>
        <v/>
      </c>
      <c r="O628" s="276">
        <f>IF(ROW()=ROW(tblContractForDeed[#Headers])+1,$O$6,IF(INDEX(tblContractForDeed[End Bal],ROW()-ROW(tblContractForDeed[#Headers])-1)&lt;0,0,INDEX(tblContractForDeed[End Bal],ROW()-ROW(tblContractForDeed[#Headers])-1)))</f>
        <v>0</v>
      </c>
      <c r="P628" s="447"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594" t="str">
        <f t="shared" si="127"/>
        <v/>
      </c>
      <c r="B629" s="276">
        <f t="shared" si="128"/>
        <v>0</v>
      </c>
      <c r="C629" s="14">
        <f t="shared" si="125"/>
        <v>0</v>
      </c>
      <c r="D629" s="14">
        <f t="shared" si="129"/>
        <v>0</v>
      </c>
      <c r="E629" s="14">
        <f t="shared" si="126"/>
        <v>0</v>
      </c>
      <c r="K629" s="276">
        <f t="shared" si="130"/>
        <v>0</v>
      </c>
      <c r="L629" s="388">
        <f t="shared" si="132"/>
        <v>0</v>
      </c>
      <c r="M629" s="388">
        <f t="shared" si="131"/>
        <v>0</v>
      </c>
      <c r="N629" s="594" t="str">
        <f>INDEX(tblSubjectToLoan[Date],ROW()-ROW(tblContractForDeed[#Headers]))</f>
        <v/>
      </c>
      <c r="O629" s="276">
        <f>IF(ROW()=ROW(tblContractForDeed[#Headers])+1,$O$6,IF(INDEX(tblContractForDeed[End Bal],ROW()-ROW(tblContractForDeed[#Headers])-1)&lt;0,0,INDEX(tblContractForDeed[End Bal],ROW()-ROW(tblContractForDeed[#Headers])-1)))</f>
        <v>0</v>
      </c>
      <c r="P629" s="447"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594" t="str">
        <f t="shared" si="127"/>
        <v/>
      </c>
      <c r="B630" s="276">
        <f t="shared" si="128"/>
        <v>0</v>
      </c>
      <c r="C630" s="14">
        <f t="shared" si="125"/>
        <v>0</v>
      </c>
      <c r="D630" s="14">
        <f t="shared" si="129"/>
        <v>0</v>
      </c>
      <c r="E630" s="14">
        <f t="shared" si="126"/>
        <v>0</v>
      </c>
      <c r="K630" s="276">
        <f t="shared" si="130"/>
        <v>0</v>
      </c>
      <c r="L630" s="388">
        <f t="shared" si="132"/>
        <v>0</v>
      </c>
      <c r="M630" s="388">
        <f t="shared" si="131"/>
        <v>0</v>
      </c>
      <c r="N630" s="594" t="str">
        <f>INDEX(tblSubjectToLoan[Date],ROW()-ROW(tblContractForDeed[#Headers]))</f>
        <v/>
      </c>
      <c r="O630" s="276">
        <f>IF(ROW()=ROW(tblContractForDeed[#Headers])+1,$O$6,IF(INDEX(tblContractForDeed[End Bal],ROW()-ROW(tblContractForDeed[#Headers])-1)&lt;0,0,INDEX(tblContractForDeed[End Bal],ROW()-ROW(tblContractForDeed[#Headers])-1)))</f>
        <v>0</v>
      </c>
      <c r="P630" s="447"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595" t="str">
        <f t="shared" si="127"/>
        <v/>
      </c>
      <c r="B631" s="328">
        <f t="shared" si="128"/>
        <v>0</v>
      </c>
      <c r="C631" s="21">
        <f t="shared" si="125"/>
        <v>0</v>
      </c>
      <c r="D631" s="21">
        <f t="shared" si="129"/>
        <v>0</v>
      </c>
      <c r="E631" s="21">
        <f t="shared" si="126"/>
        <v>0</v>
      </c>
      <c r="F631" s="21"/>
      <c r="G631" s="21"/>
      <c r="H631" s="21"/>
      <c r="I631" s="328"/>
      <c r="J631" s="328"/>
      <c r="K631" s="328">
        <f t="shared" si="130"/>
        <v>0</v>
      </c>
      <c r="L631" s="389">
        <f t="shared" si="132"/>
        <v>0</v>
      </c>
      <c r="M631" s="389">
        <f t="shared" si="131"/>
        <v>0</v>
      </c>
      <c r="N631" s="595" t="str">
        <f>INDEX(tblSubjectToLoan[Date],ROW()-ROW(tblContractForDeed[#Headers]))</f>
        <v/>
      </c>
      <c r="O631" s="328">
        <f>IF(ROW()=ROW(tblContractForDeed[#Headers])+1,$O$6,IF(INDEX(tblContractForDeed[End Bal],ROW()-ROW(tblContractForDeed[#Headers])-1)&lt;0,0,INDEX(tblContractForDeed[End Bal],ROW()-ROW(tblContractForDeed[#Headers])-1)))</f>
        <v>0</v>
      </c>
      <c r="P631" s="447"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8">
        <f>SUM(INDEX(tblContractForDeed[Princ],1):INDEX(tblContractForDeed[Princ],ROW()-ROW(tblContractForDeed[#Headers])))</f>
        <v>75258.000000000029</v>
      </c>
      <c r="X631" s="328">
        <f>IF(tblContractForDeed[[#This Row],[Beg]]&lt;=0,0,tblContractForDeed[[#This Row],[Beg]]-tblContractForDeed[[#This Row],[Princ]])</f>
        <v>0</v>
      </c>
      <c r="Y63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8">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8">
        <f>IF(INDEX(tblContractForDeed[End Bal],ROW()-ROW(tblBuyerOutputs[#Headers]))&lt;=0,0,($O$6+IF(ROW()=ROW(tblBuyerOutputs[#Headers])+1,0,INDEX(tblBuyerOutputs[Cumul Appr],ROW()-ROW(tblBuyerOutputs[#Headers])-1)))*$O$2/12)</f>
        <v>0</v>
      </c>
      <c r="AE631" s="328">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594" t="str">
        <f t="shared" si="127"/>
        <v/>
      </c>
      <c r="B632" s="276">
        <f t="shared" si="128"/>
        <v>0</v>
      </c>
      <c r="C632" s="14">
        <f t="shared" si="125"/>
        <v>0</v>
      </c>
      <c r="D632" s="14">
        <f t="shared" si="129"/>
        <v>0</v>
      </c>
      <c r="E632" s="14">
        <f t="shared" si="126"/>
        <v>0</v>
      </c>
      <c r="K632" s="276">
        <f t="shared" si="130"/>
        <v>0</v>
      </c>
      <c r="L632" s="388">
        <f t="shared" si="132"/>
        <v>0</v>
      </c>
      <c r="M632" s="388">
        <f t="shared" si="131"/>
        <v>0</v>
      </c>
      <c r="N632" s="594" t="str">
        <f>INDEX(tblSubjectToLoan[Date],ROW()-ROW(tblContractForDeed[#Headers]))</f>
        <v/>
      </c>
      <c r="O632" s="276">
        <f>IF(ROW()=ROW(tblContractForDeed[#Headers])+1,$O$6,IF(INDEX(tblContractForDeed[End Bal],ROW()-ROW(tblContractForDeed[#Headers])-1)&lt;0,0,INDEX(tblContractForDeed[End Bal],ROW()-ROW(tblContractForDeed[#Headers])-1)))</f>
        <v>0</v>
      </c>
      <c r="P632" s="447"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594" t="str">
        <f t="shared" si="127"/>
        <v/>
      </c>
      <c r="B633" s="276">
        <f t="shared" si="128"/>
        <v>0</v>
      </c>
      <c r="C633" s="14">
        <f t="shared" si="125"/>
        <v>0</v>
      </c>
      <c r="D633" s="14">
        <f t="shared" si="129"/>
        <v>0</v>
      </c>
      <c r="E633" s="14">
        <f t="shared" si="126"/>
        <v>0</v>
      </c>
      <c r="K633" s="276">
        <f t="shared" si="130"/>
        <v>0</v>
      </c>
      <c r="L633" s="388">
        <f t="shared" si="132"/>
        <v>0</v>
      </c>
      <c r="M633" s="388">
        <f t="shared" si="131"/>
        <v>0</v>
      </c>
      <c r="N633" s="594" t="str">
        <f>INDEX(tblSubjectToLoan[Date],ROW()-ROW(tblContractForDeed[#Headers]))</f>
        <v/>
      </c>
      <c r="O633" s="276">
        <f>IF(ROW()=ROW(tblContractForDeed[#Headers])+1,$O$6,IF(INDEX(tblContractForDeed[End Bal],ROW()-ROW(tblContractForDeed[#Headers])-1)&lt;0,0,INDEX(tblContractForDeed[End Bal],ROW()-ROW(tblContractForDeed[#Headers])-1)))</f>
        <v>0</v>
      </c>
      <c r="P633" s="447"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594" t="str">
        <f t="shared" si="127"/>
        <v/>
      </c>
      <c r="B634" s="276">
        <f t="shared" si="128"/>
        <v>0</v>
      </c>
      <c r="C634" s="14">
        <f t="shared" si="125"/>
        <v>0</v>
      </c>
      <c r="D634" s="14">
        <f t="shared" si="129"/>
        <v>0</v>
      </c>
      <c r="E634" s="14">
        <f t="shared" si="126"/>
        <v>0</v>
      </c>
      <c r="K634" s="276">
        <f t="shared" si="130"/>
        <v>0</v>
      </c>
      <c r="L634" s="388">
        <f t="shared" si="132"/>
        <v>0</v>
      </c>
      <c r="M634" s="388">
        <f t="shared" si="131"/>
        <v>0</v>
      </c>
      <c r="N634" s="594" t="str">
        <f>INDEX(tblSubjectToLoan[Date],ROW()-ROW(tblContractForDeed[#Headers]))</f>
        <v/>
      </c>
      <c r="O634" s="276">
        <f>IF(ROW()=ROW(tblContractForDeed[#Headers])+1,$O$6,IF(INDEX(tblContractForDeed[End Bal],ROW()-ROW(tblContractForDeed[#Headers])-1)&lt;0,0,INDEX(tblContractForDeed[End Bal],ROW()-ROW(tblContractForDeed[#Headers])-1)))</f>
        <v>0</v>
      </c>
      <c r="P634" s="447"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594" t="str">
        <f t="shared" si="127"/>
        <v/>
      </c>
      <c r="B635" s="276">
        <f t="shared" si="128"/>
        <v>0</v>
      </c>
      <c r="C635" s="14">
        <f t="shared" si="125"/>
        <v>0</v>
      </c>
      <c r="D635" s="14">
        <f t="shared" si="129"/>
        <v>0</v>
      </c>
      <c r="E635" s="14">
        <f t="shared" si="126"/>
        <v>0</v>
      </c>
      <c r="K635" s="276">
        <f t="shared" si="130"/>
        <v>0</v>
      </c>
      <c r="L635" s="388">
        <f t="shared" si="132"/>
        <v>0</v>
      </c>
      <c r="M635" s="388">
        <f t="shared" si="131"/>
        <v>0</v>
      </c>
      <c r="N635" s="594" t="str">
        <f>INDEX(tblSubjectToLoan[Date],ROW()-ROW(tblContractForDeed[#Headers]))</f>
        <v/>
      </c>
      <c r="O635" s="276">
        <f>IF(ROW()=ROW(tblContractForDeed[#Headers])+1,$O$6,IF(INDEX(tblContractForDeed[End Bal],ROW()-ROW(tblContractForDeed[#Headers])-1)&lt;0,0,INDEX(tblContractForDeed[End Bal],ROW()-ROW(tblContractForDeed[#Headers])-1)))</f>
        <v>0</v>
      </c>
      <c r="P635" s="447"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594" t="str">
        <f t="shared" si="127"/>
        <v/>
      </c>
      <c r="B636" s="276">
        <f t="shared" si="128"/>
        <v>0</v>
      </c>
      <c r="C636" s="14">
        <f t="shared" si="125"/>
        <v>0</v>
      </c>
      <c r="D636" s="14">
        <f t="shared" si="129"/>
        <v>0</v>
      </c>
      <c r="E636" s="14">
        <f t="shared" si="126"/>
        <v>0</v>
      </c>
      <c r="K636" s="276">
        <f t="shared" si="130"/>
        <v>0</v>
      </c>
      <c r="L636" s="388">
        <f t="shared" si="132"/>
        <v>0</v>
      </c>
      <c r="M636" s="388">
        <f t="shared" si="131"/>
        <v>0</v>
      </c>
      <c r="N636" s="594" t="str">
        <f>INDEX(tblSubjectToLoan[Date],ROW()-ROW(tblContractForDeed[#Headers]))</f>
        <v/>
      </c>
      <c r="O636" s="276">
        <f>IF(ROW()=ROW(tblContractForDeed[#Headers])+1,$O$6,IF(INDEX(tblContractForDeed[End Bal],ROW()-ROW(tblContractForDeed[#Headers])-1)&lt;0,0,INDEX(tblContractForDeed[End Bal],ROW()-ROW(tblContractForDeed[#Headers])-1)))</f>
        <v>0</v>
      </c>
      <c r="P636" s="447"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594" t="str">
        <f t="shared" si="127"/>
        <v/>
      </c>
      <c r="B637" s="276">
        <f t="shared" si="128"/>
        <v>0</v>
      </c>
      <c r="C637" s="14">
        <f t="shared" si="125"/>
        <v>0</v>
      </c>
      <c r="D637" s="14">
        <f t="shared" si="129"/>
        <v>0</v>
      </c>
      <c r="E637" s="14">
        <f t="shared" si="126"/>
        <v>0</v>
      </c>
      <c r="K637" s="276">
        <f t="shared" si="130"/>
        <v>0</v>
      </c>
      <c r="L637" s="388">
        <f t="shared" si="132"/>
        <v>0</v>
      </c>
      <c r="M637" s="388">
        <f t="shared" si="131"/>
        <v>0</v>
      </c>
      <c r="N637" s="594" t="str">
        <f>INDEX(tblSubjectToLoan[Date],ROW()-ROW(tblContractForDeed[#Headers]))</f>
        <v/>
      </c>
      <c r="O637" s="276">
        <f>IF(ROW()=ROW(tblContractForDeed[#Headers])+1,$O$6,IF(INDEX(tblContractForDeed[End Bal],ROW()-ROW(tblContractForDeed[#Headers])-1)&lt;0,0,INDEX(tblContractForDeed[End Bal],ROW()-ROW(tblContractForDeed[#Headers])-1)))</f>
        <v>0</v>
      </c>
      <c r="P637" s="447"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594" t="str">
        <f t="shared" si="127"/>
        <v/>
      </c>
      <c r="B638" s="276">
        <f t="shared" si="128"/>
        <v>0</v>
      </c>
      <c r="C638" s="14">
        <f t="shared" si="125"/>
        <v>0</v>
      </c>
      <c r="D638" s="14">
        <f t="shared" si="129"/>
        <v>0</v>
      </c>
      <c r="E638" s="14">
        <f t="shared" si="126"/>
        <v>0</v>
      </c>
      <c r="K638" s="276">
        <f t="shared" si="130"/>
        <v>0</v>
      </c>
      <c r="L638" s="388">
        <f t="shared" si="132"/>
        <v>0</v>
      </c>
      <c r="M638" s="388">
        <f t="shared" si="131"/>
        <v>0</v>
      </c>
      <c r="N638" s="594" t="str">
        <f>INDEX(tblSubjectToLoan[Date],ROW()-ROW(tblContractForDeed[#Headers]))</f>
        <v/>
      </c>
      <c r="O638" s="276">
        <f>IF(ROW()=ROW(tblContractForDeed[#Headers])+1,$O$6,IF(INDEX(tblContractForDeed[End Bal],ROW()-ROW(tblContractForDeed[#Headers])-1)&lt;0,0,INDEX(tblContractForDeed[End Bal],ROW()-ROW(tblContractForDeed[#Headers])-1)))</f>
        <v>0</v>
      </c>
      <c r="P638" s="447"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594" t="str">
        <f t="shared" si="127"/>
        <v/>
      </c>
      <c r="B639" s="276">
        <f t="shared" si="128"/>
        <v>0</v>
      </c>
      <c r="C639" s="14">
        <f t="shared" si="125"/>
        <v>0</v>
      </c>
      <c r="D639" s="14">
        <f t="shared" si="129"/>
        <v>0</v>
      </c>
      <c r="E639" s="14">
        <f t="shared" si="126"/>
        <v>0</v>
      </c>
      <c r="K639" s="276">
        <f t="shared" si="130"/>
        <v>0</v>
      </c>
      <c r="L639" s="388">
        <f t="shared" si="132"/>
        <v>0</v>
      </c>
      <c r="M639" s="388">
        <f t="shared" si="131"/>
        <v>0</v>
      </c>
      <c r="N639" s="594" t="str">
        <f>INDEX(tblSubjectToLoan[Date],ROW()-ROW(tblContractForDeed[#Headers]))</f>
        <v/>
      </c>
      <c r="O639" s="276">
        <f>IF(ROW()=ROW(tblContractForDeed[#Headers])+1,$O$6,IF(INDEX(tblContractForDeed[End Bal],ROW()-ROW(tblContractForDeed[#Headers])-1)&lt;0,0,INDEX(tblContractForDeed[End Bal],ROW()-ROW(tblContractForDeed[#Headers])-1)))</f>
        <v>0</v>
      </c>
      <c r="P639" s="447"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594" t="str">
        <f t="shared" si="127"/>
        <v/>
      </c>
      <c r="B640" s="276">
        <f t="shared" si="128"/>
        <v>0</v>
      </c>
      <c r="C640" s="14">
        <f t="shared" si="125"/>
        <v>0</v>
      </c>
      <c r="D640" s="14">
        <f t="shared" si="129"/>
        <v>0</v>
      </c>
      <c r="E640" s="14">
        <f t="shared" si="126"/>
        <v>0</v>
      </c>
      <c r="K640" s="276">
        <f t="shared" si="130"/>
        <v>0</v>
      </c>
      <c r="L640" s="388">
        <f t="shared" si="132"/>
        <v>0</v>
      </c>
      <c r="M640" s="388">
        <f t="shared" si="131"/>
        <v>0</v>
      </c>
      <c r="N640" s="594" t="str">
        <f>INDEX(tblSubjectToLoan[Date],ROW()-ROW(tblContractForDeed[#Headers]))</f>
        <v/>
      </c>
      <c r="O640" s="276">
        <f>IF(ROW()=ROW(tblContractForDeed[#Headers])+1,$O$6,IF(INDEX(tblContractForDeed[End Bal],ROW()-ROW(tblContractForDeed[#Headers])-1)&lt;0,0,INDEX(tblContractForDeed[End Bal],ROW()-ROW(tblContractForDeed[#Headers])-1)))</f>
        <v>0</v>
      </c>
      <c r="P640" s="447"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594" t="str">
        <f t="shared" si="127"/>
        <v/>
      </c>
      <c r="B641" s="276">
        <f t="shared" si="128"/>
        <v>0</v>
      </c>
      <c r="C641" s="14">
        <f t="shared" si="125"/>
        <v>0</v>
      </c>
      <c r="D641" s="14">
        <f t="shared" si="129"/>
        <v>0</v>
      </c>
      <c r="E641" s="14">
        <f t="shared" si="126"/>
        <v>0</v>
      </c>
      <c r="K641" s="276">
        <f t="shared" si="130"/>
        <v>0</v>
      </c>
      <c r="L641" s="388">
        <f t="shared" si="132"/>
        <v>0</v>
      </c>
      <c r="M641" s="388">
        <f t="shared" si="131"/>
        <v>0</v>
      </c>
      <c r="N641" s="594" t="str">
        <f>INDEX(tblSubjectToLoan[Date],ROW()-ROW(tblContractForDeed[#Headers]))</f>
        <v/>
      </c>
      <c r="O641" s="276">
        <f>IF(ROW()=ROW(tblContractForDeed[#Headers])+1,$O$6,IF(INDEX(tblContractForDeed[End Bal],ROW()-ROW(tblContractForDeed[#Headers])-1)&lt;0,0,INDEX(tblContractForDeed[End Bal],ROW()-ROW(tblContractForDeed[#Headers])-1)))</f>
        <v>0</v>
      </c>
      <c r="P641" s="447"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594" t="str">
        <f t="shared" si="127"/>
        <v/>
      </c>
      <c r="B642" s="276">
        <f t="shared" si="128"/>
        <v>0</v>
      </c>
      <c r="C642" s="14">
        <f t="shared" si="125"/>
        <v>0</v>
      </c>
      <c r="D642" s="14">
        <f t="shared" si="129"/>
        <v>0</v>
      </c>
      <c r="E642" s="14">
        <f t="shared" si="126"/>
        <v>0</v>
      </c>
      <c r="K642" s="276">
        <f t="shared" si="130"/>
        <v>0</v>
      </c>
      <c r="L642" s="388">
        <f t="shared" si="132"/>
        <v>0</v>
      </c>
      <c r="M642" s="388">
        <f t="shared" si="131"/>
        <v>0</v>
      </c>
      <c r="N642" s="594" t="str">
        <f>INDEX(tblSubjectToLoan[Date],ROW()-ROW(tblContractForDeed[#Headers]))</f>
        <v/>
      </c>
      <c r="O642" s="276">
        <f>IF(ROW()=ROW(tblContractForDeed[#Headers])+1,$O$6,IF(INDEX(tblContractForDeed[End Bal],ROW()-ROW(tblContractForDeed[#Headers])-1)&lt;0,0,INDEX(tblContractForDeed[End Bal],ROW()-ROW(tblContractForDeed[#Headers])-1)))</f>
        <v>0</v>
      </c>
      <c r="P642" s="447"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595" t="str">
        <f t="shared" si="127"/>
        <v/>
      </c>
      <c r="B643" s="328">
        <f t="shared" si="128"/>
        <v>0</v>
      </c>
      <c r="C643" s="21">
        <f t="shared" si="125"/>
        <v>0</v>
      </c>
      <c r="D643" s="21">
        <f t="shared" si="129"/>
        <v>0</v>
      </c>
      <c r="E643" s="21">
        <f t="shared" si="126"/>
        <v>0</v>
      </c>
      <c r="F643" s="21"/>
      <c r="G643" s="21"/>
      <c r="H643" s="21"/>
      <c r="I643" s="328"/>
      <c r="J643" s="328"/>
      <c r="K643" s="328">
        <f t="shared" si="130"/>
        <v>0</v>
      </c>
      <c r="L643" s="389">
        <f t="shared" si="132"/>
        <v>0</v>
      </c>
      <c r="M643" s="389">
        <f t="shared" si="131"/>
        <v>0</v>
      </c>
      <c r="N643" s="595" t="str">
        <f>INDEX(tblSubjectToLoan[Date],ROW()-ROW(tblContractForDeed[#Headers]))</f>
        <v/>
      </c>
      <c r="O643" s="328">
        <f>IF(ROW()=ROW(tblContractForDeed[#Headers])+1,$O$6,IF(INDEX(tblContractForDeed[End Bal],ROW()-ROW(tblContractForDeed[#Headers])-1)&lt;0,0,INDEX(tblContractForDeed[End Bal],ROW()-ROW(tblContractForDeed[#Headers])-1)))</f>
        <v>0</v>
      </c>
      <c r="P643" s="447"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8">
        <f>SUM(INDEX(tblContractForDeed[Princ],1):INDEX(tblContractForDeed[Princ],ROW()-ROW(tblContractForDeed[#Headers])))</f>
        <v>75258.000000000029</v>
      </c>
      <c r="X643" s="328">
        <f>IF(tblContractForDeed[[#This Row],[Beg]]&lt;=0,0,tblContractForDeed[[#This Row],[Beg]]-tblContractForDeed[[#This Row],[Princ]])</f>
        <v>0</v>
      </c>
      <c r="Y64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8">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8">
        <f>IF(INDEX(tblContractForDeed[End Bal],ROW()-ROW(tblBuyerOutputs[#Headers]))&lt;=0,0,($O$6+IF(ROW()=ROW(tblBuyerOutputs[#Headers])+1,0,INDEX(tblBuyerOutputs[Cumul Appr],ROW()-ROW(tblBuyerOutputs[#Headers])-1)))*$O$2/12)</f>
        <v>0</v>
      </c>
      <c r="AE643" s="328">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594" t="str">
        <f t="shared" si="127"/>
        <v/>
      </c>
      <c r="B644" s="276">
        <f t="shared" si="128"/>
        <v>0</v>
      </c>
      <c r="C644" s="14">
        <f t="shared" si="125"/>
        <v>0</v>
      </c>
      <c r="D644" s="14">
        <f t="shared" si="129"/>
        <v>0</v>
      </c>
      <c r="E644" s="14">
        <f t="shared" si="126"/>
        <v>0</v>
      </c>
      <c r="K644" s="276">
        <f t="shared" si="130"/>
        <v>0</v>
      </c>
      <c r="L644" s="388">
        <f t="shared" si="132"/>
        <v>0</v>
      </c>
      <c r="M644" s="388">
        <f t="shared" si="131"/>
        <v>0</v>
      </c>
      <c r="N644" s="594" t="str">
        <f>INDEX(tblSubjectToLoan[Date],ROW()-ROW(tblContractForDeed[#Headers]))</f>
        <v/>
      </c>
      <c r="O644" s="276">
        <f>IF(ROW()=ROW(tblContractForDeed[#Headers])+1,$O$6,IF(INDEX(tblContractForDeed[End Bal],ROW()-ROW(tblContractForDeed[#Headers])-1)&lt;0,0,INDEX(tblContractForDeed[End Bal],ROW()-ROW(tblContractForDeed[#Headers])-1)))</f>
        <v>0</v>
      </c>
      <c r="P644" s="447"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594" t="str">
        <f t="shared" si="127"/>
        <v/>
      </c>
      <c r="B645" s="276">
        <f t="shared" si="128"/>
        <v>0</v>
      </c>
      <c r="C645" s="14">
        <f t="shared" si="125"/>
        <v>0</v>
      </c>
      <c r="D645" s="14">
        <f t="shared" si="129"/>
        <v>0</v>
      </c>
      <c r="E645" s="14">
        <f t="shared" si="126"/>
        <v>0</v>
      </c>
      <c r="K645" s="276">
        <f t="shared" si="130"/>
        <v>0</v>
      </c>
      <c r="L645" s="388">
        <f t="shared" si="132"/>
        <v>0</v>
      </c>
      <c r="M645" s="388">
        <f t="shared" si="131"/>
        <v>0</v>
      </c>
      <c r="N645" s="594" t="str">
        <f>INDEX(tblSubjectToLoan[Date],ROW()-ROW(tblContractForDeed[#Headers]))</f>
        <v/>
      </c>
      <c r="O645" s="276">
        <f>IF(ROW()=ROW(tblContractForDeed[#Headers])+1,$O$6,IF(INDEX(tblContractForDeed[End Bal],ROW()-ROW(tblContractForDeed[#Headers])-1)&lt;0,0,INDEX(tblContractForDeed[End Bal],ROW()-ROW(tblContractForDeed[#Headers])-1)))</f>
        <v>0</v>
      </c>
      <c r="P645" s="447"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594" t="str">
        <f t="shared" si="127"/>
        <v/>
      </c>
      <c r="B646" s="276">
        <f t="shared" si="128"/>
        <v>0</v>
      </c>
      <c r="C646" s="14">
        <f t="shared" si="125"/>
        <v>0</v>
      </c>
      <c r="D646" s="14">
        <f t="shared" si="129"/>
        <v>0</v>
      </c>
      <c r="E646" s="14">
        <f t="shared" si="126"/>
        <v>0</v>
      </c>
      <c r="K646" s="276">
        <f t="shared" si="130"/>
        <v>0</v>
      </c>
      <c r="L646" s="388">
        <f t="shared" si="132"/>
        <v>0</v>
      </c>
      <c r="M646" s="388">
        <f t="shared" si="131"/>
        <v>0</v>
      </c>
      <c r="N646" s="594" t="str">
        <f>INDEX(tblSubjectToLoan[Date],ROW()-ROW(tblContractForDeed[#Headers]))</f>
        <v/>
      </c>
      <c r="O646" s="276">
        <f>IF(ROW()=ROW(tblContractForDeed[#Headers])+1,$O$6,IF(INDEX(tblContractForDeed[End Bal],ROW()-ROW(tblContractForDeed[#Headers])-1)&lt;0,0,INDEX(tblContractForDeed[End Bal],ROW()-ROW(tblContractForDeed[#Headers])-1)))</f>
        <v>0</v>
      </c>
      <c r="P646" s="447"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594" t="str">
        <f t="shared" si="127"/>
        <v/>
      </c>
      <c r="B647" s="276">
        <f t="shared" si="128"/>
        <v>0</v>
      </c>
      <c r="C647" s="14">
        <f t="shared" si="125"/>
        <v>0</v>
      </c>
      <c r="D647" s="14">
        <f t="shared" si="129"/>
        <v>0</v>
      </c>
      <c r="E647" s="14">
        <f t="shared" si="126"/>
        <v>0</v>
      </c>
      <c r="K647" s="276">
        <f t="shared" si="130"/>
        <v>0</v>
      </c>
      <c r="L647" s="388">
        <f t="shared" si="132"/>
        <v>0</v>
      </c>
      <c r="M647" s="388">
        <f t="shared" si="131"/>
        <v>0</v>
      </c>
      <c r="N647" s="594" t="str">
        <f>INDEX(tblSubjectToLoan[Date],ROW()-ROW(tblContractForDeed[#Headers]))</f>
        <v/>
      </c>
      <c r="O647" s="276">
        <f>IF(ROW()=ROW(tblContractForDeed[#Headers])+1,$O$6,IF(INDEX(tblContractForDeed[End Bal],ROW()-ROW(tblContractForDeed[#Headers])-1)&lt;0,0,INDEX(tblContractForDeed[End Bal],ROW()-ROW(tblContractForDeed[#Headers])-1)))</f>
        <v>0</v>
      </c>
      <c r="P647" s="447"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594" t="str">
        <f t="shared" si="127"/>
        <v/>
      </c>
      <c r="B648" s="276">
        <f t="shared" si="128"/>
        <v>0</v>
      </c>
      <c r="C648" s="14">
        <f t="shared" si="125"/>
        <v>0</v>
      </c>
      <c r="D648" s="14">
        <f t="shared" si="129"/>
        <v>0</v>
      </c>
      <c r="E648" s="14">
        <f t="shared" si="126"/>
        <v>0</v>
      </c>
      <c r="K648" s="276">
        <f t="shared" si="130"/>
        <v>0</v>
      </c>
      <c r="L648" s="388">
        <f t="shared" si="132"/>
        <v>0</v>
      </c>
      <c r="M648" s="388">
        <f t="shared" si="131"/>
        <v>0</v>
      </c>
      <c r="N648" s="594" t="str">
        <f>INDEX(tblSubjectToLoan[Date],ROW()-ROW(tblContractForDeed[#Headers]))</f>
        <v/>
      </c>
      <c r="O648" s="276">
        <f>IF(ROW()=ROW(tblContractForDeed[#Headers])+1,$O$6,IF(INDEX(tblContractForDeed[End Bal],ROW()-ROW(tblContractForDeed[#Headers])-1)&lt;0,0,INDEX(tblContractForDeed[End Bal],ROW()-ROW(tblContractForDeed[#Headers])-1)))</f>
        <v>0</v>
      </c>
      <c r="P648" s="447"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594" t="str">
        <f t="shared" si="127"/>
        <v/>
      </c>
      <c r="B649" s="276">
        <f t="shared" si="128"/>
        <v>0</v>
      </c>
      <c r="C649" s="14">
        <f t="shared" si="125"/>
        <v>0</v>
      </c>
      <c r="D649" s="14">
        <f t="shared" si="129"/>
        <v>0</v>
      </c>
      <c r="E649" s="14">
        <f t="shared" si="126"/>
        <v>0</v>
      </c>
      <c r="K649" s="276">
        <f t="shared" si="130"/>
        <v>0</v>
      </c>
      <c r="L649" s="388">
        <f t="shared" si="132"/>
        <v>0</v>
      </c>
      <c r="M649" s="388">
        <f t="shared" si="131"/>
        <v>0</v>
      </c>
      <c r="N649" s="594" t="str">
        <f>INDEX(tblSubjectToLoan[Date],ROW()-ROW(tblContractForDeed[#Headers]))</f>
        <v/>
      </c>
      <c r="O649" s="276">
        <f>IF(ROW()=ROW(tblContractForDeed[#Headers])+1,$O$6,IF(INDEX(tblContractForDeed[End Bal],ROW()-ROW(tblContractForDeed[#Headers])-1)&lt;0,0,INDEX(tblContractForDeed[End Bal],ROW()-ROW(tblContractForDeed[#Headers])-1)))</f>
        <v>0</v>
      </c>
      <c r="P649" s="447"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594" t="str">
        <f t="shared" si="127"/>
        <v/>
      </c>
      <c r="B650" s="276">
        <f t="shared" si="128"/>
        <v>0</v>
      </c>
      <c r="C650" s="14">
        <f t="shared" si="125"/>
        <v>0</v>
      </c>
      <c r="D650" s="14">
        <f t="shared" si="129"/>
        <v>0</v>
      </c>
      <c r="E650" s="14">
        <f t="shared" si="126"/>
        <v>0</v>
      </c>
      <c r="K650" s="276">
        <f t="shared" si="130"/>
        <v>0</v>
      </c>
      <c r="L650" s="388">
        <f t="shared" si="132"/>
        <v>0</v>
      </c>
      <c r="M650" s="388">
        <f t="shared" si="131"/>
        <v>0</v>
      </c>
      <c r="N650" s="594" t="str">
        <f>INDEX(tblSubjectToLoan[Date],ROW()-ROW(tblContractForDeed[#Headers]))</f>
        <v/>
      </c>
      <c r="O650" s="276">
        <f>IF(ROW()=ROW(tblContractForDeed[#Headers])+1,$O$6,IF(INDEX(tblContractForDeed[End Bal],ROW()-ROW(tblContractForDeed[#Headers])-1)&lt;0,0,INDEX(tblContractForDeed[End Bal],ROW()-ROW(tblContractForDeed[#Headers])-1)))</f>
        <v>0</v>
      </c>
      <c r="P650" s="447"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594" t="str">
        <f t="shared" si="127"/>
        <v/>
      </c>
      <c r="B651" s="276">
        <f t="shared" si="128"/>
        <v>0</v>
      </c>
      <c r="C651" s="14">
        <f t="shared" si="125"/>
        <v>0</v>
      </c>
      <c r="D651" s="14">
        <f t="shared" si="129"/>
        <v>0</v>
      </c>
      <c r="E651" s="14">
        <f t="shared" si="126"/>
        <v>0</v>
      </c>
      <c r="K651" s="276">
        <f t="shared" si="130"/>
        <v>0</v>
      </c>
      <c r="L651" s="388">
        <f t="shared" si="132"/>
        <v>0</v>
      </c>
      <c r="M651" s="388">
        <f t="shared" si="131"/>
        <v>0</v>
      </c>
      <c r="N651" s="594" t="str">
        <f>INDEX(tblSubjectToLoan[Date],ROW()-ROW(tblContractForDeed[#Headers]))</f>
        <v/>
      </c>
      <c r="O651" s="276">
        <f>IF(ROW()=ROW(tblContractForDeed[#Headers])+1,$O$6,IF(INDEX(tblContractForDeed[End Bal],ROW()-ROW(tblContractForDeed[#Headers])-1)&lt;0,0,INDEX(tblContractForDeed[End Bal],ROW()-ROW(tblContractForDeed[#Headers])-1)))</f>
        <v>0</v>
      </c>
      <c r="P651" s="447"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594" t="str">
        <f t="shared" si="127"/>
        <v/>
      </c>
      <c r="B652" s="276">
        <f t="shared" si="128"/>
        <v>0</v>
      </c>
      <c r="C652" s="14">
        <f t="shared" si="125"/>
        <v>0</v>
      </c>
      <c r="D652" s="14">
        <f t="shared" si="129"/>
        <v>0</v>
      </c>
      <c r="E652" s="14">
        <f t="shared" si="126"/>
        <v>0</v>
      </c>
      <c r="K652" s="276">
        <f t="shared" si="130"/>
        <v>0</v>
      </c>
      <c r="L652" s="388">
        <f t="shared" si="132"/>
        <v>0</v>
      </c>
      <c r="M652" s="388">
        <f t="shared" si="131"/>
        <v>0</v>
      </c>
      <c r="N652" s="594" t="str">
        <f>INDEX(tblSubjectToLoan[Date],ROW()-ROW(tblContractForDeed[#Headers]))</f>
        <v/>
      </c>
      <c r="O652" s="276">
        <f>IF(ROW()=ROW(tblContractForDeed[#Headers])+1,$O$6,IF(INDEX(tblContractForDeed[End Bal],ROW()-ROW(tblContractForDeed[#Headers])-1)&lt;0,0,INDEX(tblContractForDeed[End Bal],ROW()-ROW(tblContractForDeed[#Headers])-1)))</f>
        <v>0</v>
      </c>
      <c r="P652" s="447"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594" t="str">
        <f t="shared" si="127"/>
        <v/>
      </c>
      <c r="B653" s="276">
        <f t="shared" si="128"/>
        <v>0</v>
      </c>
      <c r="C653" s="14">
        <f t="shared" si="125"/>
        <v>0</v>
      </c>
      <c r="D653" s="14">
        <f t="shared" si="129"/>
        <v>0</v>
      </c>
      <c r="E653" s="14">
        <f t="shared" si="126"/>
        <v>0</v>
      </c>
      <c r="K653" s="276">
        <f t="shared" si="130"/>
        <v>0</v>
      </c>
      <c r="L653" s="388">
        <f t="shared" si="132"/>
        <v>0</v>
      </c>
      <c r="M653" s="388">
        <f t="shared" si="131"/>
        <v>0</v>
      </c>
      <c r="N653" s="594" t="str">
        <f>INDEX(tblSubjectToLoan[Date],ROW()-ROW(tblContractForDeed[#Headers]))</f>
        <v/>
      </c>
      <c r="O653" s="276">
        <f>IF(ROW()=ROW(tblContractForDeed[#Headers])+1,$O$6,IF(INDEX(tblContractForDeed[End Bal],ROW()-ROW(tblContractForDeed[#Headers])-1)&lt;0,0,INDEX(tblContractForDeed[End Bal],ROW()-ROW(tblContractForDeed[#Headers])-1)))</f>
        <v>0</v>
      </c>
      <c r="P653" s="447"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594" t="str">
        <f t="shared" si="127"/>
        <v/>
      </c>
      <c r="B654" s="276">
        <f t="shared" si="128"/>
        <v>0</v>
      </c>
      <c r="C654" s="14">
        <f t="shared" si="125"/>
        <v>0</v>
      </c>
      <c r="D654" s="14">
        <f t="shared" si="129"/>
        <v>0</v>
      </c>
      <c r="E654" s="14">
        <f t="shared" si="126"/>
        <v>0</v>
      </c>
      <c r="K654" s="276">
        <f t="shared" si="130"/>
        <v>0</v>
      </c>
      <c r="L654" s="388">
        <f t="shared" si="132"/>
        <v>0</v>
      </c>
      <c r="M654" s="388">
        <f t="shared" si="131"/>
        <v>0</v>
      </c>
      <c r="N654" s="594" t="str">
        <f>INDEX(tblSubjectToLoan[Date],ROW()-ROW(tblContractForDeed[#Headers]))</f>
        <v/>
      </c>
      <c r="O654" s="276">
        <f>IF(ROW()=ROW(tblContractForDeed[#Headers])+1,$O$6,IF(INDEX(tblContractForDeed[End Bal],ROW()-ROW(tblContractForDeed[#Headers])-1)&lt;0,0,INDEX(tblContractForDeed[End Bal],ROW()-ROW(tblContractForDeed[#Headers])-1)))</f>
        <v>0</v>
      </c>
      <c r="P654" s="447"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595" t="str">
        <f t="shared" si="127"/>
        <v/>
      </c>
      <c r="B655" s="328">
        <f t="shared" si="128"/>
        <v>0</v>
      </c>
      <c r="C655" s="21">
        <f t="shared" si="125"/>
        <v>0</v>
      </c>
      <c r="D655" s="21">
        <f t="shared" si="129"/>
        <v>0</v>
      </c>
      <c r="E655" s="21">
        <f t="shared" si="126"/>
        <v>0</v>
      </c>
      <c r="F655" s="21"/>
      <c r="G655" s="21"/>
      <c r="H655" s="21"/>
      <c r="I655" s="328"/>
      <c r="J655" s="328"/>
      <c r="K655" s="328">
        <f t="shared" si="130"/>
        <v>0</v>
      </c>
      <c r="L655" s="389">
        <f t="shared" si="132"/>
        <v>0</v>
      </c>
      <c r="M655" s="389">
        <f t="shared" si="131"/>
        <v>0</v>
      </c>
      <c r="N655" s="595" t="str">
        <f>INDEX(tblSubjectToLoan[Date],ROW()-ROW(tblContractForDeed[#Headers]))</f>
        <v/>
      </c>
      <c r="O655" s="328">
        <f>IF(ROW()=ROW(tblContractForDeed[#Headers])+1,$O$6,IF(INDEX(tblContractForDeed[End Bal],ROW()-ROW(tblContractForDeed[#Headers])-1)&lt;0,0,INDEX(tblContractForDeed[End Bal],ROW()-ROW(tblContractForDeed[#Headers])-1)))</f>
        <v>0</v>
      </c>
      <c r="P655" s="447"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8">
        <f>SUM(INDEX(tblContractForDeed[Princ],1):INDEX(tblContractForDeed[Princ],ROW()-ROW(tblContractForDeed[#Headers])))</f>
        <v>75258.000000000029</v>
      </c>
      <c r="X655" s="328">
        <f>IF(tblContractForDeed[[#This Row],[Beg]]&lt;=0,0,tblContractForDeed[[#This Row],[Beg]]-tblContractForDeed[[#This Row],[Princ]])</f>
        <v>0</v>
      </c>
      <c r="Y65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8">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8">
        <f>IF(INDEX(tblContractForDeed[End Bal],ROW()-ROW(tblBuyerOutputs[#Headers]))&lt;=0,0,($O$6+IF(ROW()=ROW(tblBuyerOutputs[#Headers])+1,0,INDEX(tblBuyerOutputs[Cumul Appr],ROW()-ROW(tblBuyerOutputs[#Headers])-1)))*$O$2/12)</f>
        <v>0</v>
      </c>
      <c r="AE655" s="328">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594" t="str">
        <f t="shared" si="127"/>
        <v/>
      </c>
      <c r="B656" s="276">
        <f t="shared" si="128"/>
        <v>0</v>
      </c>
      <c r="C656" s="14">
        <f t="shared" si="125"/>
        <v>0</v>
      </c>
      <c r="D656" s="14">
        <f t="shared" si="129"/>
        <v>0</v>
      </c>
      <c r="E656" s="14">
        <f t="shared" si="126"/>
        <v>0</v>
      </c>
      <c r="K656" s="276">
        <f t="shared" si="130"/>
        <v>0</v>
      </c>
      <c r="L656" s="388">
        <f t="shared" si="132"/>
        <v>0</v>
      </c>
      <c r="M656" s="388">
        <f t="shared" si="131"/>
        <v>0</v>
      </c>
      <c r="N656" s="594" t="str">
        <f>INDEX(tblSubjectToLoan[Date],ROW()-ROW(tblContractForDeed[#Headers]))</f>
        <v/>
      </c>
      <c r="O656" s="276">
        <f>IF(ROW()=ROW(tblContractForDeed[#Headers])+1,$O$6,IF(INDEX(tblContractForDeed[End Bal],ROW()-ROW(tblContractForDeed[#Headers])-1)&lt;0,0,INDEX(tblContractForDeed[End Bal],ROW()-ROW(tblContractForDeed[#Headers])-1)))</f>
        <v>0</v>
      </c>
      <c r="P656" s="447"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594" t="str">
        <f t="shared" si="127"/>
        <v/>
      </c>
      <c r="B657" s="276">
        <f t="shared" si="128"/>
        <v>0</v>
      </c>
      <c r="C657" s="14">
        <f t="shared" si="125"/>
        <v>0</v>
      </c>
      <c r="D657" s="14">
        <f t="shared" si="129"/>
        <v>0</v>
      </c>
      <c r="E657" s="14">
        <f t="shared" si="126"/>
        <v>0</v>
      </c>
      <c r="K657" s="276">
        <f t="shared" si="130"/>
        <v>0</v>
      </c>
      <c r="L657" s="388">
        <f t="shared" si="132"/>
        <v>0</v>
      </c>
      <c r="M657" s="388">
        <f t="shared" si="131"/>
        <v>0</v>
      </c>
      <c r="N657" s="594" t="str">
        <f>INDEX(tblSubjectToLoan[Date],ROW()-ROW(tblContractForDeed[#Headers]))</f>
        <v/>
      </c>
      <c r="O657" s="276">
        <f>IF(ROW()=ROW(tblContractForDeed[#Headers])+1,$O$6,IF(INDEX(tblContractForDeed[End Bal],ROW()-ROW(tblContractForDeed[#Headers])-1)&lt;0,0,INDEX(tblContractForDeed[End Bal],ROW()-ROW(tblContractForDeed[#Headers])-1)))</f>
        <v>0</v>
      </c>
      <c r="P657" s="447"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594" t="str">
        <f t="shared" si="127"/>
        <v/>
      </c>
      <c r="B658" s="276">
        <f t="shared" si="128"/>
        <v>0</v>
      </c>
      <c r="C658" s="14">
        <f t="shared" si="125"/>
        <v>0</v>
      </c>
      <c r="D658" s="14">
        <f t="shared" si="129"/>
        <v>0</v>
      </c>
      <c r="E658" s="14">
        <f t="shared" si="126"/>
        <v>0</v>
      </c>
      <c r="K658" s="276">
        <f t="shared" si="130"/>
        <v>0</v>
      </c>
      <c r="L658" s="388">
        <f t="shared" si="132"/>
        <v>0</v>
      </c>
      <c r="M658" s="388">
        <f t="shared" si="131"/>
        <v>0</v>
      </c>
      <c r="N658" s="594" t="str">
        <f>INDEX(tblSubjectToLoan[Date],ROW()-ROW(tblContractForDeed[#Headers]))</f>
        <v/>
      </c>
      <c r="O658" s="276">
        <f>IF(ROW()=ROW(tblContractForDeed[#Headers])+1,$O$6,IF(INDEX(tblContractForDeed[End Bal],ROW()-ROW(tblContractForDeed[#Headers])-1)&lt;0,0,INDEX(tblContractForDeed[End Bal],ROW()-ROW(tblContractForDeed[#Headers])-1)))</f>
        <v>0</v>
      </c>
      <c r="P658" s="447"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594" t="str">
        <f t="shared" si="127"/>
        <v/>
      </c>
      <c r="B659" s="276">
        <f t="shared" si="128"/>
        <v>0</v>
      </c>
      <c r="C659" s="14">
        <f t="shared" si="125"/>
        <v>0</v>
      </c>
      <c r="D659" s="14">
        <f t="shared" si="129"/>
        <v>0</v>
      </c>
      <c r="E659" s="14">
        <f t="shared" si="126"/>
        <v>0</v>
      </c>
      <c r="K659" s="276">
        <f t="shared" si="130"/>
        <v>0</v>
      </c>
      <c r="L659" s="388">
        <f t="shared" si="132"/>
        <v>0</v>
      </c>
      <c r="M659" s="388">
        <f t="shared" si="131"/>
        <v>0</v>
      </c>
      <c r="N659" s="594" t="str">
        <f>INDEX(tblSubjectToLoan[Date],ROW()-ROW(tblContractForDeed[#Headers]))</f>
        <v/>
      </c>
      <c r="O659" s="276">
        <f>IF(ROW()=ROW(tblContractForDeed[#Headers])+1,$O$6,IF(INDEX(tblContractForDeed[End Bal],ROW()-ROW(tblContractForDeed[#Headers])-1)&lt;0,0,INDEX(tblContractForDeed[End Bal],ROW()-ROW(tblContractForDeed[#Headers])-1)))</f>
        <v>0</v>
      </c>
      <c r="P659" s="447"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594"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88">
        <f t="shared" si="132"/>
        <v>0</v>
      </c>
      <c r="M660" s="388">
        <f t="shared" si="131"/>
        <v>0</v>
      </c>
      <c r="N660" s="594" t="str">
        <f>INDEX(tblSubjectToLoan[Date],ROW()-ROW(tblContractForDeed[#Headers]))</f>
        <v/>
      </c>
      <c r="O660" s="276">
        <f>IF(ROW()=ROW(tblContractForDeed[#Headers])+1,$O$6,IF(INDEX(tblContractForDeed[End Bal],ROW()-ROW(tblContractForDeed[#Headers])-1)&lt;0,0,INDEX(tblContractForDeed[End Bal],ROW()-ROW(tblContractForDeed[#Headers])-1)))</f>
        <v>0</v>
      </c>
      <c r="P660" s="447"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594"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88">
        <f t="shared" si="132"/>
        <v>0</v>
      </c>
      <c r="M661" s="388">
        <f t="shared" ref="M661:M724" si="139">IF($A661&lt;&gt;"",M660+1,0)</f>
        <v>0</v>
      </c>
      <c r="N661" s="594" t="str">
        <f>INDEX(tblSubjectToLoan[Date],ROW()-ROW(tblContractForDeed[#Headers]))</f>
        <v/>
      </c>
      <c r="O661" s="276">
        <f>IF(ROW()=ROW(tblContractForDeed[#Headers])+1,$O$6,IF(INDEX(tblContractForDeed[End Bal],ROW()-ROW(tblContractForDeed[#Headers])-1)&lt;0,0,INDEX(tblContractForDeed[End Bal],ROW()-ROW(tblContractForDeed[#Headers])-1)))</f>
        <v>0</v>
      </c>
      <c r="P661" s="447"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594" t="str">
        <f t="shared" si="135"/>
        <v/>
      </c>
      <c r="B662" s="276">
        <f t="shared" si="136"/>
        <v>0</v>
      </c>
      <c r="C662" s="14">
        <f t="shared" si="133"/>
        <v>0</v>
      </c>
      <c r="D662" s="14">
        <f t="shared" si="137"/>
        <v>0</v>
      </c>
      <c r="E662" s="14">
        <f t="shared" si="134"/>
        <v>0</v>
      </c>
      <c r="K662" s="276">
        <f t="shared" si="138"/>
        <v>0</v>
      </c>
      <c r="L662" s="388">
        <f t="shared" si="132"/>
        <v>0</v>
      </c>
      <c r="M662" s="388">
        <f t="shared" si="139"/>
        <v>0</v>
      </c>
      <c r="N662" s="594" t="str">
        <f>INDEX(tblSubjectToLoan[Date],ROW()-ROW(tblContractForDeed[#Headers]))</f>
        <v/>
      </c>
      <c r="O662" s="276">
        <f>IF(ROW()=ROW(tblContractForDeed[#Headers])+1,$O$6,IF(INDEX(tblContractForDeed[End Bal],ROW()-ROW(tblContractForDeed[#Headers])-1)&lt;0,0,INDEX(tblContractForDeed[End Bal],ROW()-ROW(tblContractForDeed[#Headers])-1)))</f>
        <v>0</v>
      </c>
      <c r="P662" s="447"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594" t="str">
        <f t="shared" si="135"/>
        <v/>
      </c>
      <c r="B663" s="276">
        <f t="shared" si="136"/>
        <v>0</v>
      </c>
      <c r="C663" s="14">
        <f t="shared" si="133"/>
        <v>0</v>
      </c>
      <c r="D663" s="14">
        <f t="shared" si="137"/>
        <v>0</v>
      </c>
      <c r="E663" s="14">
        <f t="shared" si="134"/>
        <v>0</v>
      </c>
      <c r="K663" s="276">
        <f t="shared" si="138"/>
        <v>0</v>
      </c>
      <c r="L663" s="388">
        <f t="shared" si="132"/>
        <v>0</v>
      </c>
      <c r="M663" s="388">
        <f t="shared" si="139"/>
        <v>0</v>
      </c>
      <c r="N663" s="594" t="str">
        <f>INDEX(tblSubjectToLoan[Date],ROW()-ROW(tblContractForDeed[#Headers]))</f>
        <v/>
      </c>
      <c r="O663" s="276">
        <f>IF(ROW()=ROW(tblContractForDeed[#Headers])+1,$O$6,IF(INDEX(tblContractForDeed[End Bal],ROW()-ROW(tblContractForDeed[#Headers])-1)&lt;0,0,INDEX(tblContractForDeed[End Bal],ROW()-ROW(tblContractForDeed[#Headers])-1)))</f>
        <v>0</v>
      </c>
      <c r="P663" s="447"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594" t="str">
        <f t="shared" si="135"/>
        <v/>
      </c>
      <c r="B664" s="276">
        <f t="shared" si="136"/>
        <v>0</v>
      </c>
      <c r="C664" s="14">
        <f t="shared" si="133"/>
        <v>0</v>
      </c>
      <c r="D664" s="14">
        <f t="shared" si="137"/>
        <v>0</v>
      </c>
      <c r="E664" s="14">
        <f t="shared" si="134"/>
        <v>0</v>
      </c>
      <c r="K664" s="276">
        <f t="shared" si="138"/>
        <v>0</v>
      </c>
      <c r="L664" s="388">
        <f t="shared" si="132"/>
        <v>0</v>
      </c>
      <c r="M664" s="388">
        <f t="shared" si="139"/>
        <v>0</v>
      </c>
      <c r="N664" s="594" t="str">
        <f>INDEX(tblSubjectToLoan[Date],ROW()-ROW(tblContractForDeed[#Headers]))</f>
        <v/>
      </c>
      <c r="O664" s="276">
        <f>IF(ROW()=ROW(tblContractForDeed[#Headers])+1,$O$6,IF(INDEX(tblContractForDeed[End Bal],ROW()-ROW(tblContractForDeed[#Headers])-1)&lt;0,0,INDEX(tblContractForDeed[End Bal],ROW()-ROW(tblContractForDeed[#Headers])-1)))</f>
        <v>0</v>
      </c>
      <c r="P664" s="447"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594" t="str">
        <f t="shared" si="135"/>
        <v/>
      </c>
      <c r="B665" s="276">
        <f t="shared" si="136"/>
        <v>0</v>
      </c>
      <c r="C665" s="14">
        <f t="shared" si="133"/>
        <v>0</v>
      </c>
      <c r="D665" s="14">
        <f t="shared" si="137"/>
        <v>0</v>
      </c>
      <c r="E665" s="14">
        <f t="shared" si="134"/>
        <v>0</v>
      </c>
      <c r="K665" s="276">
        <f t="shared" si="138"/>
        <v>0</v>
      </c>
      <c r="L665" s="388">
        <f t="shared" si="132"/>
        <v>0</v>
      </c>
      <c r="M665" s="388">
        <f t="shared" si="139"/>
        <v>0</v>
      </c>
      <c r="N665" s="594" t="str">
        <f>INDEX(tblSubjectToLoan[Date],ROW()-ROW(tblContractForDeed[#Headers]))</f>
        <v/>
      </c>
      <c r="O665" s="276">
        <f>IF(ROW()=ROW(tblContractForDeed[#Headers])+1,$O$6,IF(INDEX(tblContractForDeed[End Bal],ROW()-ROW(tblContractForDeed[#Headers])-1)&lt;0,0,INDEX(tblContractForDeed[End Bal],ROW()-ROW(tblContractForDeed[#Headers])-1)))</f>
        <v>0</v>
      </c>
      <c r="P665" s="447"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594" t="str">
        <f t="shared" si="135"/>
        <v/>
      </c>
      <c r="B666" s="276">
        <f t="shared" si="136"/>
        <v>0</v>
      </c>
      <c r="C666" s="14">
        <f t="shared" si="133"/>
        <v>0</v>
      </c>
      <c r="D666" s="14">
        <f t="shared" si="137"/>
        <v>0</v>
      </c>
      <c r="E666" s="14">
        <f t="shared" si="134"/>
        <v>0</v>
      </c>
      <c r="K666" s="276">
        <f t="shared" si="138"/>
        <v>0</v>
      </c>
      <c r="L666" s="388">
        <f t="shared" si="132"/>
        <v>0</v>
      </c>
      <c r="M666" s="388">
        <f t="shared" si="139"/>
        <v>0</v>
      </c>
      <c r="N666" s="594" t="str">
        <f>INDEX(tblSubjectToLoan[Date],ROW()-ROW(tblContractForDeed[#Headers]))</f>
        <v/>
      </c>
      <c r="O666" s="276">
        <f>IF(ROW()=ROW(tblContractForDeed[#Headers])+1,$O$6,IF(INDEX(tblContractForDeed[End Bal],ROW()-ROW(tblContractForDeed[#Headers])-1)&lt;0,0,INDEX(tblContractForDeed[End Bal],ROW()-ROW(tblContractForDeed[#Headers])-1)))</f>
        <v>0</v>
      </c>
      <c r="P666" s="447"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595" t="str">
        <f t="shared" si="135"/>
        <v/>
      </c>
      <c r="B667" s="328">
        <f t="shared" si="136"/>
        <v>0</v>
      </c>
      <c r="C667" s="21">
        <f t="shared" si="133"/>
        <v>0</v>
      </c>
      <c r="D667" s="21">
        <f t="shared" si="137"/>
        <v>0</v>
      </c>
      <c r="E667" s="21">
        <f t="shared" si="134"/>
        <v>0</v>
      </c>
      <c r="F667" s="21"/>
      <c r="G667" s="21"/>
      <c r="H667" s="21"/>
      <c r="I667" s="328"/>
      <c r="J667" s="328"/>
      <c r="K667" s="328">
        <f t="shared" si="138"/>
        <v>0</v>
      </c>
      <c r="L667" s="389">
        <f t="shared" si="132"/>
        <v>0</v>
      </c>
      <c r="M667" s="389">
        <f t="shared" si="139"/>
        <v>0</v>
      </c>
      <c r="N667" s="595" t="str">
        <f>INDEX(tblSubjectToLoan[Date],ROW()-ROW(tblContractForDeed[#Headers]))</f>
        <v/>
      </c>
      <c r="O667" s="328">
        <f>IF(ROW()=ROW(tblContractForDeed[#Headers])+1,$O$6,IF(INDEX(tblContractForDeed[End Bal],ROW()-ROW(tblContractForDeed[#Headers])-1)&lt;0,0,INDEX(tblContractForDeed[End Bal],ROW()-ROW(tblContractForDeed[#Headers])-1)))</f>
        <v>0</v>
      </c>
      <c r="P667" s="447"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8">
        <f>SUM(INDEX(tblContractForDeed[Princ],1):INDEX(tblContractForDeed[Princ],ROW()-ROW(tblContractForDeed[#Headers])))</f>
        <v>75258.000000000029</v>
      </c>
      <c r="X667" s="328">
        <f>IF(tblContractForDeed[[#This Row],[Beg]]&lt;=0,0,tblContractForDeed[[#This Row],[Beg]]-tblContractForDeed[[#This Row],[Princ]])</f>
        <v>0</v>
      </c>
      <c r="Y66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8">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8">
        <f>IF(INDEX(tblContractForDeed[End Bal],ROW()-ROW(tblBuyerOutputs[#Headers]))&lt;=0,0,($O$6+IF(ROW()=ROW(tblBuyerOutputs[#Headers])+1,0,INDEX(tblBuyerOutputs[Cumul Appr],ROW()-ROW(tblBuyerOutputs[#Headers])-1)))*$O$2/12)</f>
        <v>0</v>
      </c>
      <c r="AE667" s="328">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594" t="str">
        <f t="shared" si="135"/>
        <v/>
      </c>
      <c r="B668" s="276">
        <f t="shared" si="136"/>
        <v>0</v>
      </c>
      <c r="C668" s="14">
        <f t="shared" si="133"/>
        <v>0</v>
      </c>
      <c r="D668" s="14">
        <f t="shared" si="137"/>
        <v>0</v>
      </c>
      <c r="E668" s="14">
        <f t="shared" si="134"/>
        <v>0</v>
      </c>
      <c r="K668" s="276">
        <f t="shared" si="138"/>
        <v>0</v>
      </c>
      <c r="L668" s="388">
        <f t="shared" si="132"/>
        <v>0</v>
      </c>
      <c r="M668" s="388">
        <f t="shared" si="139"/>
        <v>0</v>
      </c>
      <c r="N668" s="594" t="str">
        <f>INDEX(tblSubjectToLoan[Date],ROW()-ROW(tblContractForDeed[#Headers]))</f>
        <v/>
      </c>
      <c r="O668" s="276">
        <f>IF(ROW()=ROW(tblContractForDeed[#Headers])+1,$O$6,IF(INDEX(tblContractForDeed[End Bal],ROW()-ROW(tblContractForDeed[#Headers])-1)&lt;0,0,INDEX(tblContractForDeed[End Bal],ROW()-ROW(tblContractForDeed[#Headers])-1)))</f>
        <v>0</v>
      </c>
      <c r="P668" s="447"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594" t="str">
        <f t="shared" si="135"/>
        <v/>
      </c>
      <c r="B669" s="276">
        <f t="shared" si="136"/>
        <v>0</v>
      </c>
      <c r="C669" s="14">
        <f t="shared" si="133"/>
        <v>0</v>
      </c>
      <c r="D669" s="14">
        <f t="shared" si="137"/>
        <v>0</v>
      </c>
      <c r="E669" s="14">
        <f t="shared" si="134"/>
        <v>0</v>
      </c>
      <c r="K669" s="276">
        <f t="shared" si="138"/>
        <v>0</v>
      </c>
      <c r="L669" s="388">
        <f t="shared" si="132"/>
        <v>0</v>
      </c>
      <c r="M669" s="388">
        <f t="shared" si="139"/>
        <v>0</v>
      </c>
      <c r="N669" s="594" t="str">
        <f>INDEX(tblSubjectToLoan[Date],ROW()-ROW(tblContractForDeed[#Headers]))</f>
        <v/>
      </c>
      <c r="O669" s="276">
        <f>IF(ROW()=ROW(tblContractForDeed[#Headers])+1,$O$6,IF(INDEX(tblContractForDeed[End Bal],ROW()-ROW(tblContractForDeed[#Headers])-1)&lt;0,0,INDEX(tblContractForDeed[End Bal],ROW()-ROW(tblContractForDeed[#Headers])-1)))</f>
        <v>0</v>
      </c>
      <c r="P669" s="447"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594" t="str">
        <f t="shared" si="135"/>
        <v/>
      </c>
      <c r="B670" s="276">
        <f t="shared" si="136"/>
        <v>0</v>
      </c>
      <c r="C670" s="14">
        <f t="shared" si="133"/>
        <v>0</v>
      </c>
      <c r="D670" s="14">
        <f t="shared" si="137"/>
        <v>0</v>
      </c>
      <c r="E670" s="14">
        <f t="shared" si="134"/>
        <v>0</v>
      </c>
      <c r="K670" s="276">
        <f t="shared" si="138"/>
        <v>0</v>
      </c>
      <c r="L670" s="388">
        <f t="shared" si="132"/>
        <v>0</v>
      </c>
      <c r="M670" s="388">
        <f t="shared" si="139"/>
        <v>0</v>
      </c>
      <c r="N670" s="594" t="str">
        <f>INDEX(tblSubjectToLoan[Date],ROW()-ROW(tblContractForDeed[#Headers]))</f>
        <v/>
      </c>
      <c r="O670" s="276">
        <f>IF(ROW()=ROW(tblContractForDeed[#Headers])+1,$O$6,IF(INDEX(tblContractForDeed[End Bal],ROW()-ROW(tblContractForDeed[#Headers])-1)&lt;0,0,INDEX(tblContractForDeed[End Bal],ROW()-ROW(tblContractForDeed[#Headers])-1)))</f>
        <v>0</v>
      </c>
      <c r="P670" s="447"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594" t="str">
        <f t="shared" si="135"/>
        <v/>
      </c>
      <c r="B671" s="276">
        <f t="shared" si="136"/>
        <v>0</v>
      </c>
      <c r="C671" s="14">
        <f t="shared" si="133"/>
        <v>0</v>
      </c>
      <c r="D671" s="14">
        <f t="shared" si="137"/>
        <v>0</v>
      </c>
      <c r="E671" s="14">
        <f t="shared" si="134"/>
        <v>0</v>
      </c>
      <c r="K671" s="276">
        <f t="shared" si="138"/>
        <v>0</v>
      </c>
      <c r="L671" s="388">
        <f t="shared" si="132"/>
        <v>0</v>
      </c>
      <c r="M671" s="388">
        <f t="shared" si="139"/>
        <v>0</v>
      </c>
      <c r="N671" s="594" t="str">
        <f>INDEX(tblSubjectToLoan[Date],ROW()-ROW(tblContractForDeed[#Headers]))</f>
        <v/>
      </c>
      <c r="O671" s="276">
        <f>IF(ROW()=ROW(tblContractForDeed[#Headers])+1,$O$6,IF(INDEX(tblContractForDeed[End Bal],ROW()-ROW(tblContractForDeed[#Headers])-1)&lt;0,0,INDEX(tblContractForDeed[End Bal],ROW()-ROW(tblContractForDeed[#Headers])-1)))</f>
        <v>0</v>
      </c>
      <c r="P671" s="447"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594" t="str">
        <f t="shared" si="135"/>
        <v/>
      </c>
      <c r="B672" s="276">
        <f t="shared" si="136"/>
        <v>0</v>
      </c>
      <c r="C672" s="14">
        <f t="shared" si="133"/>
        <v>0</v>
      </c>
      <c r="D672" s="14">
        <f t="shared" si="137"/>
        <v>0</v>
      </c>
      <c r="E672" s="14">
        <f t="shared" si="134"/>
        <v>0</v>
      </c>
      <c r="K672" s="276">
        <f t="shared" si="138"/>
        <v>0</v>
      </c>
      <c r="L672" s="388">
        <f t="shared" si="132"/>
        <v>0</v>
      </c>
      <c r="M672" s="388">
        <f t="shared" si="139"/>
        <v>0</v>
      </c>
      <c r="N672" s="594" t="str">
        <f>INDEX(tblSubjectToLoan[Date],ROW()-ROW(tblContractForDeed[#Headers]))</f>
        <v/>
      </c>
      <c r="O672" s="276">
        <f>IF(ROW()=ROW(tblContractForDeed[#Headers])+1,$O$6,IF(INDEX(tblContractForDeed[End Bal],ROW()-ROW(tblContractForDeed[#Headers])-1)&lt;0,0,INDEX(tblContractForDeed[End Bal],ROW()-ROW(tblContractForDeed[#Headers])-1)))</f>
        <v>0</v>
      </c>
      <c r="P672" s="447"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594" t="str">
        <f t="shared" si="135"/>
        <v/>
      </c>
      <c r="B673" s="276">
        <f t="shared" si="136"/>
        <v>0</v>
      </c>
      <c r="C673" s="14">
        <f t="shared" si="133"/>
        <v>0</v>
      </c>
      <c r="D673" s="14">
        <f t="shared" si="137"/>
        <v>0</v>
      </c>
      <c r="E673" s="14">
        <f t="shared" si="134"/>
        <v>0</v>
      </c>
      <c r="K673" s="276">
        <f t="shared" si="138"/>
        <v>0</v>
      </c>
      <c r="L673" s="388">
        <f t="shared" si="132"/>
        <v>0</v>
      </c>
      <c r="M673" s="388">
        <f t="shared" si="139"/>
        <v>0</v>
      </c>
      <c r="N673" s="594" t="str">
        <f>INDEX(tblSubjectToLoan[Date],ROW()-ROW(tblContractForDeed[#Headers]))</f>
        <v/>
      </c>
      <c r="O673" s="276">
        <f>IF(ROW()=ROW(tblContractForDeed[#Headers])+1,$O$6,IF(INDEX(tblContractForDeed[End Bal],ROW()-ROW(tblContractForDeed[#Headers])-1)&lt;0,0,INDEX(tblContractForDeed[End Bal],ROW()-ROW(tblContractForDeed[#Headers])-1)))</f>
        <v>0</v>
      </c>
      <c r="P673" s="447"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594" t="str">
        <f t="shared" si="135"/>
        <v/>
      </c>
      <c r="B674" s="276">
        <f t="shared" si="136"/>
        <v>0</v>
      </c>
      <c r="C674" s="14">
        <f t="shared" si="133"/>
        <v>0</v>
      </c>
      <c r="D674" s="14">
        <f t="shared" si="137"/>
        <v>0</v>
      </c>
      <c r="E674" s="14">
        <f t="shared" si="134"/>
        <v>0</v>
      </c>
      <c r="K674" s="276">
        <f t="shared" si="138"/>
        <v>0</v>
      </c>
      <c r="L674" s="388">
        <f t="shared" si="132"/>
        <v>0</v>
      </c>
      <c r="M674" s="388">
        <f t="shared" si="139"/>
        <v>0</v>
      </c>
      <c r="N674" s="594" t="str">
        <f>INDEX(tblSubjectToLoan[Date],ROW()-ROW(tblContractForDeed[#Headers]))</f>
        <v/>
      </c>
      <c r="O674" s="276">
        <f>IF(ROW()=ROW(tblContractForDeed[#Headers])+1,$O$6,IF(INDEX(tblContractForDeed[End Bal],ROW()-ROW(tblContractForDeed[#Headers])-1)&lt;0,0,INDEX(tblContractForDeed[End Bal],ROW()-ROW(tblContractForDeed[#Headers])-1)))</f>
        <v>0</v>
      </c>
      <c r="P674" s="447"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594" t="str">
        <f t="shared" si="135"/>
        <v/>
      </c>
      <c r="B675" s="276">
        <f t="shared" si="136"/>
        <v>0</v>
      </c>
      <c r="C675" s="14">
        <f t="shared" si="133"/>
        <v>0</v>
      </c>
      <c r="D675" s="14">
        <f t="shared" si="137"/>
        <v>0</v>
      </c>
      <c r="E675" s="14">
        <f t="shared" si="134"/>
        <v>0</v>
      </c>
      <c r="K675" s="276">
        <f t="shared" si="138"/>
        <v>0</v>
      </c>
      <c r="L675" s="388">
        <f t="shared" si="132"/>
        <v>0</v>
      </c>
      <c r="M675" s="388">
        <f t="shared" si="139"/>
        <v>0</v>
      </c>
      <c r="N675" s="594" t="str">
        <f>INDEX(tblSubjectToLoan[Date],ROW()-ROW(tblContractForDeed[#Headers]))</f>
        <v/>
      </c>
      <c r="O675" s="276">
        <f>IF(ROW()=ROW(tblContractForDeed[#Headers])+1,$O$6,IF(INDEX(tblContractForDeed[End Bal],ROW()-ROW(tblContractForDeed[#Headers])-1)&lt;0,0,INDEX(tblContractForDeed[End Bal],ROW()-ROW(tblContractForDeed[#Headers])-1)))</f>
        <v>0</v>
      </c>
      <c r="P675" s="447"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594" t="str">
        <f t="shared" si="135"/>
        <v/>
      </c>
      <c r="B676" s="276">
        <f t="shared" si="136"/>
        <v>0</v>
      </c>
      <c r="C676" s="14">
        <f t="shared" si="133"/>
        <v>0</v>
      </c>
      <c r="D676" s="14">
        <f t="shared" si="137"/>
        <v>0</v>
      </c>
      <c r="E676" s="14">
        <f t="shared" si="134"/>
        <v>0</v>
      </c>
      <c r="K676" s="276">
        <f t="shared" si="138"/>
        <v>0</v>
      </c>
      <c r="L676" s="388">
        <f t="shared" si="132"/>
        <v>0</v>
      </c>
      <c r="M676" s="388">
        <f t="shared" si="139"/>
        <v>0</v>
      </c>
      <c r="N676" s="594" t="str">
        <f>INDEX(tblSubjectToLoan[Date],ROW()-ROW(tblContractForDeed[#Headers]))</f>
        <v/>
      </c>
      <c r="O676" s="276">
        <f>IF(ROW()=ROW(tblContractForDeed[#Headers])+1,$O$6,IF(INDEX(tblContractForDeed[End Bal],ROW()-ROW(tblContractForDeed[#Headers])-1)&lt;0,0,INDEX(tblContractForDeed[End Bal],ROW()-ROW(tblContractForDeed[#Headers])-1)))</f>
        <v>0</v>
      </c>
      <c r="P676" s="447"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594" t="str">
        <f t="shared" si="135"/>
        <v/>
      </c>
      <c r="B677" s="276">
        <f t="shared" si="136"/>
        <v>0</v>
      </c>
      <c r="C677" s="14">
        <f t="shared" si="133"/>
        <v>0</v>
      </c>
      <c r="D677" s="14">
        <f t="shared" si="137"/>
        <v>0</v>
      </c>
      <c r="E677" s="14">
        <f t="shared" si="134"/>
        <v>0</v>
      </c>
      <c r="K677" s="276">
        <f t="shared" si="138"/>
        <v>0</v>
      </c>
      <c r="L677" s="388">
        <f t="shared" si="132"/>
        <v>0</v>
      </c>
      <c r="M677" s="388">
        <f t="shared" si="139"/>
        <v>0</v>
      </c>
      <c r="N677" s="594" t="str">
        <f>INDEX(tblSubjectToLoan[Date],ROW()-ROW(tblContractForDeed[#Headers]))</f>
        <v/>
      </c>
      <c r="O677" s="276">
        <f>IF(ROW()=ROW(tblContractForDeed[#Headers])+1,$O$6,IF(INDEX(tblContractForDeed[End Bal],ROW()-ROW(tblContractForDeed[#Headers])-1)&lt;0,0,INDEX(tblContractForDeed[End Bal],ROW()-ROW(tblContractForDeed[#Headers])-1)))</f>
        <v>0</v>
      </c>
      <c r="P677" s="447"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594" t="str">
        <f t="shared" si="135"/>
        <v/>
      </c>
      <c r="B678" s="276">
        <f t="shared" si="136"/>
        <v>0</v>
      </c>
      <c r="C678" s="14">
        <f t="shared" si="133"/>
        <v>0</v>
      </c>
      <c r="D678" s="14">
        <f t="shared" si="137"/>
        <v>0</v>
      </c>
      <c r="E678" s="14">
        <f t="shared" si="134"/>
        <v>0</v>
      </c>
      <c r="K678" s="276">
        <f t="shared" si="138"/>
        <v>0</v>
      </c>
      <c r="L678" s="388">
        <f t="shared" si="132"/>
        <v>0</v>
      </c>
      <c r="M678" s="388">
        <f t="shared" si="139"/>
        <v>0</v>
      </c>
      <c r="N678" s="594" t="str">
        <f>INDEX(tblSubjectToLoan[Date],ROW()-ROW(tblContractForDeed[#Headers]))</f>
        <v/>
      </c>
      <c r="O678" s="276">
        <f>IF(ROW()=ROW(tblContractForDeed[#Headers])+1,$O$6,IF(INDEX(tblContractForDeed[End Bal],ROW()-ROW(tblContractForDeed[#Headers])-1)&lt;0,0,INDEX(tblContractForDeed[End Bal],ROW()-ROW(tblContractForDeed[#Headers])-1)))</f>
        <v>0</v>
      </c>
      <c r="P678" s="447"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595" t="str">
        <f t="shared" si="135"/>
        <v/>
      </c>
      <c r="B679" s="328">
        <f t="shared" si="136"/>
        <v>0</v>
      </c>
      <c r="C679" s="21">
        <f t="shared" si="133"/>
        <v>0</v>
      </c>
      <c r="D679" s="21">
        <f t="shared" si="137"/>
        <v>0</v>
      </c>
      <c r="E679" s="21">
        <f t="shared" si="134"/>
        <v>0</v>
      </c>
      <c r="F679" s="21"/>
      <c r="G679" s="21"/>
      <c r="H679" s="21"/>
      <c r="I679" s="328"/>
      <c r="J679" s="328"/>
      <c r="K679" s="328">
        <f t="shared" si="138"/>
        <v>0</v>
      </c>
      <c r="L679" s="389">
        <f t="shared" si="132"/>
        <v>0</v>
      </c>
      <c r="M679" s="389">
        <f t="shared" si="139"/>
        <v>0</v>
      </c>
      <c r="N679" s="595" t="str">
        <f>INDEX(tblSubjectToLoan[Date],ROW()-ROW(tblContractForDeed[#Headers]))</f>
        <v/>
      </c>
      <c r="O679" s="328">
        <f>IF(ROW()=ROW(tblContractForDeed[#Headers])+1,$O$6,IF(INDEX(tblContractForDeed[End Bal],ROW()-ROW(tblContractForDeed[#Headers])-1)&lt;0,0,INDEX(tblContractForDeed[End Bal],ROW()-ROW(tblContractForDeed[#Headers])-1)))</f>
        <v>0</v>
      </c>
      <c r="P679" s="447"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8">
        <f>SUM(INDEX(tblContractForDeed[Princ],1):INDEX(tblContractForDeed[Princ],ROW()-ROW(tblContractForDeed[#Headers])))</f>
        <v>75258.000000000029</v>
      </c>
      <c r="X679" s="328">
        <f>IF(tblContractForDeed[[#This Row],[Beg]]&lt;=0,0,tblContractForDeed[[#This Row],[Beg]]-tblContractForDeed[[#This Row],[Princ]])</f>
        <v>0</v>
      </c>
      <c r="Y67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8">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8">
        <f>IF(INDEX(tblContractForDeed[End Bal],ROW()-ROW(tblBuyerOutputs[#Headers]))&lt;=0,0,($O$6+IF(ROW()=ROW(tblBuyerOutputs[#Headers])+1,0,INDEX(tblBuyerOutputs[Cumul Appr],ROW()-ROW(tblBuyerOutputs[#Headers])-1)))*$O$2/12)</f>
        <v>0</v>
      </c>
      <c r="AE679" s="328">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594" t="str">
        <f t="shared" si="135"/>
        <v/>
      </c>
      <c r="B680" s="276">
        <f t="shared" si="136"/>
        <v>0</v>
      </c>
      <c r="C680" s="14">
        <f t="shared" si="133"/>
        <v>0</v>
      </c>
      <c r="D680" s="14">
        <f t="shared" si="137"/>
        <v>0</v>
      </c>
      <c r="E680" s="14">
        <f t="shared" si="134"/>
        <v>0</v>
      </c>
      <c r="K680" s="276">
        <f t="shared" si="138"/>
        <v>0</v>
      </c>
      <c r="L680" s="388">
        <f t="shared" si="132"/>
        <v>0</v>
      </c>
      <c r="M680" s="388">
        <f t="shared" si="139"/>
        <v>0</v>
      </c>
      <c r="N680" s="594" t="str">
        <f>INDEX(tblSubjectToLoan[Date],ROW()-ROW(tblContractForDeed[#Headers]))</f>
        <v/>
      </c>
      <c r="O680" s="276">
        <f>IF(ROW()=ROW(tblContractForDeed[#Headers])+1,$O$6,IF(INDEX(tblContractForDeed[End Bal],ROW()-ROW(tblContractForDeed[#Headers])-1)&lt;0,0,INDEX(tblContractForDeed[End Bal],ROW()-ROW(tblContractForDeed[#Headers])-1)))</f>
        <v>0</v>
      </c>
      <c r="P680" s="447"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594" t="str">
        <f t="shared" si="135"/>
        <v/>
      </c>
      <c r="B681" s="276">
        <f t="shared" si="136"/>
        <v>0</v>
      </c>
      <c r="C681" s="14">
        <f t="shared" si="133"/>
        <v>0</v>
      </c>
      <c r="D681" s="14">
        <f t="shared" si="137"/>
        <v>0</v>
      </c>
      <c r="E681" s="14">
        <f t="shared" si="134"/>
        <v>0</v>
      </c>
      <c r="K681" s="276">
        <f t="shared" si="138"/>
        <v>0</v>
      </c>
      <c r="L681" s="388">
        <f t="shared" si="132"/>
        <v>0</v>
      </c>
      <c r="M681" s="388">
        <f t="shared" si="139"/>
        <v>0</v>
      </c>
      <c r="N681" s="594" t="str">
        <f>INDEX(tblSubjectToLoan[Date],ROW()-ROW(tblContractForDeed[#Headers]))</f>
        <v/>
      </c>
      <c r="O681" s="276">
        <f>IF(ROW()=ROW(tblContractForDeed[#Headers])+1,$O$6,IF(INDEX(tblContractForDeed[End Bal],ROW()-ROW(tblContractForDeed[#Headers])-1)&lt;0,0,INDEX(tblContractForDeed[End Bal],ROW()-ROW(tblContractForDeed[#Headers])-1)))</f>
        <v>0</v>
      </c>
      <c r="P681" s="447"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594" t="str">
        <f t="shared" si="135"/>
        <v/>
      </c>
      <c r="B682" s="276">
        <f t="shared" si="136"/>
        <v>0</v>
      </c>
      <c r="C682" s="14">
        <f t="shared" si="133"/>
        <v>0</v>
      </c>
      <c r="D682" s="14">
        <f t="shared" si="137"/>
        <v>0</v>
      </c>
      <c r="E682" s="14">
        <f t="shared" si="134"/>
        <v>0</v>
      </c>
      <c r="K682" s="276">
        <f t="shared" si="138"/>
        <v>0</v>
      </c>
      <c r="L682" s="388">
        <f t="shared" si="132"/>
        <v>0</v>
      </c>
      <c r="M682" s="388">
        <f t="shared" si="139"/>
        <v>0</v>
      </c>
      <c r="N682" s="594" t="str">
        <f>INDEX(tblSubjectToLoan[Date],ROW()-ROW(tblContractForDeed[#Headers]))</f>
        <v/>
      </c>
      <c r="O682" s="276">
        <f>IF(ROW()=ROW(tblContractForDeed[#Headers])+1,$O$6,IF(INDEX(tblContractForDeed[End Bal],ROW()-ROW(tblContractForDeed[#Headers])-1)&lt;0,0,INDEX(tblContractForDeed[End Bal],ROW()-ROW(tblContractForDeed[#Headers])-1)))</f>
        <v>0</v>
      </c>
      <c r="P682" s="447"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594" t="str">
        <f t="shared" si="135"/>
        <v/>
      </c>
      <c r="B683" s="276">
        <f t="shared" si="136"/>
        <v>0</v>
      </c>
      <c r="C683" s="14">
        <f t="shared" si="133"/>
        <v>0</v>
      </c>
      <c r="D683" s="14">
        <f t="shared" si="137"/>
        <v>0</v>
      </c>
      <c r="E683" s="14">
        <f t="shared" si="134"/>
        <v>0</v>
      </c>
      <c r="K683" s="276">
        <f t="shared" si="138"/>
        <v>0</v>
      </c>
      <c r="L683" s="388">
        <f t="shared" si="132"/>
        <v>0</v>
      </c>
      <c r="M683" s="388">
        <f t="shared" si="139"/>
        <v>0</v>
      </c>
      <c r="N683" s="594" t="str">
        <f>INDEX(tblSubjectToLoan[Date],ROW()-ROW(tblContractForDeed[#Headers]))</f>
        <v/>
      </c>
      <c r="O683" s="276">
        <f>IF(ROW()=ROW(tblContractForDeed[#Headers])+1,$O$6,IF(INDEX(tblContractForDeed[End Bal],ROW()-ROW(tblContractForDeed[#Headers])-1)&lt;0,0,INDEX(tblContractForDeed[End Bal],ROW()-ROW(tblContractForDeed[#Headers])-1)))</f>
        <v>0</v>
      </c>
      <c r="P683" s="447"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594" t="str">
        <f t="shared" si="135"/>
        <v/>
      </c>
      <c r="B684" s="276">
        <f t="shared" si="136"/>
        <v>0</v>
      </c>
      <c r="C684" s="14">
        <f t="shared" si="133"/>
        <v>0</v>
      </c>
      <c r="D684" s="14">
        <f t="shared" si="137"/>
        <v>0</v>
      </c>
      <c r="E684" s="14">
        <f t="shared" si="134"/>
        <v>0</v>
      </c>
      <c r="K684" s="276">
        <f t="shared" si="138"/>
        <v>0</v>
      </c>
      <c r="L684" s="388">
        <f t="shared" si="132"/>
        <v>0</v>
      </c>
      <c r="M684" s="388">
        <f t="shared" si="139"/>
        <v>0</v>
      </c>
      <c r="N684" s="594" t="str">
        <f>INDEX(tblSubjectToLoan[Date],ROW()-ROW(tblContractForDeed[#Headers]))</f>
        <v/>
      </c>
      <c r="O684" s="276">
        <f>IF(ROW()=ROW(tblContractForDeed[#Headers])+1,$O$6,IF(INDEX(tblContractForDeed[End Bal],ROW()-ROW(tblContractForDeed[#Headers])-1)&lt;0,0,INDEX(tblContractForDeed[End Bal],ROW()-ROW(tblContractForDeed[#Headers])-1)))</f>
        <v>0</v>
      </c>
      <c r="P684" s="447"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594" t="str">
        <f t="shared" si="135"/>
        <v/>
      </c>
      <c r="B685" s="276">
        <f t="shared" si="136"/>
        <v>0</v>
      </c>
      <c r="C685" s="14">
        <f t="shared" si="133"/>
        <v>0</v>
      </c>
      <c r="D685" s="14">
        <f t="shared" si="137"/>
        <v>0</v>
      </c>
      <c r="E685" s="14">
        <f t="shared" si="134"/>
        <v>0</v>
      </c>
      <c r="K685" s="276">
        <f t="shared" si="138"/>
        <v>0</v>
      </c>
      <c r="L685" s="388">
        <f t="shared" si="132"/>
        <v>0</v>
      </c>
      <c r="M685" s="388">
        <f t="shared" si="139"/>
        <v>0</v>
      </c>
      <c r="N685" s="594" t="str">
        <f>INDEX(tblSubjectToLoan[Date],ROW()-ROW(tblContractForDeed[#Headers]))</f>
        <v/>
      </c>
      <c r="O685" s="276">
        <f>IF(ROW()=ROW(tblContractForDeed[#Headers])+1,$O$6,IF(INDEX(tblContractForDeed[End Bal],ROW()-ROW(tblContractForDeed[#Headers])-1)&lt;0,0,INDEX(tblContractForDeed[End Bal],ROW()-ROW(tblContractForDeed[#Headers])-1)))</f>
        <v>0</v>
      </c>
      <c r="P685" s="447"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594" t="str">
        <f t="shared" si="135"/>
        <v/>
      </c>
      <c r="B686" s="276">
        <f t="shared" si="136"/>
        <v>0</v>
      </c>
      <c r="C686" s="14">
        <f t="shared" si="133"/>
        <v>0</v>
      </c>
      <c r="D686" s="14">
        <f t="shared" si="137"/>
        <v>0</v>
      </c>
      <c r="E686" s="14">
        <f t="shared" si="134"/>
        <v>0</v>
      </c>
      <c r="K686" s="276">
        <f t="shared" si="138"/>
        <v>0</v>
      </c>
      <c r="L686" s="388">
        <f t="shared" si="132"/>
        <v>0</v>
      </c>
      <c r="M686" s="388">
        <f t="shared" si="139"/>
        <v>0</v>
      </c>
      <c r="N686" s="594" t="str">
        <f>INDEX(tblSubjectToLoan[Date],ROW()-ROW(tblContractForDeed[#Headers]))</f>
        <v/>
      </c>
      <c r="O686" s="276">
        <f>IF(ROW()=ROW(tblContractForDeed[#Headers])+1,$O$6,IF(INDEX(tblContractForDeed[End Bal],ROW()-ROW(tblContractForDeed[#Headers])-1)&lt;0,0,INDEX(tblContractForDeed[End Bal],ROW()-ROW(tblContractForDeed[#Headers])-1)))</f>
        <v>0</v>
      </c>
      <c r="P686" s="447"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594" t="str">
        <f t="shared" si="135"/>
        <v/>
      </c>
      <c r="B687" s="276">
        <f t="shared" si="136"/>
        <v>0</v>
      </c>
      <c r="C687" s="14">
        <f t="shared" si="133"/>
        <v>0</v>
      </c>
      <c r="D687" s="14">
        <f t="shared" si="137"/>
        <v>0</v>
      </c>
      <c r="E687" s="14">
        <f t="shared" si="134"/>
        <v>0</v>
      </c>
      <c r="K687" s="276">
        <f t="shared" si="138"/>
        <v>0</v>
      </c>
      <c r="L687" s="388">
        <f t="shared" si="132"/>
        <v>0</v>
      </c>
      <c r="M687" s="388">
        <f t="shared" si="139"/>
        <v>0</v>
      </c>
      <c r="N687" s="594" t="str">
        <f>INDEX(tblSubjectToLoan[Date],ROW()-ROW(tblContractForDeed[#Headers]))</f>
        <v/>
      </c>
      <c r="O687" s="276">
        <f>IF(ROW()=ROW(tblContractForDeed[#Headers])+1,$O$6,IF(INDEX(tblContractForDeed[End Bal],ROW()-ROW(tblContractForDeed[#Headers])-1)&lt;0,0,INDEX(tblContractForDeed[End Bal],ROW()-ROW(tblContractForDeed[#Headers])-1)))</f>
        <v>0</v>
      </c>
      <c r="P687" s="447"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594" t="str">
        <f t="shared" si="135"/>
        <v/>
      </c>
      <c r="B688" s="276">
        <f t="shared" si="136"/>
        <v>0</v>
      </c>
      <c r="C688" s="14">
        <f t="shared" si="133"/>
        <v>0</v>
      </c>
      <c r="D688" s="14">
        <f t="shared" si="137"/>
        <v>0</v>
      </c>
      <c r="E688" s="14">
        <f t="shared" si="134"/>
        <v>0</v>
      </c>
      <c r="K688" s="276">
        <f t="shared" si="138"/>
        <v>0</v>
      </c>
      <c r="L688" s="388">
        <f t="shared" si="132"/>
        <v>0</v>
      </c>
      <c r="M688" s="388">
        <f t="shared" si="139"/>
        <v>0</v>
      </c>
      <c r="N688" s="594" t="str">
        <f>INDEX(tblSubjectToLoan[Date],ROW()-ROW(tblContractForDeed[#Headers]))</f>
        <v/>
      </c>
      <c r="O688" s="276">
        <f>IF(ROW()=ROW(tblContractForDeed[#Headers])+1,$O$6,IF(INDEX(tblContractForDeed[End Bal],ROW()-ROW(tblContractForDeed[#Headers])-1)&lt;0,0,INDEX(tblContractForDeed[End Bal],ROW()-ROW(tblContractForDeed[#Headers])-1)))</f>
        <v>0</v>
      </c>
      <c r="P688" s="447"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594" t="str">
        <f t="shared" si="135"/>
        <v/>
      </c>
      <c r="B689" s="276">
        <f t="shared" si="136"/>
        <v>0</v>
      </c>
      <c r="C689" s="14">
        <f t="shared" si="133"/>
        <v>0</v>
      </c>
      <c r="D689" s="14">
        <f t="shared" si="137"/>
        <v>0</v>
      </c>
      <c r="E689" s="14">
        <f t="shared" si="134"/>
        <v>0</v>
      </c>
      <c r="K689" s="276">
        <f t="shared" si="138"/>
        <v>0</v>
      </c>
      <c r="L689" s="388">
        <f t="shared" si="132"/>
        <v>0</v>
      </c>
      <c r="M689" s="388">
        <f t="shared" si="139"/>
        <v>0</v>
      </c>
      <c r="N689" s="594" t="str">
        <f>INDEX(tblSubjectToLoan[Date],ROW()-ROW(tblContractForDeed[#Headers]))</f>
        <v/>
      </c>
      <c r="O689" s="276">
        <f>IF(ROW()=ROW(tblContractForDeed[#Headers])+1,$O$6,IF(INDEX(tblContractForDeed[End Bal],ROW()-ROW(tblContractForDeed[#Headers])-1)&lt;0,0,INDEX(tblContractForDeed[End Bal],ROW()-ROW(tblContractForDeed[#Headers])-1)))</f>
        <v>0</v>
      </c>
      <c r="P689" s="447"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594" t="str">
        <f t="shared" si="135"/>
        <v/>
      </c>
      <c r="B690" s="276">
        <f t="shared" si="136"/>
        <v>0</v>
      </c>
      <c r="C690" s="14">
        <f t="shared" si="133"/>
        <v>0</v>
      </c>
      <c r="D690" s="14">
        <f t="shared" si="137"/>
        <v>0</v>
      </c>
      <c r="E690" s="14">
        <f t="shared" si="134"/>
        <v>0</v>
      </c>
      <c r="K690" s="276">
        <f t="shared" si="138"/>
        <v>0</v>
      </c>
      <c r="L690" s="388">
        <f t="shared" si="132"/>
        <v>0</v>
      </c>
      <c r="M690" s="388">
        <f t="shared" si="139"/>
        <v>0</v>
      </c>
      <c r="N690" s="594" t="str">
        <f>INDEX(tblSubjectToLoan[Date],ROW()-ROW(tblContractForDeed[#Headers]))</f>
        <v/>
      </c>
      <c r="O690" s="276">
        <f>IF(ROW()=ROW(tblContractForDeed[#Headers])+1,$O$6,IF(INDEX(tblContractForDeed[End Bal],ROW()-ROW(tblContractForDeed[#Headers])-1)&lt;0,0,INDEX(tblContractForDeed[End Bal],ROW()-ROW(tblContractForDeed[#Headers])-1)))</f>
        <v>0</v>
      </c>
      <c r="P690" s="447"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595" t="str">
        <f t="shared" si="135"/>
        <v/>
      </c>
      <c r="B691" s="328">
        <f t="shared" si="136"/>
        <v>0</v>
      </c>
      <c r="C691" s="21">
        <f t="shared" si="133"/>
        <v>0</v>
      </c>
      <c r="D691" s="21">
        <f t="shared" si="137"/>
        <v>0</v>
      </c>
      <c r="E691" s="21">
        <f t="shared" si="134"/>
        <v>0</v>
      </c>
      <c r="F691" s="21"/>
      <c r="G691" s="21"/>
      <c r="H691" s="21"/>
      <c r="I691" s="328"/>
      <c r="J691" s="328"/>
      <c r="K691" s="328">
        <f t="shared" si="138"/>
        <v>0</v>
      </c>
      <c r="L691" s="389">
        <f t="shared" si="132"/>
        <v>0</v>
      </c>
      <c r="M691" s="389">
        <f t="shared" si="139"/>
        <v>0</v>
      </c>
      <c r="N691" s="595" t="str">
        <f>INDEX(tblSubjectToLoan[Date],ROW()-ROW(tblContractForDeed[#Headers]))</f>
        <v/>
      </c>
      <c r="O691" s="328">
        <f>IF(ROW()=ROW(tblContractForDeed[#Headers])+1,$O$6,IF(INDEX(tblContractForDeed[End Bal],ROW()-ROW(tblContractForDeed[#Headers])-1)&lt;0,0,INDEX(tblContractForDeed[End Bal],ROW()-ROW(tblContractForDeed[#Headers])-1)))</f>
        <v>0</v>
      </c>
      <c r="P691" s="447"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8">
        <f>SUM(INDEX(tblContractForDeed[Princ],1):INDEX(tblContractForDeed[Princ],ROW()-ROW(tblContractForDeed[#Headers])))</f>
        <v>75258.000000000029</v>
      </c>
      <c r="X691" s="328">
        <f>IF(tblContractForDeed[[#This Row],[Beg]]&lt;=0,0,tblContractForDeed[[#This Row],[Beg]]-tblContractForDeed[[#This Row],[Princ]])</f>
        <v>0</v>
      </c>
      <c r="Y69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8">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8">
        <f>IF(INDEX(tblContractForDeed[End Bal],ROW()-ROW(tblBuyerOutputs[#Headers]))&lt;=0,0,($O$6+IF(ROW()=ROW(tblBuyerOutputs[#Headers])+1,0,INDEX(tblBuyerOutputs[Cumul Appr],ROW()-ROW(tblBuyerOutputs[#Headers])-1)))*$O$2/12)</f>
        <v>0</v>
      </c>
      <c r="AE691" s="328">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594" t="str">
        <f t="shared" si="135"/>
        <v/>
      </c>
      <c r="B692" s="276">
        <f t="shared" si="136"/>
        <v>0</v>
      </c>
      <c r="C692" s="14">
        <f t="shared" si="133"/>
        <v>0</v>
      </c>
      <c r="D692" s="14">
        <f t="shared" si="137"/>
        <v>0</v>
      </c>
      <c r="E692" s="14">
        <f t="shared" si="134"/>
        <v>0</v>
      </c>
      <c r="K692" s="276">
        <f t="shared" si="138"/>
        <v>0</v>
      </c>
      <c r="L692" s="388">
        <f t="shared" ref="L692:L755" si="140">IF(MOD(M692,12)=0,M692/12,L691)</f>
        <v>0</v>
      </c>
      <c r="M692" s="388">
        <f t="shared" si="139"/>
        <v>0</v>
      </c>
      <c r="N692" s="594" t="str">
        <f>INDEX(tblSubjectToLoan[Date],ROW()-ROW(tblContractForDeed[#Headers]))</f>
        <v/>
      </c>
      <c r="O692" s="276">
        <f>IF(ROW()=ROW(tblContractForDeed[#Headers])+1,$O$6,IF(INDEX(tblContractForDeed[End Bal],ROW()-ROW(tblContractForDeed[#Headers])-1)&lt;0,0,INDEX(tblContractForDeed[End Bal],ROW()-ROW(tblContractForDeed[#Headers])-1)))</f>
        <v>0</v>
      </c>
      <c r="P692" s="447"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594" t="str">
        <f t="shared" si="135"/>
        <v/>
      </c>
      <c r="B693" s="276">
        <f t="shared" si="136"/>
        <v>0</v>
      </c>
      <c r="C693" s="14">
        <f t="shared" si="133"/>
        <v>0</v>
      </c>
      <c r="D693" s="14">
        <f t="shared" si="137"/>
        <v>0</v>
      </c>
      <c r="E693" s="14">
        <f t="shared" si="134"/>
        <v>0</v>
      </c>
      <c r="K693" s="276">
        <f t="shared" si="138"/>
        <v>0</v>
      </c>
      <c r="L693" s="388">
        <f t="shared" si="140"/>
        <v>0</v>
      </c>
      <c r="M693" s="388">
        <f t="shared" si="139"/>
        <v>0</v>
      </c>
      <c r="N693" s="594" t="str">
        <f>INDEX(tblSubjectToLoan[Date],ROW()-ROW(tblContractForDeed[#Headers]))</f>
        <v/>
      </c>
      <c r="O693" s="276">
        <f>IF(ROW()=ROW(tblContractForDeed[#Headers])+1,$O$6,IF(INDEX(tblContractForDeed[End Bal],ROW()-ROW(tblContractForDeed[#Headers])-1)&lt;0,0,INDEX(tblContractForDeed[End Bal],ROW()-ROW(tblContractForDeed[#Headers])-1)))</f>
        <v>0</v>
      </c>
      <c r="P693" s="447"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594" t="str">
        <f t="shared" si="135"/>
        <v/>
      </c>
      <c r="B694" s="276">
        <f t="shared" si="136"/>
        <v>0</v>
      </c>
      <c r="C694" s="14">
        <f t="shared" si="133"/>
        <v>0</v>
      </c>
      <c r="D694" s="14">
        <f t="shared" si="137"/>
        <v>0</v>
      </c>
      <c r="E694" s="14">
        <f t="shared" si="134"/>
        <v>0</v>
      </c>
      <c r="K694" s="276">
        <f t="shared" si="138"/>
        <v>0</v>
      </c>
      <c r="L694" s="388">
        <f t="shared" si="140"/>
        <v>0</v>
      </c>
      <c r="M694" s="388">
        <f t="shared" si="139"/>
        <v>0</v>
      </c>
      <c r="N694" s="594" t="str">
        <f>INDEX(tblSubjectToLoan[Date],ROW()-ROW(tblContractForDeed[#Headers]))</f>
        <v/>
      </c>
      <c r="O694" s="276">
        <f>IF(ROW()=ROW(tblContractForDeed[#Headers])+1,$O$6,IF(INDEX(tblContractForDeed[End Bal],ROW()-ROW(tblContractForDeed[#Headers])-1)&lt;0,0,INDEX(tblContractForDeed[End Bal],ROW()-ROW(tblContractForDeed[#Headers])-1)))</f>
        <v>0</v>
      </c>
      <c r="P694" s="447"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594" t="str">
        <f t="shared" si="135"/>
        <v/>
      </c>
      <c r="B695" s="276">
        <f t="shared" si="136"/>
        <v>0</v>
      </c>
      <c r="C695" s="14">
        <f t="shared" si="133"/>
        <v>0</v>
      </c>
      <c r="D695" s="14">
        <f t="shared" si="137"/>
        <v>0</v>
      </c>
      <c r="E695" s="14">
        <f t="shared" si="134"/>
        <v>0</v>
      </c>
      <c r="K695" s="276">
        <f t="shared" si="138"/>
        <v>0</v>
      </c>
      <c r="L695" s="388">
        <f t="shared" si="140"/>
        <v>0</v>
      </c>
      <c r="M695" s="388">
        <f t="shared" si="139"/>
        <v>0</v>
      </c>
      <c r="N695" s="594" t="str">
        <f>INDEX(tblSubjectToLoan[Date],ROW()-ROW(tblContractForDeed[#Headers]))</f>
        <v/>
      </c>
      <c r="O695" s="276">
        <f>IF(ROW()=ROW(tblContractForDeed[#Headers])+1,$O$6,IF(INDEX(tblContractForDeed[End Bal],ROW()-ROW(tblContractForDeed[#Headers])-1)&lt;0,0,INDEX(tblContractForDeed[End Bal],ROW()-ROW(tblContractForDeed[#Headers])-1)))</f>
        <v>0</v>
      </c>
      <c r="P695" s="447"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594" t="str">
        <f t="shared" si="135"/>
        <v/>
      </c>
      <c r="B696" s="276">
        <f t="shared" si="136"/>
        <v>0</v>
      </c>
      <c r="C696" s="14">
        <f t="shared" si="133"/>
        <v>0</v>
      </c>
      <c r="D696" s="14">
        <f t="shared" si="137"/>
        <v>0</v>
      </c>
      <c r="E696" s="14">
        <f t="shared" si="134"/>
        <v>0</v>
      </c>
      <c r="K696" s="276">
        <f t="shared" si="138"/>
        <v>0</v>
      </c>
      <c r="L696" s="388">
        <f t="shared" si="140"/>
        <v>0</v>
      </c>
      <c r="M696" s="388">
        <f t="shared" si="139"/>
        <v>0</v>
      </c>
      <c r="N696" s="594" t="str">
        <f>INDEX(tblSubjectToLoan[Date],ROW()-ROW(tblContractForDeed[#Headers]))</f>
        <v/>
      </c>
      <c r="O696" s="276">
        <f>IF(ROW()=ROW(tblContractForDeed[#Headers])+1,$O$6,IF(INDEX(tblContractForDeed[End Bal],ROW()-ROW(tblContractForDeed[#Headers])-1)&lt;0,0,INDEX(tblContractForDeed[End Bal],ROW()-ROW(tblContractForDeed[#Headers])-1)))</f>
        <v>0</v>
      </c>
      <c r="P696" s="447"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594" t="str">
        <f t="shared" si="135"/>
        <v/>
      </c>
      <c r="B697" s="276">
        <f t="shared" si="136"/>
        <v>0</v>
      </c>
      <c r="C697" s="14">
        <f t="shared" si="133"/>
        <v>0</v>
      </c>
      <c r="D697" s="14">
        <f t="shared" si="137"/>
        <v>0</v>
      </c>
      <c r="E697" s="14">
        <f t="shared" si="134"/>
        <v>0</v>
      </c>
      <c r="K697" s="276">
        <f t="shared" si="138"/>
        <v>0</v>
      </c>
      <c r="L697" s="388">
        <f t="shared" si="140"/>
        <v>0</v>
      </c>
      <c r="M697" s="388">
        <f t="shared" si="139"/>
        <v>0</v>
      </c>
      <c r="N697" s="594" t="str">
        <f>INDEX(tblSubjectToLoan[Date],ROW()-ROW(tblContractForDeed[#Headers]))</f>
        <v/>
      </c>
      <c r="O697" s="276">
        <f>IF(ROW()=ROW(tblContractForDeed[#Headers])+1,$O$6,IF(INDEX(tblContractForDeed[End Bal],ROW()-ROW(tblContractForDeed[#Headers])-1)&lt;0,0,INDEX(tblContractForDeed[End Bal],ROW()-ROW(tblContractForDeed[#Headers])-1)))</f>
        <v>0</v>
      </c>
      <c r="P697" s="447"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594" t="str">
        <f t="shared" si="135"/>
        <v/>
      </c>
      <c r="B698" s="276">
        <f t="shared" si="136"/>
        <v>0</v>
      </c>
      <c r="C698" s="14">
        <f t="shared" si="133"/>
        <v>0</v>
      </c>
      <c r="D698" s="14">
        <f t="shared" si="137"/>
        <v>0</v>
      </c>
      <c r="E698" s="14">
        <f t="shared" si="134"/>
        <v>0</v>
      </c>
      <c r="K698" s="276">
        <f t="shared" si="138"/>
        <v>0</v>
      </c>
      <c r="L698" s="388">
        <f t="shared" si="140"/>
        <v>0</v>
      </c>
      <c r="M698" s="388">
        <f t="shared" si="139"/>
        <v>0</v>
      </c>
      <c r="N698" s="594" t="str">
        <f>INDEX(tblSubjectToLoan[Date],ROW()-ROW(tblContractForDeed[#Headers]))</f>
        <v/>
      </c>
      <c r="O698" s="276">
        <f>IF(ROW()=ROW(tblContractForDeed[#Headers])+1,$O$6,IF(INDEX(tblContractForDeed[End Bal],ROW()-ROW(tblContractForDeed[#Headers])-1)&lt;0,0,INDEX(tblContractForDeed[End Bal],ROW()-ROW(tblContractForDeed[#Headers])-1)))</f>
        <v>0</v>
      </c>
      <c r="P698" s="447"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594" t="str">
        <f t="shared" si="135"/>
        <v/>
      </c>
      <c r="B699" s="276">
        <f t="shared" si="136"/>
        <v>0</v>
      </c>
      <c r="C699" s="14">
        <f t="shared" si="133"/>
        <v>0</v>
      </c>
      <c r="D699" s="14">
        <f t="shared" si="137"/>
        <v>0</v>
      </c>
      <c r="E699" s="14">
        <f t="shared" si="134"/>
        <v>0</v>
      </c>
      <c r="K699" s="276">
        <f t="shared" si="138"/>
        <v>0</v>
      </c>
      <c r="L699" s="388">
        <f t="shared" si="140"/>
        <v>0</v>
      </c>
      <c r="M699" s="388">
        <f t="shared" si="139"/>
        <v>0</v>
      </c>
      <c r="N699" s="594" t="str">
        <f>INDEX(tblSubjectToLoan[Date],ROW()-ROW(tblContractForDeed[#Headers]))</f>
        <v/>
      </c>
      <c r="O699" s="276">
        <f>IF(ROW()=ROW(tblContractForDeed[#Headers])+1,$O$6,IF(INDEX(tblContractForDeed[End Bal],ROW()-ROW(tblContractForDeed[#Headers])-1)&lt;0,0,INDEX(tblContractForDeed[End Bal],ROW()-ROW(tblContractForDeed[#Headers])-1)))</f>
        <v>0</v>
      </c>
      <c r="P699" s="447"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594" t="str">
        <f t="shared" si="135"/>
        <v/>
      </c>
      <c r="B700" s="276">
        <f t="shared" si="136"/>
        <v>0</v>
      </c>
      <c r="C700" s="14">
        <f t="shared" si="133"/>
        <v>0</v>
      </c>
      <c r="D700" s="14">
        <f t="shared" si="137"/>
        <v>0</v>
      </c>
      <c r="E700" s="14">
        <f t="shared" si="134"/>
        <v>0</v>
      </c>
      <c r="K700" s="276">
        <f t="shared" si="138"/>
        <v>0</v>
      </c>
      <c r="L700" s="388">
        <f t="shared" si="140"/>
        <v>0</v>
      </c>
      <c r="M700" s="388">
        <f t="shared" si="139"/>
        <v>0</v>
      </c>
      <c r="N700" s="594" t="str">
        <f>INDEX(tblSubjectToLoan[Date],ROW()-ROW(tblContractForDeed[#Headers]))</f>
        <v/>
      </c>
      <c r="O700" s="276">
        <f>IF(ROW()=ROW(tblContractForDeed[#Headers])+1,$O$6,IF(INDEX(tblContractForDeed[End Bal],ROW()-ROW(tblContractForDeed[#Headers])-1)&lt;0,0,INDEX(tblContractForDeed[End Bal],ROW()-ROW(tblContractForDeed[#Headers])-1)))</f>
        <v>0</v>
      </c>
      <c r="P700" s="447"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594" t="str">
        <f t="shared" si="135"/>
        <v/>
      </c>
      <c r="B701" s="276">
        <f t="shared" si="136"/>
        <v>0</v>
      </c>
      <c r="C701" s="14">
        <f t="shared" si="133"/>
        <v>0</v>
      </c>
      <c r="D701" s="14">
        <f t="shared" si="137"/>
        <v>0</v>
      </c>
      <c r="E701" s="14">
        <f t="shared" si="134"/>
        <v>0</v>
      </c>
      <c r="K701" s="276">
        <f t="shared" si="138"/>
        <v>0</v>
      </c>
      <c r="L701" s="388">
        <f t="shared" si="140"/>
        <v>0</v>
      </c>
      <c r="M701" s="388">
        <f t="shared" si="139"/>
        <v>0</v>
      </c>
      <c r="N701" s="594" t="str">
        <f>INDEX(tblSubjectToLoan[Date],ROW()-ROW(tblContractForDeed[#Headers]))</f>
        <v/>
      </c>
      <c r="O701" s="276">
        <f>IF(ROW()=ROW(tblContractForDeed[#Headers])+1,$O$6,IF(INDEX(tblContractForDeed[End Bal],ROW()-ROW(tblContractForDeed[#Headers])-1)&lt;0,0,INDEX(tblContractForDeed[End Bal],ROW()-ROW(tblContractForDeed[#Headers])-1)))</f>
        <v>0</v>
      </c>
      <c r="P701" s="447"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594" t="str">
        <f t="shared" si="135"/>
        <v/>
      </c>
      <c r="B702" s="276">
        <f t="shared" si="136"/>
        <v>0</v>
      </c>
      <c r="C702" s="14">
        <f t="shared" si="133"/>
        <v>0</v>
      </c>
      <c r="D702" s="14">
        <f t="shared" si="137"/>
        <v>0</v>
      </c>
      <c r="E702" s="14">
        <f t="shared" si="134"/>
        <v>0</v>
      </c>
      <c r="K702" s="276">
        <f t="shared" si="138"/>
        <v>0</v>
      </c>
      <c r="L702" s="388">
        <f t="shared" si="140"/>
        <v>0</v>
      </c>
      <c r="M702" s="388">
        <f t="shared" si="139"/>
        <v>0</v>
      </c>
      <c r="N702" s="594" t="str">
        <f>INDEX(tblSubjectToLoan[Date],ROW()-ROW(tblContractForDeed[#Headers]))</f>
        <v/>
      </c>
      <c r="O702" s="276">
        <f>IF(ROW()=ROW(tblContractForDeed[#Headers])+1,$O$6,IF(INDEX(tblContractForDeed[End Bal],ROW()-ROW(tblContractForDeed[#Headers])-1)&lt;0,0,INDEX(tblContractForDeed[End Bal],ROW()-ROW(tblContractForDeed[#Headers])-1)))</f>
        <v>0</v>
      </c>
      <c r="P702" s="447"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595" t="str">
        <f t="shared" si="135"/>
        <v/>
      </c>
      <c r="B703" s="328">
        <f t="shared" si="136"/>
        <v>0</v>
      </c>
      <c r="C703" s="21">
        <f t="shared" si="133"/>
        <v>0</v>
      </c>
      <c r="D703" s="21">
        <f t="shared" si="137"/>
        <v>0</v>
      </c>
      <c r="E703" s="21">
        <f t="shared" si="134"/>
        <v>0</v>
      </c>
      <c r="F703" s="21"/>
      <c r="G703" s="21"/>
      <c r="H703" s="21"/>
      <c r="I703" s="328"/>
      <c r="J703" s="328"/>
      <c r="K703" s="328">
        <f t="shared" si="138"/>
        <v>0</v>
      </c>
      <c r="L703" s="389">
        <f t="shared" si="140"/>
        <v>0</v>
      </c>
      <c r="M703" s="389">
        <f t="shared" si="139"/>
        <v>0</v>
      </c>
      <c r="N703" s="595" t="str">
        <f>INDEX(tblSubjectToLoan[Date],ROW()-ROW(tblContractForDeed[#Headers]))</f>
        <v/>
      </c>
      <c r="O703" s="328">
        <f>IF(ROW()=ROW(tblContractForDeed[#Headers])+1,$O$6,IF(INDEX(tblContractForDeed[End Bal],ROW()-ROW(tblContractForDeed[#Headers])-1)&lt;0,0,INDEX(tblContractForDeed[End Bal],ROW()-ROW(tblContractForDeed[#Headers])-1)))</f>
        <v>0</v>
      </c>
      <c r="P703" s="447"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8">
        <f>SUM(INDEX(tblContractForDeed[Princ],1):INDEX(tblContractForDeed[Princ],ROW()-ROW(tblContractForDeed[#Headers])))</f>
        <v>75258.000000000029</v>
      </c>
      <c r="X703" s="328">
        <f>IF(tblContractForDeed[[#This Row],[Beg]]&lt;=0,0,tblContractForDeed[[#This Row],[Beg]]-tblContractForDeed[[#This Row],[Princ]])</f>
        <v>0</v>
      </c>
      <c r="Y70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8">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8">
        <f>IF(INDEX(tblContractForDeed[End Bal],ROW()-ROW(tblBuyerOutputs[#Headers]))&lt;=0,0,($O$6+IF(ROW()=ROW(tblBuyerOutputs[#Headers])+1,0,INDEX(tblBuyerOutputs[Cumul Appr],ROW()-ROW(tblBuyerOutputs[#Headers])-1)))*$O$2/12)</f>
        <v>0</v>
      </c>
      <c r="AE703" s="328">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594" t="str">
        <f t="shared" si="135"/>
        <v/>
      </c>
      <c r="B704" s="276">
        <f t="shared" si="136"/>
        <v>0</v>
      </c>
      <c r="C704" s="14">
        <f t="shared" si="133"/>
        <v>0</v>
      </c>
      <c r="D704" s="14">
        <f t="shared" si="137"/>
        <v>0</v>
      </c>
      <c r="E704" s="14">
        <f t="shared" si="134"/>
        <v>0</v>
      </c>
      <c r="K704" s="276">
        <f t="shared" si="138"/>
        <v>0</v>
      </c>
      <c r="L704" s="388">
        <f t="shared" si="140"/>
        <v>0</v>
      </c>
      <c r="M704" s="388">
        <f t="shared" si="139"/>
        <v>0</v>
      </c>
      <c r="N704" s="594" t="str">
        <f>INDEX(tblSubjectToLoan[Date],ROW()-ROW(tblContractForDeed[#Headers]))</f>
        <v/>
      </c>
      <c r="O704" s="276">
        <f>IF(ROW()=ROW(tblContractForDeed[#Headers])+1,$O$6,IF(INDEX(tblContractForDeed[End Bal],ROW()-ROW(tblContractForDeed[#Headers])-1)&lt;0,0,INDEX(tblContractForDeed[End Bal],ROW()-ROW(tblContractForDeed[#Headers])-1)))</f>
        <v>0</v>
      </c>
      <c r="P704" s="447"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594" t="str">
        <f t="shared" si="135"/>
        <v/>
      </c>
      <c r="B705" s="276">
        <f t="shared" si="136"/>
        <v>0</v>
      </c>
      <c r="C705" s="14">
        <f t="shared" si="133"/>
        <v>0</v>
      </c>
      <c r="D705" s="14">
        <f t="shared" si="137"/>
        <v>0</v>
      </c>
      <c r="E705" s="14">
        <f t="shared" si="134"/>
        <v>0</v>
      </c>
      <c r="K705" s="276">
        <f t="shared" si="138"/>
        <v>0</v>
      </c>
      <c r="L705" s="388">
        <f t="shared" si="140"/>
        <v>0</v>
      </c>
      <c r="M705" s="388">
        <f t="shared" si="139"/>
        <v>0</v>
      </c>
      <c r="N705" s="594" t="str">
        <f>INDEX(tblSubjectToLoan[Date],ROW()-ROW(tblContractForDeed[#Headers]))</f>
        <v/>
      </c>
      <c r="O705" s="276">
        <f>IF(ROW()=ROW(tblContractForDeed[#Headers])+1,$O$6,IF(INDEX(tblContractForDeed[End Bal],ROW()-ROW(tblContractForDeed[#Headers])-1)&lt;0,0,INDEX(tblContractForDeed[End Bal],ROW()-ROW(tblContractForDeed[#Headers])-1)))</f>
        <v>0</v>
      </c>
      <c r="P705" s="447"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594" t="str">
        <f t="shared" si="135"/>
        <v/>
      </c>
      <c r="B706" s="276">
        <f t="shared" si="136"/>
        <v>0</v>
      </c>
      <c r="C706" s="14">
        <f t="shared" si="133"/>
        <v>0</v>
      </c>
      <c r="D706" s="14">
        <f t="shared" si="137"/>
        <v>0</v>
      </c>
      <c r="E706" s="14">
        <f t="shared" si="134"/>
        <v>0</v>
      </c>
      <c r="K706" s="276">
        <f t="shared" si="138"/>
        <v>0</v>
      </c>
      <c r="L706" s="388">
        <f t="shared" si="140"/>
        <v>0</v>
      </c>
      <c r="M706" s="388">
        <f t="shared" si="139"/>
        <v>0</v>
      </c>
      <c r="N706" s="594" t="str">
        <f>INDEX(tblSubjectToLoan[Date],ROW()-ROW(tblContractForDeed[#Headers]))</f>
        <v/>
      </c>
      <c r="O706" s="276">
        <f>IF(ROW()=ROW(tblContractForDeed[#Headers])+1,$O$6,IF(INDEX(tblContractForDeed[End Bal],ROW()-ROW(tblContractForDeed[#Headers])-1)&lt;0,0,INDEX(tblContractForDeed[End Bal],ROW()-ROW(tblContractForDeed[#Headers])-1)))</f>
        <v>0</v>
      </c>
      <c r="P706" s="447"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594" t="str">
        <f t="shared" si="135"/>
        <v/>
      </c>
      <c r="B707" s="276">
        <f t="shared" si="136"/>
        <v>0</v>
      </c>
      <c r="C707" s="14">
        <f t="shared" si="133"/>
        <v>0</v>
      </c>
      <c r="D707" s="14">
        <f t="shared" si="137"/>
        <v>0</v>
      </c>
      <c r="E707" s="14">
        <f t="shared" si="134"/>
        <v>0</v>
      </c>
      <c r="K707" s="276">
        <f t="shared" si="138"/>
        <v>0</v>
      </c>
      <c r="L707" s="388">
        <f t="shared" si="140"/>
        <v>0</v>
      </c>
      <c r="M707" s="388">
        <f t="shared" si="139"/>
        <v>0</v>
      </c>
      <c r="N707" s="594" t="str">
        <f>INDEX(tblSubjectToLoan[Date],ROW()-ROW(tblContractForDeed[#Headers]))</f>
        <v/>
      </c>
      <c r="O707" s="276">
        <f>IF(ROW()=ROW(tblContractForDeed[#Headers])+1,$O$6,IF(INDEX(tblContractForDeed[End Bal],ROW()-ROW(tblContractForDeed[#Headers])-1)&lt;0,0,INDEX(tblContractForDeed[End Bal],ROW()-ROW(tblContractForDeed[#Headers])-1)))</f>
        <v>0</v>
      </c>
      <c r="P707" s="447"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594" t="str">
        <f t="shared" si="135"/>
        <v/>
      </c>
      <c r="B708" s="276">
        <f t="shared" si="136"/>
        <v>0</v>
      </c>
      <c r="C708" s="14">
        <f t="shared" si="133"/>
        <v>0</v>
      </c>
      <c r="D708" s="14">
        <f t="shared" si="137"/>
        <v>0</v>
      </c>
      <c r="E708" s="14">
        <f t="shared" si="134"/>
        <v>0</v>
      </c>
      <c r="K708" s="276">
        <f t="shared" si="138"/>
        <v>0</v>
      </c>
      <c r="L708" s="388">
        <f t="shared" si="140"/>
        <v>0</v>
      </c>
      <c r="M708" s="388">
        <f t="shared" si="139"/>
        <v>0</v>
      </c>
      <c r="N708" s="594" t="str">
        <f>INDEX(tblSubjectToLoan[Date],ROW()-ROW(tblContractForDeed[#Headers]))</f>
        <v/>
      </c>
      <c r="O708" s="276">
        <f>IF(ROW()=ROW(tblContractForDeed[#Headers])+1,$O$6,IF(INDEX(tblContractForDeed[End Bal],ROW()-ROW(tblContractForDeed[#Headers])-1)&lt;0,0,INDEX(tblContractForDeed[End Bal],ROW()-ROW(tblContractForDeed[#Headers])-1)))</f>
        <v>0</v>
      </c>
      <c r="P708" s="447"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594" t="str">
        <f t="shared" si="135"/>
        <v/>
      </c>
      <c r="B709" s="276">
        <f t="shared" si="136"/>
        <v>0</v>
      </c>
      <c r="C709" s="14">
        <f t="shared" si="133"/>
        <v>0</v>
      </c>
      <c r="D709" s="14">
        <f t="shared" si="137"/>
        <v>0</v>
      </c>
      <c r="E709" s="14">
        <f t="shared" si="134"/>
        <v>0</v>
      </c>
      <c r="K709" s="276">
        <f t="shared" si="138"/>
        <v>0</v>
      </c>
      <c r="L709" s="388">
        <f t="shared" si="140"/>
        <v>0</v>
      </c>
      <c r="M709" s="388">
        <f t="shared" si="139"/>
        <v>0</v>
      </c>
      <c r="N709" s="594" t="str">
        <f>INDEX(tblSubjectToLoan[Date],ROW()-ROW(tblContractForDeed[#Headers]))</f>
        <v/>
      </c>
      <c r="O709" s="276">
        <f>IF(ROW()=ROW(tblContractForDeed[#Headers])+1,$O$6,IF(INDEX(tblContractForDeed[End Bal],ROW()-ROW(tblContractForDeed[#Headers])-1)&lt;0,0,INDEX(tblContractForDeed[End Bal],ROW()-ROW(tblContractForDeed[#Headers])-1)))</f>
        <v>0</v>
      </c>
      <c r="P709" s="447"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594" t="str">
        <f t="shared" si="135"/>
        <v/>
      </c>
      <c r="B710" s="276">
        <f t="shared" si="136"/>
        <v>0</v>
      </c>
      <c r="C710" s="14">
        <f t="shared" si="133"/>
        <v>0</v>
      </c>
      <c r="D710" s="14">
        <f t="shared" si="137"/>
        <v>0</v>
      </c>
      <c r="E710" s="14">
        <f t="shared" si="134"/>
        <v>0</v>
      </c>
      <c r="K710" s="276">
        <f t="shared" si="138"/>
        <v>0</v>
      </c>
      <c r="L710" s="388">
        <f t="shared" si="140"/>
        <v>0</v>
      </c>
      <c r="M710" s="388">
        <f t="shared" si="139"/>
        <v>0</v>
      </c>
      <c r="N710" s="594" t="str">
        <f>INDEX(tblSubjectToLoan[Date],ROW()-ROW(tblContractForDeed[#Headers]))</f>
        <v/>
      </c>
      <c r="O710" s="276">
        <f>IF(ROW()=ROW(tblContractForDeed[#Headers])+1,$O$6,IF(INDEX(tblContractForDeed[End Bal],ROW()-ROW(tblContractForDeed[#Headers])-1)&lt;0,0,INDEX(tblContractForDeed[End Bal],ROW()-ROW(tblContractForDeed[#Headers])-1)))</f>
        <v>0</v>
      </c>
      <c r="P710" s="447"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594" t="str">
        <f t="shared" si="135"/>
        <v/>
      </c>
      <c r="B711" s="276">
        <f t="shared" si="136"/>
        <v>0</v>
      </c>
      <c r="C711" s="14">
        <f t="shared" si="133"/>
        <v>0</v>
      </c>
      <c r="D711" s="14">
        <f t="shared" si="137"/>
        <v>0</v>
      </c>
      <c r="E711" s="14">
        <f t="shared" si="134"/>
        <v>0</v>
      </c>
      <c r="K711" s="276">
        <f t="shared" si="138"/>
        <v>0</v>
      </c>
      <c r="L711" s="388">
        <f t="shared" si="140"/>
        <v>0</v>
      </c>
      <c r="M711" s="388">
        <f t="shared" si="139"/>
        <v>0</v>
      </c>
      <c r="N711" s="594" t="str">
        <f>INDEX(tblSubjectToLoan[Date],ROW()-ROW(tblContractForDeed[#Headers]))</f>
        <v/>
      </c>
      <c r="O711" s="276">
        <f>IF(ROW()=ROW(tblContractForDeed[#Headers])+1,$O$6,IF(INDEX(tblContractForDeed[End Bal],ROW()-ROW(tblContractForDeed[#Headers])-1)&lt;0,0,INDEX(tblContractForDeed[End Bal],ROW()-ROW(tblContractForDeed[#Headers])-1)))</f>
        <v>0</v>
      </c>
      <c r="P711" s="447"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594" t="str">
        <f t="shared" si="135"/>
        <v/>
      </c>
      <c r="B712" s="276">
        <f t="shared" si="136"/>
        <v>0</v>
      </c>
      <c r="C712" s="14">
        <f t="shared" si="133"/>
        <v>0</v>
      </c>
      <c r="D712" s="14">
        <f t="shared" si="137"/>
        <v>0</v>
      </c>
      <c r="E712" s="14">
        <f t="shared" si="134"/>
        <v>0</v>
      </c>
      <c r="K712" s="276">
        <f t="shared" si="138"/>
        <v>0</v>
      </c>
      <c r="L712" s="388">
        <f t="shared" si="140"/>
        <v>0</v>
      </c>
      <c r="M712" s="388">
        <f t="shared" si="139"/>
        <v>0</v>
      </c>
      <c r="N712" s="594" t="str">
        <f>INDEX(tblSubjectToLoan[Date],ROW()-ROW(tblContractForDeed[#Headers]))</f>
        <v/>
      </c>
      <c r="O712" s="276">
        <f>IF(ROW()=ROW(tblContractForDeed[#Headers])+1,$O$6,IF(INDEX(tblContractForDeed[End Bal],ROW()-ROW(tblContractForDeed[#Headers])-1)&lt;0,0,INDEX(tblContractForDeed[End Bal],ROW()-ROW(tblContractForDeed[#Headers])-1)))</f>
        <v>0</v>
      </c>
      <c r="P712" s="447"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594" t="str">
        <f t="shared" si="135"/>
        <v/>
      </c>
      <c r="B713" s="276">
        <f t="shared" si="136"/>
        <v>0</v>
      </c>
      <c r="C713" s="14">
        <f t="shared" si="133"/>
        <v>0</v>
      </c>
      <c r="D713" s="14">
        <f t="shared" si="137"/>
        <v>0</v>
      </c>
      <c r="E713" s="14">
        <f t="shared" si="134"/>
        <v>0</v>
      </c>
      <c r="K713" s="276">
        <f t="shared" si="138"/>
        <v>0</v>
      </c>
      <c r="L713" s="388">
        <f t="shared" si="140"/>
        <v>0</v>
      </c>
      <c r="M713" s="388">
        <f t="shared" si="139"/>
        <v>0</v>
      </c>
      <c r="N713" s="594" t="str">
        <f>INDEX(tblSubjectToLoan[Date],ROW()-ROW(tblContractForDeed[#Headers]))</f>
        <v/>
      </c>
      <c r="O713" s="276">
        <f>IF(ROW()=ROW(tblContractForDeed[#Headers])+1,$O$6,IF(INDEX(tblContractForDeed[End Bal],ROW()-ROW(tblContractForDeed[#Headers])-1)&lt;0,0,INDEX(tblContractForDeed[End Bal],ROW()-ROW(tblContractForDeed[#Headers])-1)))</f>
        <v>0</v>
      </c>
      <c r="P713" s="447"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594" t="str">
        <f t="shared" si="135"/>
        <v/>
      </c>
      <c r="B714" s="276">
        <f t="shared" si="136"/>
        <v>0</v>
      </c>
      <c r="C714" s="14">
        <f t="shared" si="133"/>
        <v>0</v>
      </c>
      <c r="D714" s="14">
        <f t="shared" si="137"/>
        <v>0</v>
      </c>
      <c r="E714" s="14">
        <f t="shared" si="134"/>
        <v>0</v>
      </c>
      <c r="K714" s="276">
        <f t="shared" si="138"/>
        <v>0</v>
      </c>
      <c r="L714" s="388">
        <f t="shared" si="140"/>
        <v>0</v>
      </c>
      <c r="M714" s="388">
        <f t="shared" si="139"/>
        <v>0</v>
      </c>
      <c r="N714" s="594" t="str">
        <f>INDEX(tblSubjectToLoan[Date],ROW()-ROW(tblContractForDeed[#Headers]))</f>
        <v/>
      </c>
      <c r="O714" s="276">
        <f>IF(ROW()=ROW(tblContractForDeed[#Headers])+1,$O$6,IF(INDEX(tblContractForDeed[End Bal],ROW()-ROW(tblContractForDeed[#Headers])-1)&lt;0,0,INDEX(tblContractForDeed[End Bal],ROW()-ROW(tblContractForDeed[#Headers])-1)))</f>
        <v>0</v>
      </c>
      <c r="P714" s="447"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595" t="str">
        <f t="shared" si="135"/>
        <v/>
      </c>
      <c r="B715" s="328">
        <f t="shared" si="136"/>
        <v>0</v>
      </c>
      <c r="C715" s="21">
        <f t="shared" si="133"/>
        <v>0</v>
      </c>
      <c r="D715" s="21">
        <f t="shared" si="137"/>
        <v>0</v>
      </c>
      <c r="E715" s="21">
        <f t="shared" si="134"/>
        <v>0</v>
      </c>
      <c r="F715" s="21"/>
      <c r="G715" s="21"/>
      <c r="H715" s="21"/>
      <c r="I715" s="328"/>
      <c r="J715" s="328"/>
      <c r="K715" s="328">
        <f t="shared" si="138"/>
        <v>0</v>
      </c>
      <c r="L715" s="389">
        <f t="shared" si="140"/>
        <v>0</v>
      </c>
      <c r="M715" s="389">
        <f t="shared" si="139"/>
        <v>0</v>
      </c>
      <c r="N715" s="595" t="str">
        <f>INDEX(tblSubjectToLoan[Date],ROW()-ROW(tblContractForDeed[#Headers]))</f>
        <v/>
      </c>
      <c r="O715" s="328">
        <f>IF(ROW()=ROW(tblContractForDeed[#Headers])+1,$O$6,IF(INDEX(tblContractForDeed[End Bal],ROW()-ROW(tblContractForDeed[#Headers])-1)&lt;0,0,INDEX(tblContractForDeed[End Bal],ROW()-ROW(tblContractForDeed[#Headers])-1)))</f>
        <v>0</v>
      </c>
      <c r="P715" s="447"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8">
        <f>SUM(INDEX(tblContractForDeed[Princ],1):INDEX(tblContractForDeed[Princ],ROW()-ROW(tblContractForDeed[#Headers])))</f>
        <v>75258.000000000029</v>
      </c>
      <c r="X715" s="328">
        <f>IF(tblContractForDeed[[#This Row],[Beg]]&lt;=0,0,tblContractForDeed[[#This Row],[Beg]]-tblContractForDeed[[#This Row],[Princ]])</f>
        <v>0</v>
      </c>
      <c r="Y71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8">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8">
        <f>IF(INDEX(tblContractForDeed[End Bal],ROW()-ROW(tblBuyerOutputs[#Headers]))&lt;=0,0,($O$6+IF(ROW()=ROW(tblBuyerOutputs[#Headers])+1,0,INDEX(tblBuyerOutputs[Cumul Appr],ROW()-ROW(tblBuyerOutputs[#Headers])-1)))*$O$2/12)</f>
        <v>0</v>
      </c>
      <c r="AE715" s="328">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594" t="str">
        <f t="shared" si="135"/>
        <v/>
      </c>
      <c r="B716" s="276">
        <f t="shared" si="136"/>
        <v>0</v>
      </c>
      <c r="C716" s="14">
        <f t="shared" si="133"/>
        <v>0</v>
      </c>
      <c r="D716" s="14">
        <f t="shared" si="137"/>
        <v>0</v>
      </c>
      <c r="E716" s="14">
        <f t="shared" si="134"/>
        <v>0</v>
      </c>
      <c r="K716" s="276">
        <f t="shared" si="138"/>
        <v>0</v>
      </c>
      <c r="L716" s="388">
        <f t="shared" si="140"/>
        <v>0</v>
      </c>
      <c r="M716" s="388">
        <f t="shared" si="139"/>
        <v>0</v>
      </c>
      <c r="N716" s="594" t="str">
        <f>INDEX(tblSubjectToLoan[Date],ROW()-ROW(tblContractForDeed[#Headers]))</f>
        <v/>
      </c>
      <c r="O716" s="276">
        <f>IF(ROW()=ROW(tblContractForDeed[#Headers])+1,$O$6,IF(INDEX(tblContractForDeed[End Bal],ROW()-ROW(tblContractForDeed[#Headers])-1)&lt;0,0,INDEX(tblContractForDeed[End Bal],ROW()-ROW(tblContractForDeed[#Headers])-1)))</f>
        <v>0</v>
      </c>
      <c r="P716" s="447"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594" t="str">
        <f t="shared" si="135"/>
        <v/>
      </c>
      <c r="B717" s="276">
        <f t="shared" si="136"/>
        <v>0</v>
      </c>
      <c r="C717" s="14">
        <f t="shared" si="133"/>
        <v>0</v>
      </c>
      <c r="D717" s="14">
        <f t="shared" si="137"/>
        <v>0</v>
      </c>
      <c r="E717" s="14">
        <f t="shared" si="134"/>
        <v>0</v>
      </c>
      <c r="K717" s="276">
        <f t="shared" si="138"/>
        <v>0</v>
      </c>
      <c r="L717" s="388">
        <f t="shared" si="140"/>
        <v>0</v>
      </c>
      <c r="M717" s="388">
        <f t="shared" si="139"/>
        <v>0</v>
      </c>
      <c r="N717" s="594" t="str">
        <f>INDEX(tblSubjectToLoan[Date],ROW()-ROW(tblContractForDeed[#Headers]))</f>
        <v/>
      </c>
      <c r="O717" s="276">
        <f>IF(ROW()=ROW(tblContractForDeed[#Headers])+1,$O$6,IF(INDEX(tblContractForDeed[End Bal],ROW()-ROW(tblContractForDeed[#Headers])-1)&lt;0,0,INDEX(tblContractForDeed[End Bal],ROW()-ROW(tblContractForDeed[#Headers])-1)))</f>
        <v>0</v>
      </c>
      <c r="P717" s="447"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594" t="str">
        <f t="shared" si="135"/>
        <v/>
      </c>
      <c r="B718" s="276">
        <f t="shared" si="136"/>
        <v>0</v>
      </c>
      <c r="C718" s="14">
        <f t="shared" si="133"/>
        <v>0</v>
      </c>
      <c r="D718" s="14">
        <f t="shared" si="137"/>
        <v>0</v>
      </c>
      <c r="E718" s="14">
        <f t="shared" si="134"/>
        <v>0</v>
      </c>
      <c r="K718" s="276">
        <f t="shared" si="138"/>
        <v>0</v>
      </c>
      <c r="L718" s="388">
        <f t="shared" si="140"/>
        <v>0</v>
      </c>
      <c r="M718" s="388">
        <f t="shared" si="139"/>
        <v>0</v>
      </c>
      <c r="N718" s="594" t="str">
        <f>INDEX(tblSubjectToLoan[Date],ROW()-ROW(tblContractForDeed[#Headers]))</f>
        <v/>
      </c>
      <c r="O718" s="276">
        <f>IF(ROW()=ROW(tblContractForDeed[#Headers])+1,$O$6,IF(INDEX(tblContractForDeed[End Bal],ROW()-ROW(tblContractForDeed[#Headers])-1)&lt;0,0,INDEX(tblContractForDeed[End Bal],ROW()-ROW(tblContractForDeed[#Headers])-1)))</f>
        <v>0</v>
      </c>
      <c r="P718" s="447"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594" t="str">
        <f t="shared" si="135"/>
        <v/>
      </c>
      <c r="B719" s="276">
        <f t="shared" si="136"/>
        <v>0</v>
      </c>
      <c r="C719" s="14">
        <f t="shared" si="133"/>
        <v>0</v>
      </c>
      <c r="D719" s="14">
        <f t="shared" si="137"/>
        <v>0</v>
      </c>
      <c r="E719" s="14">
        <f t="shared" si="134"/>
        <v>0</v>
      </c>
      <c r="K719" s="276">
        <f t="shared" si="138"/>
        <v>0</v>
      </c>
      <c r="L719" s="388">
        <f t="shared" si="140"/>
        <v>0</v>
      </c>
      <c r="M719" s="388">
        <f t="shared" si="139"/>
        <v>0</v>
      </c>
      <c r="N719" s="594" t="str">
        <f>INDEX(tblSubjectToLoan[Date],ROW()-ROW(tblContractForDeed[#Headers]))</f>
        <v/>
      </c>
      <c r="O719" s="276">
        <f>IF(ROW()=ROW(tblContractForDeed[#Headers])+1,$O$6,IF(INDEX(tblContractForDeed[End Bal],ROW()-ROW(tblContractForDeed[#Headers])-1)&lt;0,0,INDEX(tblContractForDeed[End Bal],ROW()-ROW(tblContractForDeed[#Headers])-1)))</f>
        <v>0</v>
      </c>
      <c r="P719" s="447"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594" t="str">
        <f t="shared" si="135"/>
        <v/>
      </c>
      <c r="B720" s="276">
        <f t="shared" si="136"/>
        <v>0</v>
      </c>
      <c r="C720" s="14">
        <f t="shared" si="133"/>
        <v>0</v>
      </c>
      <c r="D720" s="14">
        <f t="shared" si="137"/>
        <v>0</v>
      </c>
      <c r="E720" s="14">
        <f t="shared" si="134"/>
        <v>0</v>
      </c>
      <c r="K720" s="276">
        <f t="shared" si="138"/>
        <v>0</v>
      </c>
      <c r="L720" s="388">
        <f t="shared" si="140"/>
        <v>0</v>
      </c>
      <c r="M720" s="388">
        <f t="shared" si="139"/>
        <v>0</v>
      </c>
      <c r="N720" s="594" t="str">
        <f>INDEX(tblSubjectToLoan[Date],ROW()-ROW(tblContractForDeed[#Headers]))</f>
        <v/>
      </c>
      <c r="O720" s="276">
        <f>IF(ROW()=ROW(tblContractForDeed[#Headers])+1,$O$6,IF(INDEX(tblContractForDeed[End Bal],ROW()-ROW(tblContractForDeed[#Headers])-1)&lt;0,0,INDEX(tblContractForDeed[End Bal],ROW()-ROW(tblContractForDeed[#Headers])-1)))</f>
        <v>0</v>
      </c>
      <c r="P720" s="447"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594" t="str">
        <f t="shared" si="135"/>
        <v/>
      </c>
      <c r="B721" s="276">
        <f t="shared" si="136"/>
        <v>0</v>
      </c>
      <c r="C721" s="14">
        <f t="shared" si="133"/>
        <v>0</v>
      </c>
      <c r="D721" s="14">
        <f t="shared" si="137"/>
        <v>0</v>
      </c>
      <c r="E721" s="14">
        <f t="shared" si="134"/>
        <v>0</v>
      </c>
      <c r="K721" s="276">
        <f t="shared" si="138"/>
        <v>0</v>
      </c>
      <c r="L721" s="388">
        <f t="shared" si="140"/>
        <v>0</v>
      </c>
      <c r="M721" s="388">
        <f t="shared" si="139"/>
        <v>0</v>
      </c>
      <c r="N721" s="594" t="str">
        <f>INDEX(tblSubjectToLoan[Date],ROW()-ROW(tblContractForDeed[#Headers]))</f>
        <v/>
      </c>
      <c r="O721" s="276">
        <f>IF(ROW()=ROW(tblContractForDeed[#Headers])+1,$O$6,IF(INDEX(tblContractForDeed[End Bal],ROW()-ROW(tblContractForDeed[#Headers])-1)&lt;0,0,INDEX(tblContractForDeed[End Bal],ROW()-ROW(tblContractForDeed[#Headers])-1)))</f>
        <v>0</v>
      </c>
      <c r="P721" s="447"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594" t="str">
        <f t="shared" si="135"/>
        <v/>
      </c>
      <c r="B722" s="276">
        <f t="shared" si="136"/>
        <v>0</v>
      </c>
      <c r="C722" s="14">
        <f t="shared" si="133"/>
        <v>0</v>
      </c>
      <c r="D722" s="14">
        <f t="shared" si="137"/>
        <v>0</v>
      </c>
      <c r="E722" s="14">
        <f t="shared" si="134"/>
        <v>0</v>
      </c>
      <c r="K722" s="276">
        <f t="shared" si="138"/>
        <v>0</v>
      </c>
      <c r="L722" s="388">
        <f t="shared" si="140"/>
        <v>0</v>
      </c>
      <c r="M722" s="388">
        <f t="shared" si="139"/>
        <v>0</v>
      </c>
      <c r="N722" s="594" t="str">
        <f>INDEX(tblSubjectToLoan[Date],ROW()-ROW(tblContractForDeed[#Headers]))</f>
        <v/>
      </c>
      <c r="O722" s="276">
        <f>IF(ROW()=ROW(tblContractForDeed[#Headers])+1,$O$6,IF(INDEX(tblContractForDeed[End Bal],ROW()-ROW(tblContractForDeed[#Headers])-1)&lt;0,0,INDEX(tblContractForDeed[End Bal],ROW()-ROW(tblContractForDeed[#Headers])-1)))</f>
        <v>0</v>
      </c>
      <c r="P722" s="447"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594" t="str">
        <f t="shared" si="135"/>
        <v/>
      </c>
      <c r="B723" s="276">
        <f t="shared" si="136"/>
        <v>0</v>
      </c>
      <c r="C723" s="14">
        <f t="shared" si="133"/>
        <v>0</v>
      </c>
      <c r="D723" s="14">
        <f t="shared" si="137"/>
        <v>0</v>
      </c>
      <c r="E723" s="14">
        <f t="shared" si="134"/>
        <v>0</v>
      </c>
      <c r="K723" s="276">
        <f t="shared" si="138"/>
        <v>0</v>
      </c>
      <c r="L723" s="388">
        <f t="shared" si="140"/>
        <v>0</v>
      </c>
      <c r="M723" s="388">
        <f t="shared" si="139"/>
        <v>0</v>
      </c>
      <c r="N723" s="594" t="str">
        <f>INDEX(tblSubjectToLoan[Date],ROW()-ROW(tblContractForDeed[#Headers]))</f>
        <v/>
      </c>
      <c r="O723" s="276">
        <f>IF(ROW()=ROW(tblContractForDeed[#Headers])+1,$O$6,IF(INDEX(tblContractForDeed[End Bal],ROW()-ROW(tblContractForDeed[#Headers])-1)&lt;0,0,INDEX(tblContractForDeed[End Bal],ROW()-ROW(tblContractForDeed[#Headers])-1)))</f>
        <v>0</v>
      </c>
      <c r="P723" s="447"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594"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88">
        <f t="shared" si="140"/>
        <v>0</v>
      </c>
      <c r="M724" s="388">
        <f t="shared" si="139"/>
        <v>0</v>
      </c>
      <c r="N724" s="594" t="str">
        <f>INDEX(tblSubjectToLoan[Date],ROW()-ROW(tblContractForDeed[#Headers]))</f>
        <v/>
      </c>
      <c r="O724" s="276">
        <f>IF(ROW()=ROW(tblContractForDeed[#Headers])+1,$O$6,IF(INDEX(tblContractForDeed[End Bal],ROW()-ROW(tblContractForDeed[#Headers])-1)&lt;0,0,INDEX(tblContractForDeed[End Bal],ROW()-ROW(tblContractForDeed[#Headers])-1)))</f>
        <v>0</v>
      </c>
      <c r="P724" s="447"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594"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88">
        <f t="shared" si="140"/>
        <v>0</v>
      </c>
      <c r="M725" s="388">
        <f t="shared" ref="M725:M788" si="147">IF($A725&lt;&gt;"",M724+1,0)</f>
        <v>0</v>
      </c>
      <c r="N725" s="594" t="str">
        <f>INDEX(tblSubjectToLoan[Date],ROW()-ROW(tblContractForDeed[#Headers]))</f>
        <v/>
      </c>
      <c r="O725" s="276">
        <f>IF(ROW()=ROW(tblContractForDeed[#Headers])+1,$O$6,IF(INDEX(tblContractForDeed[End Bal],ROW()-ROW(tblContractForDeed[#Headers])-1)&lt;0,0,INDEX(tblContractForDeed[End Bal],ROW()-ROW(tblContractForDeed[#Headers])-1)))</f>
        <v>0</v>
      </c>
      <c r="P725" s="447"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594" t="str">
        <f t="shared" si="143"/>
        <v/>
      </c>
      <c r="B726" s="276">
        <f t="shared" si="144"/>
        <v>0</v>
      </c>
      <c r="C726" s="14">
        <f t="shared" si="141"/>
        <v>0</v>
      </c>
      <c r="D726" s="14">
        <f t="shared" si="145"/>
        <v>0</v>
      </c>
      <c r="E726" s="14">
        <f t="shared" si="142"/>
        <v>0</v>
      </c>
      <c r="K726" s="276">
        <f t="shared" si="146"/>
        <v>0</v>
      </c>
      <c r="L726" s="388">
        <f t="shared" si="140"/>
        <v>0</v>
      </c>
      <c r="M726" s="388">
        <f t="shared" si="147"/>
        <v>0</v>
      </c>
      <c r="N726" s="594" t="str">
        <f>INDEX(tblSubjectToLoan[Date],ROW()-ROW(tblContractForDeed[#Headers]))</f>
        <v/>
      </c>
      <c r="O726" s="276">
        <f>IF(ROW()=ROW(tblContractForDeed[#Headers])+1,$O$6,IF(INDEX(tblContractForDeed[End Bal],ROW()-ROW(tblContractForDeed[#Headers])-1)&lt;0,0,INDEX(tblContractForDeed[End Bal],ROW()-ROW(tblContractForDeed[#Headers])-1)))</f>
        <v>0</v>
      </c>
      <c r="P726" s="447"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595" t="str">
        <f t="shared" si="143"/>
        <v/>
      </c>
      <c r="B727" s="328">
        <f t="shared" si="144"/>
        <v>0</v>
      </c>
      <c r="C727" s="21">
        <f t="shared" si="141"/>
        <v>0</v>
      </c>
      <c r="D727" s="21">
        <f t="shared" si="145"/>
        <v>0</v>
      </c>
      <c r="E727" s="21">
        <f t="shared" si="142"/>
        <v>0</v>
      </c>
      <c r="F727" s="21"/>
      <c r="G727" s="21"/>
      <c r="H727" s="21"/>
      <c r="I727" s="328"/>
      <c r="J727" s="328"/>
      <c r="K727" s="328">
        <f t="shared" si="146"/>
        <v>0</v>
      </c>
      <c r="L727" s="389">
        <f t="shared" si="140"/>
        <v>0</v>
      </c>
      <c r="M727" s="389">
        <f t="shared" si="147"/>
        <v>0</v>
      </c>
      <c r="N727" s="595" t="str">
        <f>INDEX(tblSubjectToLoan[Date],ROW()-ROW(tblContractForDeed[#Headers]))</f>
        <v/>
      </c>
      <c r="O727" s="328">
        <f>IF(ROW()=ROW(tblContractForDeed[#Headers])+1,$O$6,IF(INDEX(tblContractForDeed[End Bal],ROW()-ROW(tblContractForDeed[#Headers])-1)&lt;0,0,INDEX(tblContractForDeed[End Bal],ROW()-ROW(tblContractForDeed[#Headers])-1)))</f>
        <v>0</v>
      </c>
      <c r="P727" s="447"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8">
        <f>SUM(INDEX(tblContractForDeed[Princ],1):INDEX(tblContractForDeed[Princ],ROW()-ROW(tblContractForDeed[#Headers])))</f>
        <v>75258.000000000029</v>
      </c>
      <c r="X727" s="328">
        <f>IF(tblContractForDeed[[#This Row],[Beg]]&lt;=0,0,tblContractForDeed[[#This Row],[Beg]]-tblContractForDeed[[#This Row],[Princ]])</f>
        <v>0</v>
      </c>
      <c r="Y72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8">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8">
        <f>IF(INDEX(tblContractForDeed[End Bal],ROW()-ROW(tblBuyerOutputs[#Headers]))&lt;=0,0,($O$6+IF(ROW()=ROW(tblBuyerOutputs[#Headers])+1,0,INDEX(tblBuyerOutputs[Cumul Appr],ROW()-ROW(tblBuyerOutputs[#Headers])-1)))*$O$2/12)</f>
        <v>0</v>
      </c>
      <c r="AE727" s="328">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594" t="str">
        <f t="shared" si="143"/>
        <v/>
      </c>
      <c r="B728" s="276">
        <f t="shared" si="144"/>
        <v>0</v>
      </c>
      <c r="C728" s="14">
        <f t="shared" si="141"/>
        <v>0</v>
      </c>
      <c r="D728" s="14">
        <f t="shared" si="145"/>
        <v>0</v>
      </c>
      <c r="E728" s="14">
        <f t="shared" si="142"/>
        <v>0</v>
      </c>
      <c r="K728" s="276">
        <f t="shared" si="146"/>
        <v>0</v>
      </c>
      <c r="L728" s="388">
        <f t="shared" si="140"/>
        <v>0</v>
      </c>
      <c r="M728" s="388">
        <f t="shared" si="147"/>
        <v>0</v>
      </c>
      <c r="N728" s="594" t="str">
        <f>INDEX(tblSubjectToLoan[Date],ROW()-ROW(tblContractForDeed[#Headers]))</f>
        <v/>
      </c>
      <c r="O728" s="276">
        <f>IF(ROW()=ROW(tblContractForDeed[#Headers])+1,$O$6,IF(INDEX(tblContractForDeed[End Bal],ROW()-ROW(tblContractForDeed[#Headers])-1)&lt;0,0,INDEX(tblContractForDeed[End Bal],ROW()-ROW(tblContractForDeed[#Headers])-1)))</f>
        <v>0</v>
      </c>
      <c r="P728" s="447"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594" t="str">
        <f t="shared" si="143"/>
        <v/>
      </c>
      <c r="B729" s="276">
        <f t="shared" si="144"/>
        <v>0</v>
      </c>
      <c r="C729" s="14">
        <f t="shared" si="141"/>
        <v>0</v>
      </c>
      <c r="D729" s="14">
        <f t="shared" si="145"/>
        <v>0</v>
      </c>
      <c r="E729" s="14">
        <f t="shared" si="142"/>
        <v>0</v>
      </c>
      <c r="K729" s="276">
        <f t="shared" si="146"/>
        <v>0</v>
      </c>
      <c r="L729" s="388">
        <f t="shared" si="140"/>
        <v>0</v>
      </c>
      <c r="M729" s="388">
        <f t="shared" si="147"/>
        <v>0</v>
      </c>
      <c r="N729" s="594" t="str">
        <f>INDEX(tblSubjectToLoan[Date],ROW()-ROW(tblContractForDeed[#Headers]))</f>
        <v/>
      </c>
      <c r="O729" s="276">
        <f>IF(ROW()=ROW(tblContractForDeed[#Headers])+1,$O$6,IF(INDEX(tblContractForDeed[End Bal],ROW()-ROW(tblContractForDeed[#Headers])-1)&lt;0,0,INDEX(tblContractForDeed[End Bal],ROW()-ROW(tblContractForDeed[#Headers])-1)))</f>
        <v>0</v>
      </c>
      <c r="P729" s="447"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594" t="str">
        <f t="shared" si="143"/>
        <v/>
      </c>
      <c r="B730" s="276">
        <f t="shared" si="144"/>
        <v>0</v>
      </c>
      <c r="C730" s="14">
        <f t="shared" si="141"/>
        <v>0</v>
      </c>
      <c r="D730" s="14">
        <f t="shared" si="145"/>
        <v>0</v>
      </c>
      <c r="E730" s="14">
        <f t="shared" si="142"/>
        <v>0</v>
      </c>
      <c r="K730" s="276">
        <f t="shared" si="146"/>
        <v>0</v>
      </c>
      <c r="L730" s="388">
        <f t="shared" si="140"/>
        <v>0</v>
      </c>
      <c r="M730" s="388">
        <f t="shared" si="147"/>
        <v>0</v>
      </c>
      <c r="N730" s="594" t="str">
        <f>INDEX(tblSubjectToLoan[Date],ROW()-ROW(tblContractForDeed[#Headers]))</f>
        <v/>
      </c>
      <c r="O730" s="276">
        <f>IF(ROW()=ROW(tblContractForDeed[#Headers])+1,$O$6,IF(INDEX(tblContractForDeed[End Bal],ROW()-ROW(tblContractForDeed[#Headers])-1)&lt;0,0,INDEX(tblContractForDeed[End Bal],ROW()-ROW(tblContractForDeed[#Headers])-1)))</f>
        <v>0</v>
      </c>
      <c r="P730" s="447"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594" t="str">
        <f t="shared" si="143"/>
        <v/>
      </c>
      <c r="B731" s="276">
        <f t="shared" si="144"/>
        <v>0</v>
      </c>
      <c r="C731" s="14">
        <f t="shared" si="141"/>
        <v>0</v>
      </c>
      <c r="D731" s="14">
        <f t="shared" si="145"/>
        <v>0</v>
      </c>
      <c r="E731" s="14">
        <f t="shared" si="142"/>
        <v>0</v>
      </c>
      <c r="K731" s="276">
        <f t="shared" si="146"/>
        <v>0</v>
      </c>
      <c r="L731" s="388">
        <f t="shared" si="140"/>
        <v>0</v>
      </c>
      <c r="M731" s="388">
        <f t="shared" si="147"/>
        <v>0</v>
      </c>
      <c r="N731" s="594" t="str">
        <f>INDEX(tblSubjectToLoan[Date],ROW()-ROW(tblContractForDeed[#Headers]))</f>
        <v/>
      </c>
      <c r="O731" s="276">
        <f>IF(ROW()=ROW(tblContractForDeed[#Headers])+1,$O$6,IF(INDEX(tblContractForDeed[End Bal],ROW()-ROW(tblContractForDeed[#Headers])-1)&lt;0,0,INDEX(tblContractForDeed[End Bal],ROW()-ROW(tblContractForDeed[#Headers])-1)))</f>
        <v>0</v>
      </c>
      <c r="P731" s="447"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594" t="str">
        <f t="shared" si="143"/>
        <v/>
      </c>
      <c r="B732" s="276">
        <f t="shared" si="144"/>
        <v>0</v>
      </c>
      <c r="C732" s="14">
        <f t="shared" si="141"/>
        <v>0</v>
      </c>
      <c r="D732" s="14">
        <f t="shared" si="145"/>
        <v>0</v>
      </c>
      <c r="E732" s="14">
        <f t="shared" si="142"/>
        <v>0</v>
      </c>
      <c r="K732" s="276">
        <f t="shared" si="146"/>
        <v>0</v>
      </c>
      <c r="L732" s="388">
        <f t="shared" si="140"/>
        <v>0</v>
      </c>
      <c r="M732" s="388">
        <f t="shared" si="147"/>
        <v>0</v>
      </c>
      <c r="N732" s="594" t="str">
        <f>INDEX(tblSubjectToLoan[Date],ROW()-ROW(tblContractForDeed[#Headers]))</f>
        <v/>
      </c>
      <c r="O732" s="276">
        <f>IF(ROW()=ROW(tblContractForDeed[#Headers])+1,$O$6,IF(INDEX(tblContractForDeed[End Bal],ROW()-ROW(tblContractForDeed[#Headers])-1)&lt;0,0,INDEX(tblContractForDeed[End Bal],ROW()-ROW(tblContractForDeed[#Headers])-1)))</f>
        <v>0</v>
      </c>
      <c r="P732" s="447"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594" t="str">
        <f t="shared" si="143"/>
        <v/>
      </c>
      <c r="B733" s="276">
        <f t="shared" si="144"/>
        <v>0</v>
      </c>
      <c r="C733" s="14">
        <f t="shared" si="141"/>
        <v>0</v>
      </c>
      <c r="D733" s="14">
        <f t="shared" si="145"/>
        <v>0</v>
      </c>
      <c r="E733" s="14">
        <f t="shared" si="142"/>
        <v>0</v>
      </c>
      <c r="K733" s="276">
        <f t="shared" si="146"/>
        <v>0</v>
      </c>
      <c r="L733" s="388">
        <f t="shared" si="140"/>
        <v>0</v>
      </c>
      <c r="M733" s="388">
        <f t="shared" si="147"/>
        <v>0</v>
      </c>
      <c r="N733" s="594" t="str">
        <f>INDEX(tblSubjectToLoan[Date],ROW()-ROW(tblContractForDeed[#Headers]))</f>
        <v/>
      </c>
      <c r="O733" s="276">
        <f>IF(ROW()=ROW(tblContractForDeed[#Headers])+1,$O$6,IF(INDEX(tblContractForDeed[End Bal],ROW()-ROW(tblContractForDeed[#Headers])-1)&lt;0,0,INDEX(tblContractForDeed[End Bal],ROW()-ROW(tblContractForDeed[#Headers])-1)))</f>
        <v>0</v>
      </c>
      <c r="P733" s="447"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594" t="str">
        <f t="shared" si="143"/>
        <v/>
      </c>
      <c r="B734" s="276">
        <f t="shared" si="144"/>
        <v>0</v>
      </c>
      <c r="C734" s="14">
        <f t="shared" si="141"/>
        <v>0</v>
      </c>
      <c r="D734" s="14">
        <f t="shared" si="145"/>
        <v>0</v>
      </c>
      <c r="E734" s="14">
        <f t="shared" si="142"/>
        <v>0</v>
      </c>
      <c r="K734" s="276">
        <f t="shared" si="146"/>
        <v>0</v>
      </c>
      <c r="L734" s="388">
        <f t="shared" si="140"/>
        <v>0</v>
      </c>
      <c r="M734" s="388">
        <f t="shared" si="147"/>
        <v>0</v>
      </c>
      <c r="N734" s="594" t="str">
        <f>INDEX(tblSubjectToLoan[Date],ROW()-ROW(tblContractForDeed[#Headers]))</f>
        <v/>
      </c>
      <c r="O734" s="276">
        <f>IF(ROW()=ROW(tblContractForDeed[#Headers])+1,$O$6,IF(INDEX(tblContractForDeed[End Bal],ROW()-ROW(tblContractForDeed[#Headers])-1)&lt;0,0,INDEX(tblContractForDeed[End Bal],ROW()-ROW(tblContractForDeed[#Headers])-1)))</f>
        <v>0</v>
      </c>
      <c r="P734" s="447"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594" t="str">
        <f t="shared" si="143"/>
        <v/>
      </c>
      <c r="B735" s="276">
        <f t="shared" si="144"/>
        <v>0</v>
      </c>
      <c r="C735" s="14">
        <f t="shared" si="141"/>
        <v>0</v>
      </c>
      <c r="D735" s="14">
        <f t="shared" si="145"/>
        <v>0</v>
      </c>
      <c r="E735" s="14">
        <f t="shared" si="142"/>
        <v>0</v>
      </c>
      <c r="K735" s="276">
        <f t="shared" si="146"/>
        <v>0</v>
      </c>
      <c r="L735" s="388">
        <f t="shared" si="140"/>
        <v>0</v>
      </c>
      <c r="M735" s="388">
        <f t="shared" si="147"/>
        <v>0</v>
      </c>
      <c r="N735" s="594" t="str">
        <f>INDEX(tblSubjectToLoan[Date],ROW()-ROW(tblContractForDeed[#Headers]))</f>
        <v/>
      </c>
      <c r="O735" s="276">
        <f>IF(ROW()=ROW(tblContractForDeed[#Headers])+1,$O$6,IF(INDEX(tblContractForDeed[End Bal],ROW()-ROW(tblContractForDeed[#Headers])-1)&lt;0,0,INDEX(tblContractForDeed[End Bal],ROW()-ROW(tblContractForDeed[#Headers])-1)))</f>
        <v>0</v>
      </c>
      <c r="P735" s="447"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594" t="str">
        <f t="shared" si="143"/>
        <v/>
      </c>
      <c r="B736" s="276">
        <f t="shared" si="144"/>
        <v>0</v>
      </c>
      <c r="C736" s="14">
        <f t="shared" si="141"/>
        <v>0</v>
      </c>
      <c r="D736" s="14">
        <f t="shared" si="145"/>
        <v>0</v>
      </c>
      <c r="E736" s="14">
        <f t="shared" si="142"/>
        <v>0</v>
      </c>
      <c r="K736" s="276">
        <f t="shared" si="146"/>
        <v>0</v>
      </c>
      <c r="L736" s="388">
        <f t="shared" si="140"/>
        <v>0</v>
      </c>
      <c r="M736" s="388">
        <f t="shared" si="147"/>
        <v>0</v>
      </c>
      <c r="N736" s="594" t="str">
        <f>INDEX(tblSubjectToLoan[Date],ROW()-ROW(tblContractForDeed[#Headers]))</f>
        <v/>
      </c>
      <c r="O736" s="276">
        <f>IF(ROW()=ROW(tblContractForDeed[#Headers])+1,$O$6,IF(INDEX(tblContractForDeed[End Bal],ROW()-ROW(tblContractForDeed[#Headers])-1)&lt;0,0,INDEX(tblContractForDeed[End Bal],ROW()-ROW(tblContractForDeed[#Headers])-1)))</f>
        <v>0</v>
      </c>
      <c r="P736" s="447"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594" t="str">
        <f t="shared" si="143"/>
        <v/>
      </c>
      <c r="B737" s="276">
        <f t="shared" si="144"/>
        <v>0</v>
      </c>
      <c r="C737" s="14">
        <f t="shared" si="141"/>
        <v>0</v>
      </c>
      <c r="D737" s="14">
        <f t="shared" si="145"/>
        <v>0</v>
      </c>
      <c r="E737" s="14">
        <f t="shared" si="142"/>
        <v>0</v>
      </c>
      <c r="K737" s="276">
        <f t="shared" si="146"/>
        <v>0</v>
      </c>
      <c r="L737" s="388">
        <f t="shared" si="140"/>
        <v>0</v>
      </c>
      <c r="M737" s="388">
        <f t="shared" si="147"/>
        <v>0</v>
      </c>
      <c r="N737" s="594" t="str">
        <f>INDEX(tblSubjectToLoan[Date],ROW()-ROW(tblContractForDeed[#Headers]))</f>
        <v/>
      </c>
      <c r="O737" s="276">
        <f>IF(ROW()=ROW(tblContractForDeed[#Headers])+1,$O$6,IF(INDEX(tblContractForDeed[End Bal],ROW()-ROW(tblContractForDeed[#Headers])-1)&lt;0,0,INDEX(tblContractForDeed[End Bal],ROW()-ROW(tblContractForDeed[#Headers])-1)))</f>
        <v>0</v>
      </c>
      <c r="P737" s="447"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594" t="str">
        <f t="shared" si="143"/>
        <v/>
      </c>
      <c r="B738" s="276">
        <f t="shared" si="144"/>
        <v>0</v>
      </c>
      <c r="C738" s="14">
        <f t="shared" si="141"/>
        <v>0</v>
      </c>
      <c r="D738" s="14">
        <f t="shared" si="145"/>
        <v>0</v>
      </c>
      <c r="E738" s="14">
        <f t="shared" si="142"/>
        <v>0</v>
      </c>
      <c r="K738" s="276">
        <f t="shared" si="146"/>
        <v>0</v>
      </c>
      <c r="L738" s="388">
        <f t="shared" si="140"/>
        <v>0</v>
      </c>
      <c r="M738" s="388">
        <f t="shared" si="147"/>
        <v>0</v>
      </c>
      <c r="N738" s="594" t="str">
        <f>INDEX(tblSubjectToLoan[Date],ROW()-ROW(tblContractForDeed[#Headers]))</f>
        <v/>
      </c>
      <c r="O738" s="276">
        <f>IF(ROW()=ROW(tblContractForDeed[#Headers])+1,$O$6,IF(INDEX(tblContractForDeed[End Bal],ROW()-ROW(tblContractForDeed[#Headers])-1)&lt;0,0,INDEX(tblContractForDeed[End Bal],ROW()-ROW(tblContractForDeed[#Headers])-1)))</f>
        <v>0</v>
      </c>
      <c r="P738" s="447"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595" t="str">
        <f t="shared" si="143"/>
        <v/>
      </c>
      <c r="B739" s="328">
        <f t="shared" si="144"/>
        <v>0</v>
      </c>
      <c r="C739" s="21">
        <f t="shared" si="141"/>
        <v>0</v>
      </c>
      <c r="D739" s="21">
        <f t="shared" si="145"/>
        <v>0</v>
      </c>
      <c r="E739" s="21">
        <f t="shared" si="142"/>
        <v>0</v>
      </c>
      <c r="F739" s="21"/>
      <c r="G739" s="21"/>
      <c r="H739" s="21"/>
      <c r="I739" s="328"/>
      <c r="J739" s="328"/>
      <c r="K739" s="328">
        <f t="shared" si="146"/>
        <v>0</v>
      </c>
      <c r="L739" s="389">
        <f t="shared" si="140"/>
        <v>0</v>
      </c>
      <c r="M739" s="389">
        <f t="shared" si="147"/>
        <v>0</v>
      </c>
      <c r="N739" s="595" t="str">
        <f>INDEX(tblSubjectToLoan[Date],ROW()-ROW(tblContractForDeed[#Headers]))</f>
        <v/>
      </c>
      <c r="O739" s="328">
        <f>IF(ROW()=ROW(tblContractForDeed[#Headers])+1,$O$6,IF(INDEX(tblContractForDeed[End Bal],ROW()-ROW(tblContractForDeed[#Headers])-1)&lt;0,0,INDEX(tblContractForDeed[End Bal],ROW()-ROW(tblContractForDeed[#Headers])-1)))</f>
        <v>0</v>
      </c>
      <c r="P739" s="447"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8">
        <f>SUM(INDEX(tblContractForDeed[Princ],1):INDEX(tblContractForDeed[Princ],ROW()-ROW(tblContractForDeed[#Headers])))</f>
        <v>75258.000000000029</v>
      </c>
      <c r="X739" s="328">
        <f>IF(tblContractForDeed[[#This Row],[Beg]]&lt;=0,0,tblContractForDeed[[#This Row],[Beg]]-tblContractForDeed[[#This Row],[Princ]])</f>
        <v>0</v>
      </c>
      <c r="Y739"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8">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8">
        <f>IF(INDEX(tblContractForDeed[End Bal],ROW()-ROW(tblBuyerOutputs[#Headers]))&lt;=0,0,($O$6+IF(ROW()=ROW(tblBuyerOutputs[#Headers])+1,0,INDEX(tblBuyerOutputs[Cumul Appr],ROW()-ROW(tblBuyerOutputs[#Headers])-1)))*$O$2/12)</f>
        <v>0</v>
      </c>
      <c r="AE739" s="328">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594" t="str">
        <f t="shared" si="143"/>
        <v/>
      </c>
      <c r="B740" s="276">
        <f t="shared" si="144"/>
        <v>0</v>
      </c>
      <c r="C740" s="14">
        <f t="shared" si="141"/>
        <v>0</v>
      </c>
      <c r="D740" s="14">
        <f t="shared" si="145"/>
        <v>0</v>
      </c>
      <c r="E740" s="14">
        <f t="shared" si="142"/>
        <v>0</v>
      </c>
      <c r="K740" s="276">
        <f t="shared" si="146"/>
        <v>0</v>
      </c>
      <c r="L740" s="388">
        <f t="shared" si="140"/>
        <v>0</v>
      </c>
      <c r="M740" s="388">
        <f t="shared" si="147"/>
        <v>0</v>
      </c>
      <c r="N740" s="594" t="str">
        <f>INDEX(tblSubjectToLoan[Date],ROW()-ROW(tblContractForDeed[#Headers]))</f>
        <v/>
      </c>
      <c r="O740" s="276">
        <f>IF(ROW()=ROW(tblContractForDeed[#Headers])+1,$O$6,IF(INDEX(tblContractForDeed[End Bal],ROW()-ROW(tblContractForDeed[#Headers])-1)&lt;0,0,INDEX(tblContractForDeed[End Bal],ROW()-ROW(tblContractForDeed[#Headers])-1)))</f>
        <v>0</v>
      </c>
      <c r="P740" s="447"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594" t="str">
        <f t="shared" si="143"/>
        <v/>
      </c>
      <c r="B741" s="276">
        <f t="shared" si="144"/>
        <v>0</v>
      </c>
      <c r="C741" s="14">
        <f t="shared" si="141"/>
        <v>0</v>
      </c>
      <c r="D741" s="14">
        <f t="shared" si="145"/>
        <v>0</v>
      </c>
      <c r="E741" s="14">
        <f t="shared" si="142"/>
        <v>0</v>
      </c>
      <c r="K741" s="276">
        <f t="shared" si="146"/>
        <v>0</v>
      </c>
      <c r="L741" s="388">
        <f t="shared" si="140"/>
        <v>0</v>
      </c>
      <c r="M741" s="388">
        <f t="shared" si="147"/>
        <v>0</v>
      </c>
      <c r="N741" s="594" t="str">
        <f>INDEX(tblSubjectToLoan[Date],ROW()-ROW(tblContractForDeed[#Headers]))</f>
        <v/>
      </c>
      <c r="O741" s="276">
        <f>IF(ROW()=ROW(tblContractForDeed[#Headers])+1,$O$6,IF(INDEX(tblContractForDeed[End Bal],ROW()-ROW(tblContractForDeed[#Headers])-1)&lt;0,0,INDEX(tblContractForDeed[End Bal],ROW()-ROW(tblContractForDeed[#Headers])-1)))</f>
        <v>0</v>
      </c>
      <c r="P741" s="447"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594" t="str">
        <f t="shared" si="143"/>
        <v/>
      </c>
      <c r="B742" s="276">
        <f t="shared" si="144"/>
        <v>0</v>
      </c>
      <c r="C742" s="14">
        <f t="shared" si="141"/>
        <v>0</v>
      </c>
      <c r="D742" s="14">
        <f t="shared" si="145"/>
        <v>0</v>
      </c>
      <c r="E742" s="14">
        <f t="shared" si="142"/>
        <v>0</v>
      </c>
      <c r="K742" s="276">
        <f t="shared" si="146"/>
        <v>0</v>
      </c>
      <c r="L742" s="388">
        <f t="shared" si="140"/>
        <v>0</v>
      </c>
      <c r="M742" s="388">
        <f t="shared" si="147"/>
        <v>0</v>
      </c>
      <c r="N742" s="594" t="str">
        <f>INDEX(tblSubjectToLoan[Date],ROW()-ROW(tblContractForDeed[#Headers]))</f>
        <v/>
      </c>
      <c r="O742" s="276">
        <f>IF(ROW()=ROW(tblContractForDeed[#Headers])+1,$O$6,IF(INDEX(tblContractForDeed[End Bal],ROW()-ROW(tblContractForDeed[#Headers])-1)&lt;0,0,INDEX(tblContractForDeed[End Bal],ROW()-ROW(tblContractForDeed[#Headers])-1)))</f>
        <v>0</v>
      </c>
      <c r="P742" s="447"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594" t="str">
        <f t="shared" si="143"/>
        <v/>
      </c>
      <c r="B743" s="276">
        <f t="shared" si="144"/>
        <v>0</v>
      </c>
      <c r="C743" s="14">
        <f t="shared" si="141"/>
        <v>0</v>
      </c>
      <c r="D743" s="14">
        <f t="shared" si="145"/>
        <v>0</v>
      </c>
      <c r="E743" s="14">
        <f t="shared" si="142"/>
        <v>0</v>
      </c>
      <c r="K743" s="276">
        <f t="shared" si="146"/>
        <v>0</v>
      </c>
      <c r="L743" s="388">
        <f t="shared" si="140"/>
        <v>0</v>
      </c>
      <c r="M743" s="388">
        <f t="shared" si="147"/>
        <v>0</v>
      </c>
      <c r="N743" s="594" t="str">
        <f>INDEX(tblSubjectToLoan[Date],ROW()-ROW(tblContractForDeed[#Headers]))</f>
        <v/>
      </c>
      <c r="O743" s="276">
        <f>IF(ROW()=ROW(tblContractForDeed[#Headers])+1,$O$6,IF(INDEX(tblContractForDeed[End Bal],ROW()-ROW(tblContractForDeed[#Headers])-1)&lt;0,0,INDEX(tblContractForDeed[End Bal],ROW()-ROW(tblContractForDeed[#Headers])-1)))</f>
        <v>0</v>
      </c>
      <c r="P743" s="447"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594" t="str">
        <f t="shared" si="143"/>
        <v/>
      </c>
      <c r="B744" s="276">
        <f t="shared" si="144"/>
        <v>0</v>
      </c>
      <c r="C744" s="14">
        <f t="shared" si="141"/>
        <v>0</v>
      </c>
      <c r="D744" s="14">
        <f t="shared" si="145"/>
        <v>0</v>
      </c>
      <c r="E744" s="14">
        <f t="shared" si="142"/>
        <v>0</v>
      </c>
      <c r="K744" s="276">
        <f t="shared" si="146"/>
        <v>0</v>
      </c>
      <c r="L744" s="388">
        <f t="shared" si="140"/>
        <v>0</v>
      </c>
      <c r="M744" s="388">
        <f t="shared" si="147"/>
        <v>0</v>
      </c>
      <c r="N744" s="594" t="str">
        <f>INDEX(tblSubjectToLoan[Date],ROW()-ROW(tblContractForDeed[#Headers]))</f>
        <v/>
      </c>
      <c r="O744" s="276">
        <f>IF(ROW()=ROW(tblContractForDeed[#Headers])+1,$O$6,IF(INDEX(tblContractForDeed[End Bal],ROW()-ROW(tblContractForDeed[#Headers])-1)&lt;0,0,INDEX(tblContractForDeed[End Bal],ROW()-ROW(tblContractForDeed[#Headers])-1)))</f>
        <v>0</v>
      </c>
      <c r="P744" s="447"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594" t="str">
        <f t="shared" si="143"/>
        <v/>
      </c>
      <c r="B745" s="276">
        <f t="shared" si="144"/>
        <v>0</v>
      </c>
      <c r="C745" s="14">
        <f t="shared" si="141"/>
        <v>0</v>
      </c>
      <c r="D745" s="14">
        <f t="shared" si="145"/>
        <v>0</v>
      </c>
      <c r="E745" s="14">
        <f t="shared" si="142"/>
        <v>0</v>
      </c>
      <c r="K745" s="276">
        <f t="shared" si="146"/>
        <v>0</v>
      </c>
      <c r="L745" s="388">
        <f t="shared" si="140"/>
        <v>0</v>
      </c>
      <c r="M745" s="388">
        <f t="shared" si="147"/>
        <v>0</v>
      </c>
      <c r="N745" s="594" t="str">
        <f>INDEX(tblSubjectToLoan[Date],ROW()-ROW(tblContractForDeed[#Headers]))</f>
        <v/>
      </c>
      <c r="O745" s="276">
        <f>IF(ROW()=ROW(tblContractForDeed[#Headers])+1,$O$6,IF(INDEX(tblContractForDeed[End Bal],ROW()-ROW(tblContractForDeed[#Headers])-1)&lt;0,0,INDEX(tblContractForDeed[End Bal],ROW()-ROW(tblContractForDeed[#Headers])-1)))</f>
        <v>0</v>
      </c>
      <c r="P745" s="447"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594" t="str">
        <f t="shared" si="143"/>
        <v/>
      </c>
      <c r="B746" s="276">
        <f t="shared" si="144"/>
        <v>0</v>
      </c>
      <c r="C746" s="14">
        <f t="shared" si="141"/>
        <v>0</v>
      </c>
      <c r="D746" s="14">
        <f t="shared" si="145"/>
        <v>0</v>
      </c>
      <c r="E746" s="14">
        <f t="shared" si="142"/>
        <v>0</v>
      </c>
      <c r="K746" s="276">
        <f t="shared" si="146"/>
        <v>0</v>
      </c>
      <c r="L746" s="388">
        <f t="shared" si="140"/>
        <v>0</v>
      </c>
      <c r="M746" s="388">
        <f t="shared" si="147"/>
        <v>0</v>
      </c>
      <c r="N746" s="594" t="str">
        <f>INDEX(tblSubjectToLoan[Date],ROW()-ROW(tblContractForDeed[#Headers]))</f>
        <v/>
      </c>
      <c r="O746" s="276">
        <f>IF(ROW()=ROW(tblContractForDeed[#Headers])+1,$O$6,IF(INDEX(tblContractForDeed[End Bal],ROW()-ROW(tblContractForDeed[#Headers])-1)&lt;0,0,INDEX(tblContractForDeed[End Bal],ROW()-ROW(tblContractForDeed[#Headers])-1)))</f>
        <v>0</v>
      </c>
      <c r="P746" s="447"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594" t="str">
        <f t="shared" si="143"/>
        <v/>
      </c>
      <c r="B747" s="276">
        <f t="shared" si="144"/>
        <v>0</v>
      </c>
      <c r="C747" s="14">
        <f t="shared" si="141"/>
        <v>0</v>
      </c>
      <c r="D747" s="14">
        <f t="shared" si="145"/>
        <v>0</v>
      </c>
      <c r="E747" s="14">
        <f t="shared" si="142"/>
        <v>0</v>
      </c>
      <c r="K747" s="276">
        <f t="shared" si="146"/>
        <v>0</v>
      </c>
      <c r="L747" s="388">
        <f t="shared" si="140"/>
        <v>0</v>
      </c>
      <c r="M747" s="388">
        <f t="shared" si="147"/>
        <v>0</v>
      </c>
      <c r="N747" s="594" t="str">
        <f>INDEX(tblSubjectToLoan[Date],ROW()-ROW(tblContractForDeed[#Headers]))</f>
        <v/>
      </c>
      <c r="O747" s="276">
        <f>IF(ROW()=ROW(tblContractForDeed[#Headers])+1,$O$6,IF(INDEX(tblContractForDeed[End Bal],ROW()-ROW(tblContractForDeed[#Headers])-1)&lt;0,0,INDEX(tblContractForDeed[End Bal],ROW()-ROW(tblContractForDeed[#Headers])-1)))</f>
        <v>0</v>
      </c>
      <c r="P747" s="447"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594" t="str">
        <f t="shared" si="143"/>
        <v/>
      </c>
      <c r="B748" s="276">
        <f t="shared" si="144"/>
        <v>0</v>
      </c>
      <c r="C748" s="14">
        <f t="shared" si="141"/>
        <v>0</v>
      </c>
      <c r="D748" s="14">
        <f t="shared" si="145"/>
        <v>0</v>
      </c>
      <c r="E748" s="14">
        <f t="shared" si="142"/>
        <v>0</v>
      </c>
      <c r="K748" s="276">
        <f t="shared" si="146"/>
        <v>0</v>
      </c>
      <c r="L748" s="388">
        <f t="shared" si="140"/>
        <v>0</v>
      </c>
      <c r="M748" s="388">
        <f t="shared" si="147"/>
        <v>0</v>
      </c>
      <c r="N748" s="594" t="str">
        <f>INDEX(tblSubjectToLoan[Date],ROW()-ROW(tblContractForDeed[#Headers]))</f>
        <v/>
      </c>
      <c r="O748" s="276">
        <f>IF(ROW()=ROW(tblContractForDeed[#Headers])+1,$O$6,IF(INDEX(tblContractForDeed[End Bal],ROW()-ROW(tblContractForDeed[#Headers])-1)&lt;0,0,INDEX(tblContractForDeed[End Bal],ROW()-ROW(tblContractForDeed[#Headers])-1)))</f>
        <v>0</v>
      </c>
      <c r="P748" s="447"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594" t="str">
        <f t="shared" si="143"/>
        <v/>
      </c>
      <c r="B749" s="276">
        <f t="shared" si="144"/>
        <v>0</v>
      </c>
      <c r="C749" s="14">
        <f t="shared" si="141"/>
        <v>0</v>
      </c>
      <c r="D749" s="14">
        <f t="shared" si="145"/>
        <v>0</v>
      </c>
      <c r="E749" s="14">
        <f t="shared" si="142"/>
        <v>0</v>
      </c>
      <c r="K749" s="276">
        <f t="shared" si="146"/>
        <v>0</v>
      </c>
      <c r="L749" s="388">
        <f t="shared" si="140"/>
        <v>0</v>
      </c>
      <c r="M749" s="388">
        <f t="shared" si="147"/>
        <v>0</v>
      </c>
      <c r="N749" s="594" t="str">
        <f>INDEX(tblSubjectToLoan[Date],ROW()-ROW(tblContractForDeed[#Headers]))</f>
        <v/>
      </c>
      <c r="O749" s="276">
        <f>IF(ROW()=ROW(tblContractForDeed[#Headers])+1,$O$6,IF(INDEX(tblContractForDeed[End Bal],ROW()-ROW(tblContractForDeed[#Headers])-1)&lt;0,0,INDEX(tblContractForDeed[End Bal],ROW()-ROW(tblContractForDeed[#Headers])-1)))</f>
        <v>0</v>
      </c>
      <c r="P749" s="447"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594" t="str">
        <f t="shared" si="143"/>
        <v/>
      </c>
      <c r="B750" s="276">
        <f t="shared" si="144"/>
        <v>0</v>
      </c>
      <c r="C750" s="14">
        <f t="shared" si="141"/>
        <v>0</v>
      </c>
      <c r="D750" s="14">
        <f t="shared" si="145"/>
        <v>0</v>
      </c>
      <c r="E750" s="14">
        <f t="shared" si="142"/>
        <v>0</v>
      </c>
      <c r="K750" s="276">
        <f t="shared" si="146"/>
        <v>0</v>
      </c>
      <c r="L750" s="388">
        <f t="shared" si="140"/>
        <v>0</v>
      </c>
      <c r="M750" s="388">
        <f t="shared" si="147"/>
        <v>0</v>
      </c>
      <c r="N750" s="594" t="str">
        <f>INDEX(tblSubjectToLoan[Date],ROW()-ROW(tblContractForDeed[#Headers]))</f>
        <v/>
      </c>
      <c r="O750" s="276">
        <f>IF(ROW()=ROW(tblContractForDeed[#Headers])+1,$O$6,IF(INDEX(tblContractForDeed[End Bal],ROW()-ROW(tblContractForDeed[#Headers])-1)&lt;0,0,INDEX(tblContractForDeed[End Bal],ROW()-ROW(tblContractForDeed[#Headers])-1)))</f>
        <v>0</v>
      </c>
      <c r="P750" s="447"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595" t="str">
        <f t="shared" si="143"/>
        <v/>
      </c>
      <c r="B751" s="328">
        <f t="shared" si="144"/>
        <v>0</v>
      </c>
      <c r="C751" s="21">
        <f t="shared" si="141"/>
        <v>0</v>
      </c>
      <c r="D751" s="21">
        <f t="shared" si="145"/>
        <v>0</v>
      </c>
      <c r="E751" s="21">
        <f t="shared" si="142"/>
        <v>0</v>
      </c>
      <c r="F751" s="21"/>
      <c r="G751" s="21"/>
      <c r="H751" s="21"/>
      <c r="I751" s="328"/>
      <c r="J751" s="328"/>
      <c r="K751" s="328">
        <f t="shared" si="146"/>
        <v>0</v>
      </c>
      <c r="L751" s="389">
        <f t="shared" si="140"/>
        <v>0</v>
      </c>
      <c r="M751" s="389">
        <f t="shared" si="147"/>
        <v>0</v>
      </c>
      <c r="N751" s="595" t="str">
        <f>INDEX(tblSubjectToLoan[Date],ROW()-ROW(tblContractForDeed[#Headers]))</f>
        <v/>
      </c>
      <c r="O751" s="328">
        <f>IF(ROW()=ROW(tblContractForDeed[#Headers])+1,$O$6,IF(INDEX(tblContractForDeed[End Bal],ROW()-ROW(tblContractForDeed[#Headers])-1)&lt;0,0,INDEX(tblContractForDeed[End Bal],ROW()-ROW(tblContractForDeed[#Headers])-1)))</f>
        <v>0</v>
      </c>
      <c r="P751" s="447"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8">
        <f>SUM(INDEX(tblContractForDeed[Princ],1):INDEX(tblContractForDeed[Princ],ROW()-ROW(tblContractForDeed[#Headers])))</f>
        <v>75258.000000000029</v>
      </c>
      <c r="X751" s="328">
        <f>IF(tblContractForDeed[[#This Row],[Beg]]&lt;=0,0,tblContractForDeed[[#This Row],[Beg]]-tblContractForDeed[[#This Row],[Princ]])</f>
        <v>0</v>
      </c>
      <c r="Y751"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8">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8">
        <f>IF(INDEX(tblContractForDeed[End Bal],ROW()-ROW(tblBuyerOutputs[#Headers]))&lt;=0,0,($O$6+IF(ROW()=ROW(tblBuyerOutputs[#Headers])+1,0,INDEX(tblBuyerOutputs[Cumul Appr],ROW()-ROW(tblBuyerOutputs[#Headers])-1)))*$O$2/12)</f>
        <v>0</v>
      </c>
      <c r="AE751" s="328">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594" t="str">
        <f t="shared" si="143"/>
        <v/>
      </c>
      <c r="B752" s="276">
        <f t="shared" si="144"/>
        <v>0</v>
      </c>
      <c r="C752" s="14">
        <f t="shared" si="141"/>
        <v>0</v>
      </c>
      <c r="D752" s="14">
        <f t="shared" si="145"/>
        <v>0</v>
      </c>
      <c r="E752" s="14">
        <f t="shared" si="142"/>
        <v>0</v>
      </c>
      <c r="K752" s="276">
        <f t="shared" si="146"/>
        <v>0</v>
      </c>
      <c r="L752" s="388">
        <f t="shared" si="140"/>
        <v>0</v>
      </c>
      <c r="M752" s="388">
        <f t="shared" si="147"/>
        <v>0</v>
      </c>
      <c r="N752" s="594" t="str">
        <f>INDEX(tblSubjectToLoan[Date],ROW()-ROW(tblContractForDeed[#Headers]))</f>
        <v/>
      </c>
      <c r="O752" s="276">
        <f>IF(ROW()=ROW(tblContractForDeed[#Headers])+1,$O$6,IF(INDEX(tblContractForDeed[End Bal],ROW()-ROW(tblContractForDeed[#Headers])-1)&lt;0,0,INDEX(tblContractForDeed[End Bal],ROW()-ROW(tblContractForDeed[#Headers])-1)))</f>
        <v>0</v>
      </c>
      <c r="P752" s="447"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594" t="str">
        <f t="shared" si="143"/>
        <v/>
      </c>
      <c r="B753" s="276">
        <f t="shared" si="144"/>
        <v>0</v>
      </c>
      <c r="C753" s="14">
        <f t="shared" si="141"/>
        <v>0</v>
      </c>
      <c r="D753" s="14">
        <f t="shared" si="145"/>
        <v>0</v>
      </c>
      <c r="E753" s="14">
        <f t="shared" si="142"/>
        <v>0</v>
      </c>
      <c r="K753" s="276">
        <f t="shared" si="146"/>
        <v>0</v>
      </c>
      <c r="L753" s="388">
        <f t="shared" si="140"/>
        <v>0</v>
      </c>
      <c r="M753" s="388">
        <f t="shared" si="147"/>
        <v>0</v>
      </c>
      <c r="N753" s="594" t="str">
        <f>INDEX(tblSubjectToLoan[Date],ROW()-ROW(tblContractForDeed[#Headers]))</f>
        <v/>
      </c>
      <c r="O753" s="276">
        <f>IF(ROW()=ROW(tblContractForDeed[#Headers])+1,$O$6,IF(INDEX(tblContractForDeed[End Bal],ROW()-ROW(tblContractForDeed[#Headers])-1)&lt;0,0,INDEX(tblContractForDeed[End Bal],ROW()-ROW(tblContractForDeed[#Headers])-1)))</f>
        <v>0</v>
      </c>
      <c r="P753" s="447"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594" t="str">
        <f t="shared" si="143"/>
        <v/>
      </c>
      <c r="B754" s="276">
        <f t="shared" si="144"/>
        <v>0</v>
      </c>
      <c r="C754" s="14">
        <f t="shared" si="141"/>
        <v>0</v>
      </c>
      <c r="D754" s="14">
        <f t="shared" si="145"/>
        <v>0</v>
      </c>
      <c r="E754" s="14">
        <f t="shared" si="142"/>
        <v>0</v>
      </c>
      <c r="K754" s="276">
        <f t="shared" si="146"/>
        <v>0</v>
      </c>
      <c r="L754" s="388">
        <f t="shared" si="140"/>
        <v>0</v>
      </c>
      <c r="M754" s="388">
        <f t="shared" si="147"/>
        <v>0</v>
      </c>
      <c r="N754" s="594" t="str">
        <f>INDEX(tblSubjectToLoan[Date],ROW()-ROW(tblContractForDeed[#Headers]))</f>
        <v/>
      </c>
      <c r="O754" s="276">
        <f>IF(ROW()=ROW(tblContractForDeed[#Headers])+1,$O$6,IF(INDEX(tblContractForDeed[End Bal],ROW()-ROW(tblContractForDeed[#Headers])-1)&lt;0,0,INDEX(tblContractForDeed[End Bal],ROW()-ROW(tblContractForDeed[#Headers])-1)))</f>
        <v>0</v>
      </c>
      <c r="P754" s="447"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594" t="str">
        <f t="shared" si="143"/>
        <v/>
      </c>
      <c r="B755" s="276">
        <f t="shared" si="144"/>
        <v>0</v>
      </c>
      <c r="C755" s="14">
        <f t="shared" si="141"/>
        <v>0</v>
      </c>
      <c r="D755" s="14">
        <f t="shared" si="145"/>
        <v>0</v>
      </c>
      <c r="E755" s="14">
        <f t="shared" si="142"/>
        <v>0</v>
      </c>
      <c r="K755" s="276">
        <f t="shared" si="146"/>
        <v>0</v>
      </c>
      <c r="L755" s="388">
        <f t="shared" si="140"/>
        <v>0</v>
      </c>
      <c r="M755" s="388">
        <f t="shared" si="147"/>
        <v>0</v>
      </c>
      <c r="N755" s="594" t="str">
        <f>INDEX(tblSubjectToLoan[Date],ROW()-ROW(tblContractForDeed[#Headers]))</f>
        <v/>
      </c>
      <c r="O755" s="276">
        <f>IF(ROW()=ROW(tblContractForDeed[#Headers])+1,$O$6,IF(INDEX(tblContractForDeed[End Bal],ROW()-ROW(tblContractForDeed[#Headers])-1)&lt;0,0,INDEX(tblContractForDeed[End Bal],ROW()-ROW(tblContractForDeed[#Headers])-1)))</f>
        <v>0</v>
      </c>
      <c r="P755" s="447"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594" t="str">
        <f t="shared" si="143"/>
        <v/>
      </c>
      <c r="B756" s="276">
        <f t="shared" si="144"/>
        <v>0</v>
      </c>
      <c r="C756" s="14">
        <f t="shared" si="141"/>
        <v>0</v>
      </c>
      <c r="D756" s="14">
        <f t="shared" si="145"/>
        <v>0</v>
      </c>
      <c r="E756" s="14">
        <f t="shared" si="142"/>
        <v>0</v>
      </c>
      <c r="K756" s="276">
        <f t="shared" si="146"/>
        <v>0</v>
      </c>
      <c r="L756" s="388">
        <f t="shared" ref="L756:L787" si="148">IF(MOD(M756,12)=0,M756/12,L755)</f>
        <v>0</v>
      </c>
      <c r="M756" s="388">
        <f t="shared" si="147"/>
        <v>0</v>
      </c>
      <c r="N756" s="594" t="str">
        <f>INDEX(tblSubjectToLoan[Date],ROW()-ROW(tblContractForDeed[#Headers]))</f>
        <v/>
      </c>
      <c r="O756" s="276">
        <f>IF(ROW()=ROW(tblContractForDeed[#Headers])+1,$O$6,IF(INDEX(tblContractForDeed[End Bal],ROW()-ROW(tblContractForDeed[#Headers])-1)&lt;0,0,INDEX(tblContractForDeed[End Bal],ROW()-ROW(tblContractForDeed[#Headers])-1)))</f>
        <v>0</v>
      </c>
      <c r="P756" s="447"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594" t="str">
        <f t="shared" si="143"/>
        <v/>
      </c>
      <c r="B757" s="276">
        <f t="shared" si="144"/>
        <v>0</v>
      </c>
      <c r="C757" s="14">
        <f t="shared" si="141"/>
        <v>0</v>
      </c>
      <c r="D757" s="14">
        <f t="shared" si="145"/>
        <v>0</v>
      </c>
      <c r="E757" s="14">
        <f t="shared" si="142"/>
        <v>0</v>
      </c>
      <c r="K757" s="276">
        <f t="shared" si="146"/>
        <v>0</v>
      </c>
      <c r="L757" s="388">
        <f t="shared" si="148"/>
        <v>0</v>
      </c>
      <c r="M757" s="388">
        <f t="shared" si="147"/>
        <v>0</v>
      </c>
      <c r="N757" s="594" t="str">
        <f>INDEX(tblSubjectToLoan[Date],ROW()-ROW(tblContractForDeed[#Headers]))</f>
        <v/>
      </c>
      <c r="O757" s="276">
        <f>IF(ROW()=ROW(tblContractForDeed[#Headers])+1,$O$6,IF(INDEX(tblContractForDeed[End Bal],ROW()-ROW(tblContractForDeed[#Headers])-1)&lt;0,0,INDEX(tblContractForDeed[End Bal],ROW()-ROW(tblContractForDeed[#Headers])-1)))</f>
        <v>0</v>
      </c>
      <c r="P757" s="447"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594" t="str">
        <f t="shared" si="143"/>
        <v/>
      </c>
      <c r="B758" s="276">
        <f t="shared" si="144"/>
        <v>0</v>
      </c>
      <c r="C758" s="14">
        <f t="shared" si="141"/>
        <v>0</v>
      </c>
      <c r="D758" s="14">
        <f t="shared" si="145"/>
        <v>0</v>
      </c>
      <c r="E758" s="14">
        <f t="shared" si="142"/>
        <v>0</v>
      </c>
      <c r="K758" s="276">
        <f t="shared" si="146"/>
        <v>0</v>
      </c>
      <c r="L758" s="388">
        <f t="shared" si="148"/>
        <v>0</v>
      </c>
      <c r="M758" s="388">
        <f t="shared" si="147"/>
        <v>0</v>
      </c>
      <c r="N758" s="594" t="str">
        <f>INDEX(tblSubjectToLoan[Date],ROW()-ROW(tblContractForDeed[#Headers]))</f>
        <v/>
      </c>
      <c r="O758" s="276">
        <f>IF(ROW()=ROW(tblContractForDeed[#Headers])+1,$O$6,IF(INDEX(tblContractForDeed[End Bal],ROW()-ROW(tblContractForDeed[#Headers])-1)&lt;0,0,INDEX(tblContractForDeed[End Bal],ROW()-ROW(tblContractForDeed[#Headers])-1)))</f>
        <v>0</v>
      </c>
      <c r="P758" s="447"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594" t="str">
        <f t="shared" si="143"/>
        <v/>
      </c>
      <c r="B759" s="276">
        <f t="shared" si="144"/>
        <v>0</v>
      </c>
      <c r="C759" s="14">
        <f t="shared" si="141"/>
        <v>0</v>
      </c>
      <c r="D759" s="14">
        <f t="shared" si="145"/>
        <v>0</v>
      </c>
      <c r="E759" s="14">
        <f t="shared" si="142"/>
        <v>0</v>
      </c>
      <c r="K759" s="276">
        <f t="shared" si="146"/>
        <v>0</v>
      </c>
      <c r="L759" s="388">
        <f t="shared" si="148"/>
        <v>0</v>
      </c>
      <c r="M759" s="388">
        <f t="shared" si="147"/>
        <v>0</v>
      </c>
      <c r="N759" s="594" t="str">
        <f>INDEX(tblSubjectToLoan[Date],ROW()-ROW(tblContractForDeed[#Headers]))</f>
        <v/>
      </c>
      <c r="O759" s="276">
        <f>IF(ROW()=ROW(tblContractForDeed[#Headers])+1,$O$6,IF(INDEX(tblContractForDeed[End Bal],ROW()-ROW(tblContractForDeed[#Headers])-1)&lt;0,0,INDEX(tblContractForDeed[End Bal],ROW()-ROW(tblContractForDeed[#Headers])-1)))</f>
        <v>0</v>
      </c>
      <c r="P759" s="447"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594" t="str">
        <f t="shared" si="143"/>
        <v/>
      </c>
      <c r="B760" s="276">
        <f t="shared" si="144"/>
        <v>0</v>
      </c>
      <c r="C760" s="14">
        <f t="shared" si="141"/>
        <v>0</v>
      </c>
      <c r="D760" s="14">
        <f t="shared" si="145"/>
        <v>0</v>
      </c>
      <c r="E760" s="14">
        <f t="shared" si="142"/>
        <v>0</v>
      </c>
      <c r="K760" s="276">
        <f t="shared" si="146"/>
        <v>0</v>
      </c>
      <c r="L760" s="388">
        <f t="shared" si="148"/>
        <v>0</v>
      </c>
      <c r="M760" s="388">
        <f t="shared" si="147"/>
        <v>0</v>
      </c>
      <c r="N760" s="594" t="str">
        <f>INDEX(tblSubjectToLoan[Date],ROW()-ROW(tblContractForDeed[#Headers]))</f>
        <v/>
      </c>
      <c r="O760" s="276">
        <f>IF(ROW()=ROW(tblContractForDeed[#Headers])+1,$O$6,IF(INDEX(tblContractForDeed[End Bal],ROW()-ROW(tblContractForDeed[#Headers])-1)&lt;0,0,INDEX(tblContractForDeed[End Bal],ROW()-ROW(tblContractForDeed[#Headers])-1)))</f>
        <v>0</v>
      </c>
      <c r="P760" s="447"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594" t="str">
        <f t="shared" si="143"/>
        <v/>
      </c>
      <c r="B761" s="276">
        <f t="shared" si="144"/>
        <v>0</v>
      </c>
      <c r="C761" s="14">
        <f t="shared" si="141"/>
        <v>0</v>
      </c>
      <c r="D761" s="14">
        <f t="shared" si="145"/>
        <v>0</v>
      </c>
      <c r="E761" s="14">
        <f t="shared" si="142"/>
        <v>0</v>
      </c>
      <c r="K761" s="276">
        <f t="shared" si="146"/>
        <v>0</v>
      </c>
      <c r="L761" s="388">
        <f t="shared" si="148"/>
        <v>0</v>
      </c>
      <c r="M761" s="388">
        <f t="shared" si="147"/>
        <v>0</v>
      </c>
      <c r="N761" s="594" t="str">
        <f>INDEX(tblSubjectToLoan[Date],ROW()-ROW(tblContractForDeed[#Headers]))</f>
        <v/>
      </c>
      <c r="O761" s="276">
        <f>IF(ROW()=ROW(tblContractForDeed[#Headers])+1,$O$6,IF(INDEX(tblContractForDeed[End Bal],ROW()-ROW(tblContractForDeed[#Headers])-1)&lt;0,0,INDEX(tblContractForDeed[End Bal],ROW()-ROW(tblContractForDeed[#Headers])-1)))</f>
        <v>0</v>
      </c>
      <c r="P761" s="447"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594" t="str">
        <f t="shared" si="143"/>
        <v/>
      </c>
      <c r="B762" s="276">
        <f t="shared" si="144"/>
        <v>0</v>
      </c>
      <c r="C762" s="14">
        <f t="shared" si="141"/>
        <v>0</v>
      </c>
      <c r="D762" s="14">
        <f t="shared" si="145"/>
        <v>0</v>
      </c>
      <c r="E762" s="14">
        <f t="shared" si="142"/>
        <v>0</v>
      </c>
      <c r="K762" s="276">
        <f t="shared" si="146"/>
        <v>0</v>
      </c>
      <c r="L762" s="388">
        <f t="shared" si="148"/>
        <v>0</v>
      </c>
      <c r="M762" s="388">
        <f t="shared" si="147"/>
        <v>0</v>
      </c>
      <c r="N762" s="594" t="str">
        <f>INDEX(tblSubjectToLoan[Date],ROW()-ROW(tblContractForDeed[#Headers]))</f>
        <v/>
      </c>
      <c r="O762" s="276">
        <f>IF(ROW()=ROW(tblContractForDeed[#Headers])+1,$O$6,IF(INDEX(tblContractForDeed[End Bal],ROW()-ROW(tblContractForDeed[#Headers])-1)&lt;0,0,INDEX(tblContractForDeed[End Bal],ROW()-ROW(tblContractForDeed[#Headers])-1)))</f>
        <v>0</v>
      </c>
      <c r="P762" s="447"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595" t="str">
        <f t="shared" si="143"/>
        <v/>
      </c>
      <c r="B763" s="328">
        <f t="shared" si="144"/>
        <v>0</v>
      </c>
      <c r="C763" s="21">
        <f t="shared" si="141"/>
        <v>0</v>
      </c>
      <c r="D763" s="21">
        <f t="shared" si="145"/>
        <v>0</v>
      </c>
      <c r="E763" s="21">
        <f t="shared" si="142"/>
        <v>0</v>
      </c>
      <c r="F763" s="21"/>
      <c r="G763" s="21"/>
      <c r="H763" s="21"/>
      <c r="I763" s="328"/>
      <c r="J763" s="328"/>
      <c r="K763" s="328">
        <f t="shared" si="146"/>
        <v>0</v>
      </c>
      <c r="L763" s="389">
        <f t="shared" si="148"/>
        <v>0</v>
      </c>
      <c r="M763" s="389">
        <f t="shared" si="147"/>
        <v>0</v>
      </c>
      <c r="N763" s="595" t="str">
        <f>INDEX(tblSubjectToLoan[Date],ROW()-ROW(tblContractForDeed[#Headers]))</f>
        <v/>
      </c>
      <c r="O763" s="328">
        <f>IF(ROW()=ROW(tblContractForDeed[#Headers])+1,$O$6,IF(INDEX(tblContractForDeed[End Bal],ROW()-ROW(tblContractForDeed[#Headers])-1)&lt;0,0,INDEX(tblContractForDeed[End Bal],ROW()-ROW(tblContractForDeed[#Headers])-1)))</f>
        <v>0</v>
      </c>
      <c r="P763" s="447"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8">
        <f>SUM(INDEX(tblContractForDeed[Princ],1):INDEX(tblContractForDeed[Princ],ROW()-ROW(tblContractForDeed[#Headers])))</f>
        <v>75258.000000000029</v>
      </c>
      <c r="X763" s="328">
        <f>IF(tblContractForDeed[[#This Row],[Beg]]&lt;=0,0,tblContractForDeed[[#This Row],[Beg]]-tblContractForDeed[[#This Row],[Princ]])</f>
        <v>0</v>
      </c>
      <c r="Y763"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8">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8">
        <f>IF(INDEX(tblContractForDeed[End Bal],ROW()-ROW(tblBuyerOutputs[#Headers]))&lt;=0,0,($O$6+IF(ROW()=ROW(tblBuyerOutputs[#Headers])+1,0,INDEX(tblBuyerOutputs[Cumul Appr],ROW()-ROW(tblBuyerOutputs[#Headers])-1)))*$O$2/12)</f>
        <v>0</v>
      </c>
      <c r="AE763" s="328">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594" t="str">
        <f t="shared" si="143"/>
        <v/>
      </c>
      <c r="B764" s="276">
        <f t="shared" si="144"/>
        <v>0</v>
      </c>
      <c r="C764" s="14">
        <f t="shared" si="141"/>
        <v>0</v>
      </c>
      <c r="D764" s="14">
        <f t="shared" si="145"/>
        <v>0</v>
      </c>
      <c r="E764" s="14">
        <f t="shared" si="142"/>
        <v>0</v>
      </c>
      <c r="K764" s="276">
        <f t="shared" si="146"/>
        <v>0</v>
      </c>
      <c r="L764" s="388">
        <f t="shared" si="148"/>
        <v>0</v>
      </c>
      <c r="M764" s="388">
        <f t="shared" si="147"/>
        <v>0</v>
      </c>
      <c r="N764" s="594" t="str">
        <f>INDEX(tblSubjectToLoan[Date],ROW()-ROW(tblContractForDeed[#Headers]))</f>
        <v/>
      </c>
      <c r="O764" s="276">
        <f>IF(ROW()=ROW(tblContractForDeed[#Headers])+1,$O$6,IF(INDEX(tblContractForDeed[End Bal],ROW()-ROW(tblContractForDeed[#Headers])-1)&lt;0,0,INDEX(tblContractForDeed[End Bal],ROW()-ROW(tblContractForDeed[#Headers])-1)))</f>
        <v>0</v>
      </c>
      <c r="P764" s="447"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594" t="str">
        <f t="shared" si="143"/>
        <v/>
      </c>
      <c r="B765" s="276">
        <f t="shared" si="144"/>
        <v>0</v>
      </c>
      <c r="C765" s="14">
        <f t="shared" si="141"/>
        <v>0</v>
      </c>
      <c r="D765" s="14">
        <f t="shared" si="145"/>
        <v>0</v>
      </c>
      <c r="E765" s="14">
        <f t="shared" si="142"/>
        <v>0</v>
      </c>
      <c r="K765" s="276">
        <f t="shared" si="146"/>
        <v>0</v>
      </c>
      <c r="L765" s="388">
        <f t="shared" si="148"/>
        <v>0</v>
      </c>
      <c r="M765" s="388">
        <f t="shared" si="147"/>
        <v>0</v>
      </c>
      <c r="N765" s="594" t="str">
        <f>INDEX(tblSubjectToLoan[Date],ROW()-ROW(tblContractForDeed[#Headers]))</f>
        <v/>
      </c>
      <c r="O765" s="276">
        <f>IF(ROW()=ROW(tblContractForDeed[#Headers])+1,$O$6,IF(INDEX(tblContractForDeed[End Bal],ROW()-ROW(tblContractForDeed[#Headers])-1)&lt;0,0,INDEX(tblContractForDeed[End Bal],ROW()-ROW(tblContractForDeed[#Headers])-1)))</f>
        <v>0</v>
      </c>
      <c r="P765" s="447"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594" t="str">
        <f t="shared" si="143"/>
        <v/>
      </c>
      <c r="B766" s="276">
        <f t="shared" si="144"/>
        <v>0</v>
      </c>
      <c r="C766" s="14">
        <f t="shared" si="141"/>
        <v>0</v>
      </c>
      <c r="D766" s="14">
        <f t="shared" si="145"/>
        <v>0</v>
      </c>
      <c r="E766" s="14">
        <f t="shared" si="142"/>
        <v>0</v>
      </c>
      <c r="K766" s="276">
        <f t="shared" si="146"/>
        <v>0</v>
      </c>
      <c r="L766" s="388">
        <f t="shared" si="148"/>
        <v>0</v>
      </c>
      <c r="M766" s="388">
        <f t="shared" si="147"/>
        <v>0</v>
      </c>
      <c r="N766" s="594" t="str">
        <f>INDEX(tblSubjectToLoan[Date],ROW()-ROW(tblContractForDeed[#Headers]))</f>
        <v/>
      </c>
      <c r="O766" s="276">
        <f>IF(ROW()=ROW(tblContractForDeed[#Headers])+1,$O$6,IF(INDEX(tblContractForDeed[End Bal],ROW()-ROW(tblContractForDeed[#Headers])-1)&lt;0,0,INDEX(tblContractForDeed[End Bal],ROW()-ROW(tblContractForDeed[#Headers])-1)))</f>
        <v>0</v>
      </c>
      <c r="P766" s="447"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594" t="str">
        <f t="shared" si="143"/>
        <v/>
      </c>
      <c r="B767" s="276">
        <f t="shared" si="144"/>
        <v>0</v>
      </c>
      <c r="C767" s="14">
        <f t="shared" si="141"/>
        <v>0</v>
      </c>
      <c r="D767" s="14">
        <f t="shared" si="145"/>
        <v>0</v>
      </c>
      <c r="E767" s="14">
        <f t="shared" si="142"/>
        <v>0</v>
      </c>
      <c r="K767" s="276">
        <f t="shared" si="146"/>
        <v>0</v>
      </c>
      <c r="L767" s="388">
        <f t="shared" si="148"/>
        <v>0</v>
      </c>
      <c r="M767" s="388">
        <f t="shared" si="147"/>
        <v>0</v>
      </c>
      <c r="N767" s="594" t="str">
        <f>INDEX(tblSubjectToLoan[Date],ROW()-ROW(tblContractForDeed[#Headers]))</f>
        <v/>
      </c>
      <c r="O767" s="276">
        <f>IF(ROW()=ROW(tblContractForDeed[#Headers])+1,$O$6,IF(INDEX(tblContractForDeed[End Bal],ROW()-ROW(tblContractForDeed[#Headers])-1)&lt;0,0,INDEX(tblContractForDeed[End Bal],ROW()-ROW(tblContractForDeed[#Headers])-1)))</f>
        <v>0</v>
      </c>
      <c r="P767" s="447"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594" t="str">
        <f t="shared" si="143"/>
        <v/>
      </c>
      <c r="B768" s="276">
        <f t="shared" si="144"/>
        <v>0</v>
      </c>
      <c r="C768" s="14">
        <f t="shared" si="141"/>
        <v>0</v>
      </c>
      <c r="D768" s="14">
        <f t="shared" si="145"/>
        <v>0</v>
      </c>
      <c r="E768" s="14">
        <f t="shared" si="142"/>
        <v>0</v>
      </c>
      <c r="K768" s="276">
        <f t="shared" si="146"/>
        <v>0</v>
      </c>
      <c r="L768" s="388">
        <f t="shared" si="148"/>
        <v>0</v>
      </c>
      <c r="M768" s="388">
        <f t="shared" si="147"/>
        <v>0</v>
      </c>
      <c r="N768" s="594" t="str">
        <f>INDEX(tblSubjectToLoan[Date],ROW()-ROW(tblContractForDeed[#Headers]))</f>
        <v/>
      </c>
      <c r="O768" s="276">
        <f>IF(ROW()=ROW(tblContractForDeed[#Headers])+1,$O$6,IF(INDEX(tblContractForDeed[End Bal],ROW()-ROW(tblContractForDeed[#Headers])-1)&lt;0,0,INDEX(tblContractForDeed[End Bal],ROW()-ROW(tblContractForDeed[#Headers])-1)))</f>
        <v>0</v>
      </c>
      <c r="P768" s="447"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594" t="str">
        <f t="shared" si="143"/>
        <v/>
      </c>
      <c r="B769" s="276">
        <f t="shared" si="144"/>
        <v>0</v>
      </c>
      <c r="C769" s="14">
        <f t="shared" si="141"/>
        <v>0</v>
      </c>
      <c r="D769" s="14">
        <f t="shared" si="145"/>
        <v>0</v>
      </c>
      <c r="E769" s="14">
        <f t="shared" si="142"/>
        <v>0</v>
      </c>
      <c r="K769" s="276">
        <f t="shared" si="146"/>
        <v>0</v>
      </c>
      <c r="L769" s="388">
        <f t="shared" si="148"/>
        <v>0</v>
      </c>
      <c r="M769" s="388">
        <f t="shared" si="147"/>
        <v>0</v>
      </c>
      <c r="N769" s="594" t="str">
        <f>INDEX(tblSubjectToLoan[Date],ROW()-ROW(tblContractForDeed[#Headers]))</f>
        <v/>
      </c>
      <c r="O769" s="276">
        <f>IF(ROW()=ROW(tblContractForDeed[#Headers])+1,$O$6,IF(INDEX(tblContractForDeed[End Bal],ROW()-ROW(tblContractForDeed[#Headers])-1)&lt;0,0,INDEX(tblContractForDeed[End Bal],ROW()-ROW(tblContractForDeed[#Headers])-1)))</f>
        <v>0</v>
      </c>
      <c r="P769" s="447"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594" t="str">
        <f t="shared" si="143"/>
        <v/>
      </c>
      <c r="B770" s="276">
        <f t="shared" si="144"/>
        <v>0</v>
      </c>
      <c r="C770" s="14">
        <f t="shared" si="141"/>
        <v>0</v>
      </c>
      <c r="D770" s="14">
        <f t="shared" si="145"/>
        <v>0</v>
      </c>
      <c r="E770" s="14">
        <f t="shared" si="142"/>
        <v>0</v>
      </c>
      <c r="K770" s="276">
        <f t="shared" si="146"/>
        <v>0</v>
      </c>
      <c r="L770" s="388">
        <f t="shared" si="148"/>
        <v>0</v>
      </c>
      <c r="M770" s="388">
        <f t="shared" si="147"/>
        <v>0</v>
      </c>
      <c r="N770" s="594" t="str">
        <f>INDEX(tblSubjectToLoan[Date],ROW()-ROW(tblContractForDeed[#Headers]))</f>
        <v/>
      </c>
      <c r="O770" s="276">
        <f>IF(ROW()=ROW(tblContractForDeed[#Headers])+1,$O$6,IF(INDEX(tblContractForDeed[End Bal],ROW()-ROW(tblContractForDeed[#Headers])-1)&lt;0,0,INDEX(tblContractForDeed[End Bal],ROW()-ROW(tblContractForDeed[#Headers])-1)))</f>
        <v>0</v>
      </c>
      <c r="P770" s="447"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594" t="str">
        <f t="shared" si="143"/>
        <v/>
      </c>
      <c r="B771" s="276">
        <f t="shared" si="144"/>
        <v>0</v>
      </c>
      <c r="C771" s="14">
        <f t="shared" si="141"/>
        <v>0</v>
      </c>
      <c r="D771" s="14">
        <f t="shared" si="145"/>
        <v>0</v>
      </c>
      <c r="E771" s="14">
        <f t="shared" si="142"/>
        <v>0</v>
      </c>
      <c r="K771" s="276">
        <f t="shared" si="146"/>
        <v>0</v>
      </c>
      <c r="L771" s="388">
        <f t="shared" si="148"/>
        <v>0</v>
      </c>
      <c r="M771" s="388">
        <f t="shared" si="147"/>
        <v>0</v>
      </c>
      <c r="N771" s="594" t="str">
        <f>INDEX(tblSubjectToLoan[Date],ROW()-ROW(tblContractForDeed[#Headers]))</f>
        <v/>
      </c>
      <c r="O771" s="276">
        <f>IF(ROW()=ROW(tblContractForDeed[#Headers])+1,$O$6,IF(INDEX(tblContractForDeed[End Bal],ROW()-ROW(tblContractForDeed[#Headers])-1)&lt;0,0,INDEX(tblContractForDeed[End Bal],ROW()-ROW(tblContractForDeed[#Headers])-1)))</f>
        <v>0</v>
      </c>
      <c r="P771" s="447"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594" t="str">
        <f t="shared" si="143"/>
        <v/>
      </c>
      <c r="B772" s="276">
        <f t="shared" si="144"/>
        <v>0</v>
      </c>
      <c r="C772" s="14">
        <f t="shared" si="141"/>
        <v>0</v>
      </c>
      <c r="D772" s="14">
        <f t="shared" si="145"/>
        <v>0</v>
      </c>
      <c r="E772" s="14">
        <f t="shared" si="142"/>
        <v>0</v>
      </c>
      <c r="K772" s="276">
        <f t="shared" si="146"/>
        <v>0</v>
      </c>
      <c r="L772" s="388">
        <f t="shared" si="148"/>
        <v>0</v>
      </c>
      <c r="M772" s="388">
        <f t="shared" si="147"/>
        <v>0</v>
      </c>
      <c r="N772" s="594" t="str">
        <f>INDEX(tblSubjectToLoan[Date],ROW()-ROW(tblContractForDeed[#Headers]))</f>
        <v/>
      </c>
      <c r="O772" s="276">
        <f>IF(ROW()=ROW(tblContractForDeed[#Headers])+1,$O$6,IF(INDEX(tblContractForDeed[End Bal],ROW()-ROW(tblContractForDeed[#Headers])-1)&lt;0,0,INDEX(tblContractForDeed[End Bal],ROW()-ROW(tblContractForDeed[#Headers])-1)))</f>
        <v>0</v>
      </c>
      <c r="P772" s="447"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594" t="str">
        <f t="shared" si="143"/>
        <v/>
      </c>
      <c r="B773" s="276">
        <f t="shared" si="144"/>
        <v>0</v>
      </c>
      <c r="C773" s="14">
        <f t="shared" si="141"/>
        <v>0</v>
      </c>
      <c r="D773" s="14">
        <f t="shared" si="145"/>
        <v>0</v>
      </c>
      <c r="E773" s="14">
        <f t="shared" si="142"/>
        <v>0</v>
      </c>
      <c r="K773" s="276">
        <f t="shared" si="146"/>
        <v>0</v>
      </c>
      <c r="L773" s="388">
        <f t="shared" si="148"/>
        <v>0</v>
      </c>
      <c r="M773" s="388">
        <f t="shared" si="147"/>
        <v>0</v>
      </c>
      <c r="N773" s="594" t="str">
        <f>INDEX(tblSubjectToLoan[Date],ROW()-ROW(tblContractForDeed[#Headers]))</f>
        <v/>
      </c>
      <c r="O773" s="276">
        <f>IF(ROW()=ROW(tblContractForDeed[#Headers])+1,$O$6,IF(INDEX(tblContractForDeed[End Bal],ROW()-ROW(tblContractForDeed[#Headers])-1)&lt;0,0,INDEX(tblContractForDeed[End Bal],ROW()-ROW(tblContractForDeed[#Headers])-1)))</f>
        <v>0</v>
      </c>
      <c r="P773" s="447"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594" t="str">
        <f t="shared" si="143"/>
        <v/>
      </c>
      <c r="B774" s="276">
        <f t="shared" si="144"/>
        <v>0</v>
      </c>
      <c r="C774" s="14">
        <f t="shared" si="141"/>
        <v>0</v>
      </c>
      <c r="D774" s="14">
        <f t="shared" si="145"/>
        <v>0</v>
      </c>
      <c r="E774" s="14">
        <f t="shared" si="142"/>
        <v>0</v>
      </c>
      <c r="K774" s="276">
        <f t="shared" si="146"/>
        <v>0</v>
      </c>
      <c r="L774" s="388">
        <f t="shared" si="148"/>
        <v>0</v>
      </c>
      <c r="M774" s="388">
        <f t="shared" si="147"/>
        <v>0</v>
      </c>
      <c r="N774" s="594" t="str">
        <f>INDEX(tblSubjectToLoan[Date],ROW()-ROW(tblContractForDeed[#Headers]))</f>
        <v/>
      </c>
      <c r="O774" s="276">
        <f>IF(ROW()=ROW(tblContractForDeed[#Headers])+1,$O$6,IF(INDEX(tblContractForDeed[End Bal],ROW()-ROW(tblContractForDeed[#Headers])-1)&lt;0,0,INDEX(tblContractForDeed[End Bal],ROW()-ROW(tblContractForDeed[#Headers])-1)))</f>
        <v>0</v>
      </c>
      <c r="P774" s="447"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595" t="str">
        <f t="shared" si="143"/>
        <v/>
      </c>
      <c r="B775" s="328">
        <f t="shared" si="144"/>
        <v>0</v>
      </c>
      <c r="C775" s="21">
        <f t="shared" si="141"/>
        <v>0</v>
      </c>
      <c r="D775" s="21">
        <f t="shared" si="145"/>
        <v>0</v>
      </c>
      <c r="E775" s="21">
        <f t="shared" si="142"/>
        <v>0</v>
      </c>
      <c r="F775" s="21"/>
      <c r="G775" s="21"/>
      <c r="H775" s="21"/>
      <c r="I775" s="328"/>
      <c r="J775" s="328"/>
      <c r="K775" s="328">
        <f t="shared" si="146"/>
        <v>0</v>
      </c>
      <c r="L775" s="389">
        <f t="shared" si="148"/>
        <v>0</v>
      </c>
      <c r="M775" s="389">
        <f t="shared" si="147"/>
        <v>0</v>
      </c>
      <c r="N775" s="595" t="str">
        <f>INDEX(tblSubjectToLoan[Date],ROW()-ROW(tblContractForDeed[#Headers]))</f>
        <v/>
      </c>
      <c r="O775" s="328">
        <f>IF(ROW()=ROW(tblContractForDeed[#Headers])+1,$O$6,IF(INDEX(tblContractForDeed[End Bal],ROW()-ROW(tblContractForDeed[#Headers])-1)&lt;0,0,INDEX(tblContractForDeed[End Bal],ROW()-ROW(tblContractForDeed[#Headers])-1)))</f>
        <v>0</v>
      </c>
      <c r="P775" s="447"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8">
        <f>SUM(INDEX(tblContractForDeed[Princ],1):INDEX(tblContractForDeed[Princ],ROW()-ROW(tblContractForDeed[#Headers])))</f>
        <v>75258.000000000029</v>
      </c>
      <c r="X775" s="328">
        <f>IF(tblContractForDeed[[#This Row],[Beg]]&lt;=0,0,tblContractForDeed[[#This Row],[Beg]]-tblContractForDeed[[#This Row],[Princ]])</f>
        <v>0</v>
      </c>
      <c r="Y775"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8">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8">
        <f>IF(INDEX(tblContractForDeed[End Bal],ROW()-ROW(tblBuyerOutputs[#Headers]))&lt;=0,0,($O$6+IF(ROW()=ROW(tblBuyerOutputs[#Headers])+1,0,INDEX(tblBuyerOutputs[Cumul Appr],ROW()-ROW(tblBuyerOutputs[#Headers])-1)))*$O$2/12)</f>
        <v>0</v>
      </c>
      <c r="AE775" s="328">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594" t="str">
        <f t="shared" si="143"/>
        <v/>
      </c>
      <c r="B776" s="276">
        <f t="shared" si="144"/>
        <v>0</v>
      </c>
      <c r="C776" s="14">
        <f t="shared" si="141"/>
        <v>0</v>
      </c>
      <c r="D776" s="14">
        <f t="shared" si="145"/>
        <v>0</v>
      </c>
      <c r="E776" s="14">
        <f t="shared" si="142"/>
        <v>0</v>
      </c>
      <c r="K776" s="276">
        <f t="shared" si="146"/>
        <v>0</v>
      </c>
      <c r="L776" s="388">
        <f t="shared" si="148"/>
        <v>0</v>
      </c>
      <c r="M776" s="388">
        <f t="shared" si="147"/>
        <v>0</v>
      </c>
      <c r="N776" s="594" t="str">
        <f>INDEX(tblSubjectToLoan[Date],ROW()-ROW(tblContractForDeed[#Headers]))</f>
        <v/>
      </c>
      <c r="O776" s="276">
        <f>IF(ROW()=ROW(tblContractForDeed[#Headers])+1,$O$6,IF(INDEX(tblContractForDeed[End Bal],ROW()-ROW(tblContractForDeed[#Headers])-1)&lt;0,0,INDEX(tblContractForDeed[End Bal],ROW()-ROW(tblContractForDeed[#Headers])-1)))</f>
        <v>0</v>
      </c>
      <c r="P776" s="447"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594" t="str">
        <f t="shared" si="143"/>
        <v/>
      </c>
      <c r="B777" s="276">
        <f t="shared" si="144"/>
        <v>0</v>
      </c>
      <c r="C777" s="14">
        <f t="shared" si="141"/>
        <v>0</v>
      </c>
      <c r="D777" s="14">
        <f t="shared" si="145"/>
        <v>0</v>
      </c>
      <c r="E777" s="14">
        <f t="shared" si="142"/>
        <v>0</v>
      </c>
      <c r="K777" s="276">
        <f t="shared" si="146"/>
        <v>0</v>
      </c>
      <c r="L777" s="388">
        <f t="shared" si="148"/>
        <v>0</v>
      </c>
      <c r="M777" s="388">
        <f t="shared" si="147"/>
        <v>0</v>
      </c>
      <c r="N777" s="594" t="str">
        <f>INDEX(tblSubjectToLoan[Date],ROW()-ROW(tblContractForDeed[#Headers]))</f>
        <v/>
      </c>
      <c r="O777" s="276">
        <f>IF(ROW()=ROW(tblContractForDeed[#Headers])+1,$O$6,IF(INDEX(tblContractForDeed[End Bal],ROW()-ROW(tblContractForDeed[#Headers])-1)&lt;0,0,INDEX(tblContractForDeed[End Bal],ROW()-ROW(tblContractForDeed[#Headers])-1)))</f>
        <v>0</v>
      </c>
      <c r="P777" s="447"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594" t="str">
        <f t="shared" si="143"/>
        <v/>
      </c>
      <c r="B778" s="276">
        <f t="shared" si="144"/>
        <v>0</v>
      </c>
      <c r="C778" s="14">
        <f t="shared" si="141"/>
        <v>0</v>
      </c>
      <c r="D778" s="14">
        <f t="shared" si="145"/>
        <v>0</v>
      </c>
      <c r="E778" s="14">
        <f t="shared" si="142"/>
        <v>0</v>
      </c>
      <c r="K778" s="276">
        <f t="shared" si="146"/>
        <v>0</v>
      </c>
      <c r="L778" s="388">
        <f t="shared" si="148"/>
        <v>0</v>
      </c>
      <c r="M778" s="388">
        <f t="shared" si="147"/>
        <v>0</v>
      </c>
      <c r="N778" s="594" t="str">
        <f>INDEX(tblSubjectToLoan[Date],ROW()-ROW(tblContractForDeed[#Headers]))</f>
        <v/>
      </c>
      <c r="O778" s="276">
        <f>IF(ROW()=ROW(tblContractForDeed[#Headers])+1,$O$6,IF(INDEX(tblContractForDeed[End Bal],ROW()-ROW(tblContractForDeed[#Headers])-1)&lt;0,0,INDEX(tblContractForDeed[End Bal],ROW()-ROW(tblContractForDeed[#Headers])-1)))</f>
        <v>0</v>
      </c>
      <c r="P778" s="447"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594" t="str">
        <f t="shared" si="143"/>
        <v/>
      </c>
      <c r="B779" s="276">
        <f t="shared" si="144"/>
        <v>0</v>
      </c>
      <c r="C779" s="14">
        <f t="shared" si="141"/>
        <v>0</v>
      </c>
      <c r="D779" s="14">
        <f t="shared" si="145"/>
        <v>0</v>
      </c>
      <c r="E779" s="14">
        <f t="shared" si="142"/>
        <v>0</v>
      </c>
      <c r="K779" s="276">
        <f t="shared" si="146"/>
        <v>0</v>
      </c>
      <c r="L779" s="388">
        <f t="shared" si="148"/>
        <v>0</v>
      </c>
      <c r="M779" s="388">
        <f t="shared" si="147"/>
        <v>0</v>
      </c>
      <c r="N779" s="594" t="str">
        <f>INDEX(tblSubjectToLoan[Date],ROW()-ROW(tblContractForDeed[#Headers]))</f>
        <v/>
      </c>
      <c r="O779" s="276">
        <f>IF(ROW()=ROW(tblContractForDeed[#Headers])+1,$O$6,IF(INDEX(tblContractForDeed[End Bal],ROW()-ROW(tblContractForDeed[#Headers])-1)&lt;0,0,INDEX(tblContractForDeed[End Bal],ROW()-ROW(tblContractForDeed[#Headers])-1)))</f>
        <v>0</v>
      </c>
      <c r="P779" s="447"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594" t="str">
        <f t="shared" si="143"/>
        <v/>
      </c>
      <c r="B780" s="276">
        <f t="shared" si="144"/>
        <v>0</v>
      </c>
      <c r="C780" s="14">
        <f t="shared" si="141"/>
        <v>0</v>
      </c>
      <c r="D780" s="14">
        <f t="shared" si="145"/>
        <v>0</v>
      </c>
      <c r="E780" s="14">
        <f t="shared" si="142"/>
        <v>0</v>
      </c>
      <c r="K780" s="276">
        <f t="shared" si="146"/>
        <v>0</v>
      </c>
      <c r="L780" s="388">
        <f t="shared" si="148"/>
        <v>0</v>
      </c>
      <c r="M780" s="388">
        <f t="shared" si="147"/>
        <v>0</v>
      </c>
      <c r="N780" s="594" t="str">
        <f>INDEX(tblSubjectToLoan[Date],ROW()-ROW(tblContractForDeed[#Headers]))</f>
        <v/>
      </c>
      <c r="O780" s="276">
        <f>IF(ROW()=ROW(tblContractForDeed[#Headers])+1,$O$6,IF(INDEX(tblContractForDeed[End Bal],ROW()-ROW(tblContractForDeed[#Headers])-1)&lt;0,0,INDEX(tblContractForDeed[End Bal],ROW()-ROW(tblContractForDeed[#Headers])-1)))</f>
        <v>0</v>
      </c>
      <c r="P780" s="447"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594" t="str">
        <f t="shared" si="143"/>
        <v/>
      </c>
      <c r="B781" s="276">
        <f t="shared" si="144"/>
        <v>0</v>
      </c>
      <c r="C781" s="14">
        <f t="shared" si="141"/>
        <v>0</v>
      </c>
      <c r="D781" s="14">
        <f t="shared" si="145"/>
        <v>0</v>
      </c>
      <c r="E781" s="14">
        <f t="shared" si="142"/>
        <v>0</v>
      </c>
      <c r="K781" s="276">
        <f t="shared" si="146"/>
        <v>0</v>
      </c>
      <c r="L781" s="388">
        <f t="shared" si="148"/>
        <v>0</v>
      </c>
      <c r="M781" s="388">
        <f t="shared" si="147"/>
        <v>0</v>
      </c>
      <c r="N781" s="594" t="str">
        <f>INDEX(tblSubjectToLoan[Date],ROW()-ROW(tblContractForDeed[#Headers]))</f>
        <v/>
      </c>
      <c r="O781" s="276">
        <f>IF(ROW()=ROW(tblContractForDeed[#Headers])+1,$O$6,IF(INDEX(tblContractForDeed[End Bal],ROW()-ROW(tblContractForDeed[#Headers])-1)&lt;0,0,INDEX(tblContractForDeed[End Bal],ROW()-ROW(tblContractForDeed[#Headers])-1)))</f>
        <v>0</v>
      </c>
      <c r="P781" s="447"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594" t="str">
        <f t="shared" si="143"/>
        <v/>
      </c>
      <c r="B782" s="276">
        <f t="shared" si="144"/>
        <v>0</v>
      </c>
      <c r="C782" s="14">
        <f t="shared" si="141"/>
        <v>0</v>
      </c>
      <c r="D782" s="14">
        <f t="shared" si="145"/>
        <v>0</v>
      </c>
      <c r="E782" s="14">
        <f t="shared" si="142"/>
        <v>0</v>
      </c>
      <c r="K782" s="276">
        <f t="shared" si="146"/>
        <v>0</v>
      </c>
      <c r="L782" s="388">
        <f t="shared" si="148"/>
        <v>0</v>
      </c>
      <c r="M782" s="388">
        <f t="shared" si="147"/>
        <v>0</v>
      </c>
      <c r="N782" s="594" t="str">
        <f>INDEX(tblSubjectToLoan[Date],ROW()-ROW(tblContractForDeed[#Headers]))</f>
        <v/>
      </c>
      <c r="O782" s="276">
        <f>IF(ROW()=ROW(tblContractForDeed[#Headers])+1,$O$6,IF(INDEX(tblContractForDeed[End Bal],ROW()-ROW(tblContractForDeed[#Headers])-1)&lt;0,0,INDEX(tblContractForDeed[End Bal],ROW()-ROW(tblContractForDeed[#Headers])-1)))</f>
        <v>0</v>
      </c>
      <c r="P782" s="447"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594" t="str">
        <f t="shared" si="143"/>
        <v/>
      </c>
      <c r="B783" s="276">
        <f t="shared" si="144"/>
        <v>0</v>
      </c>
      <c r="C783" s="14">
        <f t="shared" si="141"/>
        <v>0</v>
      </c>
      <c r="D783" s="14">
        <f t="shared" si="145"/>
        <v>0</v>
      </c>
      <c r="E783" s="14">
        <f t="shared" si="142"/>
        <v>0</v>
      </c>
      <c r="K783" s="276">
        <f t="shared" si="146"/>
        <v>0</v>
      </c>
      <c r="L783" s="388">
        <f t="shared" si="148"/>
        <v>0</v>
      </c>
      <c r="M783" s="388">
        <f t="shared" si="147"/>
        <v>0</v>
      </c>
      <c r="N783" s="594" t="str">
        <f>INDEX(tblSubjectToLoan[Date],ROW()-ROW(tblContractForDeed[#Headers]))</f>
        <v/>
      </c>
      <c r="O783" s="276">
        <f>IF(ROW()=ROW(tblContractForDeed[#Headers])+1,$O$6,IF(INDEX(tblContractForDeed[End Bal],ROW()-ROW(tblContractForDeed[#Headers])-1)&lt;0,0,INDEX(tblContractForDeed[End Bal],ROW()-ROW(tblContractForDeed[#Headers])-1)))</f>
        <v>0</v>
      </c>
      <c r="P783" s="447"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594" t="str">
        <f t="shared" si="143"/>
        <v/>
      </c>
      <c r="B784" s="276">
        <f t="shared" si="144"/>
        <v>0</v>
      </c>
      <c r="C784" s="14">
        <f t="shared" si="141"/>
        <v>0</v>
      </c>
      <c r="D784" s="14">
        <f t="shared" si="145"/>
        <v>0</v>
      </c>
      <c r="E784" s="14">
        <f t="shared" si="142"/>
        <v>0</v>
      </c>
      <c r="K784" s="276">
        <f t="shared" si="146"/>
        <v>0</v>
      </c>
      <c r="L784" s="388">
        <f t="shared" si="148"/>
        <v>0</v>
      </c>
      <c r="M784" s="388">
        <f t="shared" si="147"/>
        <v>0</v>
      </c>
      <c r="N784" s="594" t="str">
        <f>INDEX(tblSubjectToLoan[Date],ROW()-ROW(tblContractForDeed[#Headers]))</f>
        <v/>
      </c>
      <c r="O784" s="276">
        <f>IF(ROW()=ROW(tblContractForDeed[#Headers])+1,$O$6,IF(INDEX(tblContractForDeed[End Bal],ROW()-ROW(tblContractForDeed[#Headers])-1)&lt;0,0,INDEX(tblContractForDeed[End Bal],ROW()-ROW(tblContractForDeed[#Headers])-1)))</f>
        <v>0</v>
      </c>
      <c r="P784" s="447"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594" t="str">
        <f t="shared" si="143"/>
        <v/>
      </c>
      <c r="B785" s="276">
        <f t="shared" si="144"/>
        <v>0</v>
      </c>
      <c r="C785" s="14">
        <f t="shared" si="141"/>
        <v>0</v>
      </c>
      <c r="D785" s="14">
        <f t="shared" si="145"/>
        <v>0</v>
      </c>
      <c r="E785" s="14">
        <f t="shared" si="142"/>
        <v>0</v>
      </c>
      <c r="K785" s="276">
        <f t="shared" si="146"/>
        <v>0</v>
      </c>
      <c r="L785" s="388">
        <f t="shared" si="148"/>
        <v>0</v>
      </c>
      <c r="M785" s="388">
        <f t="shared" si="147"/>
        <v>0</v>
      </c>
      <c r="N785" s="594" t="str">
        <f>INDEX(tblSubjectToLoan[Date],ROW()-ROW(tblContractForDeed[#Headers]))</f>
        <v/>
      </c>
      <c r="O785" s="276">
        <f>IF(ROW()=ROW(tblContractForDeed[#Headers])+1,$O$6,IF(INDEX(tblContractForDeed[End Bal],ROW()-ROW(tblContractForDeed[#Headers])-1)&lt;0,0,INDEX(tblContractForDeed[End Bal],ROW()-ROW(tblContractForDeed[#Headers])-1)))</f>
        <v>0</v>
      </c>
      <c r="P785" s="447"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594" t="str">
        <f t="shared" si="143"/>
        <v/>
      </c>
      <c r="B786" s="276">
        <f t="shared" si="144"/>
        <v>0</v>
      </c>
      <c r="C786" s="14">
        <f t="shared" si="141"/>
        <v>0</v>
      </c>
      <c r="D786" s="14">
        <f t="shared" si="145"/>
        <v>0</v>
      </c>
      <c r="E786" s="14">
        <f t="shared" si="142"/>
        <v>0</v>
      </c>
      <c r="K786" s="276">
        <f t="shared" si="146"/>
        <v>0</v>
      </c>
      <c r="L786" s="388">
        <f t="shared" si="148"/>
        <v>0</v>
      </c>
      <c r="M786" s="388">
        <f t="shared" si="147"/>
        <v>0</v>
      </c>
      <c r="N786" s="594" t="str">
        <f>INDEX(tblSubjectToLoan[Date],ROW()-ROW(tblContractForDeed[#Headers]))</f>
        <v/>
      </c>
      <c r="O786" s="276">
        <f>IF(ROW()=ROW(tblContractForDeed[#Headers])+1,$O$6,IF(INDEX(tblContractForDeed[End Bal],ROW()-ROW(tblContractForDeed[#Headers])-1)&lt;0,0,INDEX(tblContractForDeed[End Bal],ROW()-ROW(tblContractForDeed[#Headers])-1)))</f>
        <v>0</v>
      </c>
      <c r="P786" s="447"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88"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595" t="str">
        <f t="shared" si="143"/>
        <v/>
      </c>
      <c r="B787" s="328">
        <f t="shared" si="144"/>
        <v>0</v>
      </c>
      <c r="C787" s="21">
        <f t="shared" si="141"/>
        <v>0</v>
      </c>
      <c r="D787" s="21">
        <f t="shared" si="145"/>
        <v>0</v>
      </c>
      <c r="E787" s="21">
        <f t="shared" si="142"/>
        <v>0</v>
      </c>
      <c r="F787" s="21"/>
      <c r="G787" s="21"/>
      <c r="H787" s="21"/>
      <c r="I787" s="328"/>
      <c r="J787" s="328"/>
      <c r="K787" s="328">
        <f t="shared" si="146"/>
        <v>0</v>
      </c>
      <c r="L787" s="389">
        <f t="shared" si="148"/>
        <v>0</v>
      </c>
      <c r="M787" s="389">
        <f t="shared" si="147"/>
        <v>0</v>
      </c>
      <c r="N787" s="595" t="str">
        <f>INDEX(tblSubjectToLoan[Date],ROW()-ROW(tblContractForDeed[#Headers]))</f>
        <v/>
      </c>
      <c r="O787" s="328">
        <f>IF(ROW()=ROW(tblContractForDeed[#Headers])+1,$O$6,IF(INDEX(tblContractForDeed[End Bal],ROW()-ROW(tblContractForDeed[#Headers])-1)&lt;0,0,INDEX(tblContractForDeed[End Bal],ROW()-ROW(tblContractForDeed[#Headers])-1)))</f>
        <v>0</v>
      </c>
      <c r="P787" s="447"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8">
        <f>SUM(INDEX(tblContractForDeed[Princ],1):INDEX(tblContractForDeed[Princ],ROW()-ROW(tblContractForDeed[#Headers])))</f>
        <v>75258.000000000029</v>
      </c>
      <c r="X787" s="328">
        <f>IF(tblContractForDeed[[#This Row],[Beg]]&lt;=0,0,tblContractForDeed[[#This Row],[Beg]]-tblContractForDeed[[#This Row],[Princ]])</f>
        <v>0</v>
      </c>
      <c r="Y787" s="389"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8">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8">
        <f>IF(INDEX(tblContractForDeed[End Bal],ROW()-ROW(tblBuyerOutputs[#Headers]))&lt;=0,0,($O$6+IF(ROW()=ROW(tblBuyerOutputs[#Headers])+1,0,INDEX(tblBuyerOutputs[Cumul Appr],ROW()-ROW(tblBuyerOutputs[#Headers])-1)))*$O$2/12)</f>
        <v>0</v>
      </c>
      <c r="AE787" s="328">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596"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596" t="str">
        <f>INDEX(tblSubjectToLoan[Date],ROW()-ROW(tblContractForDeed[#Headers]))</f>
        <v/>
      </c>
      <c r="O788" s="276">
        <f>IF(ROW()=ROW(tblContractForDeed[#Headers])+1,$O$6,IF(INDEX(tblContractForDeed[End Bal],ROW()-ROW(tblContractForDeed[#Headers])-1)&lt;0,0,INDEX(tblContractForDeed[End Bal],ROW()-ROW(tblContractForDeed[#Headers])-1)))</f>
        <v>0</v>
      </c>
      <c r="P788" s="447"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596"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596" t="str">
        <f>INDEX(tblSubjectToLoan[Date],ROW()-ROW(tblContractForDeed[#Headers]))</f>
        <v/>
      </c>
      <c r="O789" s="276">
        <f>IF(ROW()=ROW(tblContractForDeed[#Headers])+1,$O$6,IF(INDEX(tblContractForDeed[End Bal],ROW()-ROW(tblContractForDeed[#Headers])-1)&lt;0,0,INDEX(tblContractForDeed[End Bal],ROW()-ROW(tblContractForDeed[#Headers])-1)))</f>
        <v>0</v>
      </c>
      <c r="P789" s="447"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596" t="str">
        <f t="shared" si="151"/>
        <v/>
      </c>
      <c r="B790" s="276">
        <f t="shared" si="152"/>
        <v>0</v>
      </c>
      <c r="C790" s="14">
        <f t="shared" si="149"/>
        <v>0</v>
      </c>
      <c r="D790" s="14">
        <f t="shared" si="153"/>
        <v>0</v>
      </c>
      <c r="E790" s="14">
        <f t="shared" si="150"/>
        <v>0</v>
      </c>
      <c r="K790" s="276">
        <f t="shared" si="154"/>
        <v>0</v>
      </c>
      <c r="M790" s="22">
        <f t="shared" si="155"/>
        <v>0</v>
      </c>
      <c r="N790" s="596" t="str">
        <f>INDEX(tblSubjectToLoan[Date],ROW()-ROW(tblContractForDeed[#Headers]))</f>
        <v/>
      </c>
      <c r="O790" s="276">
        <f>IF(ROW()=ROW(tblContractForDeed[#Headers])+1,$O$6,IF(INDEX(tblContractForDeed[End Bal],ROW()-ROW(tblContractForDeed[#Headers])-1)&lt;0,0,INDEX(tblContractForDeed[End Bal],ROW()-ROW(tblContractForDeed[#Headers])-1)))</f>
        <v>0</v>
      </c>
      <c r="P790" s="447"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596" t="str">
        <f t="shared" si="151"/>
        <v/>
      </c>
      <c r="B791" s="276">
        <f t="shared" si="152"/>
        <v>0</v>
      </c>
      <c r="C791" s="14">
        <f t="shared" si="149"/>
        <v>0</v>
      </c>
      <c r="D791" s="14">
        <f t="shared" si="153"/>
        <v>0</v>
      </c>
      <c r="E791" s="14">
        <f t="shared" si="150"/>
        <v>0</v>
      </c>
      <c r="K791" s="276">
        <f t="shared" si="154"/>
        <v>0</v>
      </c>
      <c r="M791" s="22">
        <f t="shared" si="155"/>
        <v>0</v>
      </c>
      <c r="N791" s="596" t="str">
        <f>INDEX(tblSubjectToLoan[Date],ROW()-ROW(tblContractForDeed[#Headers]))</f>
        <v/>
      </c>
      <c r="O791" s="276">
        <f>IF(ROW()=ROW(tblContractForDeed[#Headers])+1,$O$6,IF(INDEX(tblContractForDeed[End Bal],ROW()-ROW(tblContractForDeed[#Headers])-1)&lt;0,0,INDEX(tblContractForDeed[End Bal],ROW()-ROW(tblContractForDeed[#Headers])-1)))</f>
        <v>0</v>
      </c>
      <c r="P791" s="447"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596" t="str">
        <f t="shared" si="151"/>
        <v/>
      </c>
      <c r="B792" s="276">
        <f t="shared" si="152"/>
        <v>0</v>
      </c>
      <c r="C792" s="14">
        <f t="shared" si="149"/>
        <v>0</v>
      </c>
      <c r="D792" s="14">
        <f t="shared" si="153"/>
        <v>0</v>
      </c>
      <c r="E792" s="14">
        <f t="shared" si="150"/>
        <v>0</v>
      </c>
      <c r="K792" s="276">
        <f t="shared" si="154"/>
        <v>0</v>
      </c>
      <c r="M792" s="22">
        <f t="shared" si="155"/>
        <v>0</v>
      </c>
      <c r="N792" s="596" t="str">
        <f>INDEX(tblSubjectToLoan[Date],ROW()-ROW(tblContractForDeed[#Headers]))</f>
        <v/>
      </c>
      <c r="O792" s="276">
        <f>IF(ROW()=ROW(tblContractForDeed[#Headers])+1,$O$6,IF(INDEX(tblContractForDeed[End Bal],ROW()-ROW(tblContractForDeed[#Headers])-1)&lt;0,0,INDEX(tblContractForDeed[End Bal],ROW()-ROW(tblContractForDeed[#Headers])-1)))</f>
        <v>0</v>
      </c>
      <c r="P792" s="447"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596" t="str">
        <f t="shared" si="151"/>
        <v/>
      </c>
      <c r="B793" s="276">
        <f t="shared" si="152"/>
        <v>0</v>
      </c>
      <c r="C793" s="14">
        <f t="shared" si="149"/>
        <v>0</v>
      </c>
      <c r="D793" s="14">
        <f t="shared" si="153"/>
        <v>0</v>
      </c>
      <c r="E793" s="14">
        <f t="shared" si="150"/>
        <v>0</v>
      </c>
      <c r="K793" s="276">
        <f t="shared" si="154"/>
        <v>0</v>
      </c>
      <c r="M793" s="22">
        <f t="shared" si="155"/>
        <v>0</v>
      </c>
      <c r="N793" s="596" t="str">
        <f>INDEX(tblSubjectToLoan[Date],ROW()-ROW(tblContractForDeed[#Headers]))</f>
        <v/>
      </c>
      <c r="O793" s="276">
        <f>IF(ROW()=ROW(tblContractForDeed[#Headers])+1,$O$6,IF(INDEX(tblContractForDeed[End Bal],ROW()-ROW(tblContractForDeed[#Headers])-1)&lt;0,0,INDEX(tblContractForDeed[End Bal],ROW()-ROW(tblContractForDeed[#Headers])-1)))</f>
        <v>0</v>
      </c>
      <c r="P793" s="447"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596" t="str">
        <f t="shared" si="151"/>
        <v/>
      </c>
      <c r="B794" s="276">
        <f t="shared" si="152"/>
        <v>0</v>
      </c>
      <c r="C794" s="14">
        <f t="shared" si="149"/>
        <v>0</v>
      </c>
      <c r="D794" s="14">
        <f t="shared" si="153"/>
        <v>0</v>
      </c>
      <c r="E794" s="14">
        <f t="shared" si="150"/>
        <v>0</v>
      </c>
      <c r="K794" s="276">
        <f t="shared" si="154"/>
        <v>0</v>
      </c>
      <c r="M794" s="22">
        <f t="shared" si="155"/>
        <v>0</v>
      </c>
      <c r="N794" s="596" t="str">
        <f>INDEX(tblSubjectToLoan[Date],ROW()-ROW(tblContractForDeed[#Headers]))</f>
        <v/>
      </c>
      <c r="O794" s="276">
        <f>IF(ROW()=ROW(tblContractForDeed[#Headers])+1,$O$6,IF(INDEX(tblContractForDeed[End Bal],ROW()-ROW(tblContractForDeed[#Headers])-1)&lt;0,0,INDEX(tblContractForDeed[End Bal],ROW()-ROW(tblContractForDeed[#Headers])-1)))</f>
        <v>0</v>
      </c>
      <c r="P794" s="447"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596" t="str">
        <f t="shared" si="151"/>
        <v/>
      </c>
      <c r="B795" s="276">
        <f t="shared" si="152"/>
        <v>0</v>
      </c>
      <c r="C795" s="14">
        <f t="shared" si="149"/>
        <v>0</v>
      </c>
      <c r="D795" s="14">
        <f t="shared" si="153"/>
        <v>0</v>
      </c>
      <c r="E795" s="14">
        <f t="shared" si="150"/>
        <v>0</v>
      </c>
      <c r="K795" s="276">
        <f t="shared" si="154"/>
        <v>0</v>
      </c>
      <c r="M795" s="22">
        <f t="shared" si="155"/>
        <v>0</v>
      </c>
      <c r="N795" s="596" t="str">
        <f>INDEX(tblSubjectToLoan[Date],ROW()-ROW(tblContractForDeed[#Headers]))</f>
        <v/>
      </c>
      <c r="O795" s="276">
        <f>IF(ROW()=ROW(tblContractForDeed[#Headers])+1,$O$6,IF(INDEX(tblContractForDeed[End Bal],ROW()-ROW(tblContractForDeed[#Headers])-1)&lt;0,0,INDEX(tblContractForDeed[End Bal],ROW()-ROW(tblContractForDeed[#Headers])-1)))</f>
        <v>0</v>
      </c>
      <c r="P795" s="447"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596" t="str">
        <f t="shared" si="151"/>
        <v/>
      </c>
      <c r="B796" s="276">
        <f t="shared" si="152"/>
        <v>0</v>
      </c>
      <c r="C796" s="14">
        <f t="shared" si="149"/>
        <v>0</v>
      </c>
      <c r="D796" s="14">
        <f t="shared" si="153"/>
        <v>0</v>
      </c>
      <c r="E796" s="14">
        <f t="shared" si="150"/>
        <v>0</v>
      </c>
      <c r="K796" s="276">
        <f t="shared" si="154"/>
        <v>0</v>
      </c>
      <c r="M796" s="22">
        <f t="shared" si="155"/>
        <v>0</v>
      </c>
      <c r="N796" s="596" t="str">
        <f>INDEX(tblSubjectToLoan[Date],ROW()-ROW(tblContractForDeed[#Headers]))</f>
        <v/>
      </c>
      <c r="O796" s="276">
        <f>IF(ROW()=ROW(tblContractForDeed[#Headers])+1,$O$6,IF(INDEX(tblContractForDeed[End Bal],ROW()-ROW(tblContractForDeed[#Headers])-1)&lt;0,0,INDEX(tblContractForDeed[End Bal],ROW()-ROW(tblContractForDeed[#Headers])-1)))</f>
        <v>0</v>
      </c>
      <c r="P796" s="447"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596" t="str">
        <f t="shared" si="151"/>
        <v/>
      </c>
      <c r="B797" s="276">
        <f t="shared" si="152"/>
        <v>0</v>
      </c>
      <c r="C797" s="14">
        <f t="shared" si="149"/>
        <v>0</v>
      </c>
      <c r="D797" s="14">
        <f t="shared" si="153"/>
        <v>0</v>
      </c>
      <c r="E797" s="14">
        <f t="shared" si="150"/>
        <v>0</v>
      </c>
      <c r="K797" s="276">
        <f t="shared" si="154"/>
        <v>0</v>
      </c>
      <c r="M797" s="22">
        <f t="shared" si="155"/>
        <v>0</v>
      </c>
      <c r="N797" s="596" t="str">
        <f>INDEX(tblSubjectToLoan[Date],ROW()-ROW(tblContractForDeed[#Headers]))</f>
        <v/>
      </c>
      <c r="O797" s="276">
        <f>IF(ROW()=ROW(tblContractForDeed[#Headers])+1,$O$6,IF(INDEX(tblContractForDeed[End Bal],ROW()-ROW(tblContractForDeed[#Headers])-1)&lt;0,0,INDEX(tblContractForDeed[End Bal],ROW()-ROW(tblContractForDeed[#Headers])-1)))</f>
        <v>0</v>
      </c>
      <c r="P797" s="447"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596" t="str">
        <f t="shared" si="151"/>
        <v/>
      </c>
      <c r="B798" s="276">
        <f t="shared" si="152"/>
        <v>0</v>
      </c>
      <c r="C798" s="14">
        <f t="shared" si="149"/>
        <v>0</v>
      </c>
      <c r="D798" s="14">
        <f t="shared" si="153"/>
        <v>0</v>
      </c>
      <c r="E798" s="14">
        <f t="shared" si="150"/>
        <v>0</v>
      </c>
      <c r="K798" s="276">
        <f t="shared" si="154"/>
        <v>0</v>
      </c>
      <c r="M798" s="22">
        <f t="shared" si="155"/>
        <v>0</v>
      </c>
      <c r="N798" s="596" t="str">
        <f>INDEX(tblSubjectToLoan[Date],ROW()-ROW(tblContractForDeed[#Headers]))</f>
        <v/>
      </c>
      <c r="O798" s="276">
        <f>IF(ROW()=ROW(tblContractForDeed[#Headers])+1,$O$6,IF(INDEX(tblContractForDeed[End Bal],ROW()-ROW(tblContractForDeed[#Headers])-1)&lt;0,0,INDEX(tblContractForDeed[End Bal],ROW()-ROW(tblContractForDeed[#Headers])-1)))</f>
        <v>0</v>
      </c>
      <c r="P798" s="447"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596" t="str">
        <f t="shared" si="151"/>
        <v/>
      </c>
      <c r="B799" s="276">
        <f t="shared" si="152"/>
        <v>0</v>
      </c>
      <c r="C799" s="14">
        <f t="shared" si="149"/>
        <v>0</v>
      </c>
      <c r="D799" s="14">
        <f t="shared" si="153"/>
        <v>0</v>
      </c>
      <c r="E799" s="14">
        <f t="shared" si="150"/>
        <v>0</v>
      </c>
      <c r="K799" s="276">
        <f t="shared" si="154"/>
        <v>0</v>
      </c>
      <c r="M799" s="22">
        <f t="shared" si="155"/>
        <v>0</v>
      </c>
      <c r="N799" s="596" t="str">
        <f>INDEX(tblSubjectToLoan[Date],ROW()-ROW(tblContractForDeed[#Headers]))</f>
        <v/>
      </c>
      <c r="O799" s="276">
        <f>IF(ROW()=ROW(tblContractForDeed[#Headers])+1,$O$6,IF(INDEX(tblContractForDeed[End Bal],ROW()-ROW(tblContractForDeed[#Headers])-1)&lt;0,0,INDEX(tblContractForDeed[End Bal],ROW()-ROW(tblContractForDeed[#Headers])-1)))</f>
        <v>0</v>
      </c>
      <c r="P799" s="447"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596" t="str">
        <f t="shared" si="151"/>
        <v/>
      </c>
      <c r="B800" s="276">
        <f t="shared" si="152"/>
        <v>0</v>
      </c>
      <c r="C800" s="14">
        <f t="shared" si="149"/>
        <v>0</v>
      </c>
      <c r="D800" s="14">
        <f t="shared" si="153"/>
        <v>0</v>
      </c>
      <c r="E800" s="14">
        <f t="shared" si="150"/>
        <v>0</v>
      </c>
      <c r="K800" s="276">
        <f t="shared" si="154"/>
        <v>0</v>
      </c>
      <c r="M800" s="22">
        <f t="shared" si="155"/>
        <v>0</v>
      </c>
      <c r="N800" s="596" t="str">
        <f>INDEX(tblSubjectToLoan[Date],ROW()-ROW(tblContractForDeed[#Headers]))</f>
        <v/>
      </c>
      <c r="O800" s="276">
        <f>IF(ROW()=ROW(tblContractForDeed[#Headers])+1,$O$6,IF(INDEX(tblContractForDeed[End Bal],ROW()-ROW(tblContractForDeed[#Headers])-1)&lt;0,0,INDEX(tblContractForDeed[End Bal],ROW()-ROW(tblContractForDeed[#Headers])-1)))</f>
        <v>0</v>
      </c>
      <c r="P800" s="447"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596" t="str">
        <f t="shared" si="151"/>
        <v/>
      </c>
      <c r="B801" s="276">
        <f t="shared" si="152"/>
        <v>0</v>
      </c>
      <c r="C801" s="14">
        <f t="shared" si="149"/>
        <v>0</v>
      </c>
      <c r="D801" s="14">
        <f t="shared" si="153"/>
        <v>0</v>
      </c>
      <c r="E801" s="14">
        <f t="shared" si="150"/>
        <v>0</v>
      </c>
      <c r="K801" s="276">
        <f t="shared" si="154"/>
        <v>0</v>
      </c>
      <c r="M801" s="22">
        <f t="shared" si="155"/>
        <v>0</v>
      </c>
      <c r="N801" s="596" t="str">
        <f>INDEX(tblSubjectToLoan[Date],ROW()-ROW(tblContractForDeed[#Headers]))</f>
        <v/>
      </c>
      <c r="O801" s="276">
        <f>IF(ROW()=ROW(tblContractForDeed[#Headers])+1,$O$6,IF(INDEX(tblContractForDeed[End Bal],ROW()-ROW(tblContractForDeed[#Headers])-1)&lt;0,0,INDEX(tblContractForDeed[End Bal],ROW()-ROW(tblContractForDeed[#Headers])-1)))</f>
        <v>0</v>
      </c>
      <c r="P801" s="447"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596" t="str">
        <f t="shared" si="151"/>
        <v/>
      </c>
      <c r="B802" s="276">
        <f t="shared" si="152"/>
        <v>0</v>
      </c>
      <c r="C802" s="14">
        <f t="shared" si="149"/>
        <v>0</v>
      </c>
      <c r="D802" s="14">
        <f t="shared" si="153"/>
        <v>0</v>
      </c>
      <c r="E802" s="14">
        <f t="shared" si="150"/>
        <v>0</v>
      </c>
      <c r="K802" s="276">
        <f t="shared" si="154"/>
        <v>0</v>
      </c>
      <c r="M802" s="22">
        <f t="shared" si="155"/>
        <v>0</v>
      </c>
      <c r="N802" s="596" t="str">
        <f>INDEX(tblSubjectToLoan[Date],ROW()-ROW(tblContractForDeed[#Headers]))</f>
        <v/>
      </c>
      <c r="O802" s="276">
        <f>IF(ROW()=ROW(tblContractForDeed[#Headers])+1,$O$6,IF(INDEX(tblContractForDeed[End Bal],ROW()-ROW(tblContractForDeed[#Headers])-1)&lt;0,0,INDEX(tblContractForDeed[End Bal],ROW()-ROW(tblContractForDeed[#Headers])-1)))</f>
        <v>0</v>
      </c>
      <c r="P802" s="447"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596" t="str">
        <f t="shared" si="151"/>
        <v/>
      </c>
      <c r="B803" s="276">
        <f t="shared" si="152"/>
        <v>0</v>
      </c>
      <c r="C803" s="14">
        <f t="shared" si="149"/>
        <v>0</v>
      </c>
      <c r="D803" s="14">
        <f t="shared" si="153"/>
        <v>0</v>
      </c>
      <c r="E803" s="14">
        <f t="shared" si="150"/>
        <v>0</v>
      </c>
      <c r="K803" s="276">
        <f t="shared" si="154"/>
        <v>0</v>
      </c>
      <c r="M803" s="22">
        <f t="shared" si="155"/>
        <v>0</v>
      </c>
      <c r="N803" s="596" t="str">
        <f>INDEX(tblSubjectToLoan[Date],ROW()-ROW(tblContractForDeed[#Headers]))</f>
        <v/>
      </c>
      <c r="O803" s="276">
        <f>IF(ROW()=ROW(tblContractForDeed[#Headers])+1,$O$6,IF(INDEX(tblContractForDeed[End Bal],ROW()-ROW(tblContractForDeed[#Headers])-1)&lt;0,0,INDEX(tblContractForDeed[End Bal],ROW()-ROW(tblContractForDeed[#Headers])-1)))</f>
        <v>0</v>
      </c>
      <c r="P803" s="447"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596" t="str">
        <f t="shared" si="151"/>
        <v/>
      </c>
      <c r="B804" s="276">
        <f t="shared" si="152"/>
        <v>0</v>
      </c>
      <c r="C804" s="14">
        <f t="shared" si="149"/>
        <v>0</v>
      </c>
      <c r="D804" s="14">
        <f t="shared" si="153"/>
        <v>0</v>
      </c>
      <c r="E804" s="14">
        <f t="shared" si="150"/>
        <v>0</v>
      </c>
      <c r="K804" s="276">
        <f t="shared" si="154"/>
        <v>0</v>
      </c>
      <c r="M804" s="22">
        <f t="shared" si="155"/>
        <v>0</v>
      </c>
      <c r="N804" s="596" t="str">
        <f>INDEX(tblSubjectToLoan[Date],ROW()-ROW(tblContractForDeed[#Headers]))</f>
        <v/>
      </c>
      <c r="O804" s="276">
        <f>IF(ROW()=ROW(tblContractForDeed[#Headers])+1,$O$6,IF(INDEX(tblContractForDeed[End Bal],ROW()-ROW(tblContractForDeed[#Headers])-1)&lt;0,0,INDEX(tblContractForDeed[End Bal],ROW()-ROW(tblContractForDeed[#Headers])-1)))</f>
        <v>0</v>
      </c>
      <c r="P804" s="447"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596" t="str">
        <f t="shared" si="151"/>
        <v/>
      </c>
      <c r="B805" s="276">
        <f t="shared" si="152"/>
        <v>0</v>
      </c>
      <c r="C805" s="14">
        <f t="shared" si="149"/>
        <v>0</v>
      </c>
      <c r="D805" s="14">
        <f t="shared" si="153"/>
        <v>0</v>
      </c>
      <c r="E805" s="14">
        <f t="shared" si="150"/>
        <v>0</v>
      </c>
      <c r="K805" s="276">
        <f t="shared" si="154"/>
        <v>0</v>
      </c>
      <c r="M805" s="22">
        <f t="shared" si="155"/>
        <v>0</v>
      </c>
      <c r="N805" s="596" t="str">
        <f>INDEX(tblSubjectToLoan[Date],ROW()-ROW(tblContractForDeed[#Headers]))</f>
        <v/>
      </c>
      <c r="O805" s="276">
        <f>IF(ROW()=ROW(tblContractForDeed[#Headers])+1,$O$6,IF(INDEX(tblContractForDeed[End Bal],ROW()-ROW(tblContractForDeed[#Headers])-1)&lt;0,0,INDEX(tblContractForDeed[End Bal],ROW()-ROW(tblContractForDeed[#Headers])-1)))</f>
        <v>0</v>
      </c>
      <c r="P805" s="447"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596" t="str">
        <f t="shared" si="151"/>
        <v/>
      </c>
      <c r="B806" s="276">
        <f t="shared" si="152"/>
        <v>0</v>
      </c>
      <c r="C806" s="14">
        <f t="shared" si="149"/>
        <v>0</v>
      </c>
      <c r="D806" s="14">
        <f t="shared" si="153"/>
        <v>0</v>
      </c>
      <c r="E806" s="14">
        <f t="shared" si="150"/>
        <v>0</v>
      </c>
      <c r="K806" s="276">
        <f t="shared" si="154"/>
        <v>0</v>
      </c>
      <c r="M806" s="22">
        <f t="shared" si="155"/>
        <v>0</v>
      </c>
      <c r="N806" s="596" t="str">
        <f>INDEX(tblSubjectToLoan[Date],ROW()-ROW(tblContractForDeed[#Headers]))</f>
        <v/>
      </c>
      <c r="O806" s="276">
        <f>IF(ROW()=ROW(tblContractForDeed[#Headers])+1,$O$6,IF(INDEX(tblContractForDeed[End Bal],ROW()-ROW(tblContractForDeed[#Headers])-1)&lt;0,0,INDEX(tblContractForDeed[End Bal],ROW()-ROW(tblContractForDeed[#Headers])-1)))</f>
        <v>0</v>
      </c>
      <c r="P806" s="447"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596" t="str">
        <f t="shared" si="151"/>
        <v/>
      </c>
      <c r="B807" s="276">
        <f t="shared" si="152"/>
        <v>0</v>
      </c>
      <c r="C807" s="14">
        <f t="shared" si="149"/>
        <v>0</v>
      </c>
      <c r="D807" s="14">
        <f t="shared" si="153"/>
        <v>0</v>
      </c>
      <c r="E807" s="14">
        <f t="shared" si="150"/>
        <v>0</v>
      </c>
      <c r="K807" s="276">
        <f t="shared" si="154"/>
        <v>0</v>
      </c>
      <c r="M807" s="22">
        <f t="shared" si="155"/>
        <v>0</v>
      </c>
      <c r="N807" s="596" t="str">
        <f>INDEX(tblSubjectToLoan[Date],ROW()-ROW(tblContractForDeed[#Headers]))</f>
        <v/>
      </c>
      <c r="O807" s="276">
        <f>IF(ROW()=ROW(tblContractForDeed[#Headers])+1,$O$6,IF(INDEX(tblContractForDeed[End Bal],ROW()-ROW(tblContractForDeed[#Headers])-1)&lt;0,0,INDEX(tblContractForDeed[End Bal],ROW()-ROW(tblContractForDeed[#Headers])-1)))</f>
        <v>0</v>
      </c>
      <c r="P807" s="447"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596" t="str">
        <f t="shared" si="151"/>
        <v/>
      </c>
      <c r="B808" s="276">
        <f t="shared" si="152"/>
        <v>0</v>
      </c>
      <c r="C808" s="14">
        <f t="shared" si="149"/>
        <v>0</v>
      </c>
      <c r="D808" s="14">
        <f t="shared" si="153"/>
        <v>0</v>
      </c>
      <c r="E808" s="14">
        <f t="shared" si="150"/>
        <v>0</v>
      </c>
      <c r="K808" s="276">
        <f t="shared" si="154"/>
        <v>0</v>
      </c>
      <c r="M808" s="22">
        <f t="shared" si="155"/>
        <v>0</v>
      </c>
      <c r="N808" s="596" t="str">
        <f>INDEX(tblSubjectToLoan[Date],ROW()-ROW(tblContractForDeed[#Headers]))</f>
        <v/>
      </c>
      <c r="O808" s="276">
        <f>IF(ROW()=ROW(tblContractForDeed[#Headers])+1,$O$6,IF(INDEX(tblContractForDeed[End Bal],ROW()-ROW(tblContractForDeed[#Headers])-1)&lt;0,0,INDEX(tblContractForDeed[End Bal],ROW()-ROW(tblContractForDeed[#Headers])-1)))</f>
        <v>0</v>
      </c>
      <c r="P808" s="447"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596" t="str">
        <f t="shared" si="151"/>
        <v/>
      </c>
      <c r="B809" s="276">
        <f t="shared" si="152"/>
        <v>0</v>
      </c>
      <c r="C809" s="14">
        <f t="shared" si="149"/>
        <v>0</v>
      </c>
      <c r="D809" s="14">
        <f t="shared" si="153"/>
        <v>0</v>
      </c>
      <c r="E809" s="14">
        <f t="shared" si="150"/>
        <v>0</v>
      </c>
      <c r="K809" s="276">
        <f t="shared" si="154"/>
        <v>0</v>
      </c>
      <c r="M809" s="22">
        <f t="shared" si="155"/>
        <v>0</v>
      </c>
      <c r="N809" s="596" t="str">
        <f>INDEX(tblSubjectToLoan[Date],ROW()-ROW(tblContractForDeed[#Headers]))</f>
        <v/>
      </c>
      <c r="O809" s="276">
        <f>IF(ROW()=ROW(tblContractForDeed[#Headers])+1,$O$6,IF(INDEX(tblContractForDeed[End Bal],ROW()-ROW(tblContractForDeed[#Headers])-1)&lt;0,0,INDEX(tblContractForDeed[End Bal],ROW()-ROW(tblContractForDeed[#Headers])-1)))</f>
        <v>0</v>
      </c>
      <c r="P809" s="447"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596" t="str">
        <f t="shared" si="151"/>
        <v/>
      </c>
      <c r="B810" s="276">
        <f t="shared" si="152"/>
        <v>0</v>
      </c>
      <c r="C810" s="14">
        <f t="shared" si="149"/>
        <v>0</v>
      </c>
      <c r="D810" s="14">
        <f t="shared" si="153"/>
        <v>0</v>
      </c>
      <c r="E810" s="14">
        <f t="shared" si="150"/>
        <v>0</v>
      </c>
      <c r="K810" s="276">
        <f t="shared" si="154"/>
        <v>0</v>
      </c>
      <c r="M810" s="22">
        <f t="shared" si="155"/>
        <v>0</v>
      </c>
      <c r="N810" s="596" t="str">
        <f>INDEX(tblSubjectToLoan[Date],ROW()-ROW(tblContractForDeed[#Headers]))</f>
        <v/>
      </c>
      <c r="O810" s="276">
        <f>IF(ROW()=ROW(tblContractForDeed[#Headers])+1,$O$6,IF(INDEX(tblContractForDeed[End Bal],ROW()-ROW(tblContractForDeed[#Headers])-1)&lt;0,0,INDEX(tblContractForDeed[End Bal],ROW()-ROW(tblContractForDeed[#Headers])-1)))</f>
        <v>0</v>
      </c>
      <c r="P810" s="447"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596" t="str">
        <f t="shared" si="151"/>
        <v/>
      </c>
      <c r="B811" s="276">
        <f t="shared" si="152"/>
        <v>0</v>
      </c>
      <c r="C811" s="14">
        <f t="shared" si="149"/>
        <v>0</v>
      </c>
      <c r="D811" s="14">
        <f t="shared" si="153"/>
        <v>0</v>
      </c>
      <c r="E811" s="14">
        <f t="shared" si="150"/>
        <v>0</v>
      </c>
      <c r="K811" s="276">
        <f t="shared" si="154"/>
        <v>0</v>
      </c>
      <c r="M811" s="22">
        <f t="shared" si="155"/>
        <v>0</v>
      </c>
      <c r="N811" s="596" t="str">
        <f>INDEX(tblSubjectToLoan[Date],ROW()-ROW(tblContractForDeed[#Headers]))</f>
        <v/>
      </c>
      <c r="O811" s="276">
        <f>IF(ROW()=ROW(tblContractForDeed[#Headers])+1,$O$6,IF(INDEX(tblContractForDeed[End Bal],ROW()-ROW(tblContractForDeed[#Headers])-1)&lt;0,0,INDEX(tblContractForDeed[End Bal],ROW()-ROW(tblContractForDeed[#Headers])-1)))</f>
        <v>0</v>
      </c>
      <c r="P811" s="447"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596" t="str">
        <f t="shared" si="151"/>
        <v/>
      </c>
      <c r="B812" s="276">
        <f t="shared" si="152"/>
        <v>0</v>
      </c>
      <c r="C812" s="14">
        <f t="shared" si="149"/>
        <v>0</v>
      </c>
      <c r="D812" s="14">
        <f t="shared" si="153"/>
        <v>0</v>
      </c>
      <c r="E812" s="14">
        <f t="shared" si="150"/>
        <v>0</v>
      </c>
      <c r="K812" s="276">
        <f t="shared" si="154"/>
        <v>0</v>
      </c>
      <c r="M812" s="22">
        <f t="shared" si="155"/>
        <v>0</v>
      </c>
      <c r="N812" s="596" t="str">
        <f>INDEX(tblSubjectToLoan[Date],ROW()-ROW(tblContractForDeed[#Headers]))</f>
        <v/>
      </c>
      <c r="O812" s="276">
        <f>IF(ROW()=ROW(tblContractForDeed[#Headers])+1,$O$6,IF(INDEX(tblContractForDeed[End Bal],ROW()-ROW(tblContractForDeed[#Headers])-1)&lt;0,0,INDEX(tblContractForDeed[End Bal],ROW()-ROW(tblContractForDeed[#Headers])-1)))</f>
        <v>0</v>
      </c>
      <c r="P812" s="447"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596" t="str">
        <f t="shared" si="151"/>
        <v/>
      </c>
      <c r="B813" s="276">
        <f t="shared" si="152"/>
        <v>0</v>
      </c>
      <c r="C813" s="14">
        <f t="shared" si="149"/>
        <v>0</v>
      </c>
      <c r="D813" s="14">
        <f t="shared" si="153"/>
        <v>0</v>
      </c>
      <c r="E813" s="14">
        <f t="shared" si="150"/>
        <v>0</v>
      </c>
      <c r="K813" s="276">
        <f t="shared" si="154"/>
        <v>0</v>
      </c>
      <c r="M813" s="22">
        <f t="shared" si="155"/>
        <v>0</v>
      </c>
      <c r="N813" s="596" t="str">
        <f>INDEX(tblSubjectToLoan[Date],ROW()-ROW(tblContractForDeed[#Headers]))</f>
        <v/>
      </c>
      <c r="O813" s="276">
        <f>IF(ROW()=ROW(tblContractForDeed[#Headers])+1,$O$6,IF(INDEX(tblContractForDeed[End Bal],ROW()-ROW(tblContractForDeed[#Headers])-1)&lt;0,0,INDEX(tblContractForDeed[End Bal],ROW()-ROW(tblContractForDeed[#Headers])-1)))</f>
        <v>0</v>
      </c>
      <c r="P813" s="447"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596" t="str">
        <f t="shared" si="151"/>
        <v/>
      </c>
      <c r="B814" s="276">
        <f t="shared" si="152"/>
        <v>0</v>
      </c>
      <c r="C814" s="14">
        <f t="shared" si="149"/>
        <v>0</v>
      </c>
      <c r="D814" s="14">
        <f t="shared" si="153"/>
        <v>0</v>
      </c>
      <c r="E814" s="14">
        <f t="shared" si="150"/>
        <v>0</v>
      </c>
      <c r="K814" s="276">
        <f t="shared" si="154"/>
        <v>0</v>
      </c>
      <c r="M814" s="22">
        <f t="shared" si="155"/>
        <v>0</v>
      </c>
      <c r="N814" s="596" t="str">
        <f>INDEX(tblSubjectToLoan[Date],ROW()-ROW(tblContractForDeed[#Headers]))</f>
        <v/>
      </c>
      <c r="O814" s="276">
        <f>IF(ROW()=ROW(tblContractForDeed[#Headers])+1,$O$6,IF(INDEX(tblContractForDeed[End Bal],ROW()-ROW(tblContractForDeed[#Headers])-1)&lt;0,0,INDEX(tblContractForDeed[End Bal],ROW()-ROW(tblContractForDeed[#Headers])-1)))</f>
        <v>0</v>
      </c>
      <c r="P814" s="447"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596" t="str">
        <f t="shared" si="151"/>
        <v/>
      </c>
      <c r="B815" s="276">
        <f t="shared" si="152"/>
        <v>0</v>
      </c>
      <c r="C815" s="14">
        <f t="shared" si="149"/>
        <v>0</v>
      </c>
      <c r="D815" s="14">
        <f t="shared" si="153"/>
        <v>0</v>
      </c>
      <c r="E815" s="14">
        <f t="shared" si="150"/>
        <v>0</v>
      </c>
      <c r="K815" s="276">
        <f t="shared" si="154"/>
        <v>0</v>
      </c>
      <c r="M815" s="22">
        <f t="shared" si="155"/>
        <v>0</v>
      </c>
      <c r="N815" s="596" t="str">
        <f>INDEX(tblSubjectToLoan[Date],ROW()-ROW(tblContractForDeed[#Headers]))</f>
        <v/>
      </c>
      <c r="O815" s="276">
        <f>IF(ROW()=ROW(tblContractForDeed[#Headers])+1,$O$6,IF(INDEX(tblContractForDeed[End Bal],ROW()-ROW(tblContractForDeed[#Headers])-1)&lt;0,0,INDEX(tblContractForDeed[End Bal],ROW()-ROW(tblContractForDeed[#Headers])-1)))</f>
        <v>0</v>
      </c>
      <c r="P815" s="447"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596" t="str">
        <f t="shared" si="151"/>
        <v/>
      </c>
      <c r="B816" s="276">
        <f t="shared" si="152"/>
        <v>0</v>
      </c>
      <c r="C816" s="14">
        <f t="shared" si="149"/>
        <v>0</v>
      </c>
      <c r="D816" s="14">
        <f t="shared" si="153"/>
        <v>0</v>
      </c>
      <c r="E816" s="14">
        <f t="shared" si="150"/>
        <v>0</v>
      </c>
      <c r="K816" s="276">
        <f t="shared" si="154"/>
        <v>0</v>
      </c>
      <c r="M816" s="22">
        <f t="shared" si="155"/>
        <v>0</v>
      </c>
      <c r="N816" s="596" t="str">
        <f>INDEX(tblSubjectToLoan[Date],ROW()-ROW(tblContractForDeed[#Headers]))</f>
        <v/>
      </c>
      <c r="O816" s="276">
        <f>IF(ROW()=ROW(tblContractForDeed[#Headers])+1,$O$6,IF(INDEX(tblContractForDeed[End Bal],ROW()-ROW(tblContractForDeed[#Headers])-1)&lt;0,0,INDEX(tblContractForDeed[End Bal],ROW()-ROW(tblContractForDeed[#Headers])-1)))</f>
        <v>0</v>
      </c>
      <c r="P816" s="447"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596" t="str">
        <f t="shared" si="151"/>
        <v/>
      </c>
      <c r="B817" s="276">
        <f t="shared" si="152"/>
        <v>0</v>
      </c>
      <c r="C817" s="14">
        <f t="shared" si="149"/>
        <v>0</v>
      </c>
      <c r="D817" s="14">
        <f t="shared" si="153"/>
        <v>0</v>
      </c>
      <c r="E817" s="14">
        <f t="shared" si="150"/>
        <v>0</v>
      </c>
      <c r="K817" s="276">
        <f t="shared" si="154"/>
        <v>0</v>
      </c>
      <c r="M817" s="22">
        <f t="shared" si="155"/>
        <v>0</v>
      </c>
      <c r="N817" s="596" t="str">
        <f>INDEX(tblSubjectToLoan[Date],ROW()-ROW(tblContractForDeed[#Headers]))</f>
        <v/>
      </c>
      <c r="O817" s="276">
        <f>IF(ROW()=ROW(tblContractForDeed[#Headers])+1,$O$6,IF(INDEX(tblContractForDeed[End Bal],ROW()-ROW(tblContractForDeed[#Headers])-1)&lt;0,0,INDEX(tblContractForDeed[End Bal],ROW()-ROW(tblContractForDeed[#Headers])-1)))</f>
        <v>0</v>
      </c>
      <c r="P817" s="447"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596" t="str">
        <f t="shared" si="151"/>
        <v/>
      </c>
      <c r="B818" s="276">
        <f t="shared" si="152"/>
        <v>0</v>
      </c>
      <c r="C818" s="14">
        <f t="shared" si="149"/>
        <v>0</v>
      </c>
      <c r="D818" s="14">
        <f t="shared" si="153"/>
        <v>0</v>
      </c>
      <c r="E818" s="14">
        <f t="shared" si="150"/>
        <v>0</v>
      </c>
      <c r="K818" s="276">
        <f t="shared" si="154"/>
        <v>0</v>
      </c>
      <c r="M818" s="22">
        <f t="shared" si="155"/>
        <v>0</v>
      </c>
      <c r="N818" s="596" t="str">
        <f>INDEX(tblSubjectToLoan[Date],ROW()-ROW(tblContractForDeed[#Headers]))</f>
        <v/>
      </c>
      <c r="O818" s="276">
        <f>IF(ROW()=ROW(tblContractForDeed[#Headers])+1,$O$6,IF(INDEX(tblContractForDeed[End Bal],ROW()-ROW(tblContractForDeed[#Headers])-1)&lt;0,0,INDEX(tblContractForDeed[End Bal],ROW()-ROW(tblContractForDeed[#Headers])-1)))</f>
        <v>0</v>
      </c>
      <c r="P818" s="447"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596" t="str">
        <f t="shared" si="151"/>
        <v/>
      </c>
      <c r="B819" s="276">
        <f t="shared" si="152"/>
        <v>0</v>
      </c>
      <c r="C819" s="14">
        <f t="shared" si="149"/>
        <v>0</v>
      </c>
      <c r="D819" s="14">
        <f t="shared" si="153"/>
        <v>0</v>
      </c>
      <c r="E819" s="14">
        <f t="shared" si="150"/>
        <v>0</v>
      </c>
      <c r="K819" s="276">
        <f t="shared" si="154"/>
        <v>0</v>
      </c>
      <c r="M819" s="22">
        <f t="shared" si="155"/>
        <v>0</v>
      </c>
      <c r="N819" s="596" t="str">
        <f>INDEX(tblSubjectToLoan[Date],ROW()-ROW(tblContractForDeed[#Headers]))</f>
        <v/>
      </c>
      <c r="O819" s="276">
        <f>IF(ROW()=ROW(tblContractForDeed[#Headers])+1,$O$6,IF(INDEX(tblContractForDeed[End Bal],ROW()-ROW(tblContractForDeed[#Headers])-1)&lt;0,0,INDEX(tblContractForDeed[End Bal],ROW()-ROW(tblContractForDeed[#Headers])-1)))</f>
        <v>0</v>
      </c>
      <c r="P819" s="447"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596" t="str">
        <f t="shared" si="151"/>
        <v/>
      </c>
      <c r="B820" s="276">
        <f t="shared" si="152"/>
        <v>0</v>
      </c>
      <c r="C820" s="14">
        <f t="shared" si="149"/>
        <v>0</v>
      </c>
      <c r="D820" s="14">
        <f t="shared" si="153"/>
        <v>0</v>
      </c>
      <c r="E820" s="14">
        <f t="shared" si="150"/>
        <v>0</v>
      </c>
      <c r="K820" s="276">
        <f t="shared" si="154"/>
        <v>0</v>
      </c>
      <c r="M820" s="22">
        <f t="shared" si="155"/>
        <v>0</v>
      </c>
      <c r="N820" s="596" t="str">
        <f>INDEX(tblSubjectToLoan[Date],ROW()-ROW(tblContractForDeed[#Headers]))</f>
        <v/>
      </c>
      <c r="O820" s="276">
        <f>IF(ROW()=ROW(tblContractForDeed[#Headers])+1,$O$6,IF(INDEX(tblContractForDeed[End Bal],ROW()-ROW(tblContractForDeed[#Headers])-1)&lt;0,0,INDEX(tblContractForDeed[End Bal],ROW()-ROW(tblContractForDeed[#Headers])-1)))</f>
        <v>0</v>
      </c>
      <c r="P820" s="447"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596" t="str">
        <f t="shared" si="151"/>
        <v/>
      </c>
      <c r="B821" s="276">
        <f t="shared" si="152"/>
        <v>0</v>
      </c>
      <c r="C821" s="14">
        <f t="shared" si="149"/>
        <v>0</v>
      </c>
      <c r="D821" s="14">
        <f t="shared" si="153"/>
        <v>0</v>
      </c>
      <c r="E821" s="14">
        <f t="shared" si="150"/>
        <v>0</v>
      </c>
      <c r="K821" s="276">
        <f t="shared" si="154"/>
        <v>0</v>
      </c>
      <c r="M821" s="22">
        <f t="shared" si="155"/>
        <v>0</v>
      </c>
      <c r="N821" s="596" t="str">
        <f>INDEX(tblSubjectToLoan[Date],ROW()-ROW(tblContractForDeed[#Headers]))</f>
        <v/>
      </c>
      <c r="O821" s="276">
        <f>IF(ROW()=ROW(tblContractForDeed[#Headers])+1,$O$6,IF(INDEX(tblContractForDeed[End Bal],ROW()-ROW(tblContractForDeed[#Headers])-1)&lt;0,0,INDEX(tblContractForDeed[End Bal],ROW()-ROW(tblContractForDeed[#Headers])-1)))</f>
        <v>0</v>
      </c>
      <c r="P821" s="447"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596" t="str">
        <f t="shared" si="151"/>
        <v/>
      </c>
      <c r="B822" s="276">
        <f t="shared" si="152"/>
        <v>0</v>
      </c>
      <c r="C822" s="14">
        <f t="shared" si="149"/>
        <v>0</v>
      </c>
      <c r="D822" s="14">
        <f t="shared" si="153"/>
        <v>0</v>
      </c>
      <c r="E822" s="14">
        <f t="shared" si="150"/>
        <v>0</v>
      </c>
      <c r="K822" s="276">
        <f t="shared" si="154"/>
        <v>0</v>
      </c>
      <c r="M822" s="22">
        <f t="shared" si="155"/>
        <v>0</v>
      </c>
      <c r="N822" s="596" t="str">
        <f>INDEX(tblSubjectToLoan[Date],ROW()-ROW(tblContractForDeed[#Headers]))</f>
        <v/>
      </c>
      <c r="O822" s="276">
        <f>IF(ROW()=ROW(tblContractForDeed[#Headers])+1,$O$6,IF(INDEX(tblContractForDeed[End Bal],ROW()-ROW(tblContractForDeed[#Headers])-1)&lt;0,0,INDEX(tblContractForDeed[End Bal],ROW()-ROW(tblContractForDeed[#Headers])-1)))</f>
        <v>0</v>
      </c>
      <c r="P822" s="447"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596" t="str">
        <f t="shared" si="151"/>
        <v/>
      </c>
      <c r="B823" s="276">
        <f t="shared" si="152"/>
        <v>0</v>
      </c>
      <c r="C823" s="14">
        <f t="shared" si="149"/>
        <v>0</v>
      </c>
      <c r="D823" s="14">
        <f t="shared" si="153"/>
        <v>0</v>
      </c>
      <c r="E823" s="14">
        <f t="shared" si="150"/>
        <v>0</v>
      </c>
      <c r="K823" s="276">
        <f t="shared" si="154"/>
        <v>0</v>
      </c>
      <c r="M823" s="22">
        <f t="shared" si="155"/>
        <v>0</v>
      </c>
      <c r="N823" s="596" t="str">
        <f>INDEX(tblSubjectToLoan[Date],ROW()-ROW(tblContractForDeed[#Headers]))</f>
        <v/>
      </c>
      <c r="O823" s="276">
        <f>IF(ROW()=ROW(tblContractForDeed[#Headers])+1,$O$6,IF(INDEX(tblContractForDeed[End Bal],ROW()-ROW(tblContractForDeed[#Headers])-1)&lt;0,0,INDEX(tblContractForDeed[End Bal],ROW()-ROW(tblContractForDeed[#Headers])-1)))</f>
        <v>0</v>
      </c>
      <c r="P823" s="447"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596" t="str">
        <f t="shared" si="151"/>
        <v/>
      </c>
      <c r="B824" s="276">
        <f t="shared" si="152"/>
        <v>0</v>
      </c>
      <c r="C824" s="14">
        <f t="shared" si="149"/>
        <v>0</v>
      </c>
      <c r="D824" s="14">
        <f t="shared" si="153"/>
        <v>0</v>
      </c>
      <c r="E824" s="14">
        <f t="shared" si="150"/>
        <v>0</v>
      </c>
      <c r="K824" s="276">
        <f t="shared" si="154"/>
        <v>0</v>
      </c>
      <c r="M824" s="22">
        <f t="shared" si="155"/>
        <v>0</v>
      </c>
      <c r="N824" s="596" t="str">
        <f>INDEX(tblSubjectToLoan[Date],ROW()-ROW(tblContractForDeed[#Headers]))</f>
        <v/>
      </c>
      <c r="O824" s="276">
        <f>IF(ROW()=ROW(tblContractForDeed[#Headers])+1,$O$6,IF(INDEX(tblContractForDeed[End Bal],ROW()-ROW(tblContractForDeed[#Headers])-1)&lt;0,0,INDEX(tblContractForDeed[End Bal],ROW()-ROW(tblContractForDeed[#Headers])-1)))</f>
        <v>0</v>
      </c>
      <c r="P824" s="447"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596" t="str">
        <f t="shared" si="151"/>
        <v/>
      </c>
      <c r="B825" s="276">
        <f t="shared" si="152"/>
        <v>0</v>
      </c>
      <c r="C825" s="14">
        <f t="shared" si="149"/>
        <v>0</v>
      </c>
      <c r="D825" s="14">
        <f t="shared" si="153"/>
        <v>0</v>
      </c>
      <c r="E825" s="14">
        <f t="shared" si="150"/>
        <v>0</v>
      </c>
      <c r="K825" s="276">
        <f t="shared" si="154"/>
        <v>0</v>
      </c>
      <c r="M825" s="22">
        <f t="shared" si="155"/>
        <v>0</v>
      </c>
      <c r="N825" s="596" t="str">
        <f>INDEX(tblSubjectToLoan[Date],ROW()-ROW(tblContractForDeed[#Headers]))</f>
        <v/>
      </c>
      <c r="O825" s="276">
        <f>IF(ROW()=ROW(tblContractForDeed[#Headers])+1,$O$6,IF(INDEX(tblContractForDeed[End Bal],ROW()-ROW(tblContractForDeed[#Headers])-1)&lt;0,0,INDEX(tblContractForDeed[End Bal],ROW()-ROW(tblContractForDeed[#Headers])-1)))</f>
        <v>0</v>
      </c>
      <c r="P825" s="447"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596" t="str">
        <f t="shared" si="151"/>
        <v/>
      </c>
      <c r="B826" s="276">
        <f t="shared" si="152"/>
        <v>0</v>
      </c>
      <c r="C826" s="14">
        <f t="shared" si="149"/>
        <v>0</v>
      </c>
      <c r="D826" s="14">
        <f t="shared" si="153"/>
        <v>0</v>
      </c>
      <c r="E826" s="14">
        <f t="shared" si="150"/>
        <v>0</v>
      </c>
      <c r="K826" s="276">
        <f t="shared" si="154"/>
        <v>0</v>
      </c>
      <c r="M826" s="22">
        <f t="shared" si="155"/>
        <v>0</v>
      </c>
      <c r="N826" s="596" t="str">
        <f>INDEX(tblSubjectToLoan[Date],ROW()-ROW(tblContractForDeed[#Headers]))</f>
        <v/>
      </c>
      <c r="O826" s="276">
        <f>IF(ROW()=ROW(tblContractForDeed[#Headers])+1,$O$6,IF(INDEX(tblContractForDeed[End Bal],ROW()-ROW(tblContractForDeed[#Headers])-1)&lt;0,0,INDEX(tblContractForDeed[End Bal],ROW()-ROW(tblContractForDeed[#Headers])-1)))</f>
        <v>0</v>
      </c>
      <c r="P826" s="447"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596" t="str">
        <f t="shared" si="151"/>
        <v/>
      </c>
      <c r="B827" s="276">
        <f t="shared" si="152"/>
        <v>0</v>
      </c>
      <c r="C827" s="14">
        <f t="shared" si="149"/>
        <v>0</v>
      </c>
      <c r="D827" s="14">
        <f t="shared" si="153"/>
        <v>0</v>
      </c>
      <c r="E827" s="14">
        <f t="shared" si="150"/>
        <v>0</v>
      </c>
      <c r="K827" s="276">
        <f t="shared" si="154"/>
        <v>0</v>
      </c>
      <c r="M827" s="22">
        <f t="shared" si="155"/>
        <v>0</v>
      </c>
      <c r="N827" s="596" t="str">
        <f>INDEX(tblSubjectToLoan[Date],ROW()-ROW(tblContractForDeed[#Headers]))</f>
        <v/>
      </c>
      <c r="O827" s="276">
        <f>IF(ROW()=ROW(tblContractForDeed[#Headers])+1,$O$6,IF(INDEX(tblContractForDeed[End Bal],ROW()-ROW(tblContractForDeed[#Headers])-1)&lt;0,0,INDEX(tblContractForDeed[End Bal],ROW()-ROW(tblContractForDeed[#Headers])-1)))</f>
        <v>0</v>
      </c>
      <c r="P827" s="447"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47"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51">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47"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51">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47"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51">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47"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51">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47"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51">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47"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51">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60" t="s">
        <v>688</v>
      </c>
      <c r="B1" s="503"/>
      <c r="C1" s="503"/>
      <c r="D1" s="460" t="s">
        <v>726</v>
      </c>
      <c r="E1" s="504"/>
      <c r="F1" s="503"/>
      <c r="G1" s="25"/>
      <c r="H1" s="460" t="s">
        <v>729</v>
      </c>
      <c r="I1" s="503"/>
      <c r="J1" s="503"/>
      <c r="K1" s="129"/>
    </row>
    <row r="2" spans="1:11" ht="15.75" customHeight="1" x14ac:dyDescent="0.25">
      <c r="A2" s="30" t="s">
        <v>1039</v>
      </c>
      <c r="B2" s="503"/>
      <c r="C2" s="503"/>
      <c r="D2" s="445" t="s">
        <v>1040</v>
      </c>
      <c r="E2" s="505"/>
      <c r="F2" s="503"/>
      <c r="G2" s="25"/>
      <c r="H2" s="30" t="s">
        <v>730</v>
      </c>
      <c r="I2" s="503">
        <v>8047.08</v>
      </c>
      <c r="J2" s="503"/>
      <c r="K2" s="129"/>
    </row>
    <row r="3" spans="1:11" ht="15.75" customHeight="1" x14ac:dyDescent="0.25">
      <c r="A3" s="30" t="s">
        <v>1041</v>
      </c>
      <c r="B3" s="503"/>
      <c r="C3" s="506"/>
      <c r="D3" s="445" t="s">
        <v>1042</v>
      </c>
      <c r="E3" s="507" t="str">
        <f>IF(E2="",+Docs!B33,E2)</f>
        <v>Laurence A. Tunnard and April D. Tunnard</v>
      </c>
      <c r="F3" s="503"/>
      <c r="G3" s="25"/>
      <c r="H3" s="30" t="s">
        <v>1043</v>
      </c>
      <c r="I3" s="507">
        <f>+I2/2/6</f>
        <v>670.59</v>
      </c>
      <c r="J3" s="503"/>
      <c r="K3" s="129"/>
    </row>
    <row r="4" spans="1:11" ht="15.75" customHeight="1" x14ac:dyDescent="0.25">
      <c r="A4" s="30" t="s">
        <v>1044</v>
      </c>
      <c r="B4" s="503"/>
      <c r="C4" s="503"/>
      <c r="D4" s="445" t="s">
        <v>696</v>
      </c>
      <c r="E4" s="508">
        <f ca="1">YEAR(NOW()+365*3)</f>
        <v>2029</v>
      </c>
      <c r="F4" s="503"/>
      <c r="G4" s="25"/>
      <c r="H4" s="30" t="s">
        <v>1045</v>
      </c>
      <c r="I4" s="507">
        <f>+I2/2</f>
        <v>4023.54</v>
      </c>
      <c r="J4" s="503"/>
      <c r="K4" s="129"/>
    </row>
    <row r="5" spans="1:11" ht="15.75" customHeight="1" x14ac:dyDescent="0.25">
      <c r="A5" s="30" t="s">
        <v>1044</v>
      </c>
      <c r="B5" s="503"/>
      <c r="C5" s="503"/>
      <c r="D5" s="30" t="s">
        <v>698</v>
      </c>
      <c r="E5" s="507" t="s">
        <v>728</v>
      </c>
      <c r="F5" s="503"/>
      <c r="G5" s="25"/>
      <c r="H5" s="30" t="s">
        <v>1046</v>
      </c>
      <c r="I5" s="503" t="str">
        <f>"A balloon payment of " &amp; TEXT(I4,"$#,##0.00") &amp; " will be due when the property is resold by the purchaser"</f>
        <v>A balloon payment of $4,023.54 will be due when the property is resold by the purchaser</v>
      </c>
      <c r="J5" s="503"/>
      <c r="K5" s="129"/>
    </row>
    <row r="6" spans="1:11" ht="15.75" customHeight="1" x14ac:dyDescent="0.25">
      <c r="A6" s="30" t="s">
        <v>687</v>
      </c>
      <c r="B6" s="503" t="s">
        <v>693</v>
      </c>
      <c r="C6" s="503"/>
      <c r="D6" s="30" t="s">
        <v>1047</v>
      </c>
      <c r="E6" s="505"/>
      <c r="F6" s="503"/>
      <c r="G6" s="25"/>
      <c r="H6" s="30" t="s">
        <v>1048</v>
      </c>
      <c r="I6" s="30" t="str">
        <f>IF(J6="Yes","Limited Allowance Compensating for Rent", "DON'T USE")</f>
        <v>DON'T USE</v>
      </c>
      <c r="J6" s="509" t="s">
        <v>1049</v>
      </c>
      <c r="K6" s="129"/>
    </row>
    <row r="7" spans="1:11" ht="15.75" customHeight="1" x14ac:dyDescent="0.25">
      <c r="A7" s="30" t="s">
        <v>679</v>
      </c>
      <c r="B7" s="510">
        <f>+Amortization!O3</f>
        <v>346500</v>
      </c>
      <c r="C7" s="511"/>
      <c r="D7" s="30" t="s">
        <v>1050</v>
      </c>
      <c r="E7" s="507" t="str">
        <f>IF(E6="X","[X] If checked, The rent shall adjust, annually, to exactly the amount of the mortgage payment, property insurance, real estate taxes, plus $10.00."," ")</f>
        <v xml:space="preserve"> </v>
      </c>
      <c r="F7" s="511"/>
      <c r="G7" s="439"/>
      <c r="H7" s="30" t="s">
        <v>1051</v>
      </c>
      <c r="I7" s="30" t="str">
        <f>IF(J7="Yes","Part of Purchase and Sale Agreement", "DON'T USE")</f>
        <v>Part of Purchase and Sale Agreement</v>
      </c>
      <c r="J7" s="509" t="s">
        <v>29</v>
      </c>
      <c r="K7" s="129"/>
    </row>
    <row r="8" spans="1:11" ht="15.75" customHeight="1" x14ac:dyDescent="0.25">
      <c r="A8" s="30" t="s">
        <v>1052</v>
      </c>
      <c r="B8" s="510">
        <f>+Amortization!K2</f>
        <v>0</v>
      </c>
      <c r="C8" s="511"/>
      <c r="D8" s="30" t="s">
        <v>1053</v>
      </c>
      <c r="E8" s="512">
        <v>0</v>
      </c>
      <c r="F8" s="511"/>
      <c r="G8" s="439"/>
      <c r="H8" s="30" t="s">
        <v>734</v>
      </c>
      <c r="I8" s="462">
        <v>10</v>
      </c>
      <c r="J8" s="462"/>
      <c r="K8" s="129"/>
    </row>
    <row r="9" spans="1:11" ht="16.5" customHeight="1" thickBot="1" x14ac:dyDescent="0.3">
      <c r="A9" s="445" t="s">
        <v>677</v>
      </c>
      <c r="B9" s="510">
        <f>+Amortization!$O$4</f>
        <v>34650</v>
      </c>
      <c r="C9" s="511"/>
      <c r="D9" s="30" t="s">
        <v>695</v>
      </c>
      <c r="E9" s="513">
        <f>Carrying!E5</f>
        <v>660.59</v>
      </c>
      <c r="F9" s="511"/>
      <c r="G9" s="439"/>
      <c r="H9" s="30" t="s">
        <v>731</v>
      </c>
      <c r="I9" s="503">
        <v>12</v>
      </c>
      <c r="J9" s="503"/>
      <c r="K9" s="129"/>
    </row>
    <row r="10" spans="1:11" ht="16.5" customHeight="1" thickBot="1" x14ac:dyDescent="0.3">
      <c r="A10" s="445" t="s">
        <v>592</v>
      </c>
      <c r="B10" s="514">
        <f>+Amortization!O6</f>
        <v>75258</v>
      </c>
      <c r="C10" s="507"/>
      <c r="D10" s="460" t="s">
        <v>689</v>
      </c>
      <c r="E10" s="503"/>
      <c r="F10" s="507"/>
      <c r="G10" s="440"/>
      <c r="H10" s="30" t="s">
        <v>117</v>
      </c>
      <c r="I10" s="503">
        <v>0</v>
      </c>
      <c r="J10" s="503"/>
      <c r="K10" s="129"/>
    </row>
    <row r="11" spans="1:11" ht="13.5" customHeight="1" x14ac:dyDescent="0.25">
      <c r="A11" s="445" t="s">
        <v>665</v>
      </c>
      <c r="B11" s="515">
        <f>SUM(B12:B12)</f>
        <v>645.28</v>
      </c>
      <c r="C11" s="516"/>
      <c r="D11" s="30" t="s">
        <v>641</v>
      </c>
      <c r="E11" s="517" t="str">
        <f>+Profit!$B$2</f>
        <v>4121 Tensity Dr</v>
      </c>
      <c r="F11" s="516"/>
      <c r="G11" s="443"/>
      <c r="H11" s="30" t="s">
        <v>732</v>
      </c>
      <c r="I11" s="503" t="str">
        <f>IF(I2&gt;0,"X","")</f>
        <v>X</v>
      </c>
      <c r="J11" s="503"/>
      <c r="K11" s="129"/>
    </row>
    <row r="12" spans="1:11" ht="13.5" customHeight="1" x14ac:dyDescent="0.25">
      <c r="A12" s="445" t="s">
        <v>649</v>
      </c>
      <c r="B12" s="518">
        <f>+cfdRate1Payment</f>
        <v>645.28</v>
      </c>
      <c r="C12" s="519"/>
      <c r="D12" s="30" t="s">
        <v>642</v>
      </c>
      <c r="E12" s="517" t="str">
        <f>+Profit!$E$2</f>
        <v>Raleigh, NC 27604</v>
      </c>
      <c r="F12" s="519"/>
      <c r="G12" s="442"/>
      <c r="H12" s="30" t="s">
        <v>1054</v>
      </c>
      <c r="I12" s="503" t="s">
        <v>1055</v>
      </c>
      <c r="J12" s="503"/>
      <c r="K12" s="129"/>
    </row>
    <row r="13" spans="1:11" ht="13.5" customHeight="1" thickBot="1" x14ac:dyDescent="0.3">
      <c r="A13" s="445" t="s">
        <v>663</v>
      </c>
      <c r="B13" s="518">
        <f>+cfdRate2Payment</f>
        <v>659.9</v>
      </c>
      <c r="C13" s="519"/>
      <c r="D13" s="30" t="s">
        <v>635</v>
      </c>
      <c r="E13" s="503" t="s">
        <v>733</v>
      </c>
      <c r="F13" s="519"/>
      <c r="G13" s="442"/>
      <c r="H13" s="30"/>
      <c r="I13" s="503"/>
      <c r="J13" s="503"/>
      <c r="K13" s="129"/>
    </row>
    <row r="14" spans="1:11" ht="13.5" customHeight="1" thickBot="1" x14ac:dyDescent="0.3">
      <c r="A14" s="445" t="s">
        <v>664</v>
      </c>
      <c r="B14" s="515">
        <f>SUM(B13:B13)</f>
        <v>659.9</v>
      </c>
      <c r="C14" s="516"/>
      <c r="D14" s="445" t="s">
        <v>637</v>
      </c>
      <c r="E14" s="503">
        <f>+E15*12</f>
        <v>2262.6000000000004</v>
      </c>
      <c r="F14" s="516"/>
      <c r="G14" s="443"/>
      <c r="H14" s="460" t="s">
        <v>1056</v>
      </c>
      <c r="I14" s="503"/>
      <c r="J14" s="503"/>
      <c r="K14" s="129"/>
    </row>
    <row r="15" spans="1:11" ht="13.5" customHeight="1" x14ac:dyDescent="0.25">
      <c r="A15" s="445" t="s">
        <v>650</v>
      </c>
      <c r="B15" s="514">
        <f>+cfdFirstRateYears</f>
        <v>5</v>
      </c>
      <c r="C15" s="516"/>
      <c r="D15" s="445" t="s">
        <v>638</v>
      </c>
      <c r="E15" s="520">
        <f>+Amortization!W3</f>
        <v>188.55</v>
      </c>
      <c r="F15" s="516"/>
      <c r="G15" s="443"/>
      <c r="H15" s="30" t="s">
        <v>1057</v>
      </c>
      <c r="I15" s="521"/>
      <c r="J15" s="503"/>
      <c r="K15" s="129"/>
    </row>
    <row r="16" spans="1:11" ht="13.5" customHeight="1" x14ac:dyDescent="0.25">
      <c r="A16" s="30" t="s">
        <v>667</v>
      </c>
      <c r="B16" s="517">
        <f>+cfdFirstRateMonths</f>
        <v>60</v>
      </c>
      <c r="C16" s="516"/>
      <c r="D16" s="445" t="s">
        <v>639</v>
      </c>
      <c r="E16" s="520">
        <f>+Amortization!W2</f>
        <v>134.16999999999999</v>
      </c>
      <c r="F16" s="516"/>
      <c r="G16" s="443"/>
      <c r="H16" s="30" t="s">
        <v>1058</v>
      </c>
      <c r="I16" s="521"/>
      <c r="J16" s="503"/>
      <c r="K16" s="129"/>
    </row>
    <row r="17" spans="1:11" ht="13.5" customHeight="1" thickBot="1" x14ac:dyDescent="0.3">
      <c r="A17" s="30" t="s">
        <v>666</v>
      </c>
      <c r="B17" s="517">
        <f>+cfdContractMonths-cfdFirstRateMonths</f>
        <v>120</v>
      </c>
      <c r="C17" s="516"/>
      <c r="D17" s="446" t="s">
        <v>640</v>
      </c>
      <c r="E17" s="503">
        <v>0</v>
      </c>
      <c r="F17" s="516"/>
      <c r="G17" s="443"/>
      <c r="H17" s="30" t="s">
        <v>1059</v>
      </c>
      <c r="I17" s="521"/>
      <c r="J17" s="503"/>
      <c r="K17" s="129"/>
    </row>
    <row r="18" spans="1:11" ht="13.5" customHeight="1" thickBot="1" x14ac:dyDescent="0.3">
      <c r="A18" s="30" t="s">
        <v>670</v>
      </c>
      <c r="B18" s="522">
        <f>+cfdContractDate</f>
        <v>46204</v>
      </c>
      <c r="C18" s="516"/>
      <c r="D18" s="460" t="s">
        <v>690</v>
      </c>
      <c r="E18" s="503"/>
      <c r="F18" s="516"/>
      <c r="G18" s="443"/>
      <c r="H18" s="30" t="s">
        <v>1060</v>
      </c>
      <c r="I18" s="523"/>
      <c r="J18" s="503"/>
      <c r="K18" s="129"/>
    </row>
    <row r="19" spans="1:11" ht="15.75" customHeight="1" x14ac:dyDescent="0.25">
      <c r="A19" s="30" t="s">
        <v>671</v>
      </c>
      <c r="B19" s="522">
        <f>EDATE(cfdContractDate,cfdFirstRateMonths-1)</f>
        <v>48000</v>
      </c>
      <c r="C19" s="516"/>
      <c r="D19" s="30" t="s">
        <v>723</v>
      </c>
      <c r="E19" s="524" t="s">
        <v>724</v>
      </c>
      <c r="F19" s="516"/>
      <c r="G19" s="443"/>
      <c r="H19" s="30" t="s">
        <v>1061</v>
      </c>
      <c r="I19" s="521"/>
      <c r="J19" s="503"/>
      <c r="K19" s="129"/>
    </row>
    <row r="20" spans="1:11" ht="15.75" customHeight="1" x14ac:dyDescent="0.25">
      <c r="A20" s="30" t="s">
        <v>668</v>
      </c>
      <c r="B20" s="522">
        <f>+cfdRateChangeDate</f>
        <v>48030</v>
      </c>
      <c r="C20" s="516"/>
      <c r="D20" s="30" t="s">
        <v>651</v>
      </c>
      <c r="E20" t="s">
        <v>720</v>
      </c>
      <c r="F20" s="516"/>
      <c r="G20" s="443"/>
      <c r="H20" s="30" t="s">
        <v>1062</v>
      </c>
      <c r="I20" s="521"/>
      <c r="J20" s="503"/>
      <c r="K20" s="129"/>
    </row>
    <row r="21" spans="1:11" ht="15.75" customHeight="1" x14ac:dyDescent="0.25">
      <c r="A21" s="30" t="s">
        <v>669</v>
      </c>
      <c r="B21" s="522">
        <f>+cfdEndDate</f>
        <v>51653</v>
      </c>
      <c r="C21" s="516"/>
      <c r="D21" s="30" t="s">
        <v>673</v>
      </c>
      <c r="E21" s="525"/>
      <c r="F21" s="516"/>
      <c r="G21" s="443"/>
      <c r="H21" s="443"/>
      <c r="J21" s="129"/>
      <c r="K21" s="129"/>
    </row>
    <row r="22" spans="1:11" ht="33.950000000000003" customHeight="1" x14ac:dyDescent="0.25">
      <c r="A22" s="30" t="s">
        <v>1063</v>
      </c>
      <c r="B22" s="506"/>
      <c r="C22" s="509"/>
      <c r="E22" s="509"/>
      <c r="F22" s="516"/>
      <c r="G22" s="443"/>
      <c r="H22" s="801" t="s">
        <v>1109</v>
      </c>
      <c r="I22" s="801"/>
      <c r="J22" s="129"/>
      <c r="K22" s="129"/>
    </row>
    <row r="23" spans="1:11" ht="33.950000000000003" customHeight="1" x14ac:dyDescent="0.25">
      <c r="A23" s="30" t="s">
        <v>1064</v>
      </c>
      <c r="B23" s="526"/>
      <c r="C23" s="509"/>
      <c r="E23" s="509"/>
      <c r="F23" s="516"/>
      <c r="G23" s="443"/>
      <c r="H23" s="542" t="s">
        <v>1110</v>
      </c>
      <c r="I23" s="543">
        <f>tradeNetCreditIncluded</f>
        <v>236592</v>
      </c>
      <c r="J23" s="129"/>
      <c r="K23" s="129"/>
    </row>
    <row r="24" spans="1:11" ht="33.950000000000003" customHeight="1" x14ac:dyDescent="0.25">
      <c r="A24" s="30" t="s">
        <v>1065</v>
      </c>
      <c r="B24" s="527"/>
      <c r="C24" s="509"/>
      <c r="E24" s="509"/>
      <c r="F24" s="516"/>
      <c r="G24" s="443"/>
      <c r="H24" s="542" t="s">
        <v>1111</v>
      </c>
      <c r="I24" s="543">
        <f>$B$9</f>
        <v>34650</v>
      </c>
      <c r="J24" s="129"/>
      <c r="K24" s="129"/>
    </row>
    <row r="25" spans="1:11" ht="33.950000000000003" customHeight="1" x14ac:dyDescent="0.25">
      <c r="A25" s="30"/>
      <c r="B25" s="516"/>
      <c r="C25" s="516"/>
      <c r="D25" s="30" t="s">
        <v>1066</v>
      </c>
      <c r="E25" s="512"/>
      <c r="F25" s="516"/>
      <c r="G25" s="443"/>
      <c r="H25" s="542" t="s">
        <v>1112</v>
      </c>
      <c r="I25" s="543">
        <f>$B$8+$B$9+$I$23</f>
        <v>271242</v>
      </c>
      <c r="J25" s="129"/>
      <c r="K25" s="129"/>
    </row>
    <row r="26" spans="1:11" ht="33.950000000000003" customHeight="1" thickBot="1" x14ac:dyDescent="0.3">
      <c r="A26" s="30"/>
      <c r="B26" s="503"/>
      <c r="C26" s="516"/>
      <c r="D26" s="30" t="s">
        <v>709</v>
      </c>
      <c r="E26" s="521" t="s">
        <v>719</v>
      </c>
      <c r="F26" s="516"/>
      <c r="G26" s="443"/>
      <c r="H26" s="542" t="s">
        <v>1113</v>
      </c>
      <c r="I26" s="543">
        <f>$B$7-$I$25</f>
        <v>75258</v>
      </c>
      <c r="J26" s="129"/>
      <c r="K26" s="129"/>
    </row>
    <row r="27" spans="1:11" ht="33.950000000000003" customHeight="1" thickBot="1" x14ac:dyDescent="0.3">
      <c r="A27" s="460" t="s">
        <v>694</v>
      </c>
      <c r="B27" s="503"/>
      <c r="C27" s="516"/>
      <c r="D27" s="30" t="s">
        <v>710</v>
      </c>
      <c r="E27" s="528" t="s">
        <v>721</v>
      </c>
      <c r="F27" s="516"/>
      <c r="G27" s="443"/>
      <c r="H27" s="542" t="s">
        <v>1114</v>
      </c>
      <c r="I27" s="544" t="str">
        <f>tradePropertyListForDocs</f>
        <v>5009 Sunnyfield Dr - Single wide; 5021 Sunnyfield Dr - Double wide; 5512 Desert Willow Ln - Single wide</v>
      </c>
      <c r="J27" s="129"/>
      <c r="K27" s="129"/>
    </row>
    <row r="28" spans="1:11" ht="33.950000000000003" customHeight="1" x14ac:dyDescent="0.25">
      <c r="A28" s="30" t="s">
        <v>686</v>
      </c>
      <c r="B28" s="521" t="s">
        <v>693</v>
      </c>
      <c r="C28" s="516"/>
      <c r="D28" s="30" t="s">
        <v>711</v>
      </c>
      <c r="E28" s="528" t="s">
        <v>722</v>
      </c>
      <c r="F28" s="516"/>
      <c r="G28" s="443"/>
      <c r="H28" s="542" t="s">
        <v>1115</v>
      </c>
      <c r="I28" s="802" t="str">
        <f>tradePropertyConditionsForDocs</f>
        <v>Trade credit is not final until titles/bills of sale, lien releases or payoff documentation, possession/keys, tenant and rent information, and park/lot approvals are delivered and accepted.</v>
      </c>
      <c r="J28" s="624"/>
      <c r="K28" s="129"/>
    </row>
    <row r="29" spans="1:11" ht="33.950000000000003" customHeight="1" thickBot="1" x14ac:dyDescent="0.3">
      <c r="A29" s="30" t="s">
        <v>699</v>
      </c>
      <c r="B29" s="517" t="str">
        <f>+MOG!B3&amp;" "&amp;MOG!C3</f>
        <v>Laurence A. Tunnard</v>
      </c>
      <c r="C29" s="516"/>
      <c r="D29" s="30" t="s">
        <v>712</v>
      </c>
      <c r="E29" s="521"/>
      <c r="F29" s="516"/>
      <c r="G29" s="443"/>
      <c r="H29" s="542" t="s">
        <v>1116</v>
      </c>
      <c r="I29" s="802" t="s">
        <v>1117</v>
      </c>
      <c r="J29" s="624"/>
      <c r="K29" s="129"/>
    </row>
    <row r="30" spans="1:11" ht="33.950000000000003" customHeight="1" thickBot="1" x14ac:dyDescent="0.3">
      <c r="A30" s="30" t="s">
        <v>701</v>
      </c>
      <c r="B30" s="517" t="str">
        <f>+MOG!B4&amp;" "&amp;MOG!C4</f>
        <v>April D. Tunnard</v>
      </c>
      <c r="C30" s="516"/>
      <c r="D30" s="460" t="s">
        <v>727</v>
      </c>
      <c r="E30" s="503"/>
      <c r="F30" s="516"/>
      <c r="G30" s="443"/>
      <c r="H30" s="542" t="s">
        <v>1118</v>
      </c>
      <c r="I30" s="802" t="s">
        <v>1119</v>
      </c>
      <c r="J30" s="624"/>
      <c r="K30" s="129"/>
    </row>
    <row r="31" spans="1:11" ht="15.75" customHeight="1" x14ac:dyDescent="0.25">
      <c r="A31" s="30" t="s">
        <v>1067</v>
      </c>
      <c r="B31" s="521"/>
      <c r="C31" s="503"/>
      <c r="D31" s="30" t="s">
        <v>697</v>
      </c>
      <c r="E31" s="521" t="s">
        <v>718</v>
      </c>
      <c r="F31" s="503"/>
      <c r="G31" s="25"/>
      <c r="H31" s="25"/>
      <c r="J31" s="129"/>
      <c r="K31" s="129"/>
    </row>
    <row r="32" spans="1:11" ht="15.75" customHeight="1" x14ac:dyDescent="0.25">
      <c r="A32" s="30" t="s">
        <v>1068</v>
      </c>
      <c r="B32" s="521"/>
      <c r="C32" s="503"/>
      <c r="D32" s="30" t="s">
        <v>713</v>
      </c>
      <c r="E32" s="512" t="s">
        <v>716</v>
      </c>
      <c r="F32" s="503"/>
      <c r="G32" s="25"/>
      <c r="H32" s="25"/>
      <c r="J32" s="129"/>
      <c r="K32" s="129"/>
    </row>
    <row r="33" spans="1:11" ht="15.75" customHeight="1" x14ac:dyDescent="0.25">
      <c r="A33" s="30" t="s">
        <v>700</v>
      </c>
      <c r="B33" s="503" t="str">
        <f>MOG!$B$3 &amp; " " &amp; MOG!$C$3 &amp; IF(+MOG!$C$4="",""," and " &amp; +MOG!$B$4 &amp; " " &amp;MOG!$C$4)</f>
        <v>Laurence A. Tunnard and April D. Tunnard</v>
      </c>
      <c r="C33" s="503"/>
      <c r="D33" s="30" t="s">
        <v>714</v>
      </c>
      <c r="E33" s="512" t="s">
        <v>715</v>
      </c>
      <c r="F33" s="503"/>
      <c r="G33" s="25"/>
      <c r="H33" s="25"/>
      <c r="J33" s="129"/>
      <c r="K33" s="129"/>
    </row>
    <row r="34" spans="1:11" ht="15.75" customHeight="1" x14ac:dyDescent="0.25">
      <c r="A34" s="30" t="s">
        <v>1069</v>
      </c>
      <c r="B34" s="503"/>
      <c r="C34" s="529"/>
      <c r="D34" s="30" t="s">
        <v>643</v>
      </c>
      <c r="E34" s="517" t="str">
        <f>+ E11 &amp; " Real Estate Trust dated " &amp; E35 &amp; E36</f>
        <v>4121 Tensity Dr Real Estate Trust dated March, 52025</v>
      </c>
      <c r="F34" s="529"/>
      <c r="G34" s="25"/>
      <c r="H34" s="25"/>
      <c r="J34" s="129"/>
      <c r="K34" s="129"/>
    </row>
    <row r="35" spans="1:11" ht="15.75" customHeight="1" x14ac:dyDescent="0.25">
      <c r="A35" s="30" t="s">
        <v>1070</v>
      </c>
      <c r="B35" s="503"/>
      <c r="C35" s="529"/>
      <c r="D35" s="30" t="s">
        <v>644</v>
      </c>
      <c r="E35" s="528" t="s">
        <v>717</v>
      </c>
      <c r="F35" s="529"/>
      <c r="G35" s="25"/>
      <c r="H35" s="25"/>
      <c r="J35" s="129"/>
      <c r="K35" s="129"/>
    </row>
    <row r="36" spans="1:11" ht="15.75" customHeight="1" x14ac:dyDescent="0.25">
      <c r="A36" s="30" t="s">
        <v>652</v>
      </c>
      <c r="B36" s="529"/>
      <c r="C36" s="529"/>
      <c r="D36" s="30" t="s">
        <v>607</v>
      </c>
      <c r="E36" s="521">
        <v>2025</v>
      </c>
      <c r="F36" s="529"/>
      <c r="G36" s="25"/>
      <c r="H36" s="25"/>
      <c r="J36" s="129"/>
      <c r="K36" s="129"/>
    </row>
    <row r="37" spans="1:11" ht="15.75" customHeight="1" x14ac:dyDescent="0.25">
      <c r="A37" s="30" t="s">
        <v>653</v>
      </c>
      <c r="B37" s="529"/>
      <c r="C37" s="529"/>
      <c r="D37" s="30" t="s">
        <v>645</v>
      </c>
      <c r="E37" s="521" t="s">
        <v>647</v>
      </c>
      <c r="F37" s="529"/>
      <c r="G37" s="25"/>
      <c r="H37" s="25"/>
      <c r="J37" s="129"/>
      <c r="K37" s="129"/>
    </row>
    <row r="38" spans="1:11" ht="15.75" customHeight="1" x14ac:dyDescent="0.25">
      <c r="A38" s="30" t="s">
        <v>1071</v>
      </c>
      <c r="B38" s="529"/>
      <c r="C38" s="503"/>
      <c r="D38" s="30" t="s">
        <v>648</v>
      </c>
      <c r="E38" s="530">
        <f ca="1">YEAR(NOW())</f>
        <v>2026</v>
      </c>
      <c r="F38" s="503"/>
      <c r="G38" s="25"/>
      <c r="H38" s="25"/>
      <c r="J38" s="129"/>
      <c r="K38" s="129"/>
    </row>
    <row r="39" spans="1:11" ht="15.75" customHeight="1" x14ac:dyDescent="0.25">
      <c r="A39" s="30" t="s">
        <v>1072</v>
      </c>
      <c r="B39" s="529"/>
      <c r="C39" s="440"/>
      <c r="D39" s="30" t="s">
        <v>725</v>
      </c>
      <c r="E39" s="530">
        <f ca="1">MONTH(NOW())</f>
        <v>6</v>
      </c>
      <c r="F39" s="521"/>
      <c r="G39" s="25"/>
      <c r="H39" s="25"/>
      <c r="J39" s="129"/>
      <c r="K39" s="129"/>
    </row>
    <row r="40" spans="1:11" ht="15.75" customHeight="1" x14ac:dyDescent="0.25">
      <c r="A40" s="30" t="s">
        <v>705</v>
      </c>
      <c r="B40" s="503"/>
      <c r="C40" s="440"/>
      <c r="D40" s="30"/>
      <c r="E40" s="503"/>
      <c r="F40" s="521"/>
      <c r="G40" s="25"/>
      <c r="H40" s="25"/>
      <c r="J40" s="129"/>
      <c r="K40" s="129"/>
    </row>
    <row r="41" spans="1:11" ht="15.75" customHeight="1" x14ac:dyDescent="0.25">
      <c r="A41" s="30" t="s">
        <v>702</v>
      </c>
      <c r="B41" s="521" t="s">
        <v>708</v>
      </c>
      <c r="C41" s="440"/>
      <c r="D41" s="30" t="s">
        <v>672</v>
      </c>
      <c r="E41" s="503"/>
      <c r="F41" s="521"/>
      <c r="G41" s="25"/>
      <c r="H41" s="25"/>
      <c r="J41" s="129"/>
      <c r="K41" s="129"/>
    </row>
    <row r="42" spans="1:11" ht="15.75" customHeight="1" x14ac:dyDescent="0.25">
      <c r="A42" s="30" t="s">
        <v>703</v>
      </c>
      <c r="B42" s="521" t="s">
        <v>708</v>
      </c>
      <c r="C42" s="503"/>
      <c r="D42" s="30"/>
      <c r="E42" s="503"/>
      <c r="F42" s="503"/>
      <c r="G42" s="25"/>
      <c r="H42" s="25"/>
      <c r="J42" s="129"/>
      <c r="K42" s="129"/>
    </row>
    <row r="43" spans="1:11" ht="15.75" customHeight="1" x14ac:dyDescent="0.25">
      <c r="A43" s="30" t="s">
        <v>706</v>
      </c>
      <c r="B43" s="521" t="s">
        <v>707</v>
      </c>
      <c r="C43" s="507"/>
      <c r="D43" s="507"/>
      <c r="E43" s="507"/>
      <c r="F43" s="507"/>
      <c r="G43" s="440"/>
      <c r="H43" s="440"/>
      <c r="J43" s="129"/>
      <c r="K43" s="129"/>
    </row>
    <row r="44" spans="1:11" ht="15.75" customHeight="1" x14ac:dyDescent="0.25">
      <c r="A44" s="30" t="s">
        <v>704</v>
      </c>
      <c r="B44" s="503">
        <v>1233445566</v>
      </c>
      <c r="C44" s="507"/>
      <c r="D44" s="507"/>
      <c r="E44" s="507"/>
      <c r="F44" s="507"/>
      <c r="G44" s="440"/>
      <c r="H44" s="440"/>
      <c r="J44" s="129"/>
      <c r="K44" s="129"/>
    </row>
    <row r="45" spans="1:11" ht="15.75" customHeight="1" x14ac:dyDescent="0.25">
      <c r="A45" s="445" t="s">
        <v>681</v>
      </c>
      <c r="B45" s="507">
        <f>Profit!C14</f>
        <v>28063.26</v>
      </c>
      <c r="C45" s="507"/>
      <c r="D45" s="507"/>
      <c r="E45" s="507"/>
      <c r="F45" s="507"/>
      <c r="G45" s="440"/>
      <c r="H45" s="440"/>
      <c r="J45" s="129"/>
      <c r="K45" s="129"/>
    </row>
    <row r="46" spans="1:11" ht="15.75" customHeight="1" x14ac:dyDescent="0.25">
      <c r="A46" s="445" t="s">
        <v>594</v>
      </c>
      <c r="B46" s="507">
        <f>Profit!C15</f>
        <v>97228</v>
      </c>
      <c r="C46" s="440"/>
      <c r="D46" s="440"/>
      <c r="E46" s="440"/>
      <c r="F46" s="440"/>
      <c r="G46" s="440"/>
      <c r="H46" s="440"/>
      <c r="J46" s="129"/>
      <c r="K46" s="129"/>
    </row>
    <row r="47" spans="1:11" ht="15.75" customHeight="1" x14ac:dyDescent="0.25">
      <c r="A47" s="445" t="s">
        <v>680</v>
      </c>
      <c r="B47" s="507">
        <f>Profit!B21</f>
        <v>130291.26</v>
      </c>
      <c r="C47" s="507"/>
      <c r="D47" s="507"/>
      <c r="E47" s="507"/>
      <c r="F47" s="507"/>
      <c r="G47" s="440"/>
      <c r="H47" s="440"/>
      <c r="J47" s="129"/>
      <c r="K47" s="129"/>
    </row>
    <row r="48" spans="1:11" ht="15.75" customHeight="1" x14ac:dyDescent="0.25">
      <c r="A48" s="445" t="s">
        <v>636</v>
      </c>
      <c r="B48" s="521">
        <v>100</v>
      </c>
      <c r="C48" s="519"/>
      <c r="D48" s="519"/>
      <c r="E48" s="519"/>
      <c r="F48" s="519"/>
      <c r="G48" s="442"/>
      <c r="H48" s="442"/>
      <c r="J48" s="129"/>
      <c r="K48" s="129"/>
    </row>
    <row r="49" spans="1:11" ht="15.75" customHeight="1" x14ac:dyDescent="0.25">
      <c r="A49" s="445" t="s">
        <v>678</v>
      </c>
      <c r="B49" s="507">
        <f>+Profit!C20-B48</f>
        <v>4900</v>
      </c>
      <c r="C49" s="519"/>
      <c r="D49" s="519"/>
      <c r="E49" s="519"/>
      <c r="F49" s="519"/>
      <c r="G49" s="442"/>
      <c r="H49" s="442"/>
      <c r="J49" s="129"/>
      <c r="K49" s="129"/>
    </row>
    <row r="50" spans="1:11" ht="15.75" customHeight="1" x14ac:dyDescent="0.25">
      <c r="A50" s="445" t="s">
        <v>646</v>
      </c>
      <c r="B50" s="519" t="str">
        <f>TEXT(subjectInterestRate,"0.000%")</f>
        <v>3.750%</v>
      </c>
      <c r="C50" s="519"/>
      <c r="D50" s="519"/>
      <c r="E50" s="519"/>
      <c r="F50" s="519"/>
      <c r="G50" s="442"/>
      <c r="H50" s="442"/>
      <c r="J50" s="129"/>
      <c r="K50" s="129"/>
    </row>
    <row r="51" spans="1:11" ht="15.75" customHeight="1" x14ac:dyDescent="0.25">
      <c r="A51" s="445" t="s">
        <v>675</v>
      </c>
      <c r="B51" s="519" t="str">
        <f>TEXT(cfdRate1,"0.000%")</f>
        <v>6.250%</v>
      </c>
      <c r="C51" s="507"/>
      <c r="D51" s="507"/>
      <c r="E51" s="507"/>
      <c r="F51" s="507"/>
      <c r="G51" s="440"/>
      <c r="H51" s="440"/>
      <c r="J51" s="129"/>
      <c r="K51" s="129"/>
    </row>
    <row r="52" spans="1:11" ht="15.75" customHeight="1" x14ac:dyDescent="0.25">
      <c r="A52" s="445" t="s">
        <v>674</v>
      </c>
      <c r="B52" s="519" t="str">
        <f>TEXT(cfdRate2,"0.000%")</f>
        <v>6.750%</v>
      </c>
      <c r="C52" s="509"/>
      <c r="D52" s="509"/>
      <c r="E52" s="509"/>
      <c r="F52" s="509"/>
      <c r="G52" s="441"/>
      <c r="H52" s="441"/>
      <c r="J52" s="129"/>
      <c r="K52" s="129"/>
    </row>
    <row r="53" spans="1:11" ht="15.75" customHeight="1" x14ac:dyDescent="0.25">
      <c r="A53" s="445" t="s">
        <v>682</v>
      </c>
      <c r="B53" s="507" t="s">
        <v>683</v>
      </c>
      <c r="C53" s="507"/>
      <c r="D53" s="507"/>
      <c r="E53" s="507"/>
      <c r="F53" s="507"/>
      <c r="G53" s="440"/>
      <c r="H53" s="440"/>
      <c r="J53" s="129"/>
      <c r="K53" s="129"/>
    </row>
    <row r="54" spans="1:11" ht="15.75" customHeight="1" x14ac:dyDescent="0.25">
      <c r="B54" s="509"/>
      <c r="C54" s="504"/>
      <c r="D54" s="504"/>
      <c r="E54" s="504"/>
      <c r="F54" s="504"/>
      <c r="G54" s="461"/>
      <c r="H54" s="461"/>
      <c r="J54" s="129"/>
      <c r="K54" s="129"/>
    </row>
    <row r="55" spans="1:11" ht="15.75" customHeight="1" x14ac:dyDescent="0.25">
      <c r="A55" s="445" t="s">
        <v>691</v>
      </c>
      <c r="B55" s="507" t="s">
        <v>692</v>
      </c>
      <c r="C55" s="504"/>
      <c r="D55" s="504"/>
      <c r="E55" s="504"/>
      <c r="F55" s="504"/>
      <c r="G55" s="461"/>
      <c r="H55" s="461"/>
      <c r="J55" s="129"/>
      <c r="K55" s="129"/>
    </row>
    <row r="56" spans="1:11" ht="15.75" customHeight="1" x14ac:dyDescent="0.25">
      <c r="B56" s="509"/>
      <c r="C56" s="507"/>
      <c r="D56" s="507"/>
      <c r="E56" s="507"/>
      <c r="F56" s="507"/>
      <c r="G56" s="461"/>
      <c r="H56" s="461"/>
      <c r="J56" s="129"/>
      <c r="K56" s="129"/>
    </row>
    <row r="57" spans="1:11" ht="15.75" customHeight="1" x14ac:dyDescent="0.25">
      <c r="B57" s="509"/>
      <c r="C57" s="508"/>
      <c r="D57" s="508"/>
      <c r="E57" s="508"/>
      <c r="F57" s="508"/>
      <c r="G57" s="32"/>
      <c r="H57" s="32"/>
      <c r="J57" s="129"/>
      <c r="K57" s="129"/>
    </row>
    <row r="58" spans="1:11" ht="15.75" customHeight="1" x14ac:dyDescent="0.25">
      <c r="B58" s="509"/>
      <c r="C58" s="507"/>
      <c r="D58" s="507"/>
      <c r="E58" s="507"/>
      <c r="F58" s="507"/>
      <c r="G58" s="440"/>
      <c r="H58" s="440"/>
      <c r="J58" s="129"/>
      <c r="K58" s="129"/>
    </row>
    <row r="59" spans="1:11" ht="15.75" customHeight="1" x14ac:dyDescent="0.25">
      <c r="B59" s="509"/>
      <c r="C59" s="504"/>
      <c r="D59" s="504"/>
      <c r="E59" s="504"/>
      <c r="F59" s="504"/>
      <c r="G59" s="440"/>
      <c r="H59" s="440"/>
      <c r="J59" s="129"/>
      <c r="K59" s="129"/>
    </row>
    <row r="60" spans="1:11" ht="15.75" customHeight="1" x14ac:dyDescent="0.25">
      <c r="B60" s="509"/>
      <c r="C60" s="504"/>
      <c r="D60" s="504"/>
      <c r="E60" s="504"/>
      <c r="F60" s="504"/>
      <c r="G60" s="440"/>
      <c r="H60" s="440"/>
      <c r="J60" s="129"/>
      <c r="K60" s="129"/>
    </row>
    <row r="61" spans="1:11" ht="15.75" customHeight="1" x14ac:dyDescent="0.25">
      <c r="B61" s="509"/>
      <c r="C61" s="504"/>
      <c r="D61" s="504"/>
      <c r="E61" s="504"/>
      <c r="F61" s="504"/>
      <c r="G61" s="440"/>
      <c r="H61" s="440"/>
      <c r="J61" s="129"/>
      <c r="K61" s="129"/>
    </row>
    <row r="62" spans="1:11" ht="15.75" customHeight="1" x14ac:dyDescent="0.25">
      <c r="B62" s="509"/>
      <c r="C62" s="513"/>
      <c r="D62" s="513"/>
      <c r="E62" s="513"/>
      <c r="F62" s="513"/>
      <c r="G62" s="440"/>
      <c r="H62" s="440"/>
      <c r="J62" s="129"/>
      <c r="K62" s="129"/>
    </row>
    <row r="63" spans="1:11" ht="15.75" customHeight="1" x14ac:dyDescent="0.25">
      <c r="B63" s="509"/>
      <c r="C63" s="503"/>
      <c r="D63" s="503"/>
      <c r="E63" s="503"/>
      <c r="F63" s="503"/>
      <c r="G63" s="25"/>
      <c r="H63" s="25"/>
      <c r="J63" s="129"/>
      <c r="K63" s="129"/>
    </row>
    <row r="64" spans="1:11" ht="15.75" customHeight="1" x14ac:dyDescent="0.25">
      <c r="B64" s="509"/>
      <c r="C64" s="503"/>
      <c r="D64" s="503"/>
      <c r="E64" s="503"/>
      <c r="F64" s="503"/>
      <c r="G64" s="25"/>
      <c r="H64" s="25"/>
      <c r="J64" s="129"/>
      <c r="K64" s="129"/>
    </row>
    <row r="65" spans="2:11" ht="15.75" customHeight="1" x14ac:dyDescent="0.25">
      <c r="B65" s="509"/>
      <c r="C65" s="503"/>
      <c r="D65" s="503"/>
      <c r="E65" s="503"/>
      <c r="F65" s="503"/>
      <c r="G65" s="25"/>
      <c r="H65" s="25"/>
      <c r="J65" s="129"/>
      <c r="K65" s="129"/>
    </row>
    <row r="66" spans="2:11" ht="15.75" customHeight="1" x14ac:dyDescent="0.25">
      <c r="B66" s="509"/>
      <c r="C66" s="503"/>
      <c r="D66" s="503"/>
      <c r="E66" s="503"/>
      <c r="F66" s="503"/>
      <c r="G66" s="25"/>
      <c r="H66" s="25"/>
      <c r="J66" s="129"/>
      <c r="K66" s="129"/>
    </row>
    <row r="67" spans="2:11" ht="15.75" customHeight="1" x14ac:dyDescent="0.25">
      <c r="B67" s="509"/>
      <c r="C67" s="503"/>
      <c r="D67" s="503"/>
      <c r="E67" s="503"/>
      <c r="F67" s="503"/>
      <c r="G67" s="25"/>
      <c r="H67" s="25"/>
      <c r="J67" s="129"/>
      <c r="K67" s="129"/>
    </row>
    <row r="68" spans="2:11" ht="15.75" customHeight="1" x14ac:dyDescent="0.25">
      <c r="B68" s="509"/>
      <c r="C68" s="513"/>
      <c r="D68" s="513"/>
      <c r="E68" s="513"/>
      <c r="F68" s="513"/>
      <c r="G68" s="441"/>
      <c r="H68" s="441"/>
      <c r="J68" s="129"/>
      <c r="K68" s="129"/>
    </row>
    <row r="69" spans="2:11" ht="15.75" customHeight="1" x14ac:dyDescent="0.25">
      <c r="B69" s="509"/>
      <c r="C69" s="513"/>
      <c r="D69" s="513"/>
      <c r="E69" s="513"/>
      <c r="F69" s="513"/>
      <c r="G69" s="441"/>
      <c r="H69" s="441"/>
      <c r="J69" s="129"/>
      <c r="K69" s="129"/>
    </row>
    <row r="70" spans="2:11" ht="15.75" customHeight="1" x14ac:dyDescent="0.25">
      <c r="B70" s="509"/>
      <c r="C70" s="503"/>
      <c r="D70" s="503"/>
      <c r="E70" s="503"/>
      <c r="F70" s="503"/>
      <c r="G70" s="25"/>
      <c r="H70" s="25"/>
      <c r="J70" s="129"/>
      <c r="K70" s="129"/>
    </row>
    <row r="71" spans="2:11" ht="15.75" customHeight="1" x14ac:dyDescent="0.25">
      <c r="B71" s="509"/>
      <c r="C71" s="503"/>
      <c r="D71" s="503"/>
      <c r="E71" s="503"/>
      <c r="F71" s="503"/>
      <c r="G71" s="25"/>
      <c r="H71" s="25"/>
      <c r="J71" s="129"/>
      <c r="K71" s="129"/>
    </row>
    <row r="72" spans="2:11" ht="15.75" customHeight="1" x14ac:dyDescent="0.25">
      <c r="B72" s="509"/>
      <c r="C72" s="507"/>
      <c r="D72" s="507"/>
      <c r="E72" s="507"/>
      <c r="F72" s="507"/>
      <c r="G72" s="440"/>
      <c r="H72" s="440"/>
      <c r="J72" s="129"/>
      <c r="K72" s="129"/>
    </row>
    <row r="73" spans="2:11" ht="15.75" customHeight="1" x14ac:dyDescent="0.25">
      <c r="B73" s="509"/>
      <c r="C73" s="507"/>
      <c r="D73" s="507"/>
      <c r="E73" s="507"/>
      <c r="F73" s="507"/>
      <c r="G73" s="440"/>
      <c r="H73" s="440"/>
      <c r="J73" s="129"/>
      <c r="K73" s="129"/>
    </row>
    <row r="74" spans="2:11" ht="15.75" customHeight="1" x14ac:dyDescent="0.25">
      <c r="B74" s="509"/>
      <c r="C74" s="504"/>
      <c r="D74" s="504"/>
      <c r="E74" s="504"/>
      <c r="F74" s="504"/>
      <c r="G74" s="504"/>
      <c r="H74" s="504"/>
      <c r="I74" s="504"/>
      <c r="J74" s="504"/>
      <c r="K74" s="129"/>
    </row>
    <row r="75" spans="2:11" ht="15.75" customHeight="1" x14ac:dyDescent="0.25">
      <c r="B75" s="509"/>
      <c r="C75" s="504"/>
      <c r="D75" s="504"/>
      <c r="E75" s="504"/>
      <c r="F75" s="504"/>
      <c r="G75" s="504"/>
      <c r="H75" s="504"/>
      <c r="I75" s="504"/>
      <c r="J75" s="504"/>
      <c r="K75" s="129"/>
    </row>
    <row r="76" spans="2:11" ht="15.75" customHeight="1" x14ac:dyDescent="0.25">
      <c r="B76" s="509"/>
      <c r="C76" s="504"/>
      <c r="D76" s="504"/>
      <c r="E76" s="504"/>
      <c r="F76" s="504"/>
      <c r="G76" s="504"/>
      <c r="H76" s="504"/>
      <c r="I76" s="504"/>
      <c r="J76" s="504"/>
      <c r="K76" s="129"/>
    </row>
    <row r="77" spans="2:11" ht="15.75" customHeight="1" x14ac:dyDescent="0.25">
      <c r="B77" s="509"/>
      <c r="C77" s="504"/>
      <c r="D77" s="504"/>
      <c r="E77" s="504"/>
      <c r="F77" s="504"/>
      <c r="G77" s="504"/>
      <c r="H77" s="504"/>
      <c r="I77" s="504"/>
      <c r="J77" s="504"/>
      <c r="K77" s="129"/>
    </row>
    <row r="78" spans="2:11" ht="15.75" customHeight="1" x14ac:dyDescent="0.25">
      <c r="B78" s="509"/>
      <c r="C78" s="504"/>
      <c r="D78" s="504"/>
      <c r="E78" s="504"/>
      <c r="F78" s="504"/>
      <c r="G78" s="504"/>
      <c r="H78" s="504"/>
      <c r="I78" s="504"/>
      <c r="J78" s="504"/>
      <c r="K78" s="129"/>
    </row>
    <row r="79" spans="2:11" ht="15.75" customHeight="1" x14ac:dyDescent="0.25">
      <c r="B79" s="509"/>
      <c r="C79" s="504"/>
      <c r="D79" s="504"/>
      <c r="E79" s="504"/>
      <c r="F79" s="504"/>
      <c r="G79" s="504"/>
      <c r="H79" s="504"/>
      <c r="I79" s="504"/>
      <c r="J79" s="504"/>
      <c r="K79" s="129"/>
    </row>
    <row r="80" spans="2:11" ht="15.75" customHeight="1" x14ac:dyDescent="0.25">
      <c r="B80" s="509"/>
      <c r="C80" s="504"/>
      <c r="D80" s="504"/>
      <c r="E80" s="504"/>
      <c r="F80" s="504"/>
      <c r="G80" s="504"/>
      <c r="H80" s="504"/>
      <c r="I80" s="504"/>
      <c r="J80" s="504"/>
      <c r="K80" s="129"/>
    </row>
    <row r="81" spans="2:71" ht="15.75" customHeight="1" x14ac:dyDescent="0.25">
      <c r="B81" s="509"/>
      <c r="C81" s="504"/>
      <c r="D81" s="504"/>
      <c r="E81" s="504"/>
      <c r="F81" s="504"/>
      <c r="G81" s="25"/>
      <c r="H81" s="25"/>
      <c r="J81" s="129"/>
      <c r="K81" s="129"/>
    </row>
    <row r="82" spans="2:71" ht="15.75" customHeight="1" x14ac:dyDescent="0.25">
      <c r="B82" s="509"/>
      <c r="C82" s="503"/>
      <c r="D82" s="503"/>
      <c r="E82" s="503"/>
      <c r="F82" s="503"/>
      <c r="G82" s="25"/>
      <c r="H82" s="25"/>
      <c r="J82" s="129"/>
      <c r="K82" s="129"/>
    </row>
    <row r="83" spans="2:71" ht="15.75" customHeight="1" x14ac:dyDescent="0.25">
      <c r="B83" s="509"/>
      <c r="C83" s="509"/>
      <c r="D83" s="509"/>
      <c r="E83" s="509"/>
      <c r="F83" s="509"/>
      <c r="J83" s="129"/>
      <c r="K83" s="129"/>
    </row>
    <row r="84" spans="2:71" ht="15.75" customHeight="1" x14ac:dyDescent="0.25">
      <c r="B84" s="509"/>
      <c r="C84" s="509"/>
      <c r="D84" s="509"/>
      <c r="E84" s="509"/>
      <c r="F84" s="509"/>
      <c r="J84" s="129"/>
      <c r="K84" s="129"/>
    </row>
    <row r="85" spans="2:71" ht="15.75" customHeight="1" x14ac:dyDescent="0.25">
      <c r="B85" s="509"/>
      <c r="C85" s="503"/>
      <c r="D85" s="503"/>
      <c r="E85" s="503"/>
      <c r="F85" s="503"/>
      <c r="G85" s="25"/>
      <c r="H85" s="25"/>
      <c r="J85" s="129"/>
      <c r="K85" s="129"/>
      <c r="BR85" s="30"/>
      <c r="BS85" s="30"/>
    </row>
    <row r="86" spans="2:71" ht="15.75" customHeight="1" x14ac:dyDescent="0.25">
      <c r="B86" s="509"/>
      <c r="C86" s="531"/>
      <c r="D86" s="531"/>
      <c r="E86" s="531"/>
      <c r="F86" s="531"/>
      <c r="G86" s="444"/>
      <c r="H86" s="444"/>
      <c r="J86" s="129"/>
      <c r="K86" s="129"/>
    </row>
    <row r="87" spans="2:71" ht="15.75" customHeight="1" x14ac:dyDescent="0.25">
      <c r="B87" s="509"/>
      <c r="C87" s="503"/>
      <c r="D87" s="503"/>
      <c r="E87" s="503"/>
      <c r="F87" s="503"/>
      <c r="G87" s="25"/>
      <c r="H87" s="25"/>
      <c r="J87" s="129"/>
      <c r="K87" s="129"/>
    </row>
    <row r="88" spans="2:71" ht="15.75" customHeight="1" x14ac:dyDescent="0.25">
      <c r="B88" s="509"/>
      <c r="C88" s="521"/>
      <c r="D88" s="521"/>
      <c r="E88" s="521"/>
      <c r="F88" s="521"/>
      <c r="G88" s="28"/>
      <c r="H88" s="28"/>
      <c r="J88" s="129"/>
      <c r="K88" s="129"/>
    </row>
    <row r="89" spans="2:71" ht="15.75" customHeight="1" x14ac:dyDescent="0.25">
      <c r="B89" s="509"/>
      <c r="C89" s="508"/>
      <c r="D89" s="508"/>
      <c r="E89" s="508"/>
      <c r="F89" s="508"/>
      <c r="G89" s="32"/>
      <c r="H89" s="32"/>
      <c r="J89" s="129"/>
      <c r="K89" s="129"/>
    </row>
    <row r="90" spans="2:71" ht="15.75" customHeight="1" x14ac:dyDescent="0.25">
      <c r="B90" s="509"/>
      <c r="C90" s="508"/>
      <c r="D90" s="508"/>
      <c r="E90" s="508"/>
      <c r="F90" s="508"/>
      <c r="G90" s="32"/>
      <c r="H90" s="32"/>
      <c r="J90" s="129"/>
      <c r="K90" s="129"/>
    </row>
    <row r="91" spans="2:71" ht="15.75" customHeight="1" x14ac:dyDescent="0.25">
      <c r="B91" s="509"/>
      <c r="C91" s="503"/>
      <c r="D91" s="503"/>
      <c r="E91" s="503"/>
      <c r="F91" s="503"/>
      <c r="G91" s="25"/>
      <c r="H91" s="25"/>
      <c r="J91" s="129"/>
      <c r="K91" s="129"/>
    </row>
    <row r="92" spans="2:71" ht="15.75" customHeight="1" x14ac:dyDescent="0.25">
      <c r="B92" s="509"/>
      <c r="C92" s="503"/>
      <c r="D92" s="503"/>
      <c r="E92" s="503"/>
      <c r="F92" s="503"/>
      <c r="G92" s="25"/>
      <c r="H92" s="25"/>
      <c r="J92" s="129"/>
      <c r="K92" s="129"/>
    </row>
    <row r="93" spans="2:71" ht="15.75" customHeight="1" x14ac:dyDescent="0.25">
      <c r="B93" s="509"/>
      <c r="C93" s="503"/>
      <c r="D93" s="503"/>
      <c r="E93" s="503"/>
      <c r="F93" s="503"/>
      <c r="G93" s="25"/>
      <c r="H93" s="25"/>
      <c r="J93" s="129"/>
      <c r="K93" s="129"/>
    </row>
    <row r="94" spans="2:71" ht="15.75" customHeight="1" x14ac:dyDescent="0.25">
      <c r="B94" s="509"/>
      <c r="C94" s="509"/>
      <c r="D94" s="503"/>
      <c r="E94" s="503"/>
      <c r="F94" s="503"/>
      <c r="G94" s="25"/>
      <c r="H94" s="25"/>
      <c r="J94" s="129"/>
      <c r="K94" s="129"/>
    </row>
    <row r="95" spans="2:71" ht="15.75" customHeight="1" x14ac:dyDescent="0.25">
      <c r="B95" s="509"/>
      <c r="C95" s="509"/>
      <c r="D95" s="503"/>
      <c r="E95" s="503"/>
      <c r="F95" s="503"/>
      <c r="G95" s="25"/>
      <c r="H95" s="25"/>
      <c r="J95" s="129"/>
      <c r="K95" s="129"/>
    </row>
    <row r="96" spans="2:71" ht="15.75" customHeight="1" x14ac:dyDescent="0.25">
      <c r="B96" s="509"/>
      <c r="C96" s="509"/>
      <c r="D96" s="503"/>
      <c r="E96" s="503"/>
      <c r="F96" s="503"/>
      <c r="G96" s="25"/>
      <c r="H96" s="25"/>
      <c r="J96" s="129"/>
      <c r="K96" s="129"/>
    </row>
    <row r="97" spans="2:11" ht="15.75" customHeight="1" x14ac:dyDescent="0.25">
      <c r="B97" s="509"/>
      <c r="C97" s="509"/>
      <c r="D97" s="503"/>
      <c r="E97" s="503"/>
      <c r="F97" s="503"/>
      <c r="G97" s="25"/>
      <c r="H97" s="25"/>
      <c r="J97" s="129"/>
      <c r="K97" s="129"/>
    </row>
    <row r="98" spans="2:11" ht="15.75" customHeight="1" x14ac:dyDescent="0.25">
      <c r="B98" s="509"/>
      <c r="C98" s="509"/>
      <c r="D98" s="503"/>
      <c r="E98" s="503"/>
      <c r="F98" s="503"/>
      <c r="G98" s="25"/>
      <c r="H98" s="25"/>
      <c r="J98" s="129"/>
      <c r="K98" s="129"/>
    </row>
    <row r="99" spans="2:11" ht="15.75" customHeight="1" x14ac:dyDescent="0.25">
      <c r="B99" s="509"/>
      <c r="C99" s="509"/>
      <c r="D99" s="509"/>
      <c r="E99" s="509"/>
      <c r="F99" s="509"/>
      <c r="G99" s="441"/>
      <c r="H99" s="441"/>
      <c r="J99" s="129"/>
      <c r="K99" s="129"/>
    </row>
    <row r="100" spans="2:11" ht="15.75" customHeight="1" x14ac:dyDescent="0.25">
      <c r="B100" s="509"/>
      <c r="C100" s="509"/>
      <c r="D100" s="509"/>
      <c r="E100" s="509"/>
      <c r="F100" s="509"/>
      <c r="G100" s="441"/>
      <c r="H100" s="441"/>
      <c r="J100" s="129"/>
      <c r="K100" s="129"/>
    </row>
    <row r="101" spans="2:11" ht="15.75" customHeight="1" x14ac:dyDescent="0.25">
      <c r="B101" s="509"/>
      <c r="C101" s="509"/>
      <c r="D101" s="462"/>
      <c r="E101" s="462"/>
      <c r="F101" s="462"/>
      <c r="G101" s="441"/>
      <c r="H101" s="441"/>
      <c r="J101" s="129"/>
      <c r="K101" s="129"/>
    </row>
    <row r="102" spans="2:11" ht="15.75" customHeight="1" x14ac:dyDescent="0.25">
      <c r="B102" s="509"/>
      <c r="C102" s="509"/>
      <c r="D102" s="503"/>
      <c r="E102" s="503"/>
      <c r="F102" s="503"/>
      <c r="G102" s="25"/>
      <c r="H102" s="25"/>
      <c r="J102" s="129"/>
      <c r="K102" s="129"/>
    </row>
    <row r="103" spans="2:11" ht="15.75" customHeight="1" x14ac:dyDescent="0.25">
      <c r="B103" s="509"/>
      <c r="C103" s="509"/>
      <c r="D103" s="503"/>
      <c r="E103" s="503"/>
      <c r="F103" s="503"/>
      <c r="G103" s="25"/>
      <c r="H103" s="25"/>
      <c r="J103" s="129"/>
      <c r="K103" s="129"/>
    </row>
    <row r="104" spans="2:11" ht="15.75" customHeight="1" x14ac:dyDescent="0.25">
      <c r="B104" s="509"/>
      <c r="C104" s="509"/>
      <c r="D104" s="503"/>
      <c r="E104" s="503"/>
      <c r="F104" s="503"/>
      <c r="G104" s="25"/>
      <c r="H104" s="25"/>
      <c r="J104" s="129"/>
      <c r="K104" s="129"/>
    </row>
    <row r="105" spans="2:11" ht="15.75" customHeight="1" x14ac:dyDescent="0.25">
      <c r="B105" s="509"/>
      <c r="C105" s="509"/>
      <c r="D105" s="503"/>
      <c r="E105" s="503"/>
      <c r="F105" s="503"/>
      <c r="G105" s="25"/>
      <c r="H105" s="25"/>
      <c r="J105" s="129"/>
      <c r="K105" s="129"/>
    </row>
    <row r="106" spans="2:11" ht="15.75" customHeight="1" x14ac:dyDescent="0.25">
      <c r="B106" s="509"/>
      <c r="C106" s="509"/>
      <c r="D106" s="503"/>
      <c r="E106" s="503"/>
      <c r="F106" s="503"/>
      <c r="G106" s="25"/>
      <c r="H106" s="25"/>
      <c r="J106" s="129"/>
      <c r="K106" s="129"/>
    </row>
    <row r="107" spans="2:11" ht="15.75" customHeight="1" x14ac:dyDescent="0.25">
      <c r="B107" s="509"/>
      <c r="C107" s="509"/>
      <c r="D107" s="503"/>
      <c r="E107" s="503"/>
      <c r="F107" s="503"/>
      <c r="G107" s="25"/>
      <c r="H107" s="25"/>
      <c r="J107" s="129"/>
      <c r="K107" s="129"/>
    </row>
    <row r="108" spans="2:11" ht="15.75" customHeight="1" x14ac:dyDescent="0.25">
      <c r="B108" s="509"/>
      <c r="C108" s="509"/>
      <c r="D108" s="503"/>
      <c r="E108" s="503"/>
      <c r="F108" s="503"/>
      <c r="G108" s="25"/>
      <c r="H108" s="25"/>
      <c r="J108" s="129"/>
      <c r="K108" s="129"/>
    </row>
    <row r="109" spans="2:11" ht="15.75" customHeight="1" x14ac:dyDescent="0.25">
      <c r="B109" s="509"/>
      <c r="C109" s="509"/>
      <c r="D109" s="503"/>
      <c r="E109" s="503"/>
      <c r="F109" s="503"/>
      <c r="G109" s="25"/>
      <c r="H109" s="25"/>
      <c r="J109" s="129"/>
      <c r="K109" s="129"/>
    </row>
    <row r="110" spans="2:11" ht="15.75" customHeight="1" x14ac:dyDescent="0.25">
      <c r="B110" s="509"/>
      <c r="C110" s="509"/>
      <c r="D110" s="503"/>
      <c r="E110" s="503"/>
      <c r="F110" s="503"/>
      <c r="G110" s="25"/>
      <c r="H110" s="25"/>
      <c r="J110" s="129"/>
      <c r="K110" s="129"/>
    </row>
    <row r="111" spans="2:11" ht="15.75" customHeight="1" x14ac:dyDescent="0.25">
      <c r="B111" s="509"/>
      <c r="C111" s="509"/>
      <c r="D111" s="503"/>
      <c r="E111" s="503"/>
      <c r="F111" s="503"/>
      <c r="G111" s="25"/>
      <c r="H111" s="25"/>
      <c r="J111" s="129"/>
      <c r="K111" s="129"/>
    </row>
    <row r="112" spans="2:11" ht="15.75" customHeight="1" x14ac:dyDescent="0.25">
      <c r="B112" s="509"/>
      <c r="C112" s="509"/>
      <c r="D112" s="503"/>
      <c r="E112" s="503"/>
      <c r="F112" s="503"/>
      <c r="G112" s="25"/>
      <c r="H112" s="25"/>
      <c r="J112" s="129"/>
      <c r="K112" s="129"/>
    </row>
    <row r="113" spans="2:11" ht="15.75" customHeight="1" x14ac:dyDescent="0.25">
      <c r="B113" s="509"/>
      <c r="C113" s="509"/>
      <c r="D113" s="503"/>
      <c r="E113" s="503"/>
      <c r="F113" s="503"/>
      <c r="G113" s="25"/>
      <c r="H113" s="25"/>
      <c r="J113" s="129"/>
      <c r="K113" s="129"/>
    </row>
    <row r="114" spans="2:11" ht="15.75" customHeight="1" x14ac:dyDescent="0.25">
      <c r="B114" s="509"/>
      <c r="C114" s="503"/>
      <c r="D114" s="503"/>
      <c r="E114" s="503"/>
      <c r="F114" s="503"/>
      <c r="G114" s="25"/>
      <c r="H114" s="25"/>
      <c r="J114" s="129"/>
      <c r="K114" s="129"/>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3" t="s">
        <v>1073</v>
      </c>
      <c r="B1" s="803"/>
      <c r="C1" s="803"/>
      <c r="D1" s="803"/>
      <c r="E1" s="803"/>
      <c r="F1" s="803"/>
      <c r="G1" s="803"/>
      <c r="H1" s="803"/>
      <c r="I1" s="803"/>
      <c r="J1" s="803"/>
      <c r="K1" s="803"/>
      <c r="L1" s="803"/>
      <c r="M1" s="803"/>
      <c r="N1" s="803"/>
      <c r="O1" s="803"/>
    </row>
    <row r="2" spans="1:18" ht="33.950000000000003" customHeight="1" x14ac:dyDescent="0.25">
      <c r="A2" s="804" t="s">
        <v>1074</v>
      </c>
      <c r="B2" s="804"/>
      <c r="C2" s="804"/>
      <c r="D2" s="804"/>
      <c r="E2" s="804"/>
      <c r="F2" s="804"/>
      <c r="G2" s="804"/>
      <c r="H2" s="804"/>
      <c r="I2" s="804"/>
      <c r="J2" s="804"/>
      <c r="K2" s="804"/>
      <c r="L2" s="804"/>
      <c r="M2" s="804"/>
      <c r="N2" s="804"/>
      <c r="O2" s="804"/>
    </row>
    <row r="3" spans="1:18" ht="33.950000000000003" customHeight="1" x14ac:dyDescent="0.25">
      <c r="A3" s="804"/>
      <c r="B3" s="804"/>
      <c r="C3" s="804"/>
      <c r="D3" s="804"/>
      <c r="E3" s="804"/>
      <c r="F3" s="804"/>
      <c r="G3" s="804"/>
      <c r="H3" s="804"/>
      <c r="I3" s="805"/>
      <c r="J3" s="804"/>
      <c r="K3" s="804"/>
      <c r="L3" s="804"/>
      <c r="M3" s="804"/>
      <c r="N3" s="804"/>
      <c r="O3" s="804"/>
    </row>
    <row r="4" spans="1:18" ht="15.75" thickBot="1" x14ac:dyDescent="0.3">
      <c r="G4" s="938"/>
      <c r="H4" s="938"/>
      <c r="I4" s="939">
        <v>0.1</v>
      </c>
      <c r="J4" s="555">
        <v>1</v>
      </c>
    </row>
    <row r="5" spans="1:18" ht="15.75" thickBot="1" x14ac:dyDescent="0.3">
      <c r="C5" s="783" t="s">
        <v>1197</v>
      </c>
      <c r="D5" s="800"/>
      <c r="E5" s="800"/>
      <c r="F5" s="800"/>
      <c r="G5" s="800"/>
      <c r="H5" s="800"/>
      <c r="I5" s="800"/>
      <c r="J5" s="800"/>
      <c r="K5" s="792"/>
    </row>
    <row r="6" spans="1:18" s="22" customFormat="1" ht="39" x14ac:dyDescent="0.25">
      <c r="A6" s="545" t="s">
        <v>1075</v>
      </c>
      <c r="B6" s="545" t="s">
        <v>1076</v>
      </c>
      <c r="C6" s="941" t="s">
        <v>1077</v>
      </c>
      <c r="D6" s="940" t="s">
        <v>1078</v>
      </c>
      <c r="E6" s="940" t="s">
        <v>1193</v>
      </c>
      <c r="F6" s="940" t="s">
        <v>1194</v>
      </c>
      <c r="G6" s="940" t="s">
        <v>1134</v>
      </c>
      <c r="H6" s="940" t="s">
        <v>1133</v>
      </c>
      <c r="I6" s="940" t="s">
        <v>1081</v>
      </c>
      <c r="J6" s="940" t="s">
        <v>1082</v>
      </c>
      <c r="K6" s="940" t="s">
        <v>1083</v>
      </c>
      <c r="L6" s="545" t="s">
        <v>1087</v>
      </c>
      <c r="M6" s="545" t="s">
        <v>1084</v>
      </c>
      <c r="N6" s="545" t="s">
        <v>1085</v>
      </c>
      <c r="O6" s="545" t="s">
        <v>1086</v>
      </c>
      <c r="Q6" s="806" t="s">
        <v>1095</v>
      </c>
      <c r="R6" s="806"/>
    </row>
    <row r="7" spans="1:18" ht="36" customHeight="1" x14ac:dyDescent="0.25">
      <c r="A7" s="537" t="s">
        <v>1088</v>
      </c>
      <c r="B7" s="537" t="s">
        <v>1089</v>
      </c>
      <c r="C7" s="534">
        <v>782</v>
      </c>
      <c r="D7" s="534">
        <v>1800</v>
      </c>
      <c r="E7" s="535">
        <f>D7-C7</f>
        <v>1018</v>
      </c>
      <c r="F7" s="535">
        <f>E7*12</f>
        <v>12216</v>
      </c>
      <c r="G7" s="535">
        <f>+M17</f>
        <v>81440</v>
      </c>
      <c r="H7" s="535">
        <f>C17</f>
        <v>70000</v>
      </c>
      <c r="I7" s="535">
        <f>IF($J$4=2,H7,G7)*(1-$I$4)</f>
        <v>73296</v>
      </c>
      <c r="J7" s="534">
        <v>0</v>
      </c>
      <c r="K7" s="535">
        <f>IF($L7,MAX(0,I7-J7),0)</f>
        <v>73296</v>
      </c>
      <c r="L7" s="556" t="b">
        <v>1</v>
      </c>
      <c r="M7" s="532" t="s">
        <v>1090</v>
      </c>
      <c r="N7" s="532" t="s">
        <v>1090</v>
      </c>
      <c r="O7" s="532" t="s">
        <v>1090</v>
      </c>
      <c r="Q7" s="569" t="s">
        <v>1096</v>
      </c>
      <c r="R7" s="538">
        <f>SUM(I7:I9)</f>
        <v>236592</v>
      </c>
    </row>
    <row r="8" spans="1:18" ht="36" customHeight="1" x14ac:dyDescent="0.25">
      <c r="A8" s="537" t="s">
        <v>1091</v>
      </c>
      <c r="B8" s="537" t="s">
        <v>1092</v>
      </c>
      <c r="C8" s="534">
        <v>782</v>
      </c>
      <c r="D8" s="534">
        <v>1950</v>
      </c>
      <c r="E8" s="535">
        <f>D8-C8</f>
        <v>1168</v>
      </c>
      <c r="F8" s="535">
        <f>E8*12</f>
        <v>14016</v>
      </c>
      <c r="G8" s="535">
        <f t="shared" ref="G8:G9" si="0">+M18</f>
        <v>93440</v>
      </c>
      <c r="H8" s="535">
        <f>C18</f>
        <v>104000</v>
      </c>
      <c r="I8" s="535">
        <f>IF($J$4=2,H8,G8)*(1-$I$4)</f>
        <v>84096</v>
      </c>
      <c r="J8" s="534">
        <v>0</v>
      </c>
      <c r="K8" s="535">
        <f>IF($L8,MAX(0,I8-J8),0)</f>
        <v>84096</v>
      </c>
      <c r="L8" s="556" t="b">
        <v>1</v>
      </c>
      <c r="M8" s="532" t="s">
        <v>1090</v>
      </c>
      <c r="N8" s="532" t="s">
        <v>1090</v>
      </c>
      <c r="O8" s="532" t="s">
        <v>1090</v>
      </c>
      <c r="Q8" s="569" t="s">
        <v>1097</v>
      </c>
      <c r="R8" s="538">
        <f>SUM(J7:J9)</f>
        <v>0</v>
      </c>
    </row>
    <row r="9" spans="1:18" ht="36" customHeight="1" x14ac:dyDescent="0.25">
      <c r="A9" s="537" t="s">
        <v>1093</v>
      </c>
      <c r="B9" s="537" t="s">
        <v>1089</v>
      </c>
      <c r="C9" s="534">
        <v>500</v>
      </c>
      <c r="D9" s="534">
        <v>1600</v>
      </c>
      <c r="E9" s="535">
        <f>D9-C9</f>
        <v>1100</v>
      </c>
      <c r="F9" s="535">
        <f>E9*12</f>
        <v>13200</v>
      </c>
      <c r="G9" s="535">
        <f t="shared" si="0"/>
        <v>88000</v>
      </c>
      <c r="H9" s="535">
        <f>C19</f>
        <v>76500</v>
      </c>
      <c r="I9" s="535">
        <f>IF($J$4=2,H9,G9)*(1-$I$4)</f>
        <v>79200</v>
      </c>
      <c r="J9" s="534">
        <v>0</v>
      </c>
      <c r="K9" s="535">
        <f>IF($L9,MAX(0,I9-J9),0)</f>
        <v>79200</v>
      </c>
      <c r="L9" s="556" t="b">
        <v>1</v>
      </c>
      <c r="M9" s="532" t="s">
        <v>1090</v>
      </c>
      <c r="N9" s="532" t="s">
        <v>1090</v>
      </c>
      <c r="O9" s="532" t="s">
        <v>1090</v>
      </c>
      <c r="Q9" s="569" t="s">
        <v>1098</v>
      </c>
      <c r="R9" s="538">
        <f>SUM(K7:K9)</f>
        <v>236592</v>
      </c>
    </row>
    <row r="10" spans="1:18" x14ac:dyDescent="0.25">
      <c r="A10" s="533" t="s">
        <v>1094</v>
      </c>
      <c r="B10" s="533"/>
      <c r="C10" s="536">
        <f t="shared" ref="C10:J10" si="1">SUM(C7:C9)</f>
        <v>2064</v>
      </c>
      <c r="D10" s="536">
        <f t="shared" si="1"/>
        <v>5350</v>
      </c>
      <c r="E10" s="536">
        <f t="shared" si="1"/>
        <v>3286</v>
      </c>
      <c r="F10" s="536">
        <f t="shared" si="1"/>
        <v>39432</v>
      </c>
      <c r="G10" s="536">
        <f>SUM(G7:G9)</f>
        <v>262880</v>
      </c>
      <c r="H10" s="536">
        <f>SUM(H7:H9)</f>
        <v>250500</v>
      </c>
      <c r="I10" s="536">
        <f>SUM(I7:I9)</f>
        <v>236592</v>
      </c>
      <c r="J10" s="536">
        <f t="shared" si="1"/>
        <v>0</v>
      </c>
      <c r="K10" s="536">
        <f>SUM(K7:K9)</f>
        <v>236592</v>
      </c>
      <c r="L10" s="533"/>
      <c r="M10" s="533"/>
      <c r="N10" s="533"/>
      <c r="O10" s="533"/>
      <c r="Q10" s="569" t="s">
        <v>1099</v>
      </c>
      <c r="R10" s="538">
        <f>SUM(D7:D9)</f>
        <v>5350</v>
      </c>
    </row>
    <row r="11" spans="1:18" x14ac:dyDescent="0.25">
      <c r="Q11" s="569" t="s">
        <v>1100</v>
      </c>
      <c r="R11" s="538">
        <f>SUM(C7:C9)</f>
        <v>2064</v>
      </c>
    </row>
    <row r="12" spans="1:18" x14ac:dyDescent="0.25">
      <c r="Q12" s="569" t="s">
        <v>1196</v>
      </c>
      <c r="R12" s="538">
        <f>SUM(E7:E9)</f>
        <v>3286</v>
      </c>
    </row>
    <row r="13" spans="1:18" x14ac:dyDescent="0.25">
      <c r="Q13" s="569" t="s">
        <v>1195</v>
      </c>
      <c r="R13" s="538">
        <f>SUM(F7:F9)</f>
        <v>39432</v>
      </c>
    </row>
    <row r="14" spans="1:18" x14ac:dyDescent="0.25">
      <c r="Q14" s="569"/>
      <c r="R14" s="538"/>
    </row>
    <row r="15" spans="1:18" x14ac:dyDescent="0.25">
      <c r="Q15" s="569" t="s">
        <v>1101</v>
      </c>
      <c r="R15" s="538">
        <f>R13/10%</f>
        <v>394320</v>
      </c>
    </row>
    <row r="16" spans="1:18" ht="38.25" x14ac:dyDescent="0.25">
      <c r="A16" s="546" t="s">
        <v>1120</v>
      </c>
      <c r="B16" s="546" t="s">
        <v>1076</v>
      </c>
      <c r="C16" s="546" t="s">
        <v>1121</v>
      </c>
      <c r="D16" s="546" t="s">
        <v>1122</v>
      </c>
      <c r="E16" s="546" t="s">
        <v>1123</v>
      </c>
      <c r="F16" s="546" t="s">
        <v>1079</v>
      </c>
      <c r="G16" s="546" t="s">
        <v>1080</v>
      </c>
      <c r="H16" s="546" t="s">
        <v>1124</v>
      </c>
      <c r="I16" s="546" t="s">
        <v>1125</v>
      </c>
      <c r="J16" s="546" t="s">
        <v>1126</v>
      </c>
      <c r="K16" s="546" t="s">
        <v>1127</v>
      </c>
      <c r="L16" s="546" t="s">
        <v>1128</v>
      </c>
      <c r="M16" s="546" t="s">
        <v>1129</v>
      </c>
      <c r="N16" s="546" t="s">
        <v>134</v>
      </c>
      <c r="Q16" s="569" t="s">
        <v>1102</v>
      </c>
      <c r="R16" s="538">
        <f>R13/12%</f>
        <v>328600</v>
      </c>
    </row>
    <row r="17" spans="1:18" ht="25.5" x14ac:dyDescent="0.25">
      <c r="A17" s="547" t="s">
        <v>1088</v>
      </c>
      <c r="B17" s="547" t="s">
        <v>1089</v>
      </c>
      <c r="C17" s="548">
        <v>70000</v>
      </c>
      <c r="D17" s="548">
        <v>782</v>
      </c>
      <c r="E17" s="548">
        <v>1800</v>
      </c>
      <c r="F17" s="548">
        <f>IF(OR(D17="",E17=""),"",E17-D17)</f>
        <v>1018</v>
      </c>
      <c r="G17" s="548">
        <f>IF(F17="","",F17*12)</f>
        <v>12216</v>
      </c>
      <c r="H17" s="549">
        <f>IFERROR(D17/E17,"")</f>
        <v>0.43444444444444447</v>
      </c>
      <c r="I17" s="549">
        <f>IFERROR(F17/E17,"")</f>
        <v>0.56555555555555559</v>
      </c>
      <c r="J17" s="549">
        <f>IFERROR(G17/C17,"")</f>
        <v>0.17451428571428571</v>
      </c>
      <c r="K17" s="548">
        <f>IF(G17="","",G17/10%)</f>
        <v>122160</v>
      </c>
      <c r="L17" s="548">
        <f>IF(G17="","",G17/12%)</f>
        <v>101800</v>
      </c>
      <c r="M17" s="548">
        <f>IF(G17="","",G17/15%)</f>
        <v>81440</v>
      </c>
      <c r="N17" s="550" t="s">
        <v>1130</v>
      </c>
      <c r="Q17" s="569" t="s">
        <v>1103</v>
      </c>
      <c r="R17" s="538">
        <f>R13/15%</f>
        <v>262880</v>
      </c>
    </row>
    <row r="18" spans="1:18" ht="25.5" x14ac:dyDescent="0.25">
      <c r="A18" s="547" t="s">
        <v>1091</v>
      </c>
      <c r="B18" s="547" t="s">
        <v>1092</v>
      </c>
      <c r="C18" s="548">
        <v>104000</v>
      </c>
      <c r="D18" s="548">
        <v>782</v>
      </c>
      <c r="E18" s="548">
        <v>1950</v>
      </c>
      <c r="F18" s="548">
        <f>IF(OR(D18="",E18=""),"",E18-D18)</f>
        <v>1168</v>
      </c>
      <c r="G18" s="548">
        <f>IF(F18="","",F18*12)</f>
        <v>14016</v>
      </c>
      <c r="H18" s="549">
        <f>IFERROR(D18/E18,"")</f>
        <v>0.40102564102564103</v>
      </c>
      <c r="I18" s="549">
        <f>IFERROR(F18/E18,"")</f>
        <v>0.59897435897435902</v>
      </c>
      <c r="J18" s="549">
        <f>IFERROR(G18/C18,"")</f>
        <v>0.13476923076923078</v>
      </c>
      <c r="K18" s="548">
        <f>IF(G18="","",G18/10%)</f>
        <v>140160</v>
      </c>
      <c r="L18" s="548">
        <f>IF(G18="","",G18/12%)</f>
        <v>116800</v>
      </c>
      <c r="M18" s="548">
        <f>IF(G18="","",G18/15%)</f>
        <v>93440</v>
      </c>
      <c r="N18" s="550" t="s">
        <v>1131</v>
      </c>
      <c r="Q18" s="569"/>
      <c r="R18" s="539"/>
    </row>
    <row r="19" spans="1:18" ht="30" x14ac:dyDescent="0.25">
      <c r="A19" s="547" t="s">
        <v>1093</v>
      </c>
      <c r="B19" s="547" t="s">
        <v>1089</v>
      </c>
      <c r="C19" s="548">
        <v>76500</v>
      </c>
      <c r="D19" s="548">
        <v>500</v>
      </c>
      <c r="E19" s="548">
        <v>1600</v>
      </c>
      <c r="F19" s="548">
        <f>IF(OR(D19="",E19=""),"",E19-D19)</f>
        <v>1100</v>
      </c>
      <c r="G19" s="548">
        <f>IF(F19="","",F19*12)</f>
        <v>13200</v>
      </c>
      <c r="H19" s="549">
        <f>IFERROR(D19/E19,"")</f>
        <v>0.3125</v>
      </c>
      <c r="I19" s="549">
        <f>IFERROR(F19/E19,"")</f>
        <v>0.6875</v>
      </c>
      <c r="J19" s="549">
        <f>IFERROR(G19/C19,"")</f>
        <v>0.17254901960784313</v>
      </c>
      <c r="K19" s="548">
        <f>IF(G19="","",G19/10%)</f>
        <v>132000</v>
      </c>
      <c r="L19" s="548">
        <f>IF(G19="","",G19/12%)</f>
        <v>110000</v>
      </c>
      <c r="M19" s="548">
        <f>IF(G19="","",G19/15%)</f>
        <v>88000</v>
      </c>
      <c r="N19" s="550" t="s">
        <v>1132</v>
      </c>
      <c r="Q19" s="570" t="s">
        <v>1104</v>
      </c>
      <c r="R19" s="540" t="str">
        <f>_xlfn.TEXTJOIN("; ",TRUE,IF($L$7,$A$7&amp;" - "&amp;$B$7,""),IF($L$8,$A$8&amp;" - "&amp;$B$8,""),IF($L$9,$A$9&amp;" - "&amp;$B$9,""))</f>
        <v>5009 Sunnyfield Dr - Single wide; 5021 Sunnyfield Dr - Double wide; 5512 Desert Willow Ln - Single wide</v>
      </c>
    </row>
    <row r="20" spans="1:18" ht="60" x14ac:dyDescent="0.25">
      <c r="A20" s="551" t="s">
        <v>268</v>
      </c>
      <c r="B20" s="551"/>
      <c r="C20" s="552">
        <f>SUM(C17:C19)</f>
        <v>250500</v>
      </c>
      <c r="D20" s="552">
        <f>SUM(D17:D19)</f>
        <v>2064</v>
      </c>
      <c r="E20" s="552">
        <f>SUM(E17:E19)</f>
        <v>5350</v>
      </c>
      <c r="F20" s="552">
        <f>SUM(F17:F19)</f>
        <v>3286</v>
      </c>
      <c r="G20" s="552">
        <f>SUM(G17:G19)</f>
        <v>39432</v>
      </c>
      <c r="H20" s="553">
        <f>IFERROR(D20/E20,"")</f>
        <v>0.3857943925233645</v>
      </c>
      <c r="I20" s="553">
        <f>IFERROR(F20/E20,"")</f>
        <v>0.61420560747663555</v>
      </c>
      <c r="J20" s="553">
        <f>IFERROR(G20/C20,"")</f>
        <v>0.15741317365269461</v>
      </c>
      <c r="K20" s="552">
        <f>IF(G20="","",G20/10%)</f>
        <v>394320</v>
      </c>
      <c r="L20" s="552">
        <f>IF(G20="","",G20/12%)</f>
        <v>328600</v>
      </c>
      <c r="M20" s="552">
        <f>IF(G20="","",G20/15%)</f>
        <v>262880</v>
      </c>
      <c r="N20" s="554"/>
      <c r="Q20" s="570" t="s">
        <v>1105</v>
      </c>
      <c r="R20" s="540" t="s">
        <v>1106</v>
      </c>
    </row>
    <row r="21" spans="1:18" ht="48" customHeight="1" x14ac:dyDescent="0.25">
      <c r="Q21" s="570"/>
      <c r="R21" s="540"/>
    </row>
    <row r="22" spans="1:18" ht="48" customHeight="1" x14ac:dyDescent="0.25">
      <c r="Q22" s="570" t="s">
        <v>1107</v>
      </c>
      <c r="R22" s="541" t="s">
        <v>1108</v>
      </c>
    </row>
    <row r="23" spans="1:18" ht="48" customHeight="1" x14ac:dyDescent="0.25">
      <c r="Q23" s="570"/>
      <c r="R23" s="540"/>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23" t="s">
        <v>79</v>
      </c>
      <c r="D1" s="824"/>
      <c r="E1" s="624"/>
      <c r="I1" s="81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5" t="s">
        <v>80</v>
      </c>
      <c r="K1" s="81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4"/>
      <c r="J2" s="825"/>
      <c r="K2" s="817"/>
    </row>
    <row r="3" spans="1:11" ht="16.5" customHeight="1" x14ac:dyDescent="0.25">
      <c r="A3" t="s">
        <v>81</v>
      </c>
      <c r="B3" s="229" t="s">
        <v>684</v>
      </c>
      <c r="C3" s="228" t="s">
        <v>676</v>
      </c>
      <c r="D3" s="22"/>
      <c r="I3" s="624"/>
      <c r="J3" s="222"/>
      <c r="K3" s="817"/>
    </row>
    <row r="4" spans="1:11" x14ac:dyDescent="0.25">
      <c r="A4" t="s">
        <v>82</v>
      </c>
      <c r="B4" s="227" t="s">
        <v>685</v>
      </c>
      <c r="C4" s="230" t="s">
        <v>676</v>
      </c>
      <c r="D4" s="22"/>
      <c r="I4" s="624"/>
      <c r="K4" s="817"/>
    </row>
    <row r="5" spans="1:11" ht="16.5" x14ac:dyDescent="0.3">
      <c r="A5" t="s">
        <v>83</v>
      </c>
      <c r="B5" s="217"/>
      <c r="C5" s="218"/>
      <c r="D5" s="22"/>
      <c r="I5" s="624"/>
      <c r="K5" s="817"/>
    </row>
    <row r="6" spans="1:11" ht="15" customHeight="1" thickBot="1" x14ac:dyDescent="0.3">
      <c r="A6" t="s">
        <v>84</v>
      </c>
      <c r="B6" s="219"/>
      <c r="C6" s="220"/>
      <c r="D6" s="22"/>
      <c r="I6" s="624"/>
      <c r="K6" s="817"/>
    </row>
    <row r="7" spans="1:11" x14ac:dyDescent="0.25">
      <c r="I7" s="624"/>
      <c r="K7" s="817"/>
    </row>
    <row r="8" spans="1:11" x14ac:dyDescent="0.25">
      <c r="I8" s="624"/>
      <c r="K8" s="817"/>
    </row>
    <row r="9" spans="1:11" x14ac:dyDescent="0.25">
      <c r="A9" s="15" t="s">
        <v>85</v>
      </c>
      <c r="B9" s="15" t="s">
        <v>86</v>
      </c>
      <c r="C9" s="15"/>
      <c r="I9" s="624"/>
      <c r="K9" s="817"/>
    </row>
    <row r="10" spans="1:11" x14ac:dyDescent="0.25">
      <c r="B10" s="826" t="s">
        <v>87</v>
      </c>
      <c r="C10" s="827"/>
      <c r="D10" s="827"/>
      <c r="E10" s="827"/>
      <c r="F10" s="827"/>
      <c r="G10" s="827"/>
      <c r="I10" s="624"/>
      <c r="K10" s="817"/>
    </row>
    <row r="11" spans="1:11" x14ac:dyDescent="0.25">
      <c r="B11" s="624"/>
      <c r="C11" s="624"/>
      <c r="D11" s="624"/>
      <c r="E11" s="624"/>
      <c r="F11" s="624"/>
      <c r="G11" s="624"/>
      <c r="I11" s="624"/>
      <c r="K11" s="817"/>
    </row>
    <row r="12" spans="1:11" x14ac:dyDescent="0.25">
      <c r="F12" s="816" t="s">
        <v>88</v>
      </c>
      <c r="I12" s="624"/>
      <c r="K12" s="817"/>
    </row>
    <row r="13" spans="1:11" ht="15.75" thickBot="1" x14ac:dyDescent="0.3">
      <c r="B13" s="31" t="s">
        <v>89</v>
      </c>
      <c r="C13" s="215" t="s">
        <v>90</v>
      </c>
      <c r="D13" s="31" t="s">
        <v>91</v>
      </c>
      <c r="E13" s="31"/>
      <c r="F13" s="642"/>
      <c r="G13" s="31" t="s">
        <v>92</v>
      </c>
      <c r="I13" s="624"/>
      <c r="K13" s="81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24"/>
      <c r="K14" s="817"/>
    </row>
    <row r="15" spans="1:11" ht="16.5" thickTop="1" thickBot="1" x14ac:dyDescent="0.3">
      <c r="C15" s="187"/>
      <c r="D15" s="188" t="s">
        <v>93</v>
      </c>
      <c r="E15" s="189">
        <f>+Profit!$M$49</f>
        <v>-4446.7850890000082</v>
      </c>
      <c r="H15" s="216"/>
      <c r="K15" s="817"/>
    </row>
    <row r="16" spans="1:11" ht="16.5" thickTop="1" thickBot="1" x14ac:dyDescent="0.3">
      <c r="C16" s="187"/>
      <c r="D16" s="190" t="s">
        <v>94</v>
      </c>
      <c r="E16" s="191">
        <f>+G14/E15</f>
        <v>-8.4167604999810468</v>
      </c>
      <c r="F16" s="224">
        <v>0.1</v>
      </c>
      <c r="H16" s="216" t="s">
        <v>95</v>
      </c>
      <c r="I16" s="81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7"/>
    </row>
    <row r="17" spans="1:13" ht="15.75" thickTop="1" x14ac:dyDescent="0.25">
      <c r="C17" s="187"/>
      <c r="D17" s="190" t="s">
        <v>96</v>
      </c>
      <c r="E17" s="191">
        <f>+G14/(F14+G14)</f>
        <v>0.89267193829237945</v>
      </c>
      <c r="F17" t="s">
        <v>97</v>
      </c>
      <c r="I17" s="817"/>
      <c r="K17" s="817"/>
    </row>
    <row r="18" spans="1:13" x14ac:dyDescent="0.25">
      <c r="I18" s="817"/>
      <c r="K18" s="817"/>
    </row>
    <row r="19" spans="1:13" ht="15.75" thickBot="1" x14ac:dyDescent="0.3">
      <c r="A19" s="15" t="s">
        <v>98</v>
      </c>
      <c r="B19" s="15" t="s">
        <v>99</v>
      </c>
      <c r="D19" s="15" t="s">
        <v>100</v>
      </c>
      <c r="H19">
        <f>IF(H20="X",1,0)</f>
        <v>0</v>
      </c>
      <c r="K19" s="817"/>
    </row>
    <row r="20" spans="1:13" ht="15" customHeight="1" thickTop="1" thickBot="1" x14ac:dyDescent="0.3">
      <c r="B20" t="s">
        <v>101</v>
      </c>
      <c r="H20" s="216"/>
      <c r="I20" s="81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7"/>
    </row>
    <row r="21" spans="1:13" ht="15.75" thickTop="1" x14ac:dyDescent="0.25">
      <c r="B21" t="s">
        <v>102</v>
      </c>
      <c r="I21" s="817"/>
      <c r="J21" s="213"/>
      <c r="K21" s="817"/>
      <c r="L21" s="212"/>
      <c r="M21" s="212"/>
    </row>
    <row r="22" spans="1:13" ht="30" x14ac:dyDescent="0.25">
      <c r="F22" s="61" t="s">
        <v>103</v>
      </c>
      <c r="I22" s="817"/>
      <c r="J22" s="212"/>
      <c r="K22" s="817"/>
      <c r="L22" s="212"/>
      <c r="M22" s="212"/>
    </row>
    <row r="23" spans="1:13" ht="15.75" thickBot="1" x14ac:dyDescent="0.3">
      <c r="B23" s="31" t="s">
        <v>104</v>
      </c>
      <c r="C23" s="819"/>
      <c r="D23" s="820"/>
      <c r="E23" s="820"/>
      <c r="F23" s="820"/>
      <c r="G23" s="31" t="s">
        <v>92</v>
      </c>
      <c r="I23" s="818"/>
      <c r="J23" s="212"/>
      <c r="K23" s="817"/>
      <c r="L23" s="212"/>
      <c r="M23" s="212"/>
    </row>
    <row r="24" spans="1:13" ht="16.5" thickTop="1" thickBot="1" x14ac:dyDescent="0.3">
      <c r="B24" s="223">
        <f>+SUM(Profit!C19:'Profit'!C20)</f>
        <v>5000</v>
      </c>
      <c r="C24" s="821" t="s">
        <v>105</v>
      </c>
      <c r="D24" s="822"/>
      <c r="E24" s="822"/>
      <c r="F24" s="10">
        <f>+B24</f>
        <v>5000</v>
      </c>
      <c r="G24" s="192">
        <f>+Profit!M63</f>
        <v>-124327.09867434995</v>
      </c>
      <c r="I24" s="624"/>
      <c r="K24" s="817"/>
    </row>
    <row r="25" spans="1:13" ht="15.4" customHeight="1" thickTop="1" thickBot="1" x14ac:dyDescent="0.3">
      <c r="C25" s="187"/>
      <c r="D25" s="188" t="s">
        <v>93</v>
      </c>
      <c r="E25" s="189">
        <f>+Profit!$M$49</f>
        <v>-4446.7850890000082</v>
      </c>
      <c r="H25">
        <f>IF(H26="X",1+H19,H19)</f>
        <v>1</v>
      </c>
      <c r="K25" s="817"/>
    </row>
    <row r="26" spans="1:13" ht="15" customHeight="1" thickTop="1" thickBot="1" x14ac:dyDescent="0.3">
      <c r="C26" s="187"/>
      <c r="D26" s="190" t="s">
        <v>94</v>
      </c>
      <c r="E26" s="191">
        <f>+G24/E25</f>
        <v>27.958872800463716</v>
      </c>
      <c r="H26" s="216" t="s">
        <v>106</v>
      </c>
      <c r="I26" s="81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7"/>
    </row>
    <row r="27" spans="1:13" ht="15" customHeight="1" thickTop="1" x14ac:dyDescent="0.25">
      <c r="C27" s="187"/>
      <c r="D27" s="190" t="s">
        <v>96</v>
      </c>
      <c r="E27" s="191">
        <f>+G24/(F24+G24)</f>
        <v>1.0419016305227136</v>
      </c>
      <c r="I27" s="817"/>
      <c r="K27" s="817"/>
    </row>
    <row r="28" spans="1:13" ht="15" customHeight="1" x14ac:dyDescent="0.25">
      <c r="I28" s="817"/>
      <c r="K28" s="817"/>
    </row>
    <row r="29" spans="1:13" x14ac:dyDescent="0.25">
      <c r="A29" s="15"/>
      <c r="B29" s="15"/>
      <c r="I29" s="818"/>
      <c r="K29" s="817"/>
    </row>
    <row r="30" spans="1:13" x14ac:dyDescent="0.25">
      <c r="A30" s="15" t="s">
        <v>107</v>
      </c>
      <c r="B30" s="15" t="s">
        <v>108</v>
      </c>
      <c r="D30" t="s">
        <v>109</v>
      </c>
      <c r="I30" s="624"/>
      <c r="K30" s="81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7"/>
    </row>
    <row r="32" spans="1:13" ht="15.75" thickBot="1" x14ac:dyDescent="0.3">
      <c r="B32" t="s">
        <v>102</v>
      </c>
      <c r="H32">
        <f>IF(H33="X",H25+1,H25)</f>
        <v>2</v>
      </c>
      <c r="K32" s="817"/>
    </row>
    <row r="33" spans="1:13" ht="15" customHeight="1" thickTop="1" thickBot="1" x14ac:dyDescent="0.3">
      <c r="H33" s="216" t="s">
        <v>106</v>
      </c>
      <c r="I33" s="81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7"/>
    </row>
    <row r="34" spans="1:13" ht="16.5" thickTop="1" thickBot="1" x14ac:dyDescent="0.3">
      <c r="C34" s="2" t="s">
        <v>110</v>
      </c>
      <c r="D34" s="3" t="s">
        <v>111</v>
      </c>
      <c r="F34" s="3" t="s">
        <v>112</v>
      </c>
      <c r="I34" s="817"/>
      <c r="K34" s="817"/>
    </row>
    <row r="35" spans="1:13" ht="16.5" thickTop="1" thickBot="1" x14ac:dyDescent="0.3">
      <c r="B35" s="221" t="s">
        <v>113</v>
      </c>
      <c r="C35" s="194">
        <v>10400</v>
      </c>
      <c r="D35" s="186">
        <v>60</v>
      </c>
      <c r="F35" s="816" t="s">
        <v>103</v>
      </c>
      <c r="I35" s="817"/>
      <c r="K35" s="817"/>
    </row>
    <row r="36" spans="1:13" ht="16.5" thickTop="1" thickBot="1" x14ac:dyDescent="0.3">
      <c r="B36" s="31" t="s">
        <v>114</v>
      </c>
      <c r="C36" s="31" t="s">
        <v>115</v>
      </c>
      <c r="D36" s="31" t="s">
        <v>116</v>
      </c>
      <c r="E36" s="31" t="s">
        <v>117</v>
      </c>
      <c r="F36" s="642"/>
      <c r="G36" s="31" t="s">
        <v>92</v>
      </c>
      <c r="I36" s="817"/>
      <c r="K36" s="81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-137467.09867434995</v>
      </c>
      <c r="I37" s="817"/>
      <c r="K37" s="817"/>
    </row>
    <row r="38" spans="1:13" ht="16.5" thickTop="1" thickBot="1" x14ac:dyDescent="0.3">
      <c r="B38" s="196">
        <v>0.34</v>
      </c>
      <c r="C38" s="211">
        <f>1-B38</f>
        <v>0.65999999999999992</v>
      </c>
      <c r="D38" s="10"/>
      <c r="E38" s="36"/>
      <c r="F38" s="10"/>
      <c r="G38" s="10"/>
      <c r="I38" s="817"/>
      <c r="K38" s="817"/>
    </row>
    <row r="39" spans="1:13" ht="15.4" customHeight="1" thickTop="1" x14ac:dyDescent="0.25">
      <c r="B39" s="10"/>
      <c r="C39" s="192"/>
      <c r="D39" s="188" t="s">
        <v>93</v>
      </c>
      <c r="E39" s="189">
        <f>+Profit!$M$49-C37+C35</f>
        <v>-7746.7850890000082</v>
      </c>
      <c r="F39" s="10"/>
      <c r="G39" s="10"/>
      <c r="I39" s="817"/>
      <c r="K39" s="817"/>
    </row>
    <row r="40" spans="1:13" x14ac:dyDescent="0.25">
      <c r="C40" s="187"/>
      <c r="D40" s="190" t="s">
        <v>94</v>
      </c>
      <c r="E40" s="191">
        <f>+G37/E39</f>
        <v>17.745051281924081</v>
      </c>
      <c r="I40" s="817"/>
      <c r="K40" s="817"/>
    </row>
    <row r="41" spans="1:13" ht="15" customHeight="1" thickBot="1" x14ac:dyDescent="0.3">
      <c r="C41" s="187"/>
      <c r="D41" s="190" t="s">
        <v>96</v>
      </c>
      <c r="E41" s="191">
        <f>+G37/(F37+G37)</f>
        <v>1.152019115536405</v>
      </c>
      <c r="H41">
        <f>IF(H42="X",H32+1,H32)</f>
        <v>2</v>
      </c>
      <c r="K41" s="817"/>
    </row>
    <row r="42" spans="1:13" ht="16.5" thickTop="1" thickBot="1" x14ac:dyDescent="0.3">
      <c r="A42" s="15" t="s">
        <v>118</v>
      </c>
      <c r="B42" s="15" t="s">
        <v>119</v>
      </c>
      <c r="H42" s="216"/>
      <c r="I42" s="81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17"/>
    </row>
    <row r="43" spans="1:13" ht="15.75" thickTop="1" x14ac:dyDescent="0.25">
      <c r="B43" t="s">
        <v>101</v>
      </c>
      <c r="I43" s="817"/>
      <c r="K43" s="624"/>
      <c r="M43" s="198"/>
    </row>
    <row r="44" spans="1:13" x14ac:dyDescent="0.25">
      <c r="B44" t="s">
        <v>102</v>
      </c>
      <c r="I44" s="817"/>
      <c r="K44" s="624"/>
    </row>
    <row r="45" spans="1:13" ht="15" customHeight="1" x14ac:dyDescent="0.25">
      <c r="B45" t="s">
        <v>120</v>
      </c>
      <c r="I45" s="817"/>
      <c r="K45" s="624"/>
    </row>
    <row r="46" spans="1:13" x14ac:dyDescent="0.25">
      <c r="B46" t="s">
        <v>121</v>
      </c>
      <c r="I46" s="817"/>
      <c r="K46" s="624"/>
    </row>
    <row r="47" spans="1:13" x14ac:dyDescent="0.25">
      <c r="F47" s="3" t="s">
        <v>122</v>
      </c>
      <c r="I47" s="817"/>
      <c r="K47" s="624"/>
    </row>
    <row r="48" spans="1:13" x14ac:dyDescent="0.25">
      <c r="C48" s="816" t="s">
        <v>123</v>
      </c>
      <c r="D48" s="816" t="s">
        <v>124</v>
      </c>
      <c r="E48" s="816" t="s">
        <v>125</v>
      </c>
      <c r="F48" s="816" t="s">
        <v>103</v>
      </c>
      <c r="I48" s="817"/>
      <c r="K48" s="624"/>
    </row>
    <row r="49" spans="1:11" ht="15.75" thickBot="1" x14ac:dyDescent="0.3">
      <c r="B49" s="3" t="s">
        <v>114</v>
      </c>
      <c r="C49" s="642" t="s">
        <v>123</v>
      </c>
      <c r="D49" s="642" t="s">
        <v>124</v>
      </c>
      <c r="E49" s="642" t="s">
        <v>126</v>
      </c>
      <c r="F49" s="642"/>
      <c r="G49" s="31" t="s">
        <v>92</v>
      </c>
      <c r="I49" s="817"/>
      <c r="K49" s="624"/>
    </row>
    <row r="50" spans="1:11" ht="16.5" thickTop="1" thickBot="1" x14ac:dyDescent="0.3">
      <c r="B50" s="194">
        <v>10000</v>
      </c>
      <c r="C50" s="8">
        <f>+Profit!$M$63+Profit!C20-B50+(Profit!M7*Profit!C50/12*Profit!B4)</f>
        <v>-99627.098674349952</v>
      </c>
      <c r="D50" s="185">
        <v>0.7</v>
      </c>
      <c r="E50" s="10">
        <f>+D50*C50</f>
        <v>-69738.969072044958</v>
      </c>
      <c r="F50" s="10">
        <f>+B50+E50</f>
        <v>-59738.969072044958</v>
      </c>
      <c r="G50" s="192">
        <f>(1-D50)*C50</f>
        <v>-29888.129602304991</v>
      </c>
      <c r="I50" s="817"/>
      <c r="K50" s="624"/>
    </row>
    <row r="51" spans="1:11" ht="15.75" thickTop="1" x14ac:dyDescent="0.25">
      <c r="D51" s="15" t="s">
        <v>127</v>
      </c>
      <c r="I51" s="214"/>
      <c r="K51" s="624"/>
    </row>
    <row r="52" spans="1:11" x14ac:dyDescent="0.25">
      <c r="C52" s="187"/>
      <c r="D52" s="188" t="s">
        <v>93</v>
      </c>
      <c r="E52" s="189">
        <f>+Profit!$M$49-B24+B50</f>
        <v>553.21491099999184</v>
      </c>
      <c r="H52" t="s">
        <v>95</v>
      </c>
      <c r="I52" s="81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4"/>
    </row>
    <row r="53" spans="1:11" ht="15" customHeight="1" x14ac:dyDescent="0.25">
      <c r="C53" s="187"/>
      <c r="D53" s="190" t="s">
        <v>94</v>
      </c>
      <c r="E53" s="191">
        <f>+G50/E52</f>
        <v>-54.02625454957311</v>
      </c>
      <c r="I53" s="624"/>
      <c r="K53" s="624"/>
    </row>
    <row r="54" spans="1:11" x14ac:dyDescent="0.25">
      <c r="C54" s="187"/>
      <c r="D54" s="190" t="s">
        <v>96</v>
      </c>
      <c r="E54" s="191">
        <f>+G50/(F50+G50)</f>
        <v>0.33347201956073763</v>
      </c>
      <c r="I54" s="624"/>
      <c r="K54" s="624"/>
    </row>
    <row r="55" spans="1:11" ht="15" customHeight="1" x14ac:dyDescent="0.25">
      <c r="I55" s="624"/>
      <c r="K55" s="624"/>
    </row>
    <row r="56" spans="1:11" ht="15.75" thickBot="1" x14ac:dyDescent="0.3">
      <c r="B56" s="15" t="s">
        <v>128</v>
      </c>
      <c r="D56" t="s">
        <v>129</v>
      </c>
      <c r="I56" s="624"/>
      <c r="K56" s="624"/>
    </row>
    <row r="57" spans="1:11" x14ac:dyDescent="0.25">
      <c r="A57" s="80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8"/>
      <c r="C57" s="808"/>
      <c r="D57" s="808"/>
      <c r="E57" s="808"/>
      <c r="F57" s="808"/>
      <c r="G57" s="809"/>
      <c r="I57" s="624"/>
      <c r="K57" s="624"/>
    </row>
    <row r="58" spans="1:11" x14ac:dyDescent="0.25">
      <c r="A58" s="810"/>
      <c r="B58" s="811"/>
      <c r="C58" s="811"/>
      <c r="D58" s="811"/>
      <c r="E58" s="811"/>
      <c r="F58" s="811"/>
      <c r="G58" s="812"/>
      <c r="I58" s="624"/>
      <c r="K58" s="624"/>
    </row>
    <row r="59" spans="1:11" x14ac:dyDescent="0.25">
      <c r="A59" s="810"/>
      <c r="B59" s="811"/>
      <c r="C59" s="811"/>
      <c r="D59" s="811"/>
      <c r="E59" s="811"/>
      <c r="F59" s="811"/>
      <c r="G59" s="812"/>
      <c r="K59" s="624"/>
    </row>
    <row r="60" spans="1:11" x14ac:dyDescent="0.25">
      <c r="A60" s="810"/>
      <c r="B60" s="811"/>
      <c r="C60" s="811"/>
      <c r="D60" s="811"/>
      <c r="E60" s="811"/>
      <c r="F60" s="811"/>
      <c r="G60" s="812"/>
      <c r="K60" s="624"/>
    </row>
    <row r="61" spans="1:11" x14ac:dyDescent="0.25">
      <c r="A61" s="810"/>
      <c r="B61" s="811"/>
      <c r="C61" s="811"/>
      <c r="D61" s="811"/>
      <c r="E61" s="811"/>
      <c r="F61" s="811"/>
      <c r="G61" s="812"/>
      <c r="H61" t="s">
        <v>95</v>
      </c>
      <c r="I61" s="81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4"/>
    </row>
    <row r="62" spans="1:11" x14ac:dyDescent="0.25">
      <c r="A62" s="810"/>
      <c r="B62" s="811"/>
      <c r="C62" s="811"/>
      <c r="D62" s="811"/>
      <c r="E62" s="811"/>
      <c r="F62" s="811"/>
      <c r="G62" s="812"/>
      <c r="I62" s="624"/>
      <c r="K62" s="624"/>
    </row>
    <row r="63" spans="1:11" x14ac:dyDescent="0.25">
      <c r="A63" s="810"/>
      <c r="B63" s="811"/>
      <c r="C63" s="811"/>
      <c r="D63" s="811"/>
      <c r="E63" s="811"/>
      <c r="F63" s="811"/>
      <c r="G63" s="812"/>
      <c r="I63" s="624"/>
      <c r="K63" s="624"/>
    </row>
    <row r="64" spans="1:11" x14ac:dyDescent="0.25">
      <c r="A64" s="810"/>
      <c r="B64" s="811"/>
      <c r="C64" s="811"/>
      <c r="D64" s="811"/>
      <c r="E64" s="811"/>
      <c r="F64" s="811"/>
      <c r="G64" s="812"/>
      <c r="I64" s="624"/>
      <c r="K64" s="624"/>
    </row>
    <row r="65" spans="1:11" x14ac:dyDescent="0.25">
      <c r="A65" s="810"/>
      <c r="B65" s="811"/>
      <c r="C65" s="811"/>
      <c r="D65" s="811"/>
      <c r="E65" s="811"/>
      <c r="F65" s="811"/>
      <c r="G65" s="812"/>
      <c r="I65" s="624"/>
      <c r="K65" s="624"/>
    </row>
    <row r="66" spans="1:11" x14ac:dyDescent="0.25">
      <c r="A66" s="810"/>
      <c r="B66" s="811"/>
      <c r="C66" s="811"/>
      <c r="D66" s="811"/>
      <c r="E66" s="811"/>
      <c r="F66" s="811"/>
      <c r="G66" s="812"/>
      <c r="I66" s="624"/>
      <c r="K66" s="624"/>
    </row>
    <row r="67" spans="1:11" x14ac:dyDescent="0.25">
      <c r="A67" s="810"/>
      <c r="B67" s="811"/>
      <c r="C67" s="811"/>
      <c r="D67" s="811"/>
      <c r="E67" s="811"/>
      <c r="F67" s="811"/>
      <c r="G67" s="812"/>
      <c r="I67" s="624"/>
      <c r="K67" s="624"/>
    </row>
    <row r="68" spans="1:11" x14ac:dyDescent="0.25">
      <c r="A68" s="810"/>
      <c r="B68" s="811"/>
      <c r="C68" s="811"/>
      <c r="D68" s="811"/>
      <c r="E68" s="811"/>
      <c r="F68" s="811"/>
      <c r="G68" s="812"/>
      <c r="I68" s="624"/>
    </row>
    <row r="69" spans="1:11" x14ac:dyDescent="0.25">
      <c r="A69" s="810"/>
      <c r="B69" s="811"/>
      <c r="C69" s="811"/>
      <c r="D69" s="811"/>
      <c r="E69" s="811"/>
      <c r="F69" s="811"/>
      <c r="G69" s="812"/>
      <c r="I69" s="624"/>
    </row>
    <row r="70" spans="1:11" x14ac:dyDescent="0.25">
      <c r="A70" s="810"/>
      <c r="B70" s="811"/>
      <c r="C70" s="811"/>
      <c r="D70" s="811"/>
      <c r="E70" s="811"/>
      <c r="F70" s="811"/>
      <c r="G70" s="812"/>
      <c r="I70" s="624"/>
    </row>
    <row r="71" spans="1:11" x14ac:dyDescent="0.25">
      <c r="A71" s="810"/>
      <c r="B71" s="811"/>
      <c r="C71" s="811"/>
      <c r="D71" s="811"/>
      <c r="E71" s="811"/>
      <c r="F71" s="811"/>
      <c r="G71" s="812"/>
      <c r="I71" s="624"/>
    </row>
    <row r="72" spans="1:11" x14ac:dyDescent="0.25">
      <c r="A72" s="810"/>
      <c r="B72" s="811"/>
      <c r="C72" s="811"/>
      <c r="D72" s="811"/>
      <c r="E72" s="811"/>
      <c r="F72" s="811"/>
      <c r="G72" s="812"/>
      <c r="I72" s="624"/>
    </row>
    <row r="73" spans="1:11" x14ac:dyDescent="0.25">
      <c r="A73" s="810"/>
      <c r="B73" s="811"/>
      <c r="C73" s="811"/>
      <c r="D73" s="811"/>
      <c r="E73" s="811"/>
      <c r="F73" s="811"/>
      <c r="G73" s="812"/>
    </row>
    <row r="74" spans="1:11" x14ac:dyDescent="0.25">
      <c r="A74" s="810"/>
      <c r="B74" s="811"/>
      <c r="C74" s="811"/>
      <c r="D74" s="811"/>
      <c r="E74" s="811"/>
      <c r="F74" s="811"/>
      <c r="G74" s="812"/>
      <c r="H74" t="s">
        <v>95</v>
      </c>
      <c r="I74" s="197" t="str">
        <f>"Sincerely,
Wes Browning"</f>
        <v>Sincerely,
Wes Browning</v>
      </c>
    </row>
    <row r="75" spans="1:11" ht="15" customHeight="1" x14ac:dyDescent="0.25">
      <c r="A75" s="810"/>
      <c r="B75" s="811"/>
      <c r="C75" s="811"/>
      <c r="D75" s="811"/>
      <c r="E75" s="811"/>
      <c r="F75" s="811"/>
      <c r="G75" s="812"/>
      <c r="I75" s="197"/>
    </row>
    <row r="76" spans="1:11" x14ac:dyDescent="0.25">
      <c r="A76" s="810"/>
      <c r="B76" s="811"/>
      <c r="C76" s="811"/>
      <c r="D76" s="811"/>
      <c r="E76" s="811"/>
      <c r="F76" s="811"/>
      <c r="G76" s="812"/>
      <c r="I76" s="197"/>
    </row>
    <row r="77" spans="1:11" x14ac:dyDescent="0.25">
      <c r="A77" s="810"/>
      <c r="B77" s="811"/>
      <c r="C77" s="811"/>
      <c r="D77" s="811"/>
      <c r="E77" s="811"/>
      <c r="F77" s="811"/>
      <c r="G77" s="812"/>
    </row>
    <row r="78" spans="1:11" x14ac:dyDescent="0.25">
      <c r="A78" s="810"/>
      <c r="B78" s="811"/>
      <c r="C78" s="811"/>
      <c r="D78" s="811"/>
      <c r="E78" s="811"/>
      <c r="F78" s="811"/>
      <c r="G78" s="812"/>
    </row>
    <row r="79" spans="1:11" ht="15.75" thickBot="1" x14ac:dyDescent="0.3">
      <c r="A79" s="813"/>
      <c r="B79" s="814"/>
      <c r="C79" s="814"/>
      <c r="D79" s="814"/>
      <c r="E79" s="814"/>
      <c r="F79" s="814"/>
      <c r="G79" s="815"/>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4"/>
      <c r="C4" s="28"/>
      <c r="D4" s="25" t="s">
        <v>751</v>
      </c>
      <c r="E4" s="12"/>
    </row>
    <row r="5" spans="1:9" x14ac:dyDescent="0.25">
      <c r="C5" s="28"/>
      <c r="D5" s="25" t="s">
        <v>879</v>
      </c>
      <c r="E5" s="12"/>
    </row>
    <row r="6" spans="1:9" x14ac:dyDescent="0.25">
      <c r="A6" s="2" t="s">
        <v>834</v>
      </c>
      <c r="B6" s="43" t="s">
        <v>835</v>
      </c>
      <c r="D6" s="444" t="s">
        <v>836</v>
      </c>
      <c r="E6" s="27" t="s">
        <v>837</v>
      </c>
    </row>
    <row r="7" spans="1:9" x14ac:dyDescent="0.25">
      <c r="A7" s="25" t="s">
        <v>166</v>
      </c>
      <c r="B7" s="43"/>
      <c r="E7" s="239" t="s">
        <v>838</v>
      </c>
    </row>
    <row r="8" spans="1:9" x14ac:dyDescent="0.25">
      <c r="A8" s="44"/>
      <c r="B8" s="45"/>
      <c r="D8" s="46"/>
      <c r="E8" s="27"/>
      <c r="F8" s="19"/>
    </row>
    <row r="9" spans="1:9" x14ac:dyDescent="0.25">
      <c r="A9" s="44"/>
      <c r="B9" s="45" t="s">
        <v>878</v>
      </c>
      <c r="D9" s="46"/>
      <c r="E9" s="27" t="s">
        <v>877</v>
      </c>
      <c r="F9" s="19"/>
    </row>
    <row r="10" spans="1:9" x14ac:dyDescent="0.25">
      <c r="A10" s="44"/>
      <c r="B10" s="306"/>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881</v>
      </c>
      <c r="D16" s="205" t="s">
        <v>880</v>
      </c>
      <c r="E16" s="25" t="s">
        <v>884</v>
      </c>
    </row>
    <row r="17" spans="1:25" x14ac:dyDescent="0.25">
      <c r="B17" s="2" t="s">
        <v>883</v>
      </c>
      <c r="D17" s="205" t="s">
        <v>882</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3" t="s">
        <v>839</v>
      </c>
      <c r="B1" s="834"/>
      <c r="C1" s="835"/>
      <c r="D1" s="833" t="s">
        <v>474</v>
      </c>
      <c r="E1" s="834"/>
      <c r="F1" s="835"/>
      <c r="G1" s="833" t="s">
        <v>586</v>
      </c>
      <c r="H1" s="834"/>
      <c r="I1" s="835"/>
      <c r="J1" s="833" t="s">
        <v>885</v>
      </c>
      <c r="K1" s="834"/>
      <c r="L1" s="835"/>
      <c r="M1" s="833" t="s">
        <v>475</v>
      </c>
      <c r="N1" s="834"/>
      <c r="O1" s="835"/>
      <c r="P1" s="833" t="s">
        <v>886</v>
      </c>
      <c r="Q1" s="834"/>
      <c r="R1" s="835"/>
      <c r="S1" s="833" t="s">
        <v>887</v>
      </c>
      <c r="T1" s="834"/>
      <c r="U1" s="835"/>
      <c r="V1" s="833" t="s">
        <v>585</v>
      </c>
      <c r="W1" s="834"/>
      <c r="X1" s="835"/>
      <c r="Y1" s="833" t="s">
        <v>634</v>
      </c>
      <c r="Z1" s="834"/>
      <c r="AA1" s="835"/>
      <c r="AB1" s="833" t="s">
        <v>888</v>
      </c>
      <c r="AC1" s="834"/>
      <c r="AD1" s="835"/>
      <c r="AE1" s="833" t="s">
        <v>889</v>
      </c>
      <c r="AF1" s="834"/>
      <c r="AG1" s="835"/>
      <c r="AH1" s="61"/>
      <c r="AI1" s="836"/>
      <c r="AJ1" s="824"/>
      <c r="AK1" s="824"/>
      <c r="AL1" s="824"/>
      <c r="AM1" s="824"/>
      <c r="AN1" s="824"/>
      <c r="AO1" s="824"/>
      <c r="AP1" s="824"/>
      <c r="AQ1" s="824"/>
      <c r="AR1" s="824"/>
      <c r="AS1" s="824"/>
    </row>
    <row r="2" spans="1:45" ht="15" customHeight="1" x14ac:dyDescent="0.25">
      <c r="C2" s="311"/>
      <c r="F2" s="311"/>
      <c r="I2" s="311"/>
      <c r="L2" s="311"/>
      <c r="O2" s="311"/>
      <c r="R2" s="311"/>
      <c r="U2" s="311"/>
      <c r="X2" s="311"/>
      <c r="AA2" s="830" t="s">
        <v>1037</v>
      </c>
      <c r="AD2" s="311"/>
      <c r="AG2" s="311"/>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3"/>
      <c r="D3" s="3" t="s">
        <v>253</v>
      </c>
      <c r="E3" s="13" t="s">
        <v>1036</v>
      </c>
      <c r="F3" s="313"/>
      <c r="G3" s="3" t="s">
        <v>253</v>
      </c>
      <c r="H3" s="13" t="s">
        <v>1036</v>
      </c>
      <c r="I3" s="313"/>
      <c r="J3" s="3" t="s">
        <v>253</v>
      </c>
      <c r="K3" s="13" t="s">
        <v>1036</v>
      </c>
      <c r="L3" s="311"/>
      <c r="M3" s="3" t="s">
        <v>253</v>
      </c>
      <c r="N3" s="13" t="s">
        <v>1036</v>
      </c>
      <c r="O3" s="311"/>
      <c r="P3" s="3" t="s">
        <v>253</v>
      </c>
      <c r="Q3" s="13" t="s">
        <v>1036</v>
      </c>
      <c r="R3" s="311"/>
      <c r="S3" s="3" t="s">
        <v>253</v>
      </c>
      <c r="T3" s="13" t="s">
        <v>1036</v>
      </c>
      <c r="U3" s="311"/>
      <c r="V3" t="s">
        <v>253</v>
      </c>
      <c r="W3" t="s">
        <v>1036</v>
      </c>
      <c r="X3" s="311"/>
      <c r="Y3" t="s">
        <v>253</v>
      </c>
      <c r="Z3" t="s">
        <v>1036</v>
      </c>
      <c r="AA3" s="831"/>
      <c r="AB3" s="3" t="s">
        <v>253</v>
      </c>
      <c r="AC3" s="13" t="s">
        <v>1036</v>
      </c>
      <c r="AD3" s="311"/>
      <c r="AE3" s="3" t="s">
        <v>253</v>
      </c>
      <c r="AF3" s="13" t="s">
        <v>1036</v>
      </c>
      <c r="AG3" s="311"/>
      <c r="AI3" t="s">
        <v>3</v>
      </c>
      <c r="AJ3" t="s">
        <v>839</v>
      </c>
      <c r="AK3" s="12">
        <v>45805</v>
      </c>
      <c r="AM3" t="s">
        <v>900</v>
      </c>
      <c r="AN3" s="5">
        <v>60.23</v>
      </c>
      <c r="AO3" t="s">
        <v>897</v>
      </c>
      <c r="AP3" s="129"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2"/>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2"/>
      <c r="AH4" s="493"/>
      <c r="AI4" t="s">
        <v>3</v>
      </c>
      <c r="AJ4" t="s">
        <v>839</v>
      </c>
      <c r="AK4" s="12">
        <v>45814</v>
      </c>
      <c r="AM4" t="s">
        <v>900</v>
      </c>
      <c r="AN4" s="5">
        <v>-8.61</v>
      </c>
      <c r="AO4" t="s">
        <v>897</v>
      </c>
      <c r="AP4" s="129"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2"/>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2"/>
      <c r="AH5" s="493"/>
      <c r="AI5" t="s">
        <v>3</v>
      </c>
      <c r="AJ5" t="s">
        <v>839</v>
      </c>
      <c r="AK5" s="12">
        <v>45838</v>
      </c>
      <c r="AM5" t="s">
        <v>900</v>
      </c>
      <c r="AN5" s="5">
        <v>38.33</v>
      </c>
      <c r="AO5" t="s">
        <v>897</v>
      </c>
      <c r="AP5" s="129"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2"/>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2"/>
      <c r="AH6" s="493"/>
      <c r="AI6" t="s">
        <v>3</v>
      </c>
      <c r="AJ6" t="s">
        <v>839</v>
      </c>
      <c r="AK6" s="12">
        <v>45868.42</v>
      </c>
      <c r="AM6" t="s">
        <v>900</v>
      </c>
      <c r="AN6" s="5"/>
      <c r="AO6" t="s">
        <v>897</v>
      </c>
      <c r="AP6" s="129"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2"/>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2"/>
      <c r="AH7" s="493"/>
      <c r="AI7" t="s">
        <v>3</v>
      </c>
      <c r="AJ7" t="s">
        <v>839</v>
      </c>
      <c r="AK7" s="12">
        <v>45898.84</v>
      </c>
      <c r="AM7" t="s">
        <v>900</v>
      </c>
      <c r="AN7" s="5" t="s">
        <v>148</v>
      </c>
      <c r="AO7" t="s">
        <v>897</v>
      </c>
      <c r="AP7" s="129"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2"/>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2"/>
      <c r="AH8" s="493"/>
      <c r="AI8" t="s">
        <v>3</v>
      </c>
      <c r="AJ8" t="s">
        <v>839</v>
      </c>
      <c r="AK8" s="12">
        <v>45929.259999999995</v>
      </c>
      <c r="AM8" t="s">
        <v>900</v>
      </c>
      <c r="AN8" s="5" t="s">
        <v>148</v>
      </c>
      <c r="AO8" t="s">
        <v>897</v>
      </c>
      <c r="AP8" s="129"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2"/>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2"/>
      <c r="AH9" s="493"/>
      <c r="AI9" t="s">
        <v>3</v>
      </c>
      <c r="AJ9" t="s">
        <v>839</v>
      </c>
      <c r="AK9" s="12">
        <v>45959.679999999993</v>
      </c>
      <c r="AM9" t="s">
        <v>900</v>
      </c>
      <c r="AN9" s="5" t="s">
        <v>148</v>
      </c>
      <c r="AO9" t="s">
        <v>897</v>
      </c>
      <c r="AP9" s="129"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2"/>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2"/>
      <c r="AH10" s="493"/>
      <c r="AI10" t="s">
        <v>3</v>
      </c>
      <c r="AJ10" t="s">
        <v>839</v>
      </c>
      <c r="AK10" s="12">
        <v>45990.099999999991</v>
      </c>
      <c r="AM10" t="s">
        <v>900</v>
      </c>
      <c r="AN10" s="5">
        <v>0</v>
      </c>
      <c r="AO10" t="s">
        <v>897</v>
      </c>
      <c r="AP10" s="129"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2"/>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2"/>
      <c r="AH11" s="493"/>
      <c r="AI11" t="s">
        <v>3</v>
      </c>
      <c r="AJ11" t="s">
        <v>839</v>
      </c>
      <c r="AK11" s="12">
        <v>46020.51999999999</v>
      </c>
      <c r="AM11" t="s">
        <v>900</v>
      </c>
      <c r="AN11" s="5">
        <v>0</v>
      </c>
      <c r="AO11" t="s">
        <v>897</v>
      </c>
      <c r="AP11" s="129"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2"/>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2"/>
      <c r="AH12" s="493"/>
      <c r="AI12" t="s">
        <v>3</v>
      </c>
      <c r="AJ12" t="s">
        <v>839</v>
      </c>
      <c r="AK12" s="12">
        <v>46050.939999999988</v>
      </c>
      <c r="AM12" t="s">
        <v>900</v>
      </c>
      <c r="AN12" s="5">
        <v>0</v>
      </c>
      <c r="AO12" t="s">
        <v>897</v>
      </c>
      <c r="AP12" s="129"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2"/>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2"/>
      <c r="AH13" s="493"/>
      <c r="AI13" t="s">
        <v>3</v>
      </c>
      <c r="AJ13" t="s">
        <v>839</v>
      </c>
      <c r="AK13" s="12">
        <v>46081.359999999986</v>
      </c>
      <c r="AM13" t="s">
        <v>900</v>
      </c>
      <c r="AN13" s="5">
        <v>0</v>
      </c>
      <c r="AO13" t="s">
        <v>897</v>
      </c>
      <c r="AP13" s="129"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2"/>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2"/>
      <c r="AH14" s="493"/>
      <c r="AI14" t="s">
        <v>3</v>
      </c>
      <c r="AJ14" t="s">
        <v>839</v>
      </c>
      <c r="AK14" s="12">
        <v>46111.779999999984</v>
      </c>
      <c r="AM14" t="s">
        <v>900</v>
      </c>
      <c r="AN14" s="5">
        <v>0</v>
      </c>
      <c r="AO14" t="s">
        <v>897</v>
      </c>
      <c r="AP14" s="129"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2"/>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2"/>
      <c r="AH15" s="493"/>
      <c r="AI15" t="s">
        <v>3</v>
      </c>
      <c r="AJ15" t="s">
        <v>839</v>
      </c>
      <c r="AK15" s="12">
        <v>46142.199999999983</v>
      </c>
      <c r="AM15" t="s">
        <v>900</v>
      </c>
      <c r="AN15" s="5">
        <v>0</v>
      </c>
      <c r="AO15" t="s">
        <v>897</v>
      </c>
      <c r="AP15" s="129"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2"/>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2"/>
      <c r="AH16" s="493"/>
      <c r="AI16" t="s">
        <v>3</v>
      </c>
      <c r="AJ16" t="s">
        <v>839</v>
      </c>
      <c r="AK16" s="12">
        <v>46172.619999999981</v>
      </c>
      <c r="AM16" t="s">
        <v>900</v>
      </c>
      <c r="AN16" s="5">
        <v>0</v>
      </c>
      <c r="AO16" t="s">
        <v>897</v>
      </c>
      <c r="AP16" s="129"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2"/>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2"/>
      <c r="AH17" s="493"/>
      <c r="AI17" t="s">
        <v>3</v>
      </c>
      <c r="AJ17" t="s">
        <v>839</v>
      </c>
      <c r="AK17" s="12">
        <v>46203.039999999979</v>
      </c>
      <c r="AM17" t="s">
        <v>900</v>
      </c>
      <c r="AN17" s="5">
        <v>0</v>
      </c>
      <c r="AO17" t="s">
        <v>897</v>
      </c>
      <c r="AP17" s="129"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2"/>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2"/>
      <c r="AH18" s="493"/>
      <c r="AI18" t="s">
        <v>3</v>
      </c>
      <c r="AJ18" t="s">
        <v>839</v>
      </c>
      <c r="AK18" s="12">
        <v>46233.459999999977</v>
      </c>
      <c r="AM18" t="s">
        <v>900</v>
      </c>
      <c r="AN18" s="5">
        <v>0</v>
      </c>
      <c r="AO18" t="s">
        <v>897</v>
      </c>
      <c r="AP18" s="129"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2"/>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2"/>
      <c r="AH19" s="493"/>
      <c r="AI19" t="s">
        <v>3</v>
      </c>
      <c r="AJ19" t="s">
        <v>839</v>
      </c>
      <c r="AK19" s="12">
        <v>46263.879999999976</v>
      </c>
      <c r="AM19" t="s">
        <v>900</v>
      </c>
      <c r="AN19" s="5">
        <v>0</v>
      </c>
      <c r="AO19" t="s">
        <v>897</v>
      </c>
      <c r="AP19" s="129"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2"/>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2"/>
      <c r="AH20" s="493"/>
      <c r="AI20" t="s">
        <v>3</v>
      </c>
      <c r="AJ20" t="s">
        <v>839</v>
      </c>
      <c r="AK20" s="12">
        <v>46294.299999999974</v>
      </c>
      <c r="AM20" t="s">
        <v>900</v>
      </c>
      <c r="AN20" s="5">
        <v>0</v>
      </c>
      <c r="AO20" t="s">
        <v>897</v>
      </c>
      <c r="AP20" s="129"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2"/>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2"/>
      <c r="AH21" s="493"/>
      <c r="AI21" t="s">
        <v>3</v>
      </c>
      <c r="AJ21" t="s">
        <v>839</v>
      </c>
      <c r="AK21" s="12">
        <v>46324.719999999972</v>
      </c>
      <c r="AM21" t="s">
        <v>900</v>
      </c>
      <c r="AN21" s="5">
        <v>0</v>
      </c>
      <c r="AO21" t="s">
        <v>897</v>
      </c>
      <c r="AP21" s="129"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2"/>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2"/>
      <c r="AH22" s="493"/>
      <c r="AI22" t="s">
        <v>3</v>
      </c>
      <c r="AJ22" t="s">
        <v>899</v>
      </c>
      <c r="AK22" s="12">
        <v>45805</v>
      </c>
      <c r="AM22" t="s">
        <v>900</v>
      </c>
      <c r="AN22" s="5">
        <v>660.59</v>
      </c>
      <c r="AO22" t="s">
        <v>897</v>
      </c>
      <c r="AP22" s="129"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2"/>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2"/>
      <c r="AH23" s="493"/>
      <c r="AI23" t="s">
        <v>3</v>
      </c>
      <c r="AJ23" t="s">
        <v>899</v>
      </c>
      <c r="AK23" s="12">
        <v>45835.42</v>
      </c>
      <c r="AM23" t="s">
        <v>900</v>
      </c>
      <c r="AN23" s="5">
        <v>660.59</v>
      </c>
      <c r="AO23" t="s">
        <v>897</v>
      </c>
      <c r="AP23" s="129"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4"/>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7"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4"/>
      <c r="AH24" s="493"/>
      <c r="AI24" t="s">
        <v>3</v>
      </c>
      <c r="AJ24" t="s">
        <v>899</v>
      </c>
      <c r="AK24" s="12">
        <v>45865.84</v>
      </c>
      <c r="AM24" t="s">
        <v>900</v>
      </c>
      <c r="AN24" s="5">
        <v>660.59</v>
      </c>
      <c r="AO24" t="s">
        <v>897</v>
      </c>
      <c r="AP24" s="129" t="s">
        <v>245</v>
      </c>
      <c r="AQ24" t="s">
        <v>901</v>
      </c>
      <c r="AR24" t="s">
        <v>898</v>
      </c>
      <c r="AS24" t="s">
        <v>923</v>
      </c>
    </row>
    <row r="25" spans="1:45" ht="15.75" customHeight="1" thickBot="1" x14ac:dyDescent="0.3">
      <c r="A25" s="23"/>
      <c r="B25" s="828">
        <f>SUMIFS(tblCarryingExpenses[Amount],tblCarryingExpenses[Category],IF(A1="Mortgage Payment paid after Reinstatement","Mortgage Payment",A1),tblCarryingExpenses[Include],"Yes")</f>
        <v>89.949999999999989</v>
      </c>
      <c r="C25" s="829"/>
      <c r="D25" s="23"/>
      <c r="E25" s="828">
        <f>SUMIFS(tblCarryingExpenses[Amount],tblCarryingExpenses[Category],IF(D1="Mortgage Payment paid after Reinstatement","Mortgage Payment",D1),tblCarryingExpenses[Include],"Yes")</f>
        <v>3302.9500000000003</v>
      </c>
      <c r="F25" s="832"/>
      <c r="G25" s="495"/>
      <c r="H25" s="828">
        <f>SUMIFS(tblCarryingExpenses[Amount],tblCarryingExpenses[Category],IF(G1="Mortgage Payment paid after Reinstatement","Mortgage Payment",G1),tblCarryingExpenses[Include],"Yes")</f>
        <v>1832.74</v>
      </c>
      <c r="I25" s="829"/>
      <c r="J25" s="495"/>
      <c r="K25" s="828">
        <f>SUMIFS(tblCarryingExpenses[Amount],tblCarryingExpenses[Category],IF(J1="Mortgage Payment paid after Reinstatement","Mortgage Payment",J1),tblCarryingExpenses[Include],"Yes")</f>
        <v>0</v>
      </c>
      <c r="L25" s="829"/>
      <c r="M25" s="495"/>
      <c r="N25" s="828">
        <f>SUMIFS(tblCarryingExpenses[Amount],tblCarryingExpenses[Category],IF(M1="Mortgage Payment paid after Reinstatement","Mortgage Payment",M1),tblCarryingExpenses[Include],"Yes")</f>
        <v>0</v>
      </c>
      <c r="O25" s="829"/>
      <c r="P25" s="495"/>
      <c r="Q25" s="828">
        <f>SUMIFS(tblCarryingExpenses[Amount],tblCarryingExpenses[Category],IF(P1="Mortgage Payment paid after Reinstatement","Mortgage Payment",P1),tblCarryingExpenses[Include],"Yes")</f>
        <v>277.64</v>
      </c>
      <c r="R25" s="829"/>
      <c r="S25" s="495"/>
      <c r="T25" s="828">
        <f>SUMIFS(tblCarryingExpenses[Amount],tblCarryingExpenses[Category],IF(S1="Mortgage Payment paid after Reinstatement","Mortgage Payment",S1),tblCarryingExpenses[Include],"Yes")</f>
        <v>0</v>
      </c>
      <c r="U25" s="829"/>
      <c r="V25" s="495"/>
      <c r="W25" s="828">
        <f>SUMIFS(tblCarryingExpenses[Amount],tblCarryingExpenses[Category],IF(V1="Mortgage Payment paid after Reinstatement","Mortgage Payment",V1),tblCarryingExpenses[Include],"Yes")</f>
        <v>0</v>
      </c>
      <c r="X25" s="829"/>
      <c r="Y25" s="495"/>
      <c r="Z25" s="828">
        <f>SUM(Z4:AA23)</f>
        <v>0</v>
      </c>
      <c r="AA25" s="829"/>
      <c r="AB25" s="495"/>
      <c r="AC25" s="828">
        <f>SUMIFS(tblCarryingExpenses[Amount],tblCarryingExpenses[Category],IF(AB1="Mortgage Payment paid after Reinstatement","Mortgage Payment",AB1),tblCarryingExpenses[Include],"Yes")</f>
        <v>0</v>
      </c>
      <c r="AD25" s="829"/>
      <c r="AE25" s="495"/>
      <c r="AF25" s="828">
        <f>SUMIFS(tblCarryingExpenses[Amount],tblCarryingExpenses[Category],IF(AE1="Mortgage Payment paid after Reinstatement","Mortgage Payment",AE1),tblCarryingExpenses[Include],"Yes")</f>
        <v>0</v>
      </c>
      <c r="AG25" s="829"/>
      <c r="AH25" s="5"/>
      <c r="AI25" t="s">
        <v>3</v>
      </c>
      <c r="AJ25" t="s">
        <v>899</v>
      </c>
      <c r="AK25" s="12">
        <v>45896.259999999995</v>
      </c>
      <c r="AM25" t="s">
        <v>900</v>
      </c>
      <c r="AN25" s="5">
        <v>660.59</v>
      </c>
      <c r="AO25" t="s">
        <v>897</v>
      </c>
      <c r="AP25" s="129" t="s">
        <v>245</v>
      </c>
      <c r="AQ25" t="s">
        <v>901</v>
      </c>
      <c r="AR25" t="s">
        <v>898</v>
      </c>
      <c r="AS25" t="s">
        <v>924</v>
      </c>
    </row>
    <row r="26" spans="1:45" ht="15" customHeight="1" x14ac:dyDescent="0.25">
      <c r="AI26" t="s">
        <v>3</v>
      </c>
      <c r="AJ26" t="s">
        <v>899</v>
      </c>
      <c r="AK26" s="12">
        <v>45926.679999999993</v>
      </c>
      <c r="AM26" t="s">
        <v>900</v>
      </c>
      <c r="AN26" s="5">
        <v>660.59</v>
      </c>
      <c r="AO26" t="s">
        <v>897</v>
      </c>
      <c r="AP26" s="129" t="s">
        <v>245</v>
      </c>
      <c r="AQ26" t="s">
        <v>901</v>
      </c>
      <c r="AR26" t="s">
        <v>898</v>
      </c>
      <c r="AS26" t="s">
        <v>925</v>
      </c>
    </row>
    <row r="27" spans="1:45" ht="15" customHeight="1" x14ac:dyDescent="0.25">
      <c r="AI27" t="s">
        <v>3</v>
      </c>
      <c r="AJ27" t="s">
        <v>899</v>
      </c>
      <c r="AK27" s="12">
        <v>45957.099999999991</v>
      </c>
      <c r="AM27" t="s">
        <v>900</v>
      </c>
      <c r="AN27" s="5">
        <v>0</v>
      </c>
      <c r="AO27" t="s">
        <v>897</v>
      </c>
      <c r="AP27" s="129" t="s">
        <v>245</v>
      </c>
      <c r="AQ27" t="s">
        <v>901</v>
      </c>
      <c r="AR27" t="s">
        <v>898</v>
      </c>
      <c r="AS27" t="s">
        <v>926</v>
      </c>
    </row>
    <row r="28" spans="1:45" ht="15" customHeight="1" x14ac:dyDescent="0.25">
      <c r="AI28" t="s">
        <v>3</v>
      </c>
      <c r="AJ28" t="s">
        <v>899</v>
      </c>
      <c r="AK28" s="12">
        <v>45987.51999999999</v>
      </c>
      <c r="AM28" t="s">
        <v>900</v>
      </c>
      <c r="AN28" s="5">
        <v>0</v>
      </c>
      <c r="AO28" t="s">
        <v>897</v>
      </c>
      <c r="AP28" s="129" t="s">
        <v>245</v>
      </c>
      <c r="AQ28" t="s">
        <v>901</v>
      </c>
      <c r="AR28" t="s">
        <v>898</v>
      </c>
      <c r="AS28" t="s">
        <v>927</v>
      </c>
    </row>
    <row r="29" spans="1:45" ht="15" customHeight="1" x14ac:dyDescent="0.25">
      <c r="AI29" t="s">
        <v>3</v>
      </c>
      <c r="AJ29" t="s">
        <v>899</v>
      </c>
      <c r="AK29" s="12">
        <v>46017.939999999988</v>
      </c>
      <c r="AM29" t="s">
        <v>900</v>
      </c>
      <c r="AN29" s="5">
        <v>0</v>
      </c>
      <c r="AO29" t="s">
        <v>897</v>
      </c>
      <c r="AP29" s="129" t="s">
        <v>245</v>
      </c>
      <c r="AQ29" t="s">
        <v>901</v>
      </c>
      <c r="AR29" t="s">
        <v>898</v>
      </c>
      <c r="AS29" t="s">
        <v>928</v>
      </c>
    </row>
    <row r="30" spans="1:45" ht="15" customHeight="1" x14ac:dyDescent="0.25">
      <c r="AI30" t="s">
        <v>3</v>
      </c>
      <c r="AJ30" t="s">
        <v>899</v>
      </c>
      <c r="AK30" s="12">
        <v>46048.359999999986</v>
      </c>
      <c r="AM30" t="s">
        <v>900</v>
      </c>
      <c r="AN30" s="5">
        <v>0</v>
      </c>
      <c r="AO30" t="s">
        <v>897</v>
      </c>
      <c r="AP30" s="129" t="s">
        <v>245</v>
      </c>
      <c r="AQ30" t="s">
        <v>901</v>
      </c>
      <c r="AR30" t="s">
        <v>898</v>
      </c>
      <c r="AS30" t="s">
        <v>929</v>
      </c>
    </row>
    <row r="31" spans="1:45" ht="15" customHeight="1" x14ac:dyDescent="0.25">
      <c r="AI31" t="s">
        <v>3</v>
      </c>
      <c r="AJ31" t="s">
        <v>899</v>
      </c>
      <c r="AK31" s="12">
        <v>46078.779999999984</v>
      </c>
      <c r="AM31" t="s">
        <v>900</v>
      </c>
      <c r="AN31" s="5">
        <v>0</v>
      </c>
      <c r="AO31" t="s">
        <v>897</v>
      </c>
      <c r="AP31" s="129" t="s">
        <v>245</v>
      </c>
      <c r="AQ31" t="s">
        <v>901</v>
      </c>
      <c r="AR31" t="s">
        <v>898</v>
      </c>
      <c r="AS31" t="s">
        <v>930</v>
      </c>
    </row>
    <row r="32" spans="1:45" ht="15" customHeight="1" x14ac:dyDescent="0.25">
      <c r="AI32" t="s">
        <v>3</v>
      </c>
      <c r="AJ32" t="s">
        <v>899</v>
      </c>
      <c r="AK32" s="12">
        <v>46109.199999999983</v>
      </c>
      <c r="AM32" t="s">
        <v>900</v>
      </c>
      <c r="AN32" s="5">
        <v>0</v>
      </c>
      <c r="AO32" t="s">
        <v>897</v>
      </c>
      <c r="AP32" s="129" t="s">
        <v>245</v>
      </c>
      <c r="AQ32" t="s">
        <v>901</v>
      </c>
      <c r="AR32" t="s">
        <v>898</v>
      </c>
      <c r="AS32" t="s">
        <v>931</v>
      </c>
    </row>
    <row r="33" spans="35:45" ht="15" customHeight="1" x14ac:dyDescent="0.25">
      <c r="AI33" t="s">
        <v>3</v>
      </c>
      <c r="AJ33" t="s">
        <v>899</v>
      </c>
      <c r="AK33" s="12">
        <v>46139.619999999981</v>
      </c>
      <c r="AM33" t="s">
        <v>900</v>
      </c>
      <c r="AN33" s="5">
        <v>0</v>
      </c>
      <c r="AO33" t="s">
        <v>897</v>
      </c>
      <c r="AP33" s="129" t="s">
        <v>245</v>
      </c>
      <c r="AQ33" t="s">
        <v>901</v>
      </c>
      <c r="AR33" t="s">
        <v>898</v>
      </c>
      <c r="AS33" t="s">
        <v>932</v>
      </c>
    </row>
    <row r="34" spans="35:45" ht="15" customHeight="1" x14ac:dyDescent="0.25">
      <c r="AI34" t="s">
        <v>3</v>
      </c>
      <c r="AJ34" t="s">
        <v>899</v>
      </c>
      <c r="AK34" s="12">
        <v>46170.039999999979</v>
      </c>
      <c r="AM34" t="s">
        <v>900</v>
      </c>
      <c r="AN34" s="5">
        <v>0</v>
      </c>
      <c r="AO34" t="s">
        <v>897</v>
      </c>
      <c r="AP34" s="129" t="s">
        <v>245</v>
      </c>
      <c r="AQ34" t="s">
        <v>901</v>
      </c>
      <c r="AR34" t="s">
        <v>898</v>
      </c>
      <c r="AS34" t="s">
        <v>933</v>
      </c>
    </row>
    <row r="35" spans="35:45" ht="15" customHeight="1" x14ac:dyDescent="0.25">
      <c r="AI35" t="s">
        <v>3</v>
      </c>
      <c r="AJ35" t="s">
        <v>899</v>
      </c>
      <c r="AK35" s="12">
        <v>46200.459999999977</v>
      </c>
      <c r="AM35" t="s">
        <v>900</v>
      </c>
      <c r="AN35" s="5">
        <v>0</v>
      </c>
      <c r="AO35" t="s">
        <v>897</v>
      </c>
      <c r="AP35" s="129" t="s">
        <v>245</v>
      </c>
      <c r="AQ35" t="s">
        <v>901</v>
      </c>
      <c r="AR35" t="s">
        <v>898</v>
      </c>
      <c r="AS35" t="s">
        <v>934</v>
      </c>
    </row>
    <row r="36" spans="35:45" ht="15" customHeight="1" x14ac:dyDescent="0.25">
      <c r="AI36" t="s">
        <v>3</v>
      </c>
      <c r="AJ36" t="s">
        <v>899</v>
      </c>
      <c r="AK36" s="12">
        <v>46230.879999999976</v>
      </c>
      <c r="AM36" t="s">
        <v>900</v>
      </c>
      <c r="AN36" s="5">
        <v>0</v>
      </c>
      <c r="AO36" t="s">
        <v>897</v>
      </c>
      <c r="AP36" s="129" t="s">
        <v>245</v>
      </c>
      <c r="AQ36" t="s">
        <v>901</v>
      </c>
      <c r="AR36" t="s">
        <v>898</v>
      </c>
      <c r="AS36" t="s">
        <v>935</v>
      </c>
    </row>
    <row r="37" spans="35:45" ht="15" customHeight="1" x14ac:dyDescent="0.25">
      <c r="AI37" t="s">
        <v>3</v>
      </c>
      <c r="AJ37" t="s">
        <v>899</v>
      </c>
      <c r="AK37" s="12">
        <v>46261.299999999974</v>
      </c>
      <c r="AM37" t="s">
        <v>900</v>
      </c>
      <c r="AN37" s="5">
        <v>0</v>
      </c>
      <c r="AO37" t="s">
        <v>897</v>
      </c>
      <c r="AP37" s="129" t="s">
        <v>245</v>
      </c>
      <c r="AQ37" t="s">
        <v>901</v>
      </c>
      <c r="AR37" t="s">
        <v>898</v>
      </c>
      <c r="AS37" t="s">
        <v>936</v>
      </c>
    </row>
    <row r="38" spans="35:45" ht="15" customHeight="1" x14ac:dyDescent="0.25">
      <c r="AI38" t="s">
        <v>3</v>
      </c>
      <c r="AJ38" t="s">
        <v>899</v>
      </c>
      <c r="AK38" s="12">
        <v>46291.719999999972</v>
      </c>
      <c r="AM38" t="s">
        <v>900</v>
      </c>
      <c r="AN38" s="5">
        <v>0</v>
      </c>
      <c r="AO38" t="s">
        <v>897</v>
      </c>
      <c r="AP38" s="129" t="s">
        <v>245</v>
      </c>
      <c r="AQ38" t="s">
        <v>901</v>
      </c>
      <c r="AR38" t="s">
        <v>898</v>
      </c>
      <c r="AS38" t="s">
        <v>937</v>
      </c>
    </row>
    <row r="39" spans="35:45" ht="15" customHeight="1" x14ac:dyDescent="0.25">
      <c r="AI39" t="s">
        <v>3</v>
      </c>
      <c r="AJ39" t="s">
        <v>899</v>
      </c>
      <c r="AK39" s="12">
        <v>46322.13999999997</v>
      </c>
      <c r="AM39" t="s">
        <v>900</v>
      </c>
      <c r="AN39" s="5">
        <v>0</v>
      </c>
      <c r="AO39" t="s">
        <v>897</v>
      </c>
      <c r="AP39" s="129" t="s">
        <v>245</v>
      </c>
      <c r="AQ39" t="s">
        <v>901</v>
      </c>
      <c r="AR39" t="s">
        <v>898</v>
      </c>
      <c r="AS39" t="s">
        <v>938</v>
      </c>
    </row>
    <row r="40" spans="35:45" ht="15" customHeight="1" x14ac:dyDescent="0.25">
      <c r="AI40" t="s">
        <v>3</v>
      </c>
      <c r="AJ40" t="s">
        <v>899</v>
      </c>
      <c r="AK40" s="12">
        <v>46352.559999999969</v>
      </c>
      <c r="AM40" t="s">
        <v>900</v>
      </c>
      <c r="AN40" s="5">
        <v>0</v>
      </c>
      <c r="AO40" t="s">
        <v>897</v>
      </c>
      <c r="AP40" s="129" t="s">
        <v>245</v>
      </c>
      <c r="AQ40" t="s">
        <v>901</v>
      </c>
      <c r="AR40" t="s">
        <v>898</v>
      </c>
      <c r="AS40" t="s">
        <v>939</v>
      </c>
    </row>
    <row r="41" spans="35:45" ht="15" customHeight="1" x14ac:dyDescent="0.25">
      <c r="AI41" t="s">
        <v>3</v>
      </c>
      <c r="AJ41" t="s">
        <v>586</v>
      </c>
      <c r="AK41" s="12">
        <v>45805</v>
      </c>
      <c r="AM41" t="s">
        <v>900</v>
      </c>
      <c r="AN41" s="5">
        <v>0</v>
      </c>
      <c r="AO41" t="s">
        <v>897</v>
      </c>
      <c r="AP41" s="129" t="s">
        <v>245</v>
      </c>
      <c r="AQ41" t="s">
        <v>901</v>
      </c>
      <c r="AR41" t="s">
        <v>898</v>
      </c>
      <c r="AS41" t="s">
        <v>940</v>
      </c>
    </row>
    <row r="42" spans="35:45" ht="15" customHeight="1" x14ac:dyDescent="0.25">
      <c r="AI42" t="s">
        <v>3</v>
      </c>
      <c r="AJ42" t="s">
        <v>586</v>
      </c>
      <c r="AK42" s="12">
        <v>45835.42</v>
      </c>
      <c r="AM42" t="s">
        <v>900</v>
      </c>
      <c r="AN42" s="5">
        <v>0</v>
      </c>
      <c r="AO42" t="s">
        <v>897</v>
      </c>
      <c r="AP42" s="129" t="s">
        <v>245</v>
      </c>
      <c r="AQ42" t="s">
        <v>901</v>
      </c>
      <c r="AR42" t="s">
        <v>898</v>
      </c>
      <c r="AS42" t="s">
        <v>941</v>
      </c>
    </row>
    <row r="43" spans="35:45" ht="15" customHeight="1" x14ac:dyDescent="0.25">
      <c r="AI43" t="s">
        <v>3</v>
      </c>
      <c r="AJ43" t="s">
        <v>586</v>
      </c>
      <c r="AK43" s="12">
        <v>45865.84</v>
      </c>
      <c r="AM43" t="s">
        <v>900</v>
      </c>
      <c r="AN43" s="5">
        <v>0</v>
      </c>
      <c r="AO43" t="s">
        <v>897</v>
      </c>
      <c r="AP43" s="129" t="s">
        <v>245</v>
      </c>
      <c r="AQ43" t="s">
        <v>901</v>
      </c>
      <c r="AR43" t="s">
        <v>898</v>
      </c>
      <c r="AS43" t="s">
        <v>942</v>
      </c>
    </row>
    <row r="44" spans="35:45" ht="15" customHeight="1" x14ac:dyDescent="0.25">
      <c r="AI44" t="s">
        <v>3</v>
      </c>
      <c r="AJ44" t="s">
        <v>586</v>
      </c>
      <c r="AK44" s="12">
        <v>45896.259999999995</v>
      </c>
      <c r="AM44" t="s">
        <v>900</v>
      </c>
      <c r="AN44" s="5">
        <v>0</v>
      </c>
      <c r="AO44" t="s">
        <v>897</v>
      </c>
      <c r="AP44" s="129" t="s">
        <v>245</v>
      </c>
      <c r="AQ44" t="s">
        <v>901</v>
      </c>
      <c r="AR44" t="s">
        <v>898</v>
      </c>
      <c r="AS44" t="s">
        <v>943</v>
      </c>
    </row>
    <row r="45" spans="35:45" ht="15" customHeight="1" x14ac:dyDescent="0.25">
      <c r="AI45" t="s">
        <v>3</v>
      </c>
      <c r="AJ45" t="s">
        <v>586</v>
      </c>
      <c r="AK45" s="12">
        <v>45931</v>
      </c>
      <c r="AM45" t="s">
        <v>900</v>
      </c>
      <c r="AN45" s="5">
        <v>916.37</v>
      </c>
      <c r="AO45" t="s">
        <v>897</v>
      </c>
      <c r="AP45" s="129" t="s">
        <v>245</v>
      </c>
      <c r="AQ45" t="s">
        <v>901</v>
      </c>
      <c r="AR45" t="s">
        <v>898</v>
      </c>
      <c r="AS45" t="s">
        <v>944</v>
      </c>
    </row>
    <row r="46" spans="35:45" ht="15" customHeight="1" x14ac:dyDescent="0.25">
      <c r="AI46" t="s">
        <v>3</v>
      </c>
      <c r="AJ46" t="s">
        <v>586</v>
      </c>
      <c r="AK46" s="12">
        <v>45961.42</v>
      </c>
      <c r="AM46" t="s">
        <v>900</v>
      </c>
      <c r="AN46" s="5">
        <v>916.37</v>
      </c>
      <c r="AO46" t="s">
        <v>897</v>
      </c>
      <c r="AP46" s="129" t="s">
        <v>245</v>
      </c>
      <c r="AQ46" t="s">
        <v>901</v>
      </c>
      <c r="AR46" t="s">
        <v>898</v>
      </c>
      <c r="AS46" t="s">
        <v>945</v>
      </c>
    </row>
    <row r="47" spans="35:45" ht="15" customHeight="1" x14ac:dyDescent="0.25">
      <c r="AI47" t="s">
        <v>3</v>
      </c>
      <c r="AJ47" t="s">
        <v>586</v>
      </c>
      <c r="AK47" s="12">
        <v>45991.839999999997</v>
      </c>
      <c r="AM47" t="s">
        <v>900</v>
      </c>
      <c r="AN47" s="5"/>
      <c r="AO47" t="s">
        <v>897</v>
      </c>
      <c r="AP47" s="129" t="s">
        <v>245</v>
      </c>
      <c r="AQ47" t="s">
        <v>901</v>
      </c>
      <c r="AR47" t="s">
        <v>898</v>
      </c>
      <c r="AS47" t="s">
        <v>946</v>
      </c>
    </row>
    <row r="48" spans="35:45" ht="15" customHeight="1" x14ac:dyDescent="0.25">
      <c r="AI48" t="s">
        <v>3</v>
      </c>
      <c r="AJ48" t="s">
        <v>586</v>
      </c>
      <c r="AK48" s="12">
        <v>46022.259999999995</v>
      </c>
      <c r="AM48" t="s">
        <v>900</v>
      </c>
      <c r="AN48" s="5"/>
      <c r="AO48" t="s">
        <v>897</v>
      </c>
      <c r="AP48" s="129" t="s">
        <v>245</v>
      </c>
      <c r="AQ48" t="s">
        <v>901</v>
      </c>
      <c r="AR48" t="s">
        <v>898</v>
      </c>
      <c r="AS48" t="s">
        <v>947</v>
      </c>
    </row>
    <row r="49" spans="35:45" ht="15" customHeight="1" x14ac:dyDescent="0.25">
      <c r="AI49" t="s">
        <v>3</v>
      </c>
      <c r="AJ49" t="s">
        <v>586</v>
      </c>
      <c r="AK49" s="12">
        <v>46052.679999999993</v>
      </c>
      <c r="AM49" t="s">
        <v>900</v>
      </c>
      <c r="AN49" s="5"/>
      <c r="AO49" t="s">
        <v>897</v>
      </c>
      <c r="AP49" s="129" t="s">
        <v>245</v>
      </c>
      <c r="AQ49" t="s">
        <v>901</v>
      </c>
      <c r="AR49" t="s">
        <v>898</v>
      </c>
      <c r="AS49" t="s">
        <v>948</v>
      </c>
    </row>
    <row r="50" spans="35:45" ht="15" customHeight="1" x14ac:dyDescent="0.25">
      <c r="AI50" t="s">
        <v>3</v>
      </c>
      <c r="AJ50" t="s">
        <v>586</v>
      </c>
      <c r="AK50" s="12">
        <v>46083.099999999991</v>
      </c>
      <c r="AM50" t="s">
        <v>900</v>
      </c>
      <c r="AN50" s="5"/>
      <c r="AO50" t="s">
        <v>897</v>
      </c>
      <c r="AP50" s="129" t="s">
        <v>245</v>
      </c>
      <c r="AQ50" t="s">
        <v>901</v>
      </c>
      <c r="AR50" t="s">
        <v>898</v>
      </c>
      <c r="AS50" t="s">
        <v>949</v>
      </c>
    </row>
    <row r="51" spans="35:45" ht="15" customHeight="1" x14ac:dyDescent="0.25">
      <c r="AI51" t="s">
        <v>3</v>
      </c>
      <c r="AJ51" t="s">
        <v>586</v>
      </c>
      <c r="AK51" s="12">
        <v>46113.51999999999</v>
      </c>
      <c r="AM51" t="s">
        <v>900</v>
      </c>
      <c r="AN51" s="5"/>
      <c r="AO51" t="s">
        <v>897</v>
      </c>
      <c r="AP51" s="129" t="s">
        <v>245</v>
      </c>
      <c r="AQ51" t="s">
        <v>901</v>
      </c>
      <c r="AR51" t="s">
        <v>898</v>
      </c>
      <c r="AS51" t="s">
        <v>950</v>
      </c>
    </row>
    <row r="52" spans="35:45" ht="15" customHeight="1" x14ac:dyDescent="0.25">
      <c r="AI52" t="s">
        <v>3</v>
      </c>
      <c r="AJ52" t="s">
        <v>586</v>
      </c>
      <c r="AK52" s="12">
        <v>46143.939999999988</v>
      </c>
      <c r="AM52" t="s">
        <v>900</v>
      </c>
      <c r="AN52" s="5"/>
      <c r="AO52" t="s">
        <v>897</v>
      </c>
      <c r="AP52" s="129" t="s">
        <v>245</v>
      </c>
      <c r="AQ52" t="s">
        <v>901</v>
      </c>
      <c r="AR52" t="s">
        <v>898</v>
      </c>
      <c r="AS52" t="s">
        <v>951</v>
      </c>
    </row>
    <row r="53" spans="35:45" ht="15" customHeight="1" x14ac:dyDescent="0.25">
      <c r="AI53" t="s">
        <v>3</v>
      </c>
      <c r="AJ53" t="s">
        <v>586</v>
      </c>
      <c r="AK53" s="12">
        <v>46174.359999999986</v>
      </c>
      <c r="AM53" t="s">
        <v>900</v>
      </c>
      <c r="AN53" s="5"/>
      <c r="AO53" t="s">
        <v>897</v>
      </c>
      <c r="AP53" s="129" t="s">
        <v>245</v>
      </c>
      <c r="AQ53" t="s">
        <v>901</v>
      </c>
      <c r="AR53" t="s">
        <v>898</v>
      </c>
      <c r="AS53" t="s">
        <v>952</v>
      </c>
    </row>
    <row r="54" spans="35:45" ht="15" customHeight="1" x14ac:dyDescent="0.25">
      <c r="AI54" t="s">
        <v>3</v>
      </c>
      <c r="AJ54" t="s">
        <v>586</v>
      </c>
      <c r="AK54" s="12">
        <v>46204.779999999984</v>
      </c>
      <c r="AM54" t="s">
        <v>900</v>
      </c>
      <c r="AN54" s="5"/>
      <c r="AO54" t="s">
        <v>897</v>
      </c>
      <c r="AP54" s="129" t="s">
        <v>245</v>
      </c>
      <c r="AQ54" t="s">
        <v>901</v>
      </c>
      <c r="AR54" t="s">
        <v>898</v>
      </c>
      <c r="AS54" t="s">
        <v>953</v>
      </c>
    </row>
    <row r="55" spans="35:45" ht="15" customHeight="1" x14ac:dyDescent="0.25">
      <c r="AI55" t="s">
        <v>3</v>
      </c>
      <c r="AJ55" t="s">
        <v>586</v>
      </c>
      <c r="AK55" s="12">
        <v>46235.199999999983</v>
      </c>
      <c r="AM55" t="s">
        <v>900</v>
      </c>
      <c r="AN55" s="5"/>
      <c r="AO55" t="s">
        <v>897</v>
      </c>
      <c r="AP55" s="129" t="s">
        <v>245</v>
      </c>
      <c r="AQ55" t="s">
        <v>901</v>
      </c>
      <c r="AR55" t="s">
        <v>898</v>
      </c>
      <c r="AS55" t="s">
        <v>954</v>
      </c>
    </row>
    <row r="56" spans="35:45" ht="15" customHeight="1" x14ac:dyDescent="0.25">
      <c r="AI56" t="s">
        <v>3</v>
      </c>
      <c r="AJ56" t="s">
        <v>586</v>
      </c>
      <c r="AK56" s="12">
        <v>46265.619999999981</v>
      </c>
      <c r="AM56" t="s">
        <v>900</v>
      </c>
      <c r="AN56" s="5"/>
      <c r="AO56" t="s">
        <v>897</v>
      </c>
      <c r="AP56" s="129" t="s">
        <v>245</v>
      </c>
      <c r="AQ56" t="s">
        <v>901</v>
      </c>
      <c r="AR56" t="s">
        <v>898</v>
      </c>
      <c r="AS56" t="s">
        <v>955</v>
      </c>
    </row>
    <row r="57" spans="35:45" ht="15" customHeight="1" x14ac:dyDescent="0.25">
      <c r="AI57" t="s">
        <v>3</v>
      </c>
      <c r="AJ57" t="s">
        <v>586</v>
      </c>
      <c r="AK57" s="12">
        <v>46296.039999999979</v>
      </c>
      <c r="AM57" t="s">
        <v>900</v>
      </c>
      <c r="AN57" s="5"/>
      <c r="AO57" t="s">
        <v>897</v>
      </c>
      <c r="AP57" s="129" t="s">
        <v>245</v>
      </c>
      <c r="AQ57" t="s">
        <v>901</v>
      </c>
      <c r="AR57" t="s">
        <v>898</v>
      </c>
      <c r="AS57" t="s">
        <v>956</v>
      </c>
    </row>
    <row r="58" spans="35:45" ht="15" customHeight="1" x14ac:dyDescent="0.25">
      <c r="AI58" t="s">
        <v>3</v>
      </c>
      <c r="AJ58" t="s">
        <v>586</v>
      </c>
      <c r="AK58" s="12">
        <v>46326.459999999977</v>
      </c>
      <c r="AM58" t="s">
        <v>900</v>
      </c>
      <c r="AN58" s="5"/>
      <c r="AO58" t="s">
        <v>897</v>
      </c>
      <c r="AP58" s="129" t="s">
        <v>245</v>
      </c>
      <c r="AQ58" t="s">
        <v>901</v>
      </c>
      <c r="AR58" t="s">
        <v>898</v>
      </c>
      <c r="AS58" t="s">
        <v>957</v>
      </c>
    </row>
    <row r="59" spans="35:45" ht="15" customHeight="1" x14ac:dyDescent="0.25">
      <c r="AI59" t="s">
        <v>3</v>
      </c>
      <c r="AJ59" t="s">
        <v>586</v>
      </c>
      <c r="AK59" s="12">
        <v>46356.879999999976</v>
      </c>
      <c r="AM59" t="s">
        <v>900</v>
      </c>
      <c r="AN59" s="5"/>
      <c r="AO59" t="s">
        <v>897</v>
      </c>
      <c r="AP59" s="129" t="s">
        <v>245</v>
      </c>
      <c r="AQ59" t="s">
        <v>901</v>
      </c>
      <c r="AR59" t="s">
        <v>898</v>
      </c>
      <c r="AS59" t="s">
        <v>958</v>
      </c>
    </row>
    <row r="60" spans="35:45" ht="15" customHeight="1" x14ac:dyDescent="0.25">
      <c r="AI60" t="s">
        <v>3</v>
      </c>
      <c r="AJ60" t="s">
        <v>475</v>
      </c>
      <c r="AK60" s="12">
        <v>45805</v>
      </c>
      <c r="AM60" t="s">
        <v>900</v>
      </c>
      <c r="AN60" s="5">
        <v>0</v>
      </c>
      <c r="AO60" t="s">
        <v>897</v>
      </c>
      <c r="AP60" s="129" t="s">
        <v>245</v>
      </c>
      <c r="AQ60" t="s">
        <v>901</v>
      </c>
      <c r="AR60" t="s">
        <v>898</v>
      </c>
      <c r="AS60" t="s">
        <v>959</v>
      </c>
    </row>
    <row r="61" spans="35:45" ht="15" customHeight="1" x14ac:dyDescent="0.25">
      <c r="AI61" t="s">
        <v>3</v>
      </c>
      <c r="AJ61" t="s">
        <v>475</v>
      </c>
      <c r="AK61" s="12">
        <v>45835.42</v>
      </c>
      <c r="AM61" t="s">
        <v>900</v>
      </c>
      <c r="AN61" s="5">
        <v>0</v>
      </c>
      <c r="AO61" t="s">
        <v>897</v>
      </c>
      <c r="AP61" s="129" t="s">
        <v>245</v>
      </c>
      <c r="AQ61" t="s">
        <v>901</v>
      </c>
      <c r="AR61" t="s">
        <v>898</v>
      </c>
      <c r="AS61" t="s">
        <v>960</v>
      </c>
    </row>
    <row r="62" spans="35:45" ht="15" customHeight="1" x14ac:dyDescent="0.25">
      <c r="AI62" t="s">
        <v>3</v>
      </c>
      <c r="AJ62" t="s">
        <v>475</v>
      </c>
      <c r="AK62" s="12">
        <v>45865.84</v>
      </c>
      <c r="AM62" t="s">
        <v>900</v>
      </c>
      <c r="AN62" s="5">
        <v>0</v>
      </c>
      <c r="AO62" t="s">
        <v>897</v>
      </c>
      <c r="AP62" s="129" t="s">
        <v>245</v>
      </c>
      <c r="AQ62" t="s">
        <v>901</v>
      </c>
      <c r="AR62" t="s">
        <v>898</v>
      </c>
      <c r="AS62" t="s">
        <v>961</v>
      </c>
    </row>
    <row r="63" spans="35:45" ht="15" customHeight="1" x14ac:dyDescent="0.25">
      <c r="AI63" t="s">
        <v>3</v>
      </c>
      <c r="AJ63" t="s">
        <v>475</v>
      </c>
      <c r="AK63" s="12">
        <v>45896.259999999995</v>
      </c>
      <c r="AM63" t="s">
        <v>900</v>
      </c>
      <c r="AN63" s="5">
        <v>0</v>
      </c>
      <c r="AO63" t="s">
        <v>897</v>
      </c>
      <c r="AP63" s="129" t="s">
        <v>245</v>
      </c>
      <c r="AQ63" t="s">
        <v>901</v>
      </c>
      <c r="AR63" t="s">
        <v>898</v>
      </c>
      <c r="AS63" t="s">
        <v>962</v>
      </c>
    </row>
    <row r="64" spans="35:45" ht="15" customHeight="1" x14ac:dyDescent="0.25">
      <c r="AI64" t="s">
        <v>3</v>
      </c>
      <c r="AJ64" t="s">
        <v>475</v>
      </c>
      <c r="AK64" s="12">
        <v>45926.679999999993</v>
      </c>
      <c r="AM64" t="s">
        <v>900</v>
      </c>
      <c r="AN64" s="5">
        <v>0</v>
      </c>
      <c r="AO64" t="s">
        <v>897</v>
      </c>
      <c r="AP64" s="129" t="s">
        <v>245</v>
      </c>
      <c r="AQ64" t="s">
        <v>901</v>
      </c>
      <c r="AR64" t="s">
        <v>898</v>
      </c>
      <c r="AS64" t="s">
        <v>963</v>
      </c>
    </row>
    <row r="65" spans="35:45" ht="15" customHeight="1" x14ac:dyDescent="0.25">
      <c r="AI65" t="s">
        <v>3</v>
      </c>
      <c r="AJ65" t="s">
        <v>475</v>
      </c>
      <c r="AK65" s="12">
        <v>45957.099999999991</v>
      </c>
      <c r="AM65" t="s">
        <v>900</v>
      </c>
      <c r="AN65" s="5">
        <v>0</v>
      </c>
      <c r="AO65" t="s">
        <v>897</v>
      </c>
      <c r="AP65" s="129" t="s">
        <v>245</v>
      </c>
      <c r="AQ65" t="s">
        <v>901</v>
      </c>
      <c r="AR65" t="s">
        <v>898</v>
      </c>
      <c r="AS65" t="s">
        <v>964</v>
      </c>
    </row>
    <row r="66" spans="35:45" ht="15" customHeight="1" x14ac:dyDescent="0.25">
      <c r="AI66" t="s">
        <v>3</v>
      </c>
      <c r="AJ66" t="s">
        <v>475</v>
      </c>
      <c r="AK66" s="12">
        <v>45987.51999999999</v>
      </c>
      <c r="AM66" t="s">
        <v>900</v>
      </c>
      <c r="AN66" s="5">
        <v>0</v>
      </c>
      <c r="AO66" t="s">
        <v>897</v>
      </c>
      <c r="AP66" s="129" t="s">
        <v>245</v>
      </c>
      <c r="AQ66" t="s">
        <v>901</v>
      </c>
      <c r="AR66" t="s">
        <v>898</v>
      </c>
      <c r="AS66" t="s">
        <v>965</v>
      </c>
    </row>
    <row r="67" spans="35:45" ht="15" customHeight="1" x14ac:dyDescent="0.25">
      <c r="AI67" t="s">
        <v>3</v>
      </c>
      <c r="AJ67" t="s">
        <v>475</v>
      </c>
      <c r="AK67" s="12">
        <v>46017.939999999988</v>
      </c>
      <c r="AM67" t="s">
        <v>900</v>
      </c>
      <c r="AN67" s="5">
        <v>0</v>
      </c>
      <c r="AO67" t="s">
        <v>897</v>
      </c>
      <c r="AP67" s="129" t="s">
        <v>245</v>
      </c>
      <c r="AQ67" t="s">
        <v>901</v>
      </c>
      <c r="AR67" t="s">
        <v>898</v>
      </c>
      <c r="AS67" t="s">
        <v>966</v>
      </c>
    </row>
    <row r="68" spans="35:45" ht="15" customHeight="1" x14ac:dyDescent="0.25">
      <c r="AI68" t="s">
        <v>3</v>
      </c>
      <c r="AJ68" t="s">
        <v>475</v>
      </c>
      <c r="AK68" s="12">
        <v>46048.359999999986</v>
      </c>
      <c r="AM68" t="s">
        <v>900</v>
      </c>
      <c r="AN68" s="5">
        <v>0</v>
      </c>
      <c r="AO68" t="s">
        <v>897</v>
      </c>
      <c r="AP68" s="129" t="s">
        <v>245</v>
      </c>
      <c r="AQ68" t="s">
        <v>901</v>
      </c>
      <c r="AR68" t="s">
        <v>898</v>
      </c>
      <c r="AS68" t="s">
        <v>967</v>
      </c>
    </row>
    <row r="69" spans="35:45" ht="15" customHeight="1" x14ac:dyDescent="0.25">
      <c r="AI69" t="s">
        <v>3</v>
      </c>
      <c r="AJ69" t="s">
        <v>475</v>
      </c>
      <c r="AK69" s="12">
        <v>46078.779999999984</v>
      </c>
      <c r="AM69" t="s">
        <v>900</v>
      </c>
      <c r="AN69" s="5">
        <v>0</v>
      </c>
      <c r="AO69" t="s">
        <v>897</v>
      </c>
      <c r="AP69" s="129" t="s">
        <v>245</v>
      </c>
      <c r="AQ69" t="s">
        <v>901</v>
      </c>
      <c r="AR69" t="s">
        <v>898</v>
      </c>
      <c r="AS69" t="s">
        <v>968</v>
      </c>
    </row>
    <row r="70" spans="35:45" ht="15" customHeight="1" x14ac:dyDescent="0.25">
      <c r="AI70" t="s">
        <v>3</v>
      </c>
      <c r="AJ70" t="s">
        <v>475</v>
      </c>
      <c r="AK70" s="12">
        <v>46109.199999999983</v>
      </c>
      <c r="AM70" t="s">
        <v>900</v>
      </c>
      <c r="AN70" s="5">
        <v>0</v>
      </c>
      <c r="AO70" t="s">
        <v>897</v>
      </c>
      <c r="AP70" s="129" t="s">
        <v>245</v>
      </c>
      <c r="AQ70" t="s">
        <v>901</v>
      </c>
      <c r="AR70" t="s">
        <v>898</v>
      </c>
      <c r="AS70" t="s">
        <v>969</v>
      </c>
    </row>
    <row r="71" spans="35:45" ht="15" customHeight="1" x14ac:dyDescent="0.25">
      <c r="AI71" t="s">
        <v>3</v>
      </c>
      <c r="AJ71" t="s">
        <v>475</v>
      </c>
      <c r="AK71" s="12">
        <v>46139.619999999981</v>
      </c>
      <c r="AM71" t="s">
        <v>900</v>
      </c>
      <c r="AN71" s="5">
        <v>0</v>
      </c>
      <c r="AO71" t="s">
        <v>897</v>
      </c>
      <c r="AP71" s="129" t="s">
        <v>245</v>
      </c>
      <c r="AQ71" t="s">
        <v>901</v>
      </c>
      <c r="AR71" t="s">
        <v>898</v>
      </c>
      <c r="AS71" t="s">
        <v>970</v>
      </c>
    </row>
    <row r="72" spans="35:45" ht="15" customHeight="1" x14ac:dyDescent="0.25">
      <c r="AI72" t="s">
        <v>3</v>
      </c>
      <c r="AJ72" t="s">
        <v>475</v>
      </c>
      <c r="AK72" s="12">
        <v>46170.039999999979</v>
      </c>
      <c r="AM72" t="s">
        <v>900</v>
      </c>
      <c r="AN72" s="5">
        <v>0</v>
      </c>
      <c r="AO72" t="s">
        <v>897</v>
      </c>
      <c r="AP72" s="129" t="s">
        <v>245</v>
      </c>
      <c r="AQ72" t="s">
        <v>901</v>
      </c>
      <c r="AR72" t="s">
        <v>898</v>
      </c>
      <c r="AS72" t="s">
        <v>971</v>
      </c>
    </row>
    <row r="73" spans="35:45" ht="15" customHeight="1" x14ac:dyDescent="0.25">
      <c r="AI73" t="s">
        <v>3</v>
      </c>
      <c r="AJ73" t="s">
        <v>475</v>
      </c>
      <c r="AK73" s="12">
        <v>46200.459999999977</v>
      </c>
      <c r="AM73" t="s">
        <v>900</v>
      </c>
      <c r="AN73" s="5">
        <v>0</v>
      </c>
      <c r="AO73" t="s">
        <v>897</v>
      </c>
      <c r="AP73" s="129" t="s">
        <v>245</v>
      </c>
      <c r="AQ73" t="s">
        <v>901</v>
      </c>
      <c r="AR73" t="s">
        <v>898</v>
      </c>
      <c r="AS73" t="s">
        <v>972</v>
      </c>
    </row>
    <row r="74" spans="35:45" ht="15" customHeight="1" x14ac:dyDescent="0.25">
      <c r="AI74" t="s">
        <v>3</v>
      </c>
      <c r="AJ74" t="s">
        <v>475</v>
      </c>
      <c r="AK74" s="12">
        <v>46230.879999999976</v>
      </c>
      <c r="AM74" t="s">
        <v>900</v>
      </c>
      <c r="AN74" s="5">
        <v>0</v>
      </c>
      <c r="AO74" t="s">
        <v>897</v>
      </c>
      <c r="AP74" s="129" t="s">
        <v>245</v>
      </c>
      <c r="AQ74" t="s">
        <v>901</v>
      </c>
      <c r="AR74" t="s">
        <v>898</v>
      </c>
      <c r="AS74" t="s">
        <v>973</v>
      </c>
    </row>
    <row r="75" spans="35:45" ht="15" customHeight="1" x14ac:dyDescent="0.25">
      <c r="AI75" t="s">
        <v>3</v>
      </c>
      <c r="AJ75" t="s">
        <v>475</v>
      </c>
      <c r="AK75" s="12">
        <v>46261.299999999974</v>
      </c>
      <c r="AM75" t="s">
        <v>900</v>
      </c>
      <c r="AN75" s="5">
        <v>0</v>
      </c>
      <c r="AO75" t="s">
        <v>897</v>
      </c>
      <c r="AP75" s="129" t="s">
        <v>245</v>
      </c>
      <c r="AQ75" t="s">
        <v>901</v>
      </c>
      <c r="AR75" t="s">
        <v>898</v>
      </c>
      <c r="AS75" t="s">
        <v>974</v>
      </c>
    </row>
    <row r="76" spans="35:45" ht="15" customHeight="1" x14ac:dyDescent="0.25">
      <c r="AI76" t="s">
        <v>3</v>
      </c>
      <c r="AJ76" t="s">
        <v>475</v>
      </c>
      <c r="AK76" s="12">
        <v>46291.719999999972</v>
      </c>
      <c r="AM76" t="s">
        <v>900</v>
      </c>
      <c r="AN76" s="5">
        <v>0</v>
      </c>
      <c r="AO76" t="s">
        <v>897</v>
      </c>
      <c r="AP76" s="129" t="s">
        <v>245</v>
      </c>
      <c r="AQ76" t="s">
        <v>901</v>
      </c>
      <c r="AR76" t="s">
        <v>898</v>
      </c>
      <c r="AS76" t="s">
        <v>975</v>
      </c>
    </row>
    <row r="77" spans="35:45" ht="15" customHeight="1" x14ac:dyDescent="0.25">
      <c r="AI77" t="s">
        <v>3</v>
      </c>
      <c r="AJ77" t="s">
        <v>475</v>
      </c>
      <c r="AK77" s="12">
        <v>46322.13999999997</v>
      </c>
      <c r="AM77" t="s">
        <v>900</v>
      </c>
      <c r="AN77" s="5">
        <v>0</v>
      </c>
      <c r="AO77" t="s">
        <v>897</v>
      </c>
      <c r="AP77" s="129" t="s">
        <v>245</v>
      </c>
      <c r="AQ77" t="s">
        <v>901</v>
      </c>
      <c r="AR77" t="s">
        <v>898</v>
      </c>
      <c r="AS77" t="s">
        <v>976</v>
      </c>
    </row>
    <row r="78" spans="35:45" ht="15" customHeight="1" x14ac:dyDescent="0.25">
      <c r="AI78" t="s">
        <v>3</v>
      </c>
      <c r="AJ78" t="s">
        <v>475</v>
      </c>
      <c r="AK78" s="12">
        <v>46352.559999999969</v>
      </c>
      <c r="AM78" t="s">
        <v>900</v>
      </c>
      <c r="AN78" s="5">
        <v>0</v>
      </c>
      <c r="AO78" t="s">
        <v>897</v>
      </c>
      <c r="AP78" s="129" t="s">
        <v>245</v>
      </c>
      <c r="AQ78" t="s">
        <v>901</v>
      </c>
      <c r="AR78" t="s">
        <v>898</v>
      </c>
      <c r="AS78" t="s">
        <v>977</v>
      </c>
    </row>
    <row r="79" spans="35:45" ht="15" customHeight="1" x14ac:dyDescent="0.25">
      <c r="AI79" t="s">
        <v>3</v>
      </c>
      <c r="AJ79" t="s">
        <v>886</v>
      </c>
      <c r="AK79" s="12">
        <v>45751</v>
      </c>
      <c r="AM79" t="s">
        <v>900</v>
      </c>
      <c r="AN79" s="5">
        <v>50</v>
      </c>
      <c r="AO79" t="s">
        <v>897</v>
      </c>
      <c r="AP79" s="129" t="s">
        <v>245</v>
      </c>
      <c r="AQ79" t="s">
        <v>901</v>
      </c>
      <c r="AR79" t="s">
        <v>898</v>
      </c>
      <c r="AS79" t="s">
        <v>978</v>
      </c>
    </row>
    <row r="80" spans="35:45" ht="15" customHeight="1" x14ac:dyDescent="0.25">
      <c r="AI80" t="s">
        <v>3</v>
      </c>
      <c r="AJ80" t="s">
        <v>886</v>
      </c>
      <c r="AK80" s="12">
        <v>45751</v>
      </c>
      <c r="AM80" t="s">
        <v>900</v>
      </c>
      <c r="AN80" s="5">
        <v>47.9</v>
      </c>
      <c r="AO80" t="s">
        <v>897</v>
      </c>
      <c r="AP80" s="129" t="s">
        <v>245</v>
      </c>
      <c r="AQ80" t="s">
        <v>901</v>
      </c>
      <c r="AR80" t="s">
        <v>898</v>
      </c>
      <c r="AS80" t="s">
        <v>979</v>
      </c>
    </row>
    <row r="81" spans="35:45" ht="15" customHeight="1" x14ac:dyDescent="0.25">
      <c r="AI81" t="s">
        <v>3</v>
      </c>
      <c r="AJ81" t="s">
        <v>886</v>
      </c>
      <c r="AK81" s="12">
        <v>45781.42</v>
      </c>
      <c r="AM81" t="s">
        <v>900</v>
      </c>
      <c r="AN81" s="5">
        <v>53.51</v>
      </c>
      <c r="AO81" t="s">
        <v>897</v>
      </c>
      <c r="AP81" s="129" t="s">
        <v>245</v>
      </c>
      <c r="AQ81" t="s">
        <v>901</v>
      </c>
      <c r="AR81" t="s">
        <v>898</v>
      </c>
      <c r="AS81" t="s">
        <v>980</v>
      </c>
    </row>
    <row r="82" spans="35:45" ht="15" customHeight="1" x14ac:dyDescent="0.25">
      <c r="AI82" t="s">
        <v>3</v>
      </c>
      <c r="AJ82" t="s">
        <v>886</v>
      </c>
      <c r="AK82" s="12">
        <v>45811.839999999997</v>
      </c>
      <c r="AM82" t="s">
        <v>900</v>
      </c>
      <c r="AN82" s="5">
        <v>61.43</v>
      </c>
      <c r="AO82" t="s">
        <v>897</v>
      </c>
      <c r="AP82" s="129" t="s">
        <v>245</v>
      </c>
      <c r="AQ82" t="s">
        <v>901</v>
      </c>
      <c r="AR82" t="s">
        <v>898</v>
      </c>
      <c r="AS82" t="s">
        <v>981</v>
      </c>
    </row>
    <row r="83" spans="35:45" ht="15" customHeight="1" x14ac:dyDescent="0.25">
      <c r="AI83" t="s">
        <v>3</v>
      </c>
      <c r="AJ83" t="s">
        <v>886</v>
      </c>
      <c r="AK83" s="12">
        <v>45842.259999999995</v>
      </c>
      <c r="AM83" t="s">
        <v>900</v>
      </c>
      <c r="AN83" s="5">
        <v>64.8</v>
      </c>
      <c r="AO83" t="s">
        <v>897</v>
      </c>
      <c r="AP83" s="129" t="s">
        <v>245</v>
      </c>
      <c r="AQ83" t="s">
        <v>901</v>
      </c>
      <c r="AR83" t="s">
        <v>898</v>
      </c>
      <c r="AS83" t="s">
        <v>982</v>
      </c>
    </row>
    <row r="84" spans="35:45" ht="15" customHeight="1" x14ac:dyDescent="0.25">
      <c r="AI84" t="s">
        <v>3</v>
      </c>
      <c r="AJ84" t="s">
        <v>886</v>
      </c>
      <c r="AK84" s="12">
        <v>45872.679999999993</v>
      </c>
      <c r="AM84" t="s">
        <v>900</v>
      </c>
      <c r="AN84" s="5">
        <v>0</v>
      </c>
      <c r="AO84" t="s">
        <v>897</v>
      </c>
      <c r="AP84" s="129" t="s">
        <v>245</v>
      </c>
      <c r="AQ84" t="s">
        <v>901</v>
      </c>
      <c r="AR84" t="s">
        <v>898</v>
      </c>
      <c r="AS84" t="s">
        <v>983</v>
      </c>
    </row>
    <row r="85" spans="35:45" ht="15" customHeight="1" x14ac:dyDescent="0.25">
      <c r="AI85" t="s">
        <v>3</v>
      </c>
      <c r="AJ85" t="s">
        <v>886</v>
      </c>
      <c r="AK85" s="12">
        <v>45903.099999999991</v>
      </c>
      <c r="AM85" t="s">
        <v>900</v>
      </c>
      <c r="AN85" s="5">
        <v>0</v>
      </c>
      <c r="AO85" t="s">
        <v>897</v>
      </c>
      <c r="AP85" s="129" t="s">
        <v>245</v>
      </c>
      <c r="AQ85" t="s">
        <v>901</v>
      </c>
      <c r="AR85" t="s">
        <v>898</v>
      </c>
      <c r="AS85" t="s">
        <v>984</v>
      </c>
    </row>
    <row r="86" spans="35:45" ht="15" customHeight="1" x14ac:dyDescent="0.25">
      <c r="AI86" t="s">
        <v>3</v>
      </c>
      <c r="AJ86" t="s">
        <v>886</v>
      </c>
      <c r="AK86" s="12">
        <v>45933.51999999999</v>
      </c>
      <c r="AM86" t="s">
        <v>900</v>
      </c>
      <c r="AN86" s="5">
        <v>0</v>
      </c>
      <c r="AO86" t="s">
        <v>897</v>
      </c>
      <c r="AP86" s="129" t="s">
        <v>245</v>
      </c>
      <c r="AQ86" t="s">
        <v>901</v>
      </c>
      <c r="AR86" t="s">
        <v>898</v>
      </c>
      <c r="AS86" t="s">
        <v>985</v>
      </c>
    </row>
    <row r="87" spans="35:45" ht="15" customHeight="1" x14ac:dyDescent="0.25">
      <c r="AI87" t="s">
        <v>3</v>
      </c>
      <c r="AJ87" t="s">
        <v>886</v>
      </c>
      <c r="AK87" s="12">
        <v>45963.939999999988</v>
      </c>
      <c r="AM87" t="s">
        <v>900</v>
      </c>
      <c r="AN87" s="5">
        <v>0</v>
      </c>
      <c r="AO87" t="s">
        <v>897</v>
      </c>
      <c r="AP87" s="129" t="s">
        <v>245</v>
      </c>
      <c r="AQ87" t="s">
        <v>901</v>
      </c>
      <c r="AR87" t="s">
        <v>898</v>
      </c>
      <c r="AS87" t="s">
        <v>986</v>
      </c>
    </row>
    <row r="88" spans="35:45" ht="15" customHeight="1" x14ac:dyDescent="0.25">
      <c r="AI88" t="s">
        <v>3</v>
      </c>
      <c r="AJ88" t="s">
        <v>886</v>
      </c>
      <c r="AK88" s="12">
        <v>45994.359999999986</v>
      </c>
      <c r="AM88" t="s">
        <v>900</v>
      </c>
      <c r="AN88" s="5">
        <v>0</v>
      </c>
      <c r="AO88" t="s">
        <v>897</v>
      </c>
      <c r="AP88" s="129" t="s">
        <v>245</v>
      </c>
      <c r="AQ88" t="s">
        <v>901</v>
      </c>
      <c r="AR88" t="s">
        <v>898</v>
      </c>
      <c r="AS88" t="s">
        <v>987</v>
      </c>
    </row>
    <row r="89" spans="35:45" ht="15" customHeight="1" x14ac:dyDescent="0.25">
      <c r="AI89" t="s">
        <v>3</v>
      </c>
      <c r="AJ89" t="s">
        <v>886</v>
      </c>
      <c r="AK89" s="12">
        <v>46024.779999999984</v>
      </c>
      <c r="AM89" t="s">
        <v>900</v>
      </c>
      <c r="AN89" s="5">
        <v>0</v>
      </c>
      <c r="AO89" t="s">
        <v>897</v>
      </c>
      <c r="AP89" s="129" t="s">
        <v>245</v>
      </c>
      <c r="AQ89" t="s">
        <v>901</v>
      </c>
      <c r="AR89" t="s">
        <v>898</v>
      </c>
      <c r="AS89" t="s">
        <v>988</v>
      </c>
    </row>
    <row r="90" spans="35:45" ht="15" customHeight="1" x14ac:dyDescent="0.25">
      <c r="AI90" t="s">
        <v>3</v>
      </c>
      <c r="AJ90" t="s">
        <v>886</v>
      </c>
      <c r="AK90" s="12">
        <v>46055.199999999983</v>
      </c>
      <c r="AM90" t="s">
        <v>900</v>
      </c>
      <c r="AN90" s="5">
        <v>0</v>
      </c>
      <c r="AO90" t="s">
        <v>897</v>
      </c>
      <c r="AP90" s="129" t="s">
        <v>245</v>
      </c>
      <c r="AQ90" t="s">
        <v>901</v>
      </c>
      <c r="AR90" t="s">
        <v>898</v>
      </c>
      <c r="AS90" t="s">
        <v>989</v>
      </c>
    </row>
    <row r="91" spans="35:45" ht="15" customHeight="1" x14ac:dyDescent="0.25">
      <c r="AI91" t="s">
        <v>3</v>
      </c>
      <c r="AJ91" t="s">
        <v>886</v>
      </c>
      <c r="AK91" s="12">
        <v>46085.619999999981</v>
      </c>
      <c r="AM91" t="s">
        <v>900</v>
      </c>
      <c r="AN91" s="5">
        <v>0</v>
      </c>
      <c r="AO91" t="s">
        <v>897</v>
      </c>
      <c r="AP91" s="129" t="s">
        <v>245</v>
      </c>
      <c r="AQ91" t="s">
        <v>901</v>
      </c>
      <c r="AR91" t="s">
        <v>898</v>
      </c>
      <c r="AS91" t="s">
        <v>990</v>
      </c>
    </row>
    <row r="92" spans="35:45" ht="15" customHeight="1" x14ac:dyDescent="0.25">
      <c r="AI92" t="s">
        <v>3</v>
      </c>
      <c r="AJ92" t="s">
        <v>886</v>
      </c>
      <c r="AK92" s="12">
        <v>46116.039999999979</v>
      </c>
      <c r="AM92" t="s">
        <v>900</v>
      </c>
      <c r="AN92" s="5">
        <v>0</v>
      </c>
      <c r="AO92" t="s">
        <v>897</v>
      </c>
      <c r="AP92" s="129" t="s">
        <v>245</v>
      </c>
      <c r="AQ92" t="s">
        <v>901</v>
      </c>
      <c r="AR92" t="s">
        <v>898</v>
      </c>
      <c r="AS92" t="s">
        <v>991</v>
      </c>
    </row>
    <row r="93" spans="35:45" x14ac:dyDescent="0.25">
      <c r="AI93" t="s">
        <v>3</v>
      </c>
      <c r="AJ93" t="s">
        <v>886</v>
      </c>
      <c r="AK93" s="12">
        <v>46146.459999999977</v>
      </c>
      <c r="AM93" t="s">
        <v>900</v>
      </c>
      <c r="AN93" s="5">
        <v>0</v>
      </c>
      <c r="AO93" t="s">
        <v>897</v>
      </c>
      <c r="AP93" s="129" t="s">
        <v>245</v>
      </c>
      <c r="AQ93" t="s">
        <v>901</v>
      </c>
      <c r="AR93" t="s">
        <v>898</v>
      </c>
      <c r="AS93" t="s">
        <v>992</v>
      </c>
    </row>
    <row r="94" spans="35:45" x14ac:dyDescent="0.25">
      <c r="AI94" t="s">
        <v>3</v>
      </c>
      <c r="AJ94" t="s">
        <v>886</v>
      </c>
      <c r="AK94" s="12">
        <v>46176.879999999976</v>
      </c>
      <c r="AM94" t="s">
        <v>900</v>
      </c>
      <c r="AN94" s="5">
        <v>0</v>
      </c>
      <c r="AO94" t="s">
        <v>897</v>
      </c>
      <c r="AP94" s="129" t="s">
        <v>245</v>
      </c>
      <c r="AQ94" t="s">
        <v>901</v>
      </c>
      <c r="AR94" t="s">
        <v>898</v>
      </c>
      <c r="AS94" t="s">
        <v>993</v>
      </c>
    </row>
    <row r="95" spans="35:45" x14ac:dyDescent="0.25">
      <c r="AI95" t="s">
        <v>3</v>
      </c>
      <c r="AJ95" t="s">
        <v>886</v>
      </c>
      <c r="AK95" s="12">
        <v>46207.299999999974</v>
      </c>
      <c r="AM95" t="s">
        <v>900</v>
      </c>
      <c r="AN95" s="5">
        <v>0</v>
      </c>
      <c r="AO95" t="s">
        <v>897</v>
      </c>
      <c r="AP95" s="129" t="s">
        <v>245</v>
      </c>
      <c r="AQ95" t="s">
        <v>901</v>
      </c>
      <c r="AR95" t="s">
        <v>898</v>
      </c>
      <c r="AS95" t="s">
        <v>994</v>
      </c>
    </row>
    <row r="96" spans="35:45" x14ac:dyDescent="0.25">
      <c r="AI96" t="s">
        <v>3</v>
      </c>
      <c r="AJ96" t="s">
        <v>886</v>
      </c>
      <c r="AK96" s="12">
        <v>46237.719999999972</v>
      </c>
      <c r="AM96" t="s">
        <v>900</v>
      </c>
      <c r="AN96" s="5">
        <v>0</v>
      </c>
      <c r="AO96" t="s">
        <v>897</v>
      </c>
      <c r="AP96" s="129" t="s">
        <v>245</v>
      </c>
      <c r="AQ96" t="s">
        <v>901</v>
      </c>
      <c r="AR96" t="s">
        <v>898</v>
      </c>
      <c r="AS96" t="s">
        <v>995</v>
      </c>
    </row>
    <row r="97" spans="35:45" x14ac:dyDescent="0.25">
      <c r="AI97" t="s">
        <v>3</v>
      </c>
      <c r="AJ97" t="s">
        <v>886</v>
      </c>
      <c r="AK97" s="12">
        <v>46268.13999999997</v>
      </c>
      <c r="AM97" t="s">
        <v>900</v>
      </c>
      <c r="AN97" s="5">
        <v>0</v>
      </c>
      <c r="AO97" t="s">
        <v>897</v>
      </c>
      <c r="AP97" s="129" t="s">
        <v>245</v>
      </c>
      <c r="AQ97" t="s">
        <v>901</v>
      </c>
      <c r="AR97" t="s">
        <v>898</v>
      </c>
      <c r="AS97" t="s">
        <v>996</v>
      </c>
    </row>
    <row r="98" spans="35:45" x14ac:dyDescent="0.25">
      <c r="AI98" t="s">
        <v>3</v>
      </c>
      <c r="AJ98" t="s">
        <v>886</v>
      </c>
      <c r="AK98" s="12">
        <v>46298.559999999969</v>
      </c>
      <c r="AM98" t="s">
        <v>900</v>
      </c>
      <c r="AN98" s="5">
        <v>0</v>
      </c>
      <c r="AO98" t="s">
        <v>897</v>
      </c>
      <c r="AP98" s="129" t="s">
        <v>245</v>
      </c>
      <c r="AQ98" t="s">
        <v>901</v>
      </c>
      <c r="AR98" t="s">
        <v>898</v>
      </c>
      <c r="AS98" t="s">
        <v>997</v>
      </c>
    </row>
    <row r="99" spans="35:45" x14ac:dyDescent="0.25">
      <c r="AI99" t="s">
        <v>3</v>
      </c>
      <c r="AJ99" t="s">
        <v>585</v>
      </c>
      <c r="AK99" s="12">
        <v>45751</v>
      </c>
      <c r="AM99" t="s">
        <v>900</v>
      </c>
      <c r="AN99" s="5"/>
      <c r="AO99" t="s">
        <v>897</v>
      </c>
      <c r="AP99" s="129" t="s">
        <v>245</v>
      </c>
      <c r="AQ99" t="s">
        <v>901</v>
      </c>
      <c r="AR99" t="s">
        <v>898</v>
      </c>
      <c r="AS99" t="s">
        <v>998</v>
      </c>
    </row>
    <row r="100" spans="35:45" x14ac:dyDescent="0.25">
      <c r="AI100" t="s">
        <v>3</v>
      </c>
      <c r="AJ100" t="s">
        <v>585</v>
      </c>
      <c r="AK100" s="12">
        <v>45781.42</v>
      </c>
      <c r="AM100" t="s">
        <v>900</v>
      </c>
      <c r="AN100" s="5" t="s">
        <v>148</v>
      </c>
      <c r="AO100" t="s">
        <v>897</v>
      </c>
      <c r="AP100" s="129" t="s">
        <v>245</v>
      </c>
      <c r="AQ100" t="s">
        <v>901</v>
      </c>
      <c r="AR100" t="s">
        <v>898</v>
      </c>
      <c r="AS100" t="s">
        <v>999</v>
      </c>
    </row>
    <row r="101" spans="35:45" x14ac:dyDescent="0.25">
      <c r="AI101" t="s">
        <v>3</v>
      </c>
      <c r="AJ101" t="s">
        <v>585</v>
      </c>
      <c r="AK101" s="12">
        <v>45811.839999999997</v>
      </c>
      <c r="AM101" t="s">
        <v>900</v>
      </c>
      <c r="AN101" s="5" t="s">
        <v>148</v>
      </c>
      <c r="AO101" t="s">
        <v>897</v>
      </c>
      <c r="AP101" s="129" t="s">
        <v>245</v>
      </c>
      <c r="AQ101" t="s">
        <v>901</v>
      </c>
      <c r="AR101" t="s">
        <v>898</v>
      </c>
      <c r="AS101" t="s">
        <v>1000</v>
      </c>
    </row>
    <row r="102" spans="35:45" x14ac:dyDescent="0.25">
      <c r="AI102" t="s">
        <v>3</v>
      </c>
      <c r="AJ102" t="s">
        <v>585</v>
      </c>
      <c r="AK102" s="12">
        <v>45842.259999999995</v>
      </c>
      <c r="AM102" t="s">
        <v>900</v>
      </c>
      <c r="AN102" s="5" t="s">
        <v>148</v>
      </c>
      <c r="AO102" t="s">
        <v>897</v>
      </c>
      <c r="AP102" s="129" t="s">
        <v>245</v>
      </c>
      <c r="AQ102" t="s">
        <v>901</v>
      </c>
      <c r="AR102" t="s">
        <v>898</v>
      </c>
      <c r="AS102" t="s">
        <v>1001</v>
      </c>
    </row>
    <row r="103" spans="35:45" x14ac:dyDescent="0.25">
      <c r="AI103" t="s">
        <v>3</v>
      </c>
      <c r="AJ103" t="s">
        <v>585</v>
      </c>
      <c r="AK103" s="12">
        <v>45872.679999999993</v>
      </c>
      <c r="AM103" t="s">
        <v>900</v>
      </c>
      <c r="AN103" s="5" t="s">
        <v>148</v>
      </c>
      <c r="AO103" t="s">
        <v>897</v>
      </c>
      <c r="AP103" s="129" t="s">
        <v>245</v>
      </c>
      <c r="AQ103" t="s">
        <v>901</v>
      </c>
      <c r="AR103" t="s">
        <v>898</v>
      </c>
      <c r="AS103" t="s">
        <v>1002</v>
      </c>
    </row>
    <row r="104" spans="35:45" x14ac:dyDescent="0.25">
      <c r="AI104" t="s">
        <v>3</v>
      </c>
      <c r="AJ104" t="s">
        <v>585</v>
      </c>
      <c r="AK104" s="12">
        <v>45903.099999999991</v>
      </c>
      <c r="AM104" t="s">
        <v>900</v>
      </c>
      <c r="AN104" s="5" t="s">
        <v>148</v>
      </c>
      <c r="AO104" t="s">
        <v>897</v>
      </c>
      <c r="AP104" s="129" t="s">
        <v>245</v>
      </c>
      <c r="AQ104" t="s">
        <v>901</v>
      </c>
      <c r="AR104" t="s">
        <v>898</v>
      </c>
      <c r="AS104" t="s">
        <v>1003</v>
      </c>
    </row>
    <row r="105" spans="35:45" x14ac:dyDescent="0.25">
      <c r="AI105" t="s">
        <v>3</v>
      </c>
      <c r="AJ105" t="s">
        <v>585</v>
      </c>
      <c r="AK105" s="12">
        <v>45933.51999999999</v>
      </c>
      <c r="AM105" t="s">
        <v>900</v>
      </c>
      <c r="AN105" s="5">
        <v>0</v>
      </c>
      <c r="AO105" t="s">
        <v>897</v>
      </c>
      <c r="AP105" s="129" t="s">
        <v>245</v>
      </c>
      <c r="AQ105" t="s">
        <v>901</v>
      </c>
      <c r="AR105" t="s">
        <v>898</v>
      </c>
      <c r="AS105" t="s">
        <v>1004</v>
      </c>
    </row>
    <row r="106" spans="35:45" x14ac:dyDescent="0.25">
      <c r="AI106" t="s">
        <v>3</v>
      </c>
      <c r="AJ106" t="s">
        <v>585</v>
      </c>
      <c r="AK106" s="12">
        <v>45963.939999999988</v>
      </c>
      <c r="AM106" t="s">
        <v>900</v>
      </c>
      <c r="AN106" s="5">
        <v>0</v>
      </c>
      <c r="AO106" t="s">
        <v>897</v>
      </c>
      <c r="AP106" s="129" t="s">
        <v>245</v>
      </c>
      <c r="AQ106" t="s">
        <v>901</v>
      </c>
      <c r="AR106" t="s">
        <v>898</v>
      </c>
      <c r="AS106" t="s">
        <v>1005</v>
      </c>
    </row>
    <row r="107" spans="35:45" x14ac:dyDescent="0.25">
      <c r="AI107" t="s">
        <v>3</v>
      </c>
      <c r="AJ107" t="s">
        <v>585</v>
      </c>
      <c r="AK107" s="12">
        <v>45994.359999999986</v>
      </c>
      <c r="AM107" t="s">
        <v>900</v>
      </c>
      <c r="AN107" s="5">
        <v>0</v>
      </c>
      <c r="AO107" t="s">
        <v>897</v>
      </c>
      <c r="AP107" s="129" t="s">
        <v>245</v>
      </c>
      <c r="AQ107" t="s">
        <v>901</v>
      </c>
      <c r="AR107" t="s">
        <v>898</v>
      </c>
      <c r="AS107" t="s">
        <v>1006</v>
      </c>
    </row>
    <row r="108" spans="35:45" x14ac:dyDescent="0.25">
      <c r="AI108" t="s">
        <v>3</v>
      </c>
      <c r="AJ108" t="s">
        <v>585</v>
      </c>
      <c r="AK108" s="12">
        <v>46024.779999999984</v>
      </c>
      <c r="AM108" t="s">
        <v>900</v>
      </c>
      <c r="AN108" s="5">
        <v>0</v>
      </c>
      <c r="AO108" t="s">
        <v>897</v>
      </c>
      <c r="AP108" s="129" t="s">
        <v>245</v>
      </c>
      <c r="AQ108" t="s">
        <v>901</v>
      </c>
      <c r="AR108" t="s">
        <v>898</v>
      </c>
      <c r="AS108" t="s">
        <v>1007</v>
      </c>
    </row>
    <row r="109" spans="35:45" x14ac:dyDescent="0.25">
      <c r="AI109" t="s">
        <v>3</v>
      </c>
      <c r="AJ109" t="s">
        <v>585</v>
      </c>
      <c r="AK109" s="12">
        <v>46055.199999999983</v>
      </c>
      <c r="AM109" t="s">
        <v>900</v>
      </c>
      <c r="AN109" s="5">
        <v>0</v>
      </c>
      <c r="AO109" t="s">
        <v>897</v>
      </c>
      <c r="AP109" s="129" t="s">
        <v>245</v>
      </c>
      <c r="AQ109" t="s">
        <v>901</v>
      </c>
      <c r="AR109" t="s">
        <v>898</v>
      </c>
      <c r="AS109" t="s">
        <v>1008</v>
      </c>
    </row>
    <row r="110" spans="35:45" x14ac:dyDescent="0.25">
      <c r="AI110" t="s">
        <v>3</v>
      </c>
      <c r="AJ110" t="s">
        <v>585</v>
      </c>
      <c r="AK110" s="12">
        <v>46085.619999999981</v>
      </c>
      <c r="AM110" t="s">
        <v>900</v>
      </c>
      <c r="AN110" s="5">
        <v>0</v>
      </c>
      <c r="AO110" t="s">
        <v>897</v>
      </c>
      <c r="AP110" s="129" t="s">
        <v>245</v>
      </c>
      <c r="AQ110" t="s">
        <v>901</v>
      </c>
      <c r="AR110" t="s">
        <v>898</v>
      </c>
      <c r="AS110" t="s">
        <v>1009</v>
      </c>
    </row>
    <row r="111" spans="35:45" x14ac:dyDescent="0.25">
      <c r="AI111" t="s">
        <v>3</v>
      </c>
      <c r="AJ111" t="s">
        <v>585</v>
      </c>
      <c r="AK111" s="12">
        <v>46116.039999999979</v>
      </c>
      <c r="AM111" t="s">
        <v>900</v>
      </c>
      <c r="AN111" s="5">
        <v>0</v>
      </c>
      <c r="AO111" t="s">
        <v>897</v>
      </c>
      <c r="AP111" s="129" t="s">
        <v>245</v>
      </c>
      <c r="AQ111" t="s">
        <v>901</v>
      </c>
      <c r="AR111" t="s">
        <v>898</v>
      </c>
      <c r="AS111" t="s">
        <v>1010</v>
      </c>
    </row>
    <row r="112" spans="35:45" x14ac:dyDescent="0.25">
      <c r="AI112" t="s">
        <v>3</v>
      </c>
      <c r="AJ112" t="s">
        <v>585</v>
      </c>
      <c r="AK112" s="12">
        <v>46146.459999999977</v>
      </c>
      <c r="AM112" t="s">
        <v>900</v>
      </c>
      <c r="AN112" s="5">
        <v>0</v>
      </c>
      <c r="AO112" t="s">
        <v>897</v>
      </c>
      <c r="AP112" s="129" t="s">
        <v>245</v>
      </c>
      <c r="AQ112" t="s">
        <v>901</v>
      </c>
      <c r="AR112" t="s">
        <v>898</v>
      </c>
      <c r="AS112" t="s">
        <v>1011</v>
      </c>
    </row>
    <row r="113" spans="35:45" x14ac:dyDescent="0.25">
      <c r="AI113" t="s">
        <v>3</v>
      </c>
      <c r="AJ113" t="s">
        <v>585</v>
      </c>
      <c r="AK113" s="12">
        <v>46176.879999999976</v>
      </c>
      <c r="AM113" t="s">
        <v>900</v>
      </c>
      <c r="AN113" s="5">
        <v>0</v>
      </c>
      <c r="AO113" t="s">
        <v>897</v>
      </c>
      <c r="AP113" s="129" t="s">
        <v>245</v>
      </c>
      <c r="AQ113" t="s">
        <v>901</v>
      </c>
      <c r="AR113" t="s">
        <v>898</v>
      </c>
      <c r="AS113" t="s">
        <v>1012</v>
      </c>
    </row>
    <row r="114" spans="35:45" x14ac:dyDescent="0.25">
      <c r="AI114" t="s">
        <v>3</v>
      </c>
      <c r="AJ114" t="s">
        <v>585</v>
      </c>
      <c r="AK114" s="12">
        <v>46207.299999999974</v>
      </c>
      <c r="AM114" t="s">
        <v>900</v>
      </c>
      <c r="AN114" s="5">
        <v>0</v>
      </c>
      <c r="AO114" t="s">
        <v>897</v>
      </c>
      <c r="AP114" s="129" t="s">
        <v>245</v>
      </c>
      <c r="AQ114" t="s">
        <v>901</v>
      </c>
      <c r="AR114" t="s">
        <v>898</v>
      </c>
      <c r="AS114" t="s">
        <v>1013</v>
      </c>
    </row>
    <row r="115" spans="35:45" x14ac:dyDescent="0.25">
      <c r="AI115" t="s">
        <v>3</v>
      </c>
      <c r="AJ115" t="s">
        <v>585</v>
      </c>
      <c r="AK115" s="12">
        <v>46237.719999999972</v>
      </c>
      <c r="AM115" t="s">
        <v>900</v>
      </c>
      <c r="AN115" s="5">
        <v>0</v>
      </c>
      <c r="AO115" t="s">
        <v>897</v>
      </c>
      <c r="AP115" s="129" t="s">
        <v>245</v>
      </c>
      <c r="AQ115" t="s">
        <v>901</v>
      </c>
      <c r="AR115" t="s">
        <v>898</v>
      </c>
      <c r="AS115" t="s">
        <v>1014</v>
      </c>
    </row>
    <row r="116" spans="35:45" x14ac:dyDescent="0.25">
      <c r="AI116" t="s">
        <v>3</v>
      </c>
      <c r="AJ116" t="s">
        <v>585</v>
      </c>
      <c r="AK116" s="12">
        <v>46268.13999999997</v>
      </c>
      <c r="AM116" t="s">
        <v>900</v>
      </c>
      <c r="AN116" s="5">
        <v>0</v>
      </c>
      <c r="AO116" t="s">
        <v>897</v>
      </c>
      <c r="AP116" s="129" t="s">
        <v>245</v>
      </c>
      <c r="AQ116" t="s">
        <v>901</v>
      </c>
      <c r="AR116" t="s">
        <v>898</v>
      </c>
      <c r="AS116" t="s">
        <v>1015</v>
      </c>
    </row>
    <row r="117" spans="35:45" x14ac:dyDescent="0.25">
      <c r="AI117" t="s">
        <v>3</v>
      </c>
      <c r="AJ117" t="s">
        <v>585</v>
      </c>
      <c r="AK117" s="12">
        <v>46298.559999999969</v>
      </c>
      <c r="AM117" t="s">
        <v>900</v>
      </c>
      <c r="AN117" s="5">
        <v>0</v>
      </c>
      <c r="AO117" t="s">
        <v>897</v>
      </c>
      <c r="AP117" s="129" t="s">
        <v>245</v>
      </c>
      <c r="AQ117" t="s">
        <v>901</v>
      </c>
      <c r="AR117" t="s">
        <v>898</v>
      </c>
      <c r="AS117" t="s">
        <v>1016</v>
      </c>
    </row>
    <row r="118" spans="35:45" x14ac:dyDescent="0.25">
      <c r="AI118" t="s">
        <v>3</v>
      </c>
      <c r="AJ118" t="s">
        <v>634</v>
      </c>
      <c r="AK118" s="12">
        <v>45170</v>
      </c>
      <c r="AM118" t="s">
        <v>900</v>
      </c>
      <c r="AN118" s="5">
        <v>893</v>
      </c>
      <c r="AO118" t="s">
        <v>897</v>
      </c>
      <c r="AP118" s="129" t="s">
        <v>245</v>
      </c>
      <c r="AQ118" t="s">
        <v>901</v>
      </c>
      <c r="AR118" t="s">
        <v>898</v>
      </c>
      <c r="AS118" t="s">
        <v>1017</v>
      </c>
    </row>
    <row r="119" spans="35:45" x14ac:dyDescent="0.25">
      <c r="AI119" t="s">
        <v>3</v>
      </c>
      <c r="AJ119" t="s">
        <v>634</v>
      </c>
      <c r="AK119" s="12">
        <v>45536</v>
      </c>
      <c r="AM119" t="s">
        <v>900</v>
      </c>
      <c r="AN119" s="5">
        <v>2453</v>
      </c>
      <c r="AO119" t="s">
        <v>897</v>
      </c>
      <c r="AP119" s="129" t="s">
        <v>245</v>
      </c>
      <c r="AQ119" t="s">
        <v>901</v>
      </c>
      <c r="AR119" t="s">
        <v>898</v>
      </c>
      <c r="AS119" t="s">
        <v>1018</v>
      </c>
    </row>
    <row r="120" spans="35:45" x14ac:dyDescent="0.25">
      <c r="AI120" t="s">
        <v>3</v>
      </c>
      <c r="AJ120" t="s">
        <v>634</v>
      </c>
      <c r="AK120" s="12">
        <v>45901</v>
      </c>
      <c r="AM120" t="s">
        <v>900</v>
      </c>
      <c r="AN120" s="5">
        <v>2557.71</v>
      </c>
      <c r="AO120" t="s">
        <v>897</v>
      </c>
      <c r="AP120" s="129" t="s">
        <v>245</v>
      </c>
      <c r="AQ120" t="s">
        <v>901</v>
      </c>
      <c r="AR120" t="s">
        <v>898</v>
      </c>
      <c r="AS120" t="s">
        <v>1019</v>
      </c>
    </row>
    <row r="121" spans="35:45" x14ac:dyDescent="0.25">
      <c r="AI121" t="s">
        <v>3</v>
      </c>
      <c r="AJ121" t="s">
        <v>634</v>
      </c>
      <c r="AK121" s="12">
        <v>46266</v>
      </c>
      <c r="AM121" t="s">
        <v>900</v>
      </c>
      <c r="AN121" s="5">
        <v>0</v>
      </c>
      <c r="AO121" t="s">
        <v>897</v>
      </c>
      <c r="AP121" s="129" t="s">
        <v>245</v>
      </c>
      <c r="AQ121" t="s">
        <v>901</v>
      </c>
      <c r="AR121" t="s">
        <v>898</v>
      </c>
      <c r="AS121" t="s">
        <v>1020</v>
      </c>
    </row>
    <row r="122" spans="35:45" x14ac:dyDescent="0.25">
      <c r="AI122" t="s">
        <v>3</v>
      </c>
      <c r="AJ122" t="s">
        <v>634</v>
      </c>
      <c r="AK122" s="12">
        <v>46631</v>
      </c>
      <c r="AM122" t="s">
        <v>900</v>
      </c>
      <c r="AN122" s="5">
        <v>0</v>
      </c>
      <c r="AO122" t="s">
        <v>897</v>
      </c>
      <c r="AP122" s="129" t="s">
        <v>245</v>
      </c>
      <c r="AQ122" t="s">
        <v>901</v>
      </c>
      <c r="AR122" t="s">
        <v>898</v>
      </c>
      <c r="AS122" t="s">
        <v>1021</v>
      </c>
    </row>
    <row r="123" spans="35:45" x14ac:dyDescent="0.25">
      <c r="AI123" t="s">
        <v>3</v>
      </c>
      <c r="AJ123" t="s">
        <v>634</v>
      </c>
      <c r="AK123" s="12">
        <v>46996</v>
      </c>
      <c r="AM123" t="s">
        <v>900</v>
      </c>
      <c r="AN123" s="5">
        <v>0</v>
      </c>
      <c r="AO123" t="s">
        <v>897</v>
      </c>
      <c r="AP123" s="129" t="s">
        <v>245</v>
      </c>
      <c r="AQ123" t="s">
        <v>901</v>
      </c>
      <c r="AR123" t="s">
        <v>898</v>
      </c>
      <c r="AS123" t="s">
        <v>1022</v>
      </c>
    </row>
    <row r="124" spans="35:45" x14ac:dyDescent="0.25">
      <c r="AI124" t="s">
        <v>3</v>
      </c>
      <c r="AJ124" t="s">
        <v>634</v>
      </c>
      <c r="AK124" s="12">
        <v>47361</v>
      </c>
      <c r="AM124" t="s">
        <v>900</v>
      </c>
      <c r="AN124" s="5">
        <v>0</v>
      </c>
      <c r="AO124" t="s">
        <v>897</v>
      </c>
      <c r="AP124" s="129" t="s">
        <v>245</v>
      </c>
      <c r="AQ124" t="s">
        <v>901</v>
      </c>
      <c r="AR124" t="s">
        <v>898</v>
      </c>
      <c r="AS124" t="s">
        <v>1023</v>
      </c>
    </row>
    <row r="125" spans="35:45" x14ac:dyDescent="0.25">
      <c r="AI125" t="s">
        <v>3</v>
      </c>
      <c r="AJ125" t="s">
        <v>634</v>
      </c>
      <c r="AK125" s="12">
        <v>47726</v>
      </c>
      <c r="AM125" t="s">
        <v>900</v>
      </c>
      <c r="AN125" s="5">
        <v>0</v>
      </c>
      <c r="AO125" t="s">
        <v>897</v>
      </c>
      <c r="AP125" s="129" t="s">
        <v>245</v>
      </c>
      <c r="AQ125" t="s">
        <v>901</v>
      </c>
      <c r="AR125" t="s">
        <v>898</v>
      </c>
      <c r="AS125" t="s">
        <v>1024</v>
      </c>
    </row>
    <row r="126" spans="35:45" x14ac:dyDescent="0.25">
      <c r="AI126" t="s">
        <v>3</v>
      </c>
      <c r="AJ126" t="s">
        <v>634</v>
      </c>
      <c r="AK126" s="12">
        <v>48091</v>
      </c>
      <c r="AM126" t="s">
        <v>900</v>
      </c>
      <c r="AN126" s="5">
        <v>0</v>
      </c>
      <c r="AO126" t="s">
        <v>897</v>
      </c>
      <c r="AP126" s="129" t="s">
        <v>245</v>
      </c>
      <c r="AQ126" t="s">
        <v>901</v>
      </c>
      <c r="AR126" t="s">
        <v>898</v>
      </c>
      <c r="AS126" t="s">
        <v>1025</v>
      </c>
    </row>
    <row r="127" spans="35:45" x14ac:dyDescent="0.25">
      <c r="AI127" t="s">
        <v>3</v>
      </c>
      <c r="AJ127" t="s">
        <v>634</v>
      </c>
      <c r="AK127" s="12">
        <v>48456</v>
      </c>
      <c r="AM127" t="s">
        <v>900</v>
      </c>
      <c r="AN127" s="5">
        <v>0</v>
      </c>
      <c r="AO127" t="s">
        <v>897</v>
      </c>
      <c r="AP127" s="129" t="s">
        <v>245</v>
      </c>
      <c r="AQ127" t="s">
        <v>901</v>
      </c>
      <c r="AR127" t="s">
        <v>898</v>
      </c>
      <c r="AS127" t="s">
        <v>1026</v>
      </c>
    </row>
    <row r="128" spans="35:45" x14ac:dyDescent="0.25">
      <c r="AI128" t="s">
        <v>3</v>
      </c>
      <c r="AJ128" t="s">
        <v>634</v>
      </c>
      <c r="AK128" s="12">
        <v>48821</v>
      </c>
      <c r="AM128" t="s">
        <v>900</v>
      </c>
      <c r="AN128" s="5">
        <v>0</v>
      </c>
      <c r="AO128" t="s">
        <v>897</v>
      </c>
      <c r="AP128" s="129" t="s">
        <v>245</v>
      </c>
      <c r="AQ128" t="s">
        <v>901</v>
      </c>
      <c r="AR128" t="s">
        <v>898</v>
      </c>
      <c r="AS128" t="s">
        <v>1027</v>
      </c>
    </row>
    <row r="129" spans="35:45" x14ac:dyDescent="0.25">
      <c r="AI129" t="s">
        <v>3</v>
      </c>
      <c r="AJ129" t="s">
        <v>634</v>
      </c>
      <c r="AK129" s="12">
        <v>49186</v>
      </c>
      <c r="AM129" t="s">
        <v>900</v>
      </c>
      <c r="AN129" s="5">
        <v>0</v>
      </c>
      <c r="AO129" t="s">
        <v>897</v>
      </c>
      <c r="AP129" s="129" t="s">
        <v>245</v>
      </c>
      <c r="AQ129" t="s">
        <v>901</v>
      </c>
      <c r="AR129" t="s">
        <v>898</v>
      </c>
      <c r="AS129" t="s">
        <v>1028</v>
      </c>
    </row>
    <row r="130" spans="35:45" x14ac:dyDescent="0.25">
      <c r="AI130" t="s">
        <v>3</v>
      </c>
      <c r="AJ130" t="s">
        <v>634</v>
      </c>
      <c r="AK130" s="12">
        <v>49551</v>
      </c>
      <c r="AM130" t="s">
        <v>900</v>
      </c>
      <c r="AN130" s="5">
        <v>0</v>
      </c>
      <c r="AO130" t="s">
        <v>897</v>
      </c>
      <c r="AP130" s="129" t="s">
        <v>245</v>
      </c>
      <c r="AQ130" t="s">
        <v>901</v>
      </c>
      <c r="AR130" t="s">
        <v>898</v>
      </c>
      <c r="AS130" t="s">
        <v>1029</v>
      </c>
    </row>
    <row r="131" spans="35:45" x14ac:dyDescent="0.25">
      <c r="AI131" t="s">
        <v>3</v>
      </c>
      <c r="AJ131" t="s">
        <v>634</v>
      </c>
      <c r="AK131" s="12">
        <v>49916</v>
      </c>
      <c r="AM131" t="s">
        <v>900</v>
      </c>
      <c r="AN131" s="5">
        <v>0</v>
      </c>
      <c r="AO131" t="s">
        <v>897</v>
      </c>
      <c r="AP131" s="129" t="s">
        <v>245</v>
      </c>
      <c r="AQ131" t="s">
        <v>901</v>
      </c>
      <c r="AR131" t="s">
        <v>898</v>
      </c>
      <c r="AS131" t="s">
        <v>1030</v>
      </c>
    </row>
    <row r="132" spans="35:45" x14ac:dyDescent="0.25">
      <c r="AI132" t="s">
        <v>3</v>
      </c>
      <c r="AJ132" t="s">
        <v>634</v>
      </c>
      <c r="AK132" s="12">
        <v>50281</v>
      </c>
      <c r="AM132" t="s">
        <v>900</v>
      </c>
      <c r="AN132" s="5">
        <v>0</v>
      </c>
      <c r="AO132" t="s">
        <v>897</v>
      </c>
      <c r="AP132" s="129" t="s">
        <v>245</v>
      </c>
      <c r="AQ132" t="s">
        <v>901</v>
      </c>
      <c r="AR132" t="s">
        <v>898</v>
      </c>
      <c r="AS132" t="s">
        <v>1031</v>
      </c>
    </row>
    <row r="133" spans="35:45" x14ac:dyDescent="0.25">
      <c r="AI133" t="s">
        <v>3</v>
      </c>
      <c r="AJ133" t="s">
        <v>634</v>
      </c>
      <c r="AK133" s="12">
        <v>50646</v>
      </c>
      <c r="AM133" t="s">
        <v>900</v>
      </c>
      <c r="AN133" s="5">
        <v>0</v>
      </c>
      <c r="AO133" t="s">
        <v>897</v>
      </c>
      <c r="AP133" s="129" t="s">
        <v>245</v>
      </c>
      <c r="AQ133" t="s">
        <v>901</v>
      </c>
      <c r="AR133" t="s">
        <v>898</v>
      </c>
      <c r="AS133" t="s">
        <v>1032</v>
      </c>
    </row>
    <row r="134" spans="35:45" x14ac:dyDescent="0.25">
      <c r="AI134" t="s">
        <v>3</v>
      </c>
      <c r="AJ134" t="s">
        <v>634</v>
      </c>
      <c r="AK134" s="12">
        <v>51011</v>
      </c>
      <c r="AM134" t="s">
        <v>900</v>
      </c>
      <c r="AN134" s="5">
        <v>0</v>
      </c>
      <c r="AO134" t="s">
        <v>897</v>
      </c>
      <c r="AP134" s="129" t="s">
        <v>245</v>
      </c>
      <c r="AQ134" t="s">
        <v>901</v>
      </c>
      <c r="AR134" t="s">
        <v>898</v>
      </c>
      <c r="AS134" t="s">
        <v>1033</v>
      </c>
    </row>
    <row r="135" spans="35:45" x14ac:dyDescent="0.25">
      <c r="AI135" t="s">
        <v>3</v>
      </c>
      <c r="AJ135" t="s">
        <v>634</v>
      </c>
      <c r="AK135" s="12">
        <v>51376</v>
      </c>
      <c r="AM135" t="s">
        <v>900</v>
      </c>
      <c r="AN135" s="5">
        <v>0</v>
      </c>
      <c r="AO135" t="s">
        <v>897</v>
      </c>
      <c r="AP135" s="129" t="s">
        <v>245</v>
      </c>
      <c r="AQ135" t="s">
        <v>901</v>
      </c>
      <c r="AR135" t="s">
        <v>898</v>
      </c>
      <c r="AS135" t="s">
        <v>1034</v>
      </c>
    </row>
    <row r="136" spans="35:45" x14ac:dyDescent="0.25">
      <c r="AI136" t="s">
        <v>3</v>
      </c>
      <c r="AJ136" t="s">
        <v>634</v>
      </c>
      <c r="AK136" s="12">
        <v>51741</v>
      </c>
      <c r="AM136" t="s">
        <v>900</v>
      </c>
      <c r="AN136" s="5">
        <v>0</v>
      </c>
      <c r="AO136" t="s">
        <v>897</v>
      </c>
      <c r="AP136" s="129" t="s">
        <v>245</v>
      </c>
      <c r="AQ136" t="s">
        <v>901</v>
      </c>
      <c r="AR136" t="s">
        <v>898</v>
      </c>
      <c r="AS136" t="s">
        <v>1035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7" t="e">
        <f>"Preassigned Rows Indicating Payment or Scheduling by " &amp;Profit!#REF!&amp;" Your Home"</f>
        <v>#REF!</v>
      </c>
      <c r="C2" s="838"/>
      <c r="E2" s="54"/>
    </row>
    <row r="3" spans="1:13" ht="15.75" hidden="1" thickBot="1" x14ac:dyDescent="0.3">
      <c r="B3" s="839"/>
      <c r="C3" s="840"/>
      <c r="E3" s="54"/>
    </row>
    <row r="4" spans="1:13" hidden="1" x14ac:dyDescent="0.25">
      <c r="B4" s="845" t="s">
        <v>173</v>
      </c>
      <c r="C4" s="846"/>
      <c r="E4" s="54"/>
    </row>
    <row r="5" spans="1:13" ht="15.75" hidden="1" thickBot="1" x14ac:dyDescent="0.3">
      <c r="B5" s="847"/>
      <c r="C5" s="848"/>
      <c r="E5" s="54"/>
    </row>
    <row r="6" spans="1:13" hidden="1" x14ac:dyDescent="0.25">
      <c r="B6" s="841" t="s">
        <v>174</v>
      </c>
      <c r="C6" s="842"/>
      <c r="E6" s="54"/>
    </row>
    <row r="7" spans="1:13" ht="15.75" hidden="1" thickBot="1" x14ac:dyDescent="0.3">
      <c r="B7" s="843"/>
      <c r="C7" s="844"/>
    </row>
    <row r="8" spans="1:13" hidden="1" x14ac:dyDescent="0.25">
      <c r="B8" s="849" t="s">
        <v>175</v>
      </c>
      <c r="C8" s="850"/>
    </row>
    <row r="9" spans="1:13" ht="15.75" hidden="1" thickBot="1" x14ac:dyDescent="0.3">
      <c r="B9" s="851"/>
      <c r="C9" s="85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77" t="s">
        <v>753</v>
      </c>
      <c r="D21" s="479">
        <v>1</v>
      </c>
      <c r="E21" s="252">
        <v>155</v>
      </c>
    </row>
    <row r="22" spans="1:13" x14ac:dyDescent="0.25">
      <c r="A22" s="235"/>
      <c r="B22" s="235"/>
      <c r="C22" s="235" t="s">
        <v>752</v>
      </c>
      <c r="D22" s="479">
        <v>1</v>
      </c>
      <c r="E22" s="237">
        <v>45</v>
      </c>
    </row>
    <row r="23" spans="1:13" x14ac:dyDescent="0.25">
      <c r="A23" s="235"/>
      <c r="B23" s="231"/>
      <c r="C23" s="231" t="s">
        <v>766</v>
      </c>
      <c r="D23" s="251">
        <v>1</v>
      </c>
      <c r="E23" s="252">
        <v>25</v>
      </c>
    </row>
    <row r="24" spans="1:13" x14ac:dyDescent="0.25">
      <c r="A24" s="231"/>
      <c r="B24" s="231"/>
      <c r="C24" s="231" t="s">
        <v>754</v>
      </c>
      <c r="D24" s="479">
        <v>1</v>
      </c>
      <c r="E24" s="252">
        <v>85</v>
      </c>
    </row>
    <row r="25" spans="1:13" x14ac:dyDescent="0.25">
      <c r="A25" s="231"/>
      <c r="B25" s="231"/>
      <c r="C25" s="231" t="s">
        <v>755</v>
      </c>
      <c r="D25" s="479">
        <v>1</v>
      </c>
      <c r="E25" s="252">
        <v>25</v>
      </c>
    </row>
    <row r="26" spans="1:13" x14ac:dyDescent="0.25">
      <c r="A26" s="231"/>
      <c r="B26" s="231"/>
      <c r="C26" s="231" t="s">
        <v>756</v>
      </c>
      <c r="D26" s="251">
        <v>2</v>
      </c>
      <c r="E26" s="252">
        <v>35</v>
      </c>
    </row>
    <row r="27" spans="1:13" x14ac:dyDescent="0.25">
      <c r="A27" s="231"/>
      <c r="B27" s="231"/>
      <c r="C27" s="231" t="s">
        <v>757</v>
      </c>
      <c r="D27" s="479">
        <v>1</v>
      </c>
      <c r="E27" s="252">
        <v>350</v>
      </c>
    </row>
    <row r="28" spans="1:13" x14ac:dyDescent="0.25">
      <c r="A28" s="231"/>
      <c r="B28" s="231"/>
      <c r="C28" s="231" t="s">
        <v>758</v>
      </c>
      <c r="D28" s="479">
        <v>1</v>
      </c>
      <c r="E28" s="252">
        <v>1200</v>
      </c>
    </row>
    <row r="29" spans="1:13" x14ac:dyDescent="0.25">
      <c r="A29" s="231"/>
      <c r="B29" s="231"/>
      <c r="C29" s="231" t="s">
        <v>759</v>
      </c>
      <c r="D29" s="479">
        <v>1</v>
      </c>
      <c r="E29" s="252">
        <v>110</v>
      </c>
    </row>
    <row r="30" spans="1:13" x14ac:dyDescent="0.25">
      <c r="A30" s="231"/>
      <c r="B30" s="231"/>
      <c r="C30" s="231" t="s">
        <v>760</v>
      </c>
      <c r="D30" s="479">
        <v>1</v>
      </c>
      <c r="E30" s="252">
        <v>215</v>
      </c>
    </row>
    <row r="31" spans="1:13" x14ac:dyDescent="0.25">
      <c r="A31" s="231"/>
      <c r="B31" s="231"/>
      <c r="C31" s="231" t="s">
        <v>761</v>
      </c>
      <c r="D31" s="479">
        <v>1</v>
      </c>
      <c r="E31" s="252">
        <v>1300.0999999999999</v>
      </c>
    </row>
    <row r="32" spans="1:13" x14ac:dyDescent="0.25">
      <c r="A32" s="231"/>
      <c r="B32" s="231"/>
      <c r="C32" s="231" t="s">
        <v>762</v>
      </c>
      <c r="D32" s="479">
        <v>1</v>
      </c>
      <c r="E32" s="252">
        <v>95</v>
      </c>
    </row>
    <row r="33" spans="1:7" x14ac:dyDescent="0.25">
      <c r="A33" s="231"/>
      <c r="B33" s="231"/>
      <c r="C33" s="231" t="s">
        <v>763</v>
      </c>
      <c r="D33" s="479">
        <v>1</v>
      </c>
      <c r="E33" s="252">
        <v>65</v>
      </c>
    </row>
    <row r="34" spans="1:7" x14ac:dyDescent="0.25">
      <c r="A34" s="231"/>
      <c r="B34" s="231"/>
      <c r="C34" s="235" t="s">
        <v>764</v>
      </c>
      <c r="D34" s="479">
        <v>1</v>
      </c>
      <c r="E34" s="252">
        <v>95</v>
      </c>
    </row>
    <row r="35" spans="1:7" x14ac:dyDescent="0.25">
      <c r="A35" s="478"/>
      <c r="B35" s="478"/>
      <c r="C35" s="478" t="s">
        <v>765</v>
      </c>
      <c r="D35" s="479">
        <v>0</v>
      </c>
      <c r="E35" s="481">
        <v>95</v>
      </c>
    </row>
    <row r="36" spans="1:7" x14ac:dyDescent="0.25">
      <c r="A36" s="478"/>
      <c r="B36" s="478"/>
      <c r="C36" s="478" t="s">
        <v>756</v>
      </c>
      <c r="D36" s="479">
        <v>1</v>
      </c>
      <c r="E36" s="481">
        <v>35</v>
      </c>
    </row>
    <row r="37" spans="1:7" x14ac:dyDescent="0.25">
      <c r="A37" s="478"/>
      <c r="B37" s="478"/>
      <c r="C37" s="478" t="s">
        <v>767</v>
      </c>
      <c r="D37" s="479">
        <v>1</v>
      </c>
      <c r="E37" s="481">
        <v>0</v>
      </c>
    </row>
    <row r="38" spans="1:7" x14ac:dyDescent="0.25">
      <c r="A38" s="478"/>
      <c r="B38" s="478"/>
      <c r="C38" s="478" t="s">
        <v>769</v>
      </c>
      <c r="D38" s="479">
        <v>1</v>
      </c>
      <c r="E38" s="481">
        <v>45</v>
      </c>
    </row>
    <row r="39" spans="1:7" x14ac:dyDescent="0.25">
      <c r="A39" s="478"/>
      <c r="B39" s="478"/>
      <c r="C39" s="478" t="s">
        <v>770</v>
      </c>
      <c r="D39" s="479">
        <v>1</v>
      </c>
      <c r="E39" s="481">
        <v>95</v>
      </c>
    </row>
    <row r="40" spans="1:7" x14ac:dyDescent="0.25">
      <c r="A40" s="478"/>
      <c r="B40" s="478"/>
      <c r="C40" s="478" t="s">
        <v>771</v>
      </c>
      <c r="D40" s="479">
        <v>1</v>
      </c>
      <c r="E40" s="481">
        <v>95</v>
      </c>
    </row>
    <row r="41" spans="1:7" x14ac:dyDescent="0.25">
      <c r="A41" s="478"/>
      <c r="B41" s="478"/>
      <c r="C41" s="478" t="s">
        <v>775</v>
      </c>
      <c r="D41" s="479">
        <v>8</v>
      </c>
      <c r="E41" s="481">
        <v>25</v>
      </c>
    </row>
    <row r="42" spans="1:7" x14ac:dyDescent="0.25">
      <c r="A42" s="478"/>
      <c r="B42" s="478"/>
      <c r="C42" s="478" t="s">
        <v>772</v>
      </c>
      <c r="D42" s="479">
        <v>8</v>
      </c>
      <c r="E42" s="481">
        <v>10</v>
      </c>
    </row>
    <row r="43" spans="1:7" x14ac:dyDescent="0.25">
      <c r="A43" s="478"/>
      <c r="B43" s="478"/>
      <c r="C43" s="478" t="s">
        <v>773</v>
      </c>
      <c r="D43" s="479">
        <v>3</v>
      </c>
      <c r="E43" s="481">
        <v>10</v>
      </c>
    </row>
    <row r="44" spans="1:7" x14ac:dyDescent="0.25">
      <c r="A44" s="478"/>
      <c r="B44" s="478"/>
      <c r="C44" s="478" t="s">
        <v>774</v>
      </c>
      <c r="D44" s="479">
        <v>2</v>
      </c>
      <c r="E44" s="481">
        <v>35</v>
      </c>
    </row>
    <row r="45" spans="1:7" x14ac:dyDescent="0.25">
      <c r="A45" s="478"/>
      <c r="B45" s="478"/>
      <c r="C45" s="478" t="s">
        <v>768</v>
      </c>
      <c r="D45" s="479">
        <v>1</v>
      </c>
      <c r="E45" s="481">
        <v>95</v>
      </c>
    </row>
    <row r="46" spans="1:7" x14ac:dyDescent="0.25">
      <c r="A46" s="478"/>
      <c r="B46" s="478"/>
      <c r="C46" s="478" t="s">
        <v>776</v>
      </c>
      <c r="D46" s="479">
        <v>1</v>
      </c>
      <c r="E46" s="481">
        <v>50</v>
      </c>
    </row>
    <row r="47" spans="1:7" s="48" customFormat="1" x14ac:dyDescent="0.25">
      <c r="A47" s="478"/>
      <c r="B47" s="478"/>
      <c r="C47" s="478" t="s">
        <v>832</v>
      </c>
      <c r="D47" s="480">
        <v>1</v>
      </c>
      <c r="E47" s="482">
        <v>48</v>
      </c>
      <c r="G47" s="49"/>
    </row>
    <row r="48" spans="1:7" x14ac:dyDescent="0.25">
      <c r="A48" s="478"/>
      <c r="B48" s="478"/>
      <c r="C48" s="478" t="s">
        <v>833</v>
      </c>
      <c r="D48" s="479">
        <v>1</v>
      </c>
      <c r="E48" s="481">
        <v>80</v>
      </c>
    </row>
    <row r="49" spans="1:5" x14ac:dyDescent="0.25">
      <c r="A49" s="478"/>
      <c r="B49" s="478"/>
      <c r="C49" s="231" t="s">
        <v>854</v>
      </c>
      <c r="D49" s="479">
        <v>1</v>
      </c>
      <c r="E49" s="481">
        <v>139.47</v>
      </c>
    </row>
    <row r="50" spans="1:5" x14ac:dyDescent="0.25">
      <c r="A50" s="478"/>
      <c r="B50" s="478"/>
      <c r="C50" s="478"/>
      <c r="D50" s="479"/>
      <c r="E50" s="481"/>
    </row>
    <row r="51" spans="1:5" x14ac:dyDescent="0.25">
      <c r="A51" s="478"/>
      <c r="B51" s="478"/>
      <c r="C51" s="477"/>
      <c r="D51" s="479"/>
      <c r="E51" s="481"/>
    </row>
    <row r="52" spans="1:5" x14ac:dyDescent="0.25">
      <c r="A52" s="478"/>
      <c r="B52" s="478"/>
      <c r="C52" s="478"/>
      <c r="D52" s="479"/>
      <c r="E52" s="481"/>
    </row>
    <row r="53" spans="1:5" x14ac:dyDescent="0.25">
      <c r="A53" s="478"/>
      <c r="B53" s="478"/>
      <c r="C53" s="478"/>
      <c r="D53" s="479"/>
      <c r="E53" s="481"/>
    </row>
    <row r="54" spans="1:5" x14ac:dyDescent="0.25">
      <c r="A54" s="478"/>
      <c r="B54" s="478"/>
      <c r="C54" s="478"/>
      <c r="D54" s="479"/>
      <c r="E54" s="481"/>
    </row>
    <row r="55" spans="1:5" x14ac:dyDescent="0.25">
      <c r="A55" s="478"/>
      <c r="B55" s="478"/>
      <c r="C55" s="478"/>
      <c r="D55" s="479"/>
      <c r="E55" s="481"/>
    </row>
    <row r="56" spans="1:5" x14ac:dyDescent="0.25">
      <c r="A56" s="307"/>
      <c r="B56" s="307"/>
      <c r="C56" s="307"/>
      <c r="D56" s="308"/>
      <c r="E56" s="309"/>
    </row>
    <row r="57" spans="1:5" x14ac:dyDescent="0.25">
      <c r="A57" s="307"/>
      <c r="B57" s="307"/>
      <c r="C57" s="307"/>
      <c r="D57" s="308"/>
      <c r="E57" s="309"/>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2" t="s">
        <v>197</v>
      </c>
      <c r="B1" s="863"/>
      <c r="C1" s="863"/>
      <c r="D1" s="863"/>
      <c r="E1" s="863"/>
      <c r="F1" s="863"/>
      <c r="G1" s="863"/>
      <c r="H1" s="864"/>
      <c r="I1" s="853" t="s">
        <v>198</v>
      </c>
      <c r="J1" s="854"/>
      <c r="K1" s="854"/>
      <c r="L1" s="854"/>
      <c r="M1" s="854"/>
      <c r="N1" s="855"/>
      <c r="P1" s="30" t="s">
        <v>199</v>
      </c>
      <c r="Q1" s="15">
        <v>1</v>
      </c>
      <c r="R1" s="59" t="s">
        <v>200</v>
      </c>
      <c r="S1" s="15">
        <v>4</v>
      </c>
    </row>
    <row r="2" spans="1:19" x14ac:dyDescent="0.25">
      <c r="A2" s="865"/>
      <c r="B2" s="624"/>
      <c r="C2" s="624"/>
      <c r="D2" s="624"/>
      <c r="E2" s="624"/>
      <c r="F2" s="624"/>
      <c r="G2" s="624"/>
      <c r="H2" s="866"/>
      <c r="I2" s="856"/>
      <c r="J2" s="857"/>
      <c r="K2" s="857"/>
      <c r="L2" s="857"/>
      <c r="M2" s="857"/>
      <c r="N2" s="858"/>
      <c r="P2" s="30" t="s">
        <v>201</v>
      </c>
      <c r="Q2" s="15">
        <v>2</v>
      </c>
      <c r="R2" s="30" t="s">
        <v>202</v>
      </c>
      <c r="S2" s="15">
        <v>0</v>
      </c>
    </row>
    <row r="3" spans="1:19" ht="15.75" thickBot="1" x14ac:dyDescent="0.3">
      <c r="A3" s="867"/>
      <c r="B3" s="868"/>
      <c r="C3" s="868"/>
      <c r="D3" s="868"/>
      <c r="E3" s="868"/>
      <c r="F3" s="868"/>
      <c r="G3" s="868"/>
      <c r="H3" s="869"/>
      <c r="I3" s="859"/>
      <c r="J3" s="860"/>
      <c r="K3" s="860"/>
      <c r="L3" s="860"/>
      <c r="M3" s="860"/>
      <c r="N3" s="86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753</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752</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766</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754</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755</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756</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757</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758</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759</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760</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761</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762</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763</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764</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765</v>
      </c>
      <c r="F28" s="72">
        <v>0</v>
      </c>
      <c r="G28" s="285">
        <v>95</v>
      </c>
      <c r="H28" s="285">
        <v>0</v>
      </c>
      <c r="I28" s="233"/>
      <c r="J28" s="68"/>
      <c r="K28" s="250"/>
      <c r="L28" s="68"/>
      <c r="M28" s="249"/>
      <c r="N28" s="69"/>
    </row>
    <row r="29" spans="1:14" x14ac:dyDescent="0.25">
      <c r="A29" s="72" t="str">
        <f>+IF(FromProposal[[#This Row],[Cost Code]]&lt;&gt;0,+'Gnatt Chart'!$A$2,"")</f>
        <v/>
      </c>
      <c r="B29" s="70">
        <v>25</v>
      </c>
      <c r="E29" s="72" t="s">
        <v>756</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767</v>
      </c>
      <c r="F30" s="72">
        <v>1</v>
      </c>
      <c r="G30" s="285">
        <v>0</v>
      </c>
      <c r="H30" s="285">
        <v>0</v>
      </c>
      <c r="I30" s="233"/>
      <c r="J30" s="68"/>
      <c r="K30" s="250"/>
      <c r="L30" s="68"/>
      <c r="M30" s="249"/>
      <c r="N30" s="69"/>
    </row>
    <row r="31" spans="1:14" x14ac:dyDescent="0.25">
      <c r="A31" s="72" t="str">
        <f>+IF(FromProposal[[#This Row],[Cost Code]]&lt;&gt;0,+'Gnatt Chart'!$A$2,"")</f>
        <v/>
      </c>
      <c r="B31" s="70">
        <v>27</v>
      </c>
      <c r="E31" s="72" t="s">
        <v>769</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770</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771</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775</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772</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773</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774</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768</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776</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832</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833</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854</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74" t="s">
        <v>215</v>
      </c>
      <c r="K1" s="874"/>
      <c r="L1" s="154"/>
      <c r="M1" s="870" t="s">
        <v>216</v>
      </c>
      <c r="N1" s="871"/>
      <c r="O1" s="263" t="s">
        <v>217</v>
      </c>
    </row>
    <row r="2" spans="1:125" ht="30" customHeight="1" thickBot="1" x14ac:dyDescent="0.35">
      <c r="A2" s="900" t="s">
        <v>488</v>
      </c>
      <c r="B2" s="901"/>
      <c r="C2" s="898" t="e">
        <f>Profit!#REF!&amp; " Your Home"</f>
        <v>#REF!</v>
      </c>
      <c r="D2" s="899"/>
      <c r="E2" s="163" t="s">
        <v>218</v>
      </c>
      <c r="F2" s="896">
        <f>+MIN(ProposalToGnatt[Start Date])</f>
        <v>45363</v>
      </c>
      <c r="G2" s="897"/>
      <c r="H2" s="877" t="s">
        <v>219</v>
      </c>
      <c r="I2" s="878"/>
      <c r="J2" s="886">
        <f>+SUM(H8:H20)</f>
        <v>20549.104910999999</v>
      </c>
      <c r="K2" s="756"/>
      <c r="L2" s="155"/>
      <c r="M2" s="886">
        <f>+SUM(N8:N20)-SUM(M8:M20)</f>
        <v>0</v>
      </c>
      <c r="N2" s="764"/>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7"/>
      <c r="B3" s="888"/>
      <c r="C3" s="888"/>
      <c r="D3" s="888"/>
      <c r="E3" s="164"/>
      <c r="G3" s="34"/>
      <c r="H3" s="879" t="s">
        <v>220</v>
      </c>
      <c r="I3" s="880"/>
      <c r="J3" s="885">
        <f>SUM(H22:H25)</f>
        <v>0</v>
      </c>
      <c r="K3" s="892"/>
      <c r="L3" s="156"/>
      <c r="M3" s="885">
        <f>+J3-SUM(M22:M25)</f>
        <v>0</v>
      </c>
      <c r="N3" s="764"/>
      <c r="O3" s="265">
        <f>+SUM(H22:H25)-SUM(M22:M25)</f>
        <v>0</v>
      </c>
      <c r="AP3" s="15"/>
      <c r="AQ3" s="15"/>
      <c r="AR3" s="15"/>
    </row>
    <row r="4" spans="1:125" ht="30" customHeight="1" x14ac:dyDescent="0.3">
      <c r="A4" s="887" t="str">
        <f>+Profit!B2</f>
        <v>4121 Tensity Dr</v>
      </c>
      <c r="B4" s="888" t="str">
        <f>+Profit!B2</f>
        <v>4121 Tensity Dr</v>
      </c>
      <c r="C4" s="888"/>
      <c r="D4" s="888"/>
      <c r="E4" s="875" t="s">
        <v>221</v>
      </c>
      <c r="F4" s="876"/>
      <c r="G4" s="76">
        <v>1</v>
      </c>
      <c r="H4" s="881" t="str">
        <f>+A2 &amp; "Total:"</f>
        <v>Tim Flemming Total:</v>
      </c>
      <c r="I4" s="882"/>
      <c r="J4" s="883">
        <f>SUM(ProposalToGnatt[Price])</f>
        <v>4897.5700000000006</v>
      </c>
      <c r="K4" s="893"/>
      <c r="L4" s="157"/>
      <c r="M4" s="883" cm="1">
        <f t="array" ref="M4">+SUM(ProposalToGnatt[Due]-ProposalToGnatt[Paid])</f>
        <v>1.9895196601282805E-13</v>
      </c>
      <c r="N4" s="764"/>
      <c r="O4" s="266">
        <f>+SUM(ProposalToGnatt[Price])-SUM(ProposalToGnatt[Paid])</f>
        <v>0</v>
      </c>
      <c r="AP4" s="15"/>
      <c r="AQ4" s="15"/>
      <c r="AR4" s="15"/>
    </row>
    <row r="5" spans="1:125" ht="18" customHeight="1" thickBot="1" x14ac:dyDescent="0.3">
      <c r="A5" s="158"/>
      <c r="B5" s="159" t="s">
        <v>222</v>
      </c>
      <c r="C5" s="160"/>
      <c r="D5" s="161"/>
      <c r="E5" s="890" t="s">
        <v>223</v>
      </c>
      <c r="F5" s="891"/>
      <c r="G5" s="162">
        <v>2</v>
      </c>
      <c r="H5" s="889" t="s">
        <v>224</v>
      </c>
      <c r="I5" s="889"/>
      <c r="J5" s="894">
        <f>+SUM(J2:K4)</f>
        <v>25446.674910999998</v>
      </c>
      <c r="K5" s="895"/>
      <c r="L5" s="24"/>
      <c r="M5" s="884">
        <f>+SUM(M2:M4)</f>
        <v>1.9895196601282805E-13</v>
      </c>
      <c r="N5" s="767"/>
      <c r="O5" s="269">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72" t="s">
        <v>241</v>
      </c>
      <c r="AB22" s="873"/>
      <c r="AC22" s="873"/>
      <c r="AD22" s="873"/>
      <c r="AE22" s="873"/>
      <c r="AF22" s="873"/>
      <c r="AG22" s="873"/>
      <c r="AH22" s="87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73"/>
      <c r="AB23" s="873"/>
      <c r="AC23" s="873"/>
      <c r="AD23" s="873"/>
      <c r="AE23" s="873"/>
      <c r="AF23" s="873"/>
      <c r="AG23" s="873"/>
      <c r="AH23" s="87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753</v>
      </c>
      <c r="D12">
        <v>1</v>
      </c>
      <c r="E12" s="14">
        <v>155</v>
      </c>
      <c r="F12" s="14">
        <v>155</v>
      </c>
      <c r="G12" t="s">
        <v>29</v>
      </c>
      <c r="H12" s="288">
        <v>155</v>
      </c>
    </row>
    <row r="13" spans="1:8" x14ac:dyDescent="0.25">
      <c r="A13" t="s">
        <v>245</v>
      </c>
      <c r="B13">
        <v>11</v>
      </c>
      <c r="C13" t="s">
        <v>752</v>
      </c>
      <c r="D13">
        <v>1</v>
      </c>
      <c r="E13" s="14">
        <v>45</v>
      </c>
      <c r="F13" s="14">
        <v>45</v>
      </c>
      <c r="G13" t="s">
        <v>29</v>
      </c>
      <c r="H13" s="288">
        <v>45</v>
      </c>
    </row>
    <row r="14" spans="1:8" x14ac:dyDescent="0.25">
      <c r="A14" t="s">
        <v>245</v>
      </c>
      <c r="B14">
        <v>12</v>
      </c>
      <c r="C14" t="s">
        <v>766</v>
      </c>
      <c r="D14">
        <v>1</v>
      </c>
      <c r="E14" s="14">
        <v>25</v>
      </c>
      <c r="F14" s="14">
        <v>25</v>
      </c>
      <c r="G14" t="s">
        <v>29</v>
      </c>
      <c r="H14" s="288">
        <v>25</v>
      </c>
    </row>
    <row r="15" spans="1:8" x14ac:dyDescent="0.25">
      <c r="A15" t="s">
        <v>245</v>
      </c>
      <c r="B15">
        <v>13</v>
      </c>
      <c r="C15" t="s">
        <v>754</v>
      </c>
      <c r="D15">
        <v>1</v>
      </c>
      <c r="E15" s="14">
        <v>85</v>
      </c>
      <c r="F15" s="14">
        <v>85</v>
      </c>
      <c r="G15" t="s">
        <v>29</v>
      </c>
      <c r="H15" s="288">
        <v>85</v>
      </c>
    </row>
    <row r="16" spans="1:8" x14ac:dyDescent="0.25">
      <c r="A16" t="s">
        <v>245</v>
      </c>
      <c r="B16">
        <v>14</v>
      </c>
      <c r="C16" t="s">
        <v>755</v>
      </c>
      <c r="D16">
        <v>1</v>
      </c>
      <c r="E16" s="14">
        <v>25</v>
      </c>
      <c r="F16" s="14">
        <v>25</v>
      </c>
      <c r="G16" t="s">
        <v>29</v>
      </c>
      <c r="H16" s="288">
        <v>25</v>
      </c>
    </row>
    <row r="17" spans="1:8" x14ac:dyDescent="0.25">
      <c r="A17" t="s">
        <v>245</v>
      </c>
      <c r="B17">
        <v>15</v>
      </c>
      <c r="C17" t="s">
        <v>756</v>
      </c>
      <c r="D17">
        <v>2</v>
      </c>
      <c r="E17" s="14">
        <v>35</v>
      </c>
      <c r="F17" s="14">
        <v>70</v>
      </c>
      <c r="G17" t="s">
        <v>29</v>
      </c>
      <c r="H17" s="288">
        <v>70</v>
      </c>
    </row>
    <row r="18" spans="1:8" x14ac:dyDescent="0.25">
      <c r="A18" t="s">
        <v>245</v>
      </c>
      <c r="B18">
        <v>16</v>
      </c>
      <c r="C18" t="s">
        <v>757</v>
      </c>
      <c r="D18">
        <v>1</v>
      </c>
      <c r="E18" s="14">
        <v>350</v>
      </c>
      <c r="F18" s="14">
        <v>350</v>
      </c>
      <c r="G18" t="s">
        <v>29</v>
      </c>
      <c r="H18" s="288">
        <v>350</v>
      </c>
    </row>
    <row r="19" spans="1:8" x14ac:dyDescent="0.25">
      <c r="A19" t="s">
        <v>245</v>
      </c>
      <c r="B19">
        <v>17</v>
      </c>
      <c r="C19" t="s">
        <v>758</v>
      </c>
      <c r="D19">
        <v>1</v>
      </c>
      <c r="E19" s="14">
        <v>1200</v>
      </c>
      <c r="F19" s="14">
        <v>1200</v>
      </c>
      <c r="G19" t="s">
        <v>29</v>
      </c>
      <c r="H19" s="288">
        <v>1200</v>
      </c>
    </row>
    <row r="20" spans="1:8" x14ac:dyDescent="0.25">
      <c r="A20" t="s">
        <v>245</v>
      </c>
      <c r="B20">
        <v>18</v>
      </c>
      <c r="C20" t="s">
        <v>759</v>
      </c>
      <c r="D20">
        <v>1</v>
      </c>
      <c r="E20" s="14">
        <v>110</v>
      </c>
      <c r="F20" s="14">
        <v>110</v>
      </c>
      <c r="G20" t="s">
        <v>29</v>
      </c>
      <c r="H20" s="288">
        <v>110</v>
      </c>
    </row>
    <row r="21" spans="1:8" x14ac:dyDescent="0.25">
      <c r="A21" t="s">
        <v>245</v>
      </c>
      <c r="B21">
        <v>19</v>
      </c>
      <c r="C21" t="s">
        <v>760</v>
      </c>
      <c r="D21">
        <v>1</v>
      </c>
      <c r="E21" s="14">
        <v>215</v>
      </c>
      <c r="F21" s="14">
        <v>215</v>
      </c>
      <c r="G21" t="s">
        <v>29</v>
      </c>
      <c r="H21" s="288">
        <v>215</v>
      </c>
    </row>
    <row r="22" spans="1:8" x14ac:dyDescent="0.25">
      <c r="A22" t="s">
        <v>245</v>
      </c>
      <c r="B22">
        <v>20</v>
      </c>
      <c r="C22" t="s">
        <v>761</v>
      </c>
      <c r="D22">
        <v>1</v>
      </c>
      <c r="E22" s="14">
        <v>1300.0999999999999</v>
      </c>
      <c r="F22" s="14">
        <v>1300.0999999999999</v>
      </c>
      <c r="G22" t="s">
        <v>29</v>
      </c>
      <c r="H22" s="288">
        <v>1300.0999999999999</v>
      </c>
    </row>
    <row r="23" spans="1:8" x14ac:dyDescent="0.25">
      <c r="A23" t="s">
        <v>245</v>
      </c>
      <c r="B23">
        <v>21</v>
      </c>
      <c r="C23" t="s">
        <v>762</v>
      </c>
      <c r="D23">
        <v>1</v>
      </c>
      <c r="E23" s="14">
        <v>95</v>
      </c>
      <c r="F23" s="14">
        <v>95</v>
      </c>
      <c r="G23" t="s">
        <v>29</v>
      </c>
      <c r="H23" s="288">
        <v>95</v>
      </c>
    </row>
    <row r="24" spans="1:8" x14ac:dyDescent="0.25">
      <c r="A24" t="s">
        <v>245</v>
      </c>
      <c r="B24">
        <v>22</v>
      </c>
      <c r="C24" t="s">
        <v>763</v>
      </c>
      <c r="D24">
        <v>1</v>
      </c>
      <c r="E24" s="14">
        <v>65</v>
      </c>
      <c r="F24" s="14">
        <v>65</v>
      </c>
      <c r="G24" t="s">
        <v>29</v>
      </c>
      <c r="H24" s="288">
        <v>65</v>
      </c>
    </row>
    <row r="25" spans="1:8" x14ac:dyDescent="0.25">
      <c r="A25" t="s">
        <v>245</v>
      </c>
      <c r="B25">
        <v>23</v>
      </c>
      <c r="C25" t="s">
        <v>764</v>
      </c>
      <c r="D25">
        <v>1</v>
      </c>
      <c r="E25" s="14">
        <v>95</v>
      </c>
      <c r="F25" s="14">
        <v>95</v>
      </c>
      <c r="G25" t="s">
        <v>29</v>
      </c>
      <c r="H25" s="288">
        <v>95</v>
      </c>
    </row>
    <row r="26" spans="1:8" x14ac:dyDescent="0.25">
      <c r="A26" t="s">
        <v>245</v>
      </c>
      <c r="B26">
        <v>24</v>
      </c>
      <c r="C26" t="s">
        <v>765</v>
      </c>
      <c r="D26">
        <v>0</v>
      </c>
      <c r="E26" s="14">
        <v>95</v>
      </c>
      <c r="F26" s="14">
        <v>0</v>
      </c>
      <c r="H26" s="288"/>
    </row>
    <row r="27" spans="1:8" x14ac:dyDescent="0.25">
      <c r="A27" t="s">
        <v>245</v>
      </c>
      <c r="B27">
        <v>25</v>
      </c>
      <c r="C27" t="s">
        <v>756</v>
      </c>
      <c r="D27">
        <v>1</v>
      </c>
      <c r="E27" s="14">
        <v>35</v>
      </c>
      <c r="F27" s="14">
        <v>35</v>
      </c>
      <c r="G27" t="s">
        <v>29</v>
      </c>
      <c r="H27" s="288">
        <v>35</v>
      </c>
    </row>
    <row r="28" spans="1:8" x14ac:dyDescent="0.25">
      <c r="A28" t="s">
        <v>245</v>
      </c>
      <c r="B28">
        <v>26</v>
      </c>
      <c r="C28" t="s">
        <v>767</v>
      </c>
      <c r="D28">
        <v>1</v>
      </c>
      <c r="E28" s="14">
        <v>0</v>
      </c>
      <c r="F28" s="14">
        <v>0</v>
      </c>
      <c r="H28" s="288"/>
    </row>
    <row r="29" spans="1:8" x14ac:dyDescent="0.25">
      <c r="A29" t="s">
        <v>245</v>
      </c>
      <c r="B29">
        <v>27</v>
      </c>
      <c r="C29" t="s">
        <v>769</v>
      </c>
      <c r="D29">
        <v>1</v>
      </c>
      <c r="E29" s="14">
        <v>45</v>
      </c>
      <c r="F29" s="14">
        <v>45</v>
      </c>
      <c r="G29" t="s">
        <v>29</v>
      </c>
      <c r="H29" s="288">
        <v>45</v>
      </c>
    </row>
    <row r="30" spans="1:8" x14ac:dyDescent="0.25">
      <c r="A30" t="s">
        <v>245</v>
      </c>
      <c r="B30">
        <v>28</v>
      </c>
      <c r="C30" t="s">
        <v>770</v>
      </c>
      <c r="D30">
        <v>1</v>
      </c>
      <c r="E30" s="14">
        <v>95</v>
      </c>
      <c r="F30" s="14">
        <v>95</v>
      </c>
      <c r="G30" t="s">
        <v>29</v>
      </c>
      <c r="H30" s="288">
        <v>95</v>
      </c>
    </row>
    <row r="31" spans="1:8" x14ac:dyDescent="0.25">
      <c r="A31" t="s">
        <v>245</v>
      </c>
      <c r="B31">
        <v>29</v>
      </c>
      <c r="C31" t="s">
        <v>771</v>
      </c>
      <c r="D31">
        <v>1</v>
      </c>
      <c r="E31" s="14">
        <v>95</v>
      </c>
      <c r="F31" s="14">
        <v>95</v>
      </c>
      <c r="G31" t="s">
        <v>29</v>
      </c>
      <c r="H31" s="288">
        <v>95</v>
      </c>
    </row>
    <row r="32" spans="1:8" x14ac:dyDescent="0.25">
      <c r="A32" t="s">
        <v>245</v>
      </c>
      <c r="B32">
        <v>30</v>
      </c>
      <c r="C32" t="s">
        <v>775</v>
      </c>
      <c r="D32">
        <v>8</v>
      </c>
      <c r="E32" s="14">
        <v>25</v>
      </c>
      <c r="F32" s="14">
        <v>200</v>
      </c>
      <c r="G32" t="s">
        <v>29</v>
      </c>
      <c r="H32" s="288">
        <v>200</v>
      </c>
    </row>
    <row r="33" spans="1:8" x14ac:dyDescent="0.25">
      <c r="A33" t="s">
        <v>245</v>
      </c>
      <c r="B33">
        <v>31</v>
      </c>
      <c r="C33" t="s">
        <v>772</v>
      </c>
      <c r="D33">
        <v>8</v>
      </c>
      <c r="E33" s="14">
        <v>10</v>
      </c>
      <c r="F33" s="14">
        <v>80</v>
      </c>
      <c r="G33" t="s">
        <v>29</v>
      </c>
      <c r="H33" s="288">
        <v>80</v>
      </c>
    </row>
    <row r="34" spans="1:8" x14ac:dyDescent="0.25">
      <c r="A34" t="s">
        <v>245</v>
      </c>
      <c r="B34">
        <v>32</v>
      </c>
      <c r="C34" t="s">
        <v>773</v>
      </c>
      <c r="D34">
        <v>3</v>
      </c>
      <c r="E34" s="14">
        <v>10</v>
      </c>
      <c r="F34" s="14">
        <v>30</v>
      </c>
      <c r="G34" t="s">
        <v>29</v>
      </c>
      <c r="H34" s="288">
        <v>30</v>
      </c>
    </row>
    <row r="35" spans="1:8" x14ac:dyDescent="0.25">
      <c r="A35" t="s">
        <v>245</v>
      </c>
      <c r="B35">
        <v>33</v>
      </c>
      <c r="C35" t="s">
        <v>774</v>
      </c>
      <c r="D35">
        <v>2</v>
      </c>
      <c r="E35" s="14">
        <v>35</v>
      </c>
      <c r="F35" s="14">
        <v>70</v>
      </c>
      <c r="G35" t="s">
        <v>29</v>
      </c>
      <c r="H35" s="288">
        <v>70</v>
      </c>
    </row>
    <row r="36" spans="1:8" x14ac:dyDescent="0.25">
      <c r="A36" t="s">
        <v>245</v>
      </c>
      <c r="B36">
        <v>34</v>
      </c>
      <c r="C36" t="s">
        <v>768</v>
      </c>
      <c r="D36">
        <v>1</v>
      </c>
      <c r="E36" s="14">
        <v>95</v>
      </c>
      <c r="F36" s="14">
        <v>95</v>
      </c>
      <c r="G36" t="s">
        <v>29</v>
      </c>
      <c r="H36" s="288">
        <v>95</v>
      </c>
    </row>
    <row r="37" spans="1:8" x14ac:dyDescent="0.25">
      <c r="A37" t="s">
        <v>245</v>
      </c>
      <c r="B37">
        <v>35</v>
      </c>
      <c r="C37" t="s">
        <v>776</v>
      </c>
      <c r="D37">
        <v>1</v>
      </c>
      <c r="E37" s="14">
        <v>50</v>
      </c>
      <c r="F37" s="14">
        <v>50</v>
      </c>
      <c r="G37" t="s">
        <v>29</v>
      </c>
      <c r="H37" s="288">
        <v>50</v>
      </c>
    </row>
    <row r="38" spans="1:8" x14ac:dyDescent="0.25">
      <c r="A38" t="s">
        <v>245</v>
      </c>
      <c r="B38">
        <v>36</v>
      </c>
      <c r="C38" t="s">
        <v>832</v>
      </c>
      <c r="D38">
        <v>1</v>
      </c>
      <c r="E38" s="14">
        <v>48</v>
      </c>
      <c r="F38" s="14">
        <v>48</v>
      </c>
      <c r="G38" t="s">
        <v>29</v>
      </c>
      <c r="H38" s="288">
        <v>48</v>
      </c>
    </row>
    <row r="39" spans="1:8" x14ac:dyDescent="0.25">
      <c r="A39" t="s">
        <v>245</v>
      </c>
      <c r="B39">
        <v>37</v>
      </c>
      <c r="C39" t="s">
        <v>833</v>
      </c>
      <c r="D39">
        <v>1</v>
      </c>
      <c r="E39" s="14">
        <v>80</v>
      </c>
      <c r="F39" s="14">
        <v>80</v>
      </c>
      <c r="G39" t="s">
        <v>29</v>
      </c>
      <c r="H39" s="288">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3" t="s">
        <v>246</v>
      </c>
      <c r="B1" s="914"/>
      <c r="C1" s="756"/>
      <c r="D1" s="756"/>
      <c r="E1" s="756"/>
      <c r="F1" s="756"/>
      <c r="G1" s="624"/>
      <c r="I1" s="909" t="s">
        <v>247</v>
      </c>
      <c r="J1" s="910"/>
      <c r="K1" s="911"/>
      <c r="L1" s="912"/>
      <c r="M1"/>
      <c r="N1" s="902" t="s">
        <v>248</v>
      </c>
      <c r="O1" s="903"/>
      <c r="P1" s="903"/>
      <c r="Q1" s="903"/>
      <c r="R1" s="903"/>
      <c r="S1" s="904"/>
      <c r="W1"/>
    </row>
    <row r="2" spans="1:23" ht="15.75" thickBot="1" x14ac:dyDescent="0.3">
      <c r="A2" s="913" t="s">
        <v>249</v>
      </c>
      <c r="B2" s="914"/>
      <c r="C2" s="756"/>
      <c r="D2" s="756"/>
      <c r="E2" s="756"/>
      <c r="F2" s="756"/>
      <c r="G2" s="624"/>
      <c r="I2" s="908" t="s">
        <v>250</v>
      </c>
      <c r="J2" s="794"/>
      <c r="K2" s="795"/>
      <c r="L2" s="796"/>
      <c r="M2"/>
      <c r="N2" s="905" t="str">
        <f>"Recap Summary Table - " &amp; +Profit!B2</f>
        <v>Recap Summary Table - 4121 Tensity Dr</v>
      </c>
      <c r="O2" s="906"/>
      <c r="P2" s="906"/>
      <c r="Q2" s="906"/>
      <c r="R2" s="906"/>
      <c r="S2" s="907"/>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765</v>
      </c>
      <c r="F10" s="276">
        <v>0</v>
      </c>
      <c r="G10"/>
      <c r="H10"/>
      <c r="I10"/>
      <c r="K10" s="236"/>
      <c r="M10"/>
      <c r="W10"/>
    </row>
    <row r="11" spans="1:23" x14ac:dyDescent="0.25">
      <c r="A11">
        <v>26</v>
      </c>
      <c r="C11" t="s">
        <v>767</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7" t="s">
        <v>2</v>
      </c>
      <c r="J2" s="917" t="str">
        <f>IF(Profit!$U$6,IF(K2="No","No","Yes"),"No")</f>
        <v>No</v>
      </c>
      <c r="K2" s="919"/>
    </row>
    <row r="3" spans="1:11" s="3" customFormat="1" ht="15.75" thickBot="1" x14ac:dyDescent="0.3">
      <c r="A3" s="3" t="s">
        <v>305</v>
      </c>
      <c r="B3" s="3" t="s">
        <v>253</v>
      </c>
      <c r="C3" s="13" t="s">
        <v>306</v>
      </c>
      <c r="D3" s="3" t="s">
        <v>307</v>
      </c>
      <c r="E3" s="13" t="s">
        <v>308</v>
      </c>
      <c r="F3" s="3" t="s">
        <v>309</v>
      </c>
      <c r="I3" s="918"/>
      <c r="J3" s="918"/>
      <c r="K3" s="920"/>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5"/>
      <c r="D28" s="916"/>
      <c r="E28" s="916"/>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5" t="s">
        <v>612</v>
      </c>
      <c r="B2" s="396"/>
      <c r="C2" s="397"/>
      <c r="D2" s="396"/>
      <c r="E2" s="397"/>
      <c r="F2" s="397">
        <v>0</v>
      </c>
    </row>
    <row r="3" spans="1:10" x14ac:dyDescent="0.25">
      <c r="A3" s="395" t="s">
        <v>310</v>
      </c>
      <c r="B3" s="398"/>
      <c r="C3" s="397" t="s">
        <v>589</v>
      </c>
      <c r="D3" s="396">
        <v>0</v>
      </c>
      <c r="E3" s="397">
        <v>75</v>
      </c>
      <c r="F3" s="397">
        <f>IF($I$3="Yes",+D3*E3,0)</f>
        <v>0</v>
      </c>
      <c r="H3" s="917" t="s">
        <v>2</v>
      </c>
      <c r="I3" s="917" t="str">
        <f>IF(Profit!$U$6,IF(J3,"Yes","N0"),"no")</f>
        <v>no</v>
      </c>
      <c r="J3" s="921" t="b">
        <v>1</v>
      </c>
    </row>
    <row r="4" spans="1:10" ht="15.75" thickBot="1" x14ac:dyDescent="0.3">
      <c r="A4" s="395" t="s">
        <v>310</v>
      </c>
      <c r="B4" s="399"/>
      <c r="C4" s="397" t="s">
        <v>311</v>
      </c>
      <c r="D4" s="396">
        <v>0</v>
      </c>
      <c r="E4" s="397">
        <v>325</v>
      </c>
      <c r="F4" s="397">
        <f t="shared" ref="F4:F5" si="0">IF($I$3="Yes",+D4*E4,0)</f>
        <v>0</v>
      </c>
      <c r="H4" s="918"/>
      <c r="I4" s="918"/>
      <c r="J4" s="922"/>
    </row>
    <row r="5" spans="1:10" x14ac:dyDescent="0.25">
      <c r="A5" s="395" t="s">
        <v>310</v>
      </c>
      <c r="B5" s="396"/>
      <c r="C5" s="397" t="s">
        <v>312</v>
      </c>
      <c r="D5" s="396">
        <v>0</v>
      </c>
      <c r="E5" s="397">
        <v>104</v>
      </c>
      <c r="F5" s="397">
        <f t="shared" si="0"/>
        <v>0</v>
      </c>
      <c r="G5">
        <f>IF(I3="yes",+SUM(F2:F5),0)</f>
        <v>0</v>
      </c>
    </row>
    <row r="6" spans="1:10" s="22" customFormat="1" x14ac:dyDescent="0.25">
      <c r="A6" s="139" t="s">
        <v>310</v>
      </c>
      <c r="B6" s="427">
        <v>45579</v>
      </c>
      <c r="C6" s="428" t="s">
        <v>589</v>
      </c>
      <c r="D6" s="253">
        <v>0</v>
      </c>
      <c r="E6" s="428">
        <v>75</v>
      </c>
      <c r="F6" s="428">
        <f>IF($I$3="Yes",0,+D6*E6)</f>
        <v>0</v>
      </c>
      <c r="G6"/>
    </row>
    <row r="7" spans="1:10" x14ac:dyDescent="0.25">
      <c r="A7" s="139" t="s">
        <v>310</v>
      </c>
      <c r="B7" s="429">
        <v>45211</v>
      </c>
      <c r="C7" s="428" t="s">
        <v>311</v>
      </c>
      <c r="D7" s="253">
        <v>0</v>
      </c>
      <c r="E7" s="428">
        <v>325</v>
      </c>
      <c r="F7" s="428">
        <f t="shared" ref="F7:F19" si="1">IF($I$3="Yes",0,+D7*E7)</f>
        <v>0</v>
      </c>
    </row>
    <row r="8" spans="1:10" x14ac:dyDescent="0.25">
      <c r="A8" s="139" t="s">
        <v>310</v>
      </c>
      <c r="B8" s="253"/>
      <c r="C8" s="428" t="s">
        <v>312</v>
      </c>
      <c r="D8" s="253">
        <v>0</v>
      </c>
      <c r="E8" s="428">
        <v>104</v>
      </c>
      <c r="F8" s="428">
        <f t="shared" si="1"/>
        <v>0</v>
      </c>
    </row>
    <row r="9" spans="1:10" x14ac:dyDescent="0.25">
      <c r="A9" s="139" t="s">
        <v>310</v>
      </c>
      <c r="B9" s="253"/>
      <c r="C9" s="428" t="s">
        <v>313</v>
      </c>
      <c r="D9" s="253">
        <v>0</v>
      </c>
      <c r="E9" s="428">
        <f>+(12.13+31.46+41.63)/3</f>
        <v>28.406666666666666</v>
      </c>
      <c r="F9" s="428">
        <f t="shared" si="1"/>
        <v>0</v>
      </c>
    </row>
    <row r="10" spans="1:10" x14ac:dyDescent="0.25">
      <c r="A10" s="139" t="s">
        <v>310</v>
      </c>
      <c r="B10" s="253"/>
      <c r="C10" s="428" t="s">
        <v>314</v>
      </c>
      <c r="D10" s="253">
        <v>0</v>
      </c>
      <c r="E10" s="428">
        <v>6.35</v>
      </c>
      <c r="F10" s="428">
        <f t="shared" si="1"/>
        <v>0</v>
      </c>
    </row>
    <row r="11" spans="1:10" x14ac:dyDescent="0.25">
      <c r="A11" s="139" t="s">
        <v>310</v>
      </c>
      <c r="B11" s="253"/>
      <c r="C11" s="428" t="s">
        <v>315</v>
      </c>
      <c r="D11" s="253"/>
      <c r="E11" s="428">
        <v>2.5</v>
      </c>
      <c r="F11" s="428">
        <f t="shared" si="1"/>
        <v>0</v>
      </c>
    </row>
    <row r="12" spans="1:10" x14ac:dyDescent="0.25">
      <c r="A12" s="139" t="s">
        <v>310</v>
      </c>
      <c r="B12" s="253"/>
      <c r="C12" s="428" t="s">
        <v>316</v>
      </c>
      <c r="D12" s="253">
        <v>0</v>
      </c>
      <c r="E12" s="428">
        <f>(8.5+10+17.34)/3</f>
        <v>11.946666666666667</v>
      </c>
      <c r="F12" s="428">
        <f t="shared" si="1"/>
        <v>0</v>
      </c>
    </row>
    <row r="13" spans="1:10" x14ac:dyDescent="0.25">
      <c r="A13" s="139" t="s">
        <v>310</v>
      </c>
      <c r="B13" s="429"/>
      <c r="C13" s="428" t="s">
        <v>317</v>
      </c>
      <c r="D13" s="253">
        <v>0</v>
      </c>
      <c r="E13" s="428">
        <v>73.13</v>
      </c>
      <c r="F13" s="428">
        <f t="shared" si="1"/>
        <v>0</v>
      </c>
    </row>
    <row r="14" spans="1:10" x14ac:dyDescent="0.25">
      <c r="A14" s="139" t="s">
        <v>310</v>
      </c>
      <c r="B14" s="429"/>
      <c r="C14" s="428" t="s">
        <v>318</v>
      </c>
      <c r="D14" s="253">
        <v>0</v>
      </c>
      <c r="E14" s="428">
        <v>472</v>
      </c>
      <c r="F14" s="428">
        <f t="shared" si="1"/>
        <v>0</v>
      </c>
    </row>
    <row r="15" spans="1:10" x14ac:dyDescent="0.25">
      <c r="A15" s="139" t="s">
        <v>319</v>
      </c>
      <c r="B15" s="429">
        <v>45737</v>
      </c>
      <c r="C15" s="428"/>
      <c r="D15" s="253">
        <v>1</v>
      </c>
      <c r="E15" s="428">
        <v>1350</v>
      </c>
      <c r="F15" s="428">
        <f t="shared" si="1"/>
        <v>1350</v>
      </c>
    </row>
    <row r="16" spans="1:10" x14ac:dyDescent="0.25">
      <c r="A16" s="139" t="s">
        <v>777</v>
      </c>
      <c r="B16" s="429">
        <v>45757</v>
      </c>
      <c r="C16" s="139" t="s">
        <v>519</v>
      </c>
      <c r="D16" s="253">
        <v>1</v>
      </c>
      <c r="E16" s="428">
        <v>250</v>
      </c>
      <c r="F16" s="428">
        <f t="shared" si="1"/>
        <v>250</v>
      </c>
    </row>
    <row r="17" spans="1:10" x14ac:dyDescent="0.25">
      <c r="A17" s="139" t="s">
        <v>777</v>
      </c>
      <c r="B17" s="430">
        <v>45810</v>
      </c>
      <c r="C17" s="139" t="s">
        <v>852</v>
      </c>
      <c r="D17" s="253">
        <v>1</v>
      </c>
      <c r="E17" s="428">
        <v>350</v>
      </c>
      <c r="F17" s="428">
        <f t="shared" si="1"/>
        <v>350</v>
      </c>
    </row>
    <row r="18" spans="1:10" x14ac:dyDescent="0.25">
      <c r="A18" s="139" t="s">
        <v>319</v>
      </c>
      <c r="B18" s="429"/>
      <c r="C18" s="428" t="s">
        <v>550</v>
      </c>
      <c r="D18" s="253">
        <v>0</v>
      </c>
      <c r="E18" s="428">
        <v>100</v>
      </c>
      <c r="F18" s="428">
        <f t="shared" si="1"/>
        <v>0</v>
      </c>
      <c r="I18" s="3"/>
    </row>
    <row r="19" spans="1:10" x14ac:dyDescent="0.25">
      <c r="A19" s="139" t="s">
        <v>319</v>
      </c>
      <c r="B19" s="429"/>
      <c r="C19" s="428" t="s">
        <v>551</v>
      </c>
      <c r="D19" s="253">
        <v>0</v>
      </c>
      <c r="E19" s="428">
        <v>150</v>
      </c>
      <c r="F19" s="428">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0" t="s">
        <v>615</v>
      </c>
      <c r="B4" s="400"/>
      <c r="C4" s="400"/>
      <c r="D4" s="401"/>
      <c r="E4" s="402"/>
      <c r="F4" s="402"/>
      <c r="G4" s="402"/>
      <c r="I4" s="917" t="s">
        <v>2</v>
      </c>
      <c r="J4" s="917" t="str">
        <f>IF(Profit!$U$6,IF(K4,"Yes","N0"),"no")</f>
        <v>no</v>
      </c>
      <c r="K4" s="921" t="b">
        <v>0</v>
      </c>
    </row>
    <row r="5" spans="1:11" ht="15.75" thickBot="1" x14ac:dyDescent="0.3">
      <c r="A5" s="395" t="s">
        <v>618</v>
      </c>
      <c r="B5" s="395">
        <v>977057</v>
      </c>
      <c r="C5" s="396">
        <v>0</v>
      </c>
      <c r="D5" s="403">
        <v>149</v>
      </c>
      <c r="E5" s="397">
        <f>+C5*D5</f>
        <v>0</v>
      </c>
      <c r="F5" s="404">
        <f>+E5*0.0725</f>
        <v>0</v>
      </c>
      <c r="G5" s="402"/>
      <c r="I5" s="918"/>
      <c r="J5" s="918"/>
      <c r="K5" s="922"/>
    </row>
    <row r="6" spans="1:11" x14ac:dyDescent="0.25">
      <c r="A6" s="395" t="s">
        <v>617</v>
      </c>
      <c r="B6" s="395">
        <v>3648606</v>
      </c>
      <c r="C6" s="396">
        <v>0</v>
      </c>
      <c r="D6" s="403">
        <v>700</v>
      </c>
      <c r="E6" s="397">
        <f>+C6*D6</f>
        <v>0</v>
      </c>
      <c r="F6" s="404">
        <f t="shared" ref="F6" si="0">+E6*0.0725</f>
        <v>0</v>
      </c>
      <c r="G6" s="402"/>
    </row>
    <row r="7" spans="1:11" ht="15.75" thickBot="1" x14ac:dyDescent="0.3">
      <c r="A7" s="395" t="s">
        <v>616</v>
      </c>
      <c r="B7" s="395">
        <v>1654366</v>
      </c>
      <c r="C7" s="396">
        <v>0</v>
      </c>
      <c r="D7" s="403">
        <v>450</v>
      </c>
      <c r="E7" s="397">
        <f>+C7*D7</f>
        <v>0</v>
      </c>
      <c r="F7" s="404">
        <f t="shared" ref="F7" si="1">+E7*0.0725</f>
        <v>0</v>
      </c>
      <c r="G7" s="405"/>
    </row>
    <row r="8" spans="1:11" x14ac:dyDescent="0.25">
      <c r="A8" s="400"/>
      <c r="B8" s="400"/>
      <c r="C8" s="400"/>
      <c r="D8" s="225" t="s">
        <v>614</v>
      </c>
      <c r="E8" s="397"/>
      <c r="F8" s="397"/>
      <c r="G8" s="397">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613</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6" t="s">
        <v>332</v>
      </c>
      <c r="D30" s="916"/>
      <c r="E30" s="916"/>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4"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6" t="s">
        <v>340</v>
      </c>
      <c r="C5" s="406"/>
      <c r="D5" s="396">
        <v>1</v>
      </c>
      <c r="E5" s="403">
        <v>179</v>
      </c>
      <c r="F5" s="397">
        <f>+D5*E5</f>
        <v>179</v>
      </c>
      <c r="G5" s="404">
        <f t="shared" ref="G5:G9" si="0">+F5*0.0725</f>
        <v>12.977499999999999</v>
      </c>
      <c r="H5" s="402"/>
      <c r="J5" s="917" t="s">
        <v>2</v>
      </c>
      <c r="K5" s="917" t="str">
        <f>IF(Profit!U6,IF(L5,"Yes","No"),"No")</f>
        <v>No</v>
      </c>
      <c r="L5" s="921" t="b">
        <v>0</v>
      </c>
    </row>
    <row r="6" spans="1:12" ht="15.75" thickBot="1" x14ac:dyDescent="0.3">
      <c r="B6" s="406" t="s">
        <v>619</v>
      </c>
      <c r="C6" s="406"/>
      <c r="D6" s="396">
        <v>1</v>
      </c>
      <c r="E6" s="403">
        <v>53.98</v>
      </c>
      <c r="F6" s="397">
        <f>+D6*E6</f>
        <v>53.98</v>
      </c>
      <c r="G6" s="404">
        <f t="shared" si="0"/>
        <v>3.9135499999999994</v>
      </c>
      <c r="H6" s="402"/>
      <c r="J6" s="918"/>
      <c r="K6" s="918"/>
      <c r="L6" s="922"/>
    </row>
    <row r="7" spans="1:12" x14ac:dyDescent="0.25">
      <c r="B7" s="406" t="s">
        <v>288</v>
      </c>
      <c r="C7" s="406"/>
      <c r="D7" s="396">
        <v>2</v>
      </c>
      <c r="E7" s="403">
        <v>15.47</v>
      </c>
      <c r="F7" s="397">
        <f>+D7*E7</f>
        <v>30.94</v>
      </c>
      <c r="G7" s="404">
        <f t="shared" si="0"/>
        <v>2.24315</v>
      </c>
      <c r="H7" s="402"/>
    </row>
    <row r="8" spans="1:12" x14ac:dyDescent="0.25">
      <c r="B8" s="406" t="s">
        <v>620</v>
      </c>
      <c r="C8" s="406"/>
      <c r="D8" s="396">
        <v>5</v>
      </c>
      <c r="E8" s="403">
        <v>39.979999999999997</v>
      </c>
      <c r="F8" s="397">
        <v>0</v>
      </c>
      <c r="G8" s="404">
        <f t="shared" si="0"/>
        <v>0</v>
      </c>
      <c r="H8" s="402"/>
    </row>
    <row r="9" spans="1:12" ht="15.75" thickBot="1" x14ac:dyDescent="0.3">
      <c r="B9" s="406" t="s">
        <v>337</v>
      </c>
      <c r="C9" s="406">
        <v>732291231619</v>
      </c>
      <c r="D9" s="396">
        <v>3</v>
      </c>
      <c r="E9" s="403">
        <v>99</v>
      </c>
      <c r="F9" s="405">
        <f>+D9*E9</f>
        <v>297</v>
      </c>
      <c r="G9" s="405">
        <f t="shared" si="0"/>
        <v>21.532499999999999</v>
      </c>
      <c r="H9" s="405"/>
    </row>
    <row r="10" spans="1:12" x14ac:dyDescent="0.25">
      <c r="B10" s="406"/>
      <c r="C10" s="406"/>
      <c r="D10" s="396"/>
      <c r="E10" s="403"/>
      <c r="F10" s="397"/>
      <c r="G10" s="397"/>
      <c r="H10" s="397">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824</v>
      </c>
      <c r="C13" s="255" t="s">
        <v>825</v>
      </c>
      <c r="D13" s="253">
        <v>2</v>
      </c>
      <c r="E13" s="240">
        <v>28.12</v>
      </c>
      <c r="F13" s="14">
        <f>+D13*E13</f>
        <v>56.24</v>
      </c>
      <c r="G13" s="26">
        <f t="shared" ref="G13:G30" si="1">+F13*0.0725</f>
        <v>4.0773999999999999</v>
      </c>
      <c r="H13" s="13"/>
    </row>
    <row r="14" spans="1:12" x14ac:dyDescent="0.25">
      <c r="B14" s="255" t="s">
        <v>809</v>
      </c>
      <c r="C14" s="255" t="s">
        <v>810</v>
      </c>
      <c r="D14" s="253">
        <v>1</v>
      </c>
      <c r="E14" s="240">
        <v>48.58</v>
      </c>
      <c r="F14" s="14">
        <f>+D14*E14</f>
        <v>48.58</v>
      </c>
      <c r="G14" s="26">
        <f t="shared" si="1"/>
        <v>3.5220499999999997</v>
      </c>
    </row>
    <row r="15" spans="1:12" x14ac:dyDescent="0.25">
      <c r="B15" s="255" t="s">
        <v>820</v>
      </c>
      <c r="C15" s="255" t="s">
        <v>821</v>
      </c>
      <c r="D15" s="253">
        <v>1</v>
      </c>
      <c r="E15" s="240">
        <v>35.229999999999997</v>
      </c>
      <c r="F15" s="14">
        <f>+D15*E15</f>
        <v>35.229999999999997</v>
      </c>
      <c r="G15" s="26">
        <f t="shared" si="1"/>
        <v>2.5541749999999994</v>
      </c>
    </row>
    <row r="16" spans="1:12" x14ac:dyDescent="0.25">
      <c r="B16" s="255" t="s">
        <v>822</v>
      </c>
      <c r="C16" s="255" t="s">
        <v>823</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794</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856</v>
      </c>
      <c r="C27" s="485">
        <v>45845</v>
      </c>
      <c r="D27" s="253">
        <v>1</v>
      </c>
      <c r="E27" s="240">
        <v>1299.33</v>
      </c>
      <c r="F27" s="14">
        <f t="shared" si="2"/>
        <v>1299.33</v>
      </c>
      <c r="G27" s="26" t="s">
        <v>148</v>
      </c>
    </row>
    <row r="28" spans="1:11" x14ac:dyDescent="0.25">
      <c r="A28" s="12">
        <v>45845</v>
      </c>
      <c r="B28" s="255" t="s">
        <v>876</v>
      </c>
      <c r="C28" s="485">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7" t="s">
        <v>2</v>
      </c>
      <c r="L2" s="917" t="str">
        <f>IF(Profit!U6,IF(M2,"Yes","No"),"No")</f>
        <v>No</v>
      </c>
      <c r="M2" s="921" t="b">
        <v>1</v>
      </c>
    </row>
    <row r="3" spans="1:13" s="22" customFormat="1" ht="14.25" customHeight="1" thickBot="1" x14ac:dyDescent="0.3">
      <c r="A3" s="3" t="s">
        <v>208</v>
      </c>
      <c r="B3" s="3" t="s">
        <v>253</v>
      </c>
      <c r="C3" s="3" t="s">
        <v>321</v>
      </c>
      <c r="D3" s="3" t="s">
        <v>265</v>
      </c>
      <c r="E3" s="8" t="s">
        <v>266</v>
      </c>
      <c r="F3" s="13" t="s">
        <v>267</v>
      </c>
      <c r="G3" s="13"/>
      <c r="H3" s="13" t="s">
        <v>268</v>
      </c>
      <c r="K3" s="918"/>
      <c r="L3" s="918"/>
      <c r="M3" s="922"/>
    </row>
    <row r="4" spans="1:13" s="22" customFormat="1" ht="14.25" customHeight="1" x14ac:dyDescent="0.25">
      <c r="A4" s="3"/>
      <c r="B4" s="3"/>
      <c r="C4" s="3"/>
      <c r="D4" s="3"/>
      <c r="E4" s="8"/>
      <c r="F4" s="13"/>
      <c r="G4" s="13"/>
      <c r="H4" s="13"/>
      <c r="K4"/>
      <c r="L4"/>
      <c r="M4"/>
    </row>
    <row r="5" spans="1:13" s="22" customFormat="1" ht="14.25" customHeight="1" x14ac:dyDescent="0.25">
      <c r="A5" s="3"/>
      <c r="B5" s="431"/>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848</v>
      </c>
      <c r="B8" s="32" t="s">
        <v>847</v>
      </c>
      <c r="C8" s="32" t="s">
        <v>148</v>
      </c>
      <c r="D8" s="255">
        <v>1</v>
      </c>
      <c r="E8" s="240">
        <v>5.68</v>
      </c>
      <c r="F8" s="14">
        <f t="shared" si="0"/>
        <v>5.68</v>
      </c>
      <c r="G8" s="14">
        <f t="shared" si="1"/>
        <v>0.41179999999999994</v>
      </c>
      <c r="H8" s="13"/>
    </row>
    <row r="9" spans="1:13" ht="14.25" customHeight="1" x14ac:dyDescent="0.25">
      <c r="A9" s="32" t="s">
        <v>846</v>
      </c>
      <c r="B9" s="32" t="s">
        <v>808</v>
      </c>
      <c r="C9" s="32" t="s">
        <v>148</v>
      </c>
      <c r="D9" s="255">
        <v>1</v>
      </c>
      <c r="E9" s="240">
        <v>47.48</v>
      </c>
      <c r="F9" s="14">
        <f>+D9*E9</f>
        <v>47.48</v>
      </c>
      <c r="G9" s="14">
        <f t="shared" si="1"/>
        <v>3.4422999999999995</v>
      </c>
      <c r="H9" s="13"/>
    </row>
    <row r="10" spans="1:13" ht="14.25" customHeight="1" x14ac:dyDescent="0.25">
      <c r="A10" s="32" t="s">
        <v>844</v>
      </c>
      <c r="B10" s="32" t="s">
        <v>845</v>
      </c>
      <c r="C10" s="32" t="s">
        <v>148</v>
      </c>
      <c r="D10" s="253">
        <v>1</v>
      </c>
      <c r="E10" s="240">
        <v>74.08</v>
      </c>
      <c r="F10" s="14">
        <f t="shared" si="0"/>
        <v>74.08</v>
      </c>
      <c r="G10" s="14">
        <f t="shared" si="1"/>
        <v>5.3707999999999991</v>
      </c>
    </row>
    <row r="11" spans="1:13" ht="14.25" customHeight="1" x14ac:dyDescent="0.25">
      <c r="A11" s="32" t="s">
        <v>842</v>
      </c>
      <c r="B11" s="32" t="s">
        <v>843</v>
      </c>
      <c r="C11" s="32" t="s">
        <v>148</v>
      </c>
      <c r="D11" s="253">
        <v>1</v>
      </c>
      <c r="E11" s="240">
        <v>47.96</v>
      </c>
      <c r="F11" s="14">
        <f t="shared" si="0"/>
        <v>47.96</v>
      </c>
      <c r="G11" s="14">
        <f t="shared" si="1"/>
        <v>3.4770999999999996</v>
      </c>
    </row>
    <row r="12" spans="1:13" ht="14.25" customHeight="1" x14ac:dyDescent="0.25">
      <c r="A12" s="32" t="s">
        <v>818</v>
      </c>
      <c r="B12" s="32" t="s">
        <v>819</v>
      </c>
      <c r="C12" s="32" t="s">
        <v>148</v>
      </c>
      <c r="D12" s="253">
        <v>1</v>
      </c>
      <c r="E12" s="240">
        <v>104.72</v>
      </c>
      <c r="F12" s="14">
        <f>+D12*E12</f>
        <v>104.72</v>
      </c>
      <c r="G12" s="14">
        <f t="shared" si="1"/>
        <v>7.5921999999999992</v>
      </c>
    </row>
    <row r="13" spans="1:13" ht="14.25" customHeight="1" x14ac:dyDescent="0.25">
      <c r="A13" s="32" t="s">
        <v>816</v>
      </c>
      <c r="B13" s="32" t="s">
        <v>817</v>
      </c>
      <c r="C13" s="32" t="s">
        <v>148</v>
      </c>
      <c r="D13" s="253">
        <v>1</v>
      </c>
      <c r="E13" s="240">
        <v>103.04</v>
      </c>
      <c r="F13" s="14">
        <f t="shared" si="0"/>
        <v>103.04</v>
      </c>
      <c r="G13" s="14">
        <f t="shared" si="1"/>
        <v>7.4703999999999997</v>
      </c>
    </row>
    <row r="14" spans="1:13" ht="14.25" customHeight="1" x14ac:dyDescent="0.25">
      <c r="A14" s="32" t="s">
        <v>813</v>
      </c>
      <c r="B14" s="32" t="s">
        <v>815</v>
      </c>
      <c r="C14" s="32" t="s">
        <v>148</v>
      </c>
      <c r="D14" s="253">
        <v>2</v>
      </c>
      <c r="E14" s="240">
        <v>18.46</v>
      </c>
      <c r="F14" s="14">
        <f t="shared" si="0"/>
        <v>36.92</v>
      </c>
      <c r="G14" s="14">
        <f t="shared" si="1"/>
        <v>2.6766999999999999</v>
      </c>
    </row>
    <row r="15" spans="1:13" ht="14.25" customHeight="1" x14ac:dyDescent="0.25">
      <c r="A15" s="32" t="s">
        <v>813</v>
      </c>
      <c r="B15" s="32" t="s">
        <v>814</v>
      </c>
      <c r="C15" s="32" t="s">
        <v>148</v>
      </c>
      <c r="D15" s="253">
        <v>2</v>
      </c>
      <c r="E15" s="240">
        <v>14.5</v>
      </c>
      <c r="F15" s="14">
        <f t="shared" si="0"/>
        <v>29</v>
      </c>
      <c r="G15" s="14">
        <f t="shared" si="1"/>
        <v>2.1025</v>
      </c>
    </row>
    <row r="16" spans="1:13" ht="14.25" customHeight="1" x14ac:dyDescent="0.25">
      <c r="A16" s="32" t="s">
        <v>807</v>
      </c>
      <c r="B16" s="32" t="s">
        <v>808</v>
      </c>
      <c r="C16" s="32" t="s">
        <v>148</v>
      </c>
      <c r="D16" s="253">
        <v>1</v>
      </c>
      <c r="E16" s="240">
        <v>44.98</v>
      </c>
      <c r="F16" s="14">
        <f t="shared" si="0"/>
        <v>44.98</v>
      </c>
      <c r="G16" s="14">
        <f t="shared" si="1"/>
        <v>3.2610499999999996</v>
      </c>
    </row>
    <row r="17" spans="1:7" ht="14.25" customHeight="1" x14ac:dyDescent="0.25">
      <c r="A17" s="32" t="s">
        <v>805</v>
      </c>
      <c r="B17" s="32" t="s">
        <v>806</v>
      </c>
      <c r="C17" s="32"/>
      <c r="D17" s="253">
        <v>1</v>
      </c>
      <c r="E17" s="240">
        <v>66.599999999999994</v>
      </c>
      <c r="F17" s="14">
        <f t="shared" si="0"/>
        <v>66.599999999999994</v>
      </c>
      <c r="G17" s="14">
        <f t="shared" si="1"/>
        <v>4.8284999999999991</v>
      </c>
    </row>
    <row r="18" spans="1:7" ht="14.25" customHeight="1" x14ac:dyDescent="0.25">
      <c r="A18" s="32" t="s">
        <v>804</v>
      </c>
      <c r="B18" s="32" t="s">
        <v>803</v>
      </c>
      <c r="C18" s="32" t="s">
        <v>148</v>
      </c>
      <c r="D18" s="253">
        <v>2</v>
      </c>
      <c r="E18" s="240">
        <v>16.809999999999999</v>
      </c>
      <c r="F18" s="14">
        <f t="shared" si="0"/>
        <v>33.619999999999997</v>
      </c>
      <c r="G18" s="14">
        <f t="shared" si="1"/>
        <v>2.4374499999999997</v>
      </c>
    </row>
    <row r="19" spans="1:7" ht="14.25" customHeight="1" x14ac:dyDescent="0.25">
      <c r="A19" s="316" t="s">
        <v>547</v>
      </c>
      <c r="B19" s="316"/>
      <c r="C19" s="316">
        <v>25598</v>
      </c>
      <c r="D19" s="253">
        <v>0</v>
      </c>
      <c r="E19" s="240">
        <v>101</v>
      </c>
      <c r="F19" s="14">
        <f t="shared" ref="F19:F37" si="2">+D19*E19</f>
        <v>0</v>
      </c>
      <c r="G19" s="14">
        <f t="shared" si="1"/>
        <v>0</v>
      </c>
    </row>
    <row r="20" spans="1:7" ht="14.25" customHeight="1" x14ac:dyDescent="0.25">
      <c r="A20" s="316" t="s">
        <v>517</v>
      </c>
      <c r="B20" s="316"/>
      <c r="C20" s="316">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6" t="s">
        <v>558</v>
      </c>
      <c r="B24" s="316"/>
      <c r="C24" s="316" t="s">
        <v>563</v>
      </c>
      <c r="D24" s="253">
        <v>0</v>
      </c>
      <c r="E24" s="240">
        <v>18.88</v>
      </c>
      <c r="F24" s="14">
        <f t="shared" si="2"/>
        <v>0</v>
      </c>
      <c r="G24" s="14">
        <f t="shared" si="1"/>
        <v>0</v>
      </c>
    </row>
    <row r="25" spans="1:7" ht="14.25" customHeight="1" x14ac:dyDescent="0.25">
      <c r="A25" s="316" t="s">
        <v>559</v>
      </c>
      <c r="B25" s="316"/>
      <c r="C25" s="316" t="s">
        <v>562</v>
      </c>
      <c r="D25" s="253">
        <v>0</v>
      </c>
      <c r="E25" s="240">
        <v>47.14</v>
      </c>
      <c r="F25" s="14">
        <f t="shared" si="2"/>
        <v>0</v>
      </c>
      <c r="G25" s="14">
        <f t="shared" si="1"/>
        <v>0</v>
      </c>
    </row>
    <row r="26" spans="1:7" ht="14.25" customHeight="1" x14ac:dyDescent="0.25">
      <c r="A26" s="316" t="s">
        <v>559</v>
      </c>
      <c r="B26" s="316"/>
      <c r="C26" s="316"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797</v>
      </c>
      <c r="B29" s="32" t="s">
        <v>798</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793</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7" t="s">
        <v>2</v>
      </c>
      <c r="K2" s="917" t="str">
        <f>IF(Profit!U6,IF(L2,"Yes","No"),"No")</f>
        <v>No</v>
      </c>
      <c r="L2" s="921" t="b">
        <v>1</v>
      </c>
    </row>
    <row r="3" spans="1:12" ht="15.75" thickBot="1" x14ac:dyDescent="0.3">
      <c r="A3" s="31" t="s">
        <v>208</v>
      </c>
      <c r="B3" s="31" t="s">
        <v>321</v>
      </c>
      <c r="C3" s="31" t="s">
        <v>265</v>
      </c>
      <c r="D3" s="259" t="s">
        <v>266</v>
      </c>
      <c r="E3" s="260" t="s">
        <v>267</v>
      </c>
      <c r="F3" s="260" t="s">
        <v>254</v>
      </c>
      <c r="G3" s="260" t="s">
        <v>268</v>
      </c>
      <c r="J3" s="918"/>
      <c r="K3" s="918"/>
      <c r="L3" s="922"/>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17" t="s">
        <v>2</v>
      </c>
      <c r="O1" s="917" t="str">
        <f>IF(Profit!U6,IF(P1,"Yes","No"),"No")</f>
        <v>No</v>
      </c>
      <c r="P1" s="921" t="b">
        <v>1</v>
      </c>
    </row>
    <row r="2" spans="1:16" s="3" customFormat="1" ht="15.75" thickBot="1" x14ac:dyDescent="0.3">
      <c r="A2" s="431" t="s">
        <v>253</v>
      </c>
      <c r="B2" s="3" t="s">
        <v>866</v>
      </c>
      <c r="C2" s="3" t="s">
        <v>208</v>
      </c>
      <c r="D2" s="3" t="s">
        <v>537</v>
      </c>
      <c r="E2" s="3" t="s">
        <v>393</v>
      </c>
      <c r="G2" s="3" t="s">
        <v>867</v>
      </c>
      <c r="H2" s="3" t="s">
        <v>179</v>
      </c>
      <c r="I2" s="8" t="s">
        <v>266</v>
      </c>
      <c r="J2" s="6" t="s">
        <v>267</v>
      </c>
      <c r="K2" s="13" t="s">
        <v>254</v>
      </c>
      <c r="L2" s="3" t="s">
        <v>268</v>
      </c>
      <c r="M2" s="3" t="s">
        <v>214</v>
      </c>
      <c r="N2" s="918"/>
      <c r="O2" s="918"/>
      <c r="P2" s="922"/>
    </row>
    <row r="3" spans="1:16" s="3" customFormat="1" x14ac:dyDescent="0.25">
      <c r="A3" s="488"/>
      <c r="B3" s="400"/>
      <c r="C3" s="400" t="s">
        <v>615</v>
      </c>
      <c r="D3" s="400"/>
      <c r="E3" s="407">
        <f>+Profit!M9</f>
        <v>1368</v>
      </c>
      <c r="F3" s="486"/>
      <c r="G3" s="400"/>
      <c r="H3" s="400"/>
      <c r="I3" s="401"/>
      <c r="J3" s="411"/>
      <c r="K3" s="402"/>
      <c r="N3"/>
      <c r="O3"/>
      <c r="P3" s="5"/>
    </row>
    <row r="4" spans="1:16" s="3" customFormat="1" x14ac:dyDescent="0.25">
      <c r="A4" s="489" t="s">
        <v>394</v>
      </c>
      <c r="B4" s="395"/>
      <c r="C4" s="395" t="s">
        <v>395</v>
      </c>
      <c r="D4" s="395"/>
      <c r="E4" s="395"/>
      <c r="F4" s="395"/>
      <c r="G4" s="395" t="s">
        <v>396</v>
      </c>
      <c r="H4" s="409">
        <v>8.0000000000000002E-3</v>
      </c>
      <c r="I4" s="403">
        <v>68.540000000000006</v>
      </c>
      <c r="J4" s="403">
        <f>I4*H4*$E$3</f>
        <v>750.10176000000001</v>
      </c>
      <c r="K4" s="404">
        <f>+J4*0.0725</f>
        <v>54.382377599999998</v>
      </c>
      <c r="N4"/>
      <c r="O4"/>
      <c r="P4" s="5"/>
    </row>
    <row r="5" spans="1:16" s="3" customFormat="1" x14ac:dyDescent="0.25">
      <c r="A5" s="489" t="s">
        <v>533</v>
      </c>
      <c r="B5" s="395"/>
      <c r="C5" s="395" t="s">
        <v>525</v>
      </c>
      <c r="D5" s="395"/>
      <c r="E5" s="395"/>
      <c r="F5" s="395"/>
      <c r="G5" s="395" t="s">
        <v>526</v>
      </c>
      <c r="H5" s="409">
        <v>4.0000000000000001E-3</v>
      </c>
      <c r="I5" s="403">
        <v>33.99</v>
      </c>
      <c r="J5" s="403">
        <f>I5*H5*$E$3</f>
        <v>185.99328</v>
      </c>
      <c r="K5" s="404">
        <f t="shared" ref="K5" si="0">+J5*0.0725</f>
        <v>13.484512799999999</v>
      </c>
      <c r="N5"/>
      <c r="O5"/>
      <c r="P5" s="5"/>
    </row>
    <row r="6" spans="1:16" s="3" customFormat="1" x14ac:dyDescent="0.25">
      <c r="A6" s="489" t="s">
        <v>534</v>
      </c>
      <c r="B6" s="395"/>
      <c r="C6" s="395" t="s">
        <v>400</v>
      </c>
      <c r="D6" s="395"/>
      <c r="E6" s="395"/>
      <c r="F6" s="395"/>
      <c r="G6" s="395">
        <v>185342</v>
      </c>
      <c r="H6" s="409">
        <f>10/2526</f>
        <v>3.95882818685669E-3</v>
      </c>
      <c r="I6" s="396">
        <f>147/5</f>
        <v>29.4</v>
      </c>
      <c r="J6" s="403">
        <f>I6*H6*$E$3</f>
        <v>159.22090261282659</v>
      </c>
      <c r="K6" s="404">
        <f>+J6*0.0725</f>
        <v>11.543515439429926</v>
      </c>
      <c r="N6"/>
      <c r="O6"/>
      <c r="P6" s="5"/>
    </row>
    <row r="7" spans="1:16" x14ac:dyDescent="0.25">
      <c r="A7" s="489" t="s">
        <v>535</v>
      </c>
      <c r="B7" s="395"/>
      <c r="C7" s="395" t="s">
        <v>402</v>
      </c>
      <c r="D7" s="395"/>
      <c r="E7" s="395"/>
      <c r="F7" s="395"/>
      <c r="G7" s="395">
        <v>985007</v>
      </c>
      <c r="H7" s="409">
        <f>3/2526</f>
        <v>1.1876484560570072E-3</v>
      </c>
      <c r="I7" s="403">
        <v>52.23</v>
      </c>
      <c r="J7" s="403">
        <f>I7*H7*$E$3</f>
        <v>84.85824228028504</v>
      </c>
      <c r="K7" s="404">
        <f t="shared" ref="K7" si="1">+J7*0.0725</f>
        <v>6.152222565320665</v>
      </c>
      <c r="L7"/>
      <c r="M7"/>
    </row>
    <row r="8" spans="1:16" x14ac:dyDescent="0.25">
      <c r="A8" s="489" t="s">
        <v>415</v>
      </c>
      <c r="B8" s="395"/>
      <c r="C8" s="395"/>
      <c r="D8" s="395"/>
      <c r="E8" s="407">
        <f>+$E$3</f>
        <v>1368</v>
      </c>
      <c r="F8" s="486"/>
      <c r="G8" s="395" t="s">
        <v>417</v>
      </c>
      <c r="H8" s="410">
        <v>5.1528384279475983</v>
      </c>
      <c r="I8" s="403">
        <v>2.41</v>
      </c>
      <c r="J8" s="403">
        <f>H8*$E$3</f>
        <v>7049.0829694323147</v>
      </c>
      <c r="K8" s="408"/>
      <c r="L8"/>
      <c r="M8"/>
    </row>
    <row r="9" spans="1:16" s="3" customFormat="1" x14ac:dyDescent="0.25">
      <c r="A9" s="431"/>
      <c r="H9" s="915" t="s">
        <v>621</v>
      </c>
      <c r="I9" s="916"/>
      <c r="J9" s="916"/>
      <c r="K9" s="30"/>
      <c r="L9" s="1">
        <f>IF(O1="Yes",SUM(J4:J8)+SUM(K4:K8),0)</f>
        <v>0</v>
      </c>
      <c r="M9" s="1"/>
      <c r="N9"/>
      <c r="O9"/>
      <c r="P9" s="5"/>
    </row>
    <row r="10" spans="1:16" s="3" customFormat="1" x14ac:dyDescent="0.25">
      <c r="A10" s="431"/>
      <c r="N10"/>
      <c r="O10"/>
      <c r="P10" s="5"/>
    </row>
    <row r="11" spans="1:16" s="3" customFormat="1" x14ac:dyDescent="0.25">
      <c r="A11" s="12" t="s">
        <v>394</v>
      </c>
      <c r="B11"/>
      <c r="D11" s="32"/>
      <c r="N11"/>
      <c r="O11"/>
      <c r="P11" s="5"/>
    </row>
    <row r="12" spans="1:16" x14ac:dyDescent="0.25">
      <c r="A12" s="12">
        <v>45783</v>
      </c>
      <c r="B12" t="s">
        <v>869</v>
      </c>
      <c r="C12" s="139" t="s">
        <v>857</v>
      </c>
      <c r="D12" s="139" t="s">
        <v>858</v>
      </c>
      <c r="F12" s="2" t="s">
        <v>407</v>
      </c>
      <c r="G12" s="139" t="s">
        <v>859</v>
      </c>
      <c r="H12" s="253">
        <v>5</v>
      </c>
      <c r="I12" s="240">
        <v>37.549999999999997</v>
      </c>
      <c r="J12" s="5">
        <f t="shared" ref="J12:J18" si="2">+H12*I12</f>
        <v>187.75</v>
      </c>
      <c r="K12" s="26">
        <f t="shared" ref="K12:K18" si="3">+J12*0.0725</f>
        <v>13.611875</v>
      </c>
      <c r="L12"/>
      <c r="M12" t="s">
        <v>3</v>
      </c>
      <c r="P12" s="5"/>
    </row>
    <row r="13" spans="1:16" x14ac:dyDescent="0.25">
      <c r="A13" s="12">
        <v>45780</v>
      </c>
      <c r="B13" t="s">
        <v>872</v>
      </c>
      <c r="C13" s="139" t="s">
        <v>860</v>
      </c>
      <c r="D13" s="139" t="s">
        <v>862</v>
      </c>
      <c r="G13" s="139" t="s">
        <v>861</v>
      </c>
      <c r="H13" s="253">
        <v>2</v>
      </c>
      <c r="I13" s="240">
        <v>29</v>
      </c>
      <c r="J13" s="5">
        <f t="shared" si="2"/>
        <v>58</v>
      </c>
      <c r="K13" s="26">
        <f t="shared" si="3"/>
        <v>4.2050000000000001</v>
      </c>
      <c r="L13"/>
      <c r="M13" t="s">
        <v>3</v>
      </c>
      <c r="P13" s="5"/>
    </row>
    <row r="14" spans="1:16" x14ac:dyDescent="0.25">
      <c r="A14" s="12">
        <v>45780</v>
      </c>
      <c r="B14" t="s">
        <v>873</v>
      </c>
      <c r="C14" s="139" t="s">
        <v>860</v>
      </c>
      <c r="D14" s="139" t="s">
        <v>863</v>
      </c>
      <c r="G14" s="139" t="s">
        <v>864</v>
      </c>
      <c r="H14" s="253">
        <v>1</v>
      </c>
      <c r="I14" s="240">
        <v>31</v>
      </c>
      <c r="J14" s="5">
        <f t="shared" si="2"/>
        <v>31</v>
      </c>
      <c r="K14" s="26">
        <f t="shared" si="3"/>
        <v>2.2475000000000001</v>
      </c>
      <c r="L14"/>
      <c r="M14" t="s">
        <v>3</v>
      </c>
      <c r="P14" s="5"/>
    </row>
    <row r="15" spans="1:16" x14ac:dyDescent="0.25">
      <c r="A15" s="12">
        <v>45786</v>
      </c>
      <c r="B15" t="s">
        <v>870</v>
      </c>
      <c r="C15" s="139" t="s">
        <v>857</v>
      </c>
      <c r="D15" s="139" t="s">
        <v>858</v>
      </c>
      <c r="F15" s="2" t="s">
        <v>871</v>
      </c>
      <c r="G15" s="139" t="s">
        <v>859</v>
      </c>
      <c r="H15" s="253">
        <v>2</v>
      </c>
      <c r="I15" s="240">
        <v>37.549999999999997</v>
      </c>
      <c r="J15" s="5">
        <f t="shared" ref="J15" si="4">+H15*I15</f>
        <v>75.099999999999994</v>
      </c>
      <c r="K15" s="26">
        <f t="shared" ref="K15" si="5">+J15*0.0725</f>
        <v>5.4447499999999991</v>
      </c>
      <c r="L15"/>
      <c r="M15" t="s">
        <v>865</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87"/>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0"/>
      <c r="K42" s="256"/>
      <c r="L42" s="29"/>
    </row>
    <row r="43" spans="1:18" x14ac:dyDescent="0.25">
      <c r="H43" s="915" t="s">
        <v>414</v>
      </c>
      <c r="I43" s="916"/>
      <c r="J43" s="916"/>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87"/>
      <c r="G46" s="139" t="s">
        <v>417</v>
      </c>
      <c r="H46" s="253">
        <v>1</v>
      </c>
      <c r="I46" s="240">
        <v>3400</v>
      </c>
      <c r="J46" s="1">
        <f>IF(H46="yes",E46*#REF!,I46)</f>
        <v>3400</v>
      </c>
      <c r="K46" s="1"/>
      <c r="L46"/>
      <c r="M46"/>
    </row>
    <row r="47" spans="1:18" x14ac:dyDescent="0.25">
      <c r="C47" s="139" t="s">
        <v>415</v>
      </c>
      <c r="D47" s="139"/>
      <c r="E47" s="181">
        <v>200</v>
      </c>
      <c r="F47" s="487"/>
      <c r="G47" s="139" t="s">
        <v>543</v>
      </c>
      <c r="H47" s="253">
        <v>0</v>
      </c>
      <c r="I47" s="240">
        <v>0</v>
      </c>
      <c r="J47" s="1">
        <f>IF(H47="yes",E47*#REF!,I47)</f>
        <v>0</v>
      </c>
      <c r="K47" s="1"/>
      <c r="L47"/>
      <c r="M47"/>
    </row>
    <row r="48" spans="1:18" ht="15.75" thickBot="1" x14ac:dyDescent="0.3">
      <c r="C48" s="139" t="s">
        <v>415</v>
      </c>
      <c r="D48" s="139"/>
      <c r="E48" s="181">
        <f>+$E$3</f>
        <v>1368</v>
      </c>
      <c r="F48" s="487"/>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7" t="s">
        <v>2</v>
      </c>
      <c r="K1" s="917" t="str">
        <f>IF(Profit!U6,IF(L1,"Yes","No"),"No")</f>
        <v>No</v>
      </c>
      <c r="L1" s="921" t="b">
        <v>1</v>
      </c>
    </row>
    <row r="2" spans="1:12" s="3" customFormat="1" ht="15.75" thickBot="1" x14ac:dyDescent="0.3">
      <c r="A2" s="260" t="s">
        <v>208</v>
      </c>
      <c r="B2" s="260" t="s">
        <v>393</v>
      </c>
      <c r="C2" s="260" t="s">
        <v>226</v>
      </c>
      <c r="D2" s="260" t="s">
        <v>179</v>
      </c>
      <c r="E2" s="260" t="s">
        <v>266</v>
      </c>
      <c r="F2" s="260" t="s">
        <v>267</v>
      </c>
      <c r="G2" s="260" t="s">
        <v>254</v>
      </c>
      <c r="H2" s="260" t="s">
        <v>268</v>
      </c>
      <c r="J2" s="918"/>
      <c r="K2" s="918"/>
      <c r="L2" s="922"/>
    </row>
    <row r="3" spans="1:12" x14ac:dyDescent="0.25">
      <c r="A3" s="400" t="s">
        <v>615</v>
      </c>
      <c r="B3" s="407">
        <f>+Profit!M9</f>
        <v>1368</v>
      </c>
      <c r="C3" s="395"/>
      <c r="D3" s="396"/>
      <c r="E3" s="403"/>
      <c r="F3" s="408"/>
      <c r="G3" s="404"/>
      <c r="H3" s="396"/>
      <c r="J3" s="3"/>
    </row>
    <row r="4" spans="1:12" x14ac:dyDescent="0.25">
      <c r="A4" s="395" t="s">
        <v>420</v>
      </c>
      <c r="B4" s="407">
        <f>+B3</f>
        <v>1368</v>
      </c>
      <c r="C4" s="395" t="s">
        <v>417</v>
      </c>
      <c r="D4" s="396">
        <v>1</v>
      </c>
      <c r="E4" s="403">
        <v>5.5487134502924</v>
      </c>
      <c r="F4" s="408">
        <f>B4*E4*D4</f>
        <v>7590.6400000000031</v>
      </c>
      <c r="G4" s="404">
        <f t="shared" ref="G4:G5" si="0">+F4*0.0725</f>
        <v>550.32140000000015</v>
      </c>
      <c r="H4" s="396"/>
      <c r="J4" s="3"/>
    </row>
    <row r="5" spans="1:12" ht="15.75" thickBot="1" x14ac:dyDescent="0.3">
      <c r="A5" s="395" t="s">
        <v>421</v>
      </c>
      <c r="B5" s="407">
        <f>+B3</f>
        <v>1368</v>
      </c>
      <c r="C5" s="395"/>
      <c r="D5" s="396">
        <v>0</v>
      </c>
      <c r="E5" s="403">
        <f>+F8/B4</f>
        <v>5.5487134502923983</v>
      </c>
      <c r="F5" s="408">
        <f>B5*E5*D5</f>
        <v>0</v>
      </c>
      <c r="G5" s="404">
        <f t="shared" si="0"/>
        <v>0</v>
      </c>
      <c r="H5" s="387"/>
      <c r="J5" s="3"/>
    </row>
    <row r="6" spans="1:12" x14ac:dyDescent="0.25">
      <c r="A6" s="395"/>
      <c r="B6" s="407"/>
      <c r="C6" s="395"/>
      <c r="D6" s="396"/>
      <c r="E6" s="403"/>
      <c r="F6" s="408"/>
      <c r="G6" s="404"/>
      <c r="H6" s="397">
        <f>IF(K1="Yes",SUM(F4:G5),0)</f>
        <v>0</v>
      </c>
      <c r="J6" s="3"/>
    </row>
    <row r="7" spans="1:12" x14ac:dyDescent="0.25">
      <c r="B7" s="181"/>
      <c r="D7"/>
      <c r="E7" s="5"/>
      <c r="F7" s="1"/>
      <c r="G7" s="26"/>
      <c r="H7"/>
      <c r="J7" s="3"/>
    </row>
    <row r="8" spans="1:12" x14ac:dyDescent="0.25">
      <c r="A8" s="139" t="s">
        <v>781</v>
      </c>
      <c r="B8" s="195">
        <v>1368</v>
      </c>
      <c r="C8" s="139" t="s">
        <v>417</v>
      </c>
      <c r="D8" s="253">
        <v>1</v>
      </c>
      <c r="E8" s="240">
        <v>5.5487134502923983</v>
      </c>
      <c r="F8" s="408">
        <f t="shared" ref="F8:F20" si="1">B8*E8*D8</f>
        <v>7590.6400000000012</v>
      </c>
      <c r="G8" s="26">
        <f>+F8*0.0299</f>
        <v>226.96013600000003</v>
      </c>
      <c r="H8"/>
      <c r="I8" s="244" t="s">
        <v>782</v>
      </c>
    </row>
    <row r="9" spans="1:12" x14ac:dyDescent="0.25">
      <c r="A9" s="139" t="s">
        <v>495</v>
      </c>
      <c r="B9" s="195">
        <v>800</v>
      </c>
      <c r="C9" s="139"/>
      <c r="D9" s="253">
        <v>0</v>
      </c>
      <c r="E9" s="240">
        <v>6.22</v>
      </c>
      <c r="F9" s="408">
        <f t="shared" si="1"/>
        <v>0</v>
      </c>
      <c r="G9" s="26">
        <f t="shared" ref="G9:G20" si="2">+F9*0.0725</f>
        <v>0</v>
      </c>
      <c r="H9"/>
    </row>
    <row r="10" spans="1:12" x14ac:dyDescent="0.25">
      <c r="A10" s="139" t="s">
        <v>496</v>
      </c>
      <c r="B10" s="195">
        <v>1800</v>
      </c>
      <c r="C10" s="139"/>
      <c r="D10" s="253">
        <v>0</v>
      </c>
      <c r="E10" s="240">
        <v>3</v>
      </c>
      <c r="F10" s="408">
        <f t="shared" si="1"/>
        <v>0</v>
      </c>
      <c r="G10" s="26">
        <f t="shared" si="2"/>
        <v>0</v>
      </c>
      <c r="H10"/>
    </row>
    <row r="11" spans="1:12" x14ac:dyDescent="0.25">
      <c r="A11" s="139"/>
      <c r="B11" s="195"/>
      <c r="C11" s="139"/>
      <c r="D11" s="253"/>
      <c r="E11" s="240"/>
      <c r="F11" s="408">
        <f t="shared" si="1"/>
        <v>0</v>
      </c>
      <c r="G11" s="26">
        <f t="shared" si="2"/>
        <v>0</v>
      </c>
      <c r="H11"/>
    </row>
    <row r="12" spans="1:12" x14ac:dyDescent="0.25">
      <c r="A12" s="139"/>
      <c r="B12" s="195"/>
      <c r="C12" s="139"/>
      <c r="D12" s="253"/>
      <c r="E12" s="240"/>
      <c r="F12" s="408">
        <f t="shared" si="1"/>
        <v>0</v>
      </c>
      <c r="G12" s="26">
        <f t="shared" si="2"/>
        <v>0</v>
      </c>
      <c r="H12"/>
    </row>
    <row r="13" spans="1:12" x14ac:dyDescent="0.25">
      <c r="A13" s="139"/>
      <c r="B13" s="195"/>
      <c r="C13" s="139"/>
      <c r="D13" s="253"/>
      <c r="E13" s="240"/>
      <c r="F13" s="408">
        <f t="shared" si="1"/>
        <v>0</v>
      </c>
      <c r="G13" s="26">
        <f t="shared" si="2"/>
        <v>0</v>
      </c>
      <c r="H13"/>
    </row>
    <row r="14" spans="1:12" x14ac:dyDescent="0.25">
      <c r="A14" s="139"/>
      <c r="B14" s="195"/>
      <c r="C14" s="139"/>
      <c r="D14" s="253"/>
      <c r="E14" s="240"/>
      <c r="F14" s="408">
        <f t="shared" si="1"/>
        <v>0</v>
      </c>
      <c r="G14" s="26">
        <f t="shared" si="2"/>
        <v>0</v>
      </c>
      <c r="H14"/>
    </row>
    <row r="15" spans="1:12" x14ac:dyDescent="0.25">
      <c r="A15" s="139"/>
      <c r="B15" s="195"/>
      <c r="C15" s="139"/>
      <c r="D15" s="253"/>
      <c r="E15" s="240"/>
      <c r="F15" s="408">
        <f t="shared" si="1"/>
        <v>0</v>
      </c>
      <c r="G15" s="26">
        <f t="shared" si="2"/>
        <v>0</v>
      </c>
      <c r="H15"/>
    </row>
    <row r="16" spans="1:12" x14ac:dyDescent="0.25">
      <c r="A16" s="139" t="s">
        <v>556</v>
      </c>
      <c r="B16" s="195"/>
      <c r="C16" s="139"/>
      <c r="D16" s="253">
        <v>0</v>
      </c>
      <c r="E16" s="240">
        <v>0</v>
      </c>
      <c r="F16" s="408">
        <f t="shared" si="1"/>
        <v>0</v>
      </c>
      <c r="G16" s="26">
        <f t="shared" si="2"/>
        <v>0</v>
      </c>
      <c r="H16"/>
    </row>
    <row r="17" spans="1:11" x14ac:dyDescent="0.25">
      <c r="A17" s="139" t="s">
        <v>556</v>
      </c>
      <c r="B17" s="195"/>
      <c r="C17" s="139"/>
      <c r="D17" s="253">
        <v>0</v>
      </c>
      <c r="E17" s="240"/>
      <c r="F17" s="408">
        <f t="shared" si="1"/>
        <v>0</v>
      </c>
      <c r="G17" s="26">
        <f t="shared" si="2"/>
        <v>0</v>
      </c>
      <c r="H17"/>
    </row>
    <row r="18" spans="1:11" x14ac:dyDescent="0.25">
      <c r="A18" s="139" t="s">
        <v>556</v>
      </c>
      <c r="B18" s="195"/>
      <c r="C18" s="139"/>
      <c r="D18" s="253">
        <v>0</v>
      </c>
      <c r="E18" s="240"/>
      <c r="F18" s="408">
        <f t="shared" si="1"/>
        <v>0</v>
      </c>
      <c r="G18" s="26">
        <f t="shared" si="2"/>
        <v>0</v>
      </c>
      <c r="H18"/>
    </row>
    <row r="19" spans="1:11" x14ac:dyDescent="0.25">
      <c r="A19" s="139" t="s">
        <v>556</v>
      </c>
      <c r="B19" s="195"/>
      <c r="C19" s="139"/>
      <c r="D19" s="253">
        <v>0</v>
      </c>
      <c r="E19" s="240"/>
      <c r="F19" s="408">
        <f t="shared" si="1"/>
        <v>0</v>
      </c>
      <c r="G19" s="26">
        <f t="shared" si="2"/>
        <v>0</v>
      </c>
      <c r="H19"/>
    </row>
    <row r="20" spans="1:11" ht="15.75" thickBot="1" x14ac:dyDescent="0.3">
      <c r="A20" s="139" t="s">
        <v>421</v>
      </c>
      <c r="B20" s="195">
        <f>+$B$3</f>
        <v>1368</v>
      </c>
      <c r="C20" s="139"/>
      <c r="D20" s="253">
        <v>0</v>
      </c>
      <c r="E20" s="240">
        <v>1</v>
      </c>
      <c r="F20" s="408">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7" t="s">
        <v>2</v>
      </c>
      <c r="K1" s="917" t="str">
        <f>IF(Profit!U6,IF(L1,"Yes","No"),"No")</f>
        <v>No</v>
      </c>
      <c r="L1" s="921" t="b">
        <v>0</v>
      </c>
    </row>
    <row r="2" spans="1:16" ht="15.75" thickBot="1" x14ac:dyDescent="0.3">
      <c r="A2" s="32" t="s">
        <v>189</v>
      </c>
      <c r="B2" s="32"/>
      <c r="C2" s="32"/>
      <c r="J2" s="918"/>
      <c r="K2" s="918"/>
      <c r="L2" s="922"/>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6"/>
      <c r="B4" s="396" t="s">
        <v>424</v>
      </c>
      <c r="C4" s="396"/>
      <c r="D4" s="395" t="s">
        <v>425</v>
      </c>
      <c r="E4" s="412">
        <v>0</v>
      </c>
      <c r="F4" s="403">
        <v>7000</v>
      </c>
      <c r="G4" s="404">
        <f>+E4*F4</f>
        <v>0</v>
      </c>
      <c r="H4" s="413"/>
      <c r="J4" s="3"/>
      <c r="K4" s="3"/>
    </row>
    <row r="5" spans="1:16" s="22" customFormat="1" x14ac:dyDescent="0.25">
      <c r="A5" s="400"/>
      <c r="B5" s="400"/>
      <c r="C5" s="400"/>
      <c r="D5" s="400"/>
      <c r="E5" s="400"/>
      <c r="F5" s="401"/>
      <c r="G5" s="414"/>
      <c r="H5" s="415">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6" t="s">
        <v>148</v>
      </c>
      <c r="E16">
        <v>0</v>
      </c>
      <c r="F16" s="5">
        <v>0</v>
      </c>
      <c r="G16" s="29">
        <f>+E16*F16</f>
        <v>0</v>
      </c>
      <c r="H16" s="29"/>
      <c r="L16" s="2"/>
      <c r="M16" s="11"/>
      <c r="N16" s="5"/>
      <c r="O16" s="26"/>
    </row>
    <row r="17" spans="5:16" x14ac:dyDescent="0.25">
      <c r="E17" s="915"/>
      <c r="F17" s="916"/>
      <c r="G17" s="916"/>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5"/>
      <c r="N24" s="916"/>
      <c r="O24" s="916"/>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7" t="s">
        <v>2</v>
      </c>
      <c r="J1" s="917" t="str">
        <f>IF(Profit!U6,IF(K1,"Yes","No"),"No")</f>
        <v>No</v>
      </c>
      <c r="K1" s="921" t="b">
        <v>0</v>
      </c>
    </row>
    <row r="2" spans="1:11" ht="15.75" thickBot="1" x14ac:dyDescent="0.3">
      <c r="C2" s="3"/>
      <c r="D2" s="8"/>
      <c r="E2" s="13"/>
      <c r="F2" s="13"/>
      <c r="G2" s="13"/>
      <c r="I2" s="918"/>
      <c r="J2" s="918"/>
      <c r="K2" s="922"/>
    </row>
    <row r="3" spans="1:11" x14ac:dyDescent="0.25">
      <c r="A3" s="3" t="s">
        <v>208</v>
      </c>
      <c r="B3" s="3" t="s">
        <v>321</v>
      </c>
      <c r="C3" s="3" t="s">
        <v>265</v>
      </c>
      <c r="D3" s="8" t="s">
        <v>266</v>
      </c>
      <c r="E3" s="13" t="s">
        <v>267</v>
      </c>
      <c r="F3" s="13" t="s">
        <v>254</v>
      </c>
      <c r="G3" s="13" t="s">
        <v>268</v>
      </c>
    </row>
    <row r="4" spans="1:11" x14ac:dyDescent="0.25">
      <c r="A4" s="406" t="s">
        <v>498</v>
      </c>
      <c r="B4" s="406" t="s">
        <v>546</v>
      </c>
      <c r="C4" s="396">
        <v>4</v>
      </c>
      <c r="D4" s="403">
        <v>21.97</v>
      </c>
      <c r="E4" s="397">
        <f>+C4*D4</f>
        <v>87.88</v>
      </c>
      <c r="F4" s="404">
        <f t="shared" ref="F4:F7" si="0">+E4*0.0725</f>
        <v>6.3712999999999989</v>
      </c>
      <c r="G4" s="402"/>
    </row>
    <row r="5" spans="1:11" x14ac:dyDescent="0.25">
      <c r="A5" s="406" t="s">
        <v>509</v>
      </c>
      <c r="B5" s="406" t="s">
        <v>510</v>
      </c>
      <c r="C5" s="396">
        <v>2</v>
      </c>
      <c r="D5" s="403">
        <v>79.97</v>
      </c>
      <c r="E5" s="397">
        <f t="shared" ref="E5:E7" si="1">+C5*D5</f>
        <v>159.94</v>
      </c>
      <c r="F5" s="404">
        <f t="shared" si="0"/>
        <v>11.595649999999999</v>
      </c>
      <c r="G5" s="397"/>
    </row>
    <row r="6" spans="1:11" x14ac:dyDescent="0.25">
      <c r="A6" s="406" t="s">
        <v>511</v>
      </c>
      <c r="B6" s="406" t="s">
        <v>512</v>
      </c>
      <c r="C6" s="396">
        <v>1</v>
      </c>
      <c r="D6" s="403">
        <v>123</v>
      </c>
      <c r="E6" s="397">
        <f t="shared" si="1"/>
        <v>123</v>
      </c>
      <c r="F6" s="404">
        <f t="shared" si="0"/>
        <v>8.9174999999999986</v>
      </c>
      <c r="G6" s="397"/>
    </row>
    <row r="7" spans="1:11" ht="15.75" thickBot="1" x14ac:dyDescent="0.3">
      <c r="A7" s="406" t="s">
        <v>515</v>
      </c>
      <c r="B7" s="406" t="s">
        <v>516</v>
      </c>
      <c r="C7" s="396">
        <v>2</v>
      </c>
      <c r="D7" s="403">
        <v>54.98</v>
      </c>
      <c r="E7" s="397">
        <f t="shared" si="1"/>
        <v>109.96</v>
      </c>
      <c r="F7" s="404">
        <f t="shared" si="0"/>
        <v>7.9720999999999993</v>
      </c>
      <c r="G7" s="405"/>
    </row>
    <row r="8" spans="1:11" x14ac:dyDescent="0.25">
      <c r="A8" s="400"/>
      <c r="B8" s="400"/>
      <c r="C8" s="400"/>
      <c r="D8" s="401"/>
      <c r="E8" s="402"/>
      <c r="F8" s="402"/>
      <c r="G8" s="39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7" t="s">
        <v>2</v>
      </c>
      <c r="I1" s="917" t="str">
        <f>IF(Profit!$U$6,IF(J1="No","No","Yes"),"no")</f>
        <v>no</v>
      </c>
      <c r="J1" s="919"/>
    </row>
    <row r="2" spans="1:10" s="15" customFormat="1" ht="15.75" thickBot="1" x14ac:dyDescent="0.3">
      <c r="A2" s="3" t="s">
        <v>205</v>
      </c>
      <c r="B2" s="17" t="s">
        <v>451</v>
      </c>
      <c r="C2" s="30" t="s">
        <v>452</v>
      </c>
      <c r="D2" s="3" t="s">
        <v>265</v>
      </c>
      <c r="E2" s="8" t="s">
        <v>453</v>
      </c>
      <c r="F2" s="6" t="s">
        <v>454</v>
      </c>
      <c r="G2" s="15" t="s">
        <v>268</v>
      </c>
      <c r="H2" s="918"/>
      <c r="I2" s="918"/>
      <c r="J2" s="920"/>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6">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17" t="s">
        <v>2</v>
      </c>
      <c r="J1" s="917" t="str">
        <f>IF(Profit!$U$6,IF(K1="No","No","Yes"),"no")</f>
        <v>no</v>
      </c>
      <c r="K1" s="919"/>
    </row>
    <row r="2" spans="1:14" s="61" customFormat="1" ht="30.75" thickBot="1" x14ac:dyDescent="0.3">
      <c r="A2" s="61" t="s">
        <v>205</v>
      </c>
      <c r="B2" s="61" t="s">
        <v>205</v>
      </c>
      <c r="C2" s="61" t="s">
        <v>179</v>
      </c>
      <c r="D2" s="315" t="s">
        <v>461</v>
      </c>
      <c r="E2" s="61" t="s">
        <v>268</v>
      </c>
      <c r="F2" s="61" t="s">
        <v>462</v>
      </c>
      <c r="G2" s="248"/>
      <c r="H2" s="315">
        <v>20</v>
      </c>
      <c r="I2" s="918"/>
      <c r="J2" s="918"/>
      <c r="K2" s="920"/>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23" t="s">
        <v>566</v>
      </c>
      <c r="C1" s="824"/>
      <c r="E1" s="823" t="s">
        <v>570</v>
      </c>
      <c r="F1" s="824"/>
      <c r="H1" s="823" t="s">
        <v>569</v>
      </c>
      <c r="I1" s="824"/>
      <c r="L1" s="823" t="s">
        <v>584</v>
      </c>
      <c r="M1" s="824"/>
    </row>
    <row r="2" spans="1:14" x14ac:dyDescent="0.25">
      <c r="A2" s="2" t="s">
        <v>567</v>
      </c>
    </row>
    <row r="3" spans="1:14" x14ac:dyDescent="0.25">
      <c r="A3" s="2" t="s">
        <v>571</v>
      </c>
      <c r="B3" s="317">
        <v>0.56000000000000005</v>
      </c>
      <c r="E3" s="317">
        <f>+B3</f>
        <v>0.56000000000000005</v>
      </c>
      <c r="H3" s="317">
        <f>+E3</f>
        <v>0.56000000000000005</v>
      </c>
      <c r="L3" s="317">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23" t="s">
        <v>566</v>
      </c>
      <c r="C12" s="824"/>
      <c r="D12" s="3"/>
      <c r="E12" s="823" t="s">
        <v>570</v>
      </c>
      <c r="F12" s="824"/>
      <c r="G12" s="3"/>
      <c r="H12" s="823" t="s">
        <v>569</v>
      </c>
      <c r="I12" s="824"/>
      <c r="J12" s="3"/>
      <c r="K12" s="3"/>
    </row>
    <row r="13" spans="1:14" x14ac:dyDescent="0.25">
      <c r="A13" s="2" t="s">
        <v>578</v>
      </c>
      <c r="B13" s="317">
        <v>0.2</v>
      </c>
      <c r="C13">
        <f>+B13*STR!$C$4</f>
        <v>0</v>
      </c>
      <c r="E13" s="317">
        <f>+B13</f>
        <v>0.2</v>
      </c>
      <c r="F13">
        <f>+E13*STR!$F$4</f>
        <v>0</v>
      </c>
      <c r="H13" s="317">
        <f>+E13</f>
        <v>0.2</v>
      </c>
      <c r="I13">
        <f>+H13*STR!$M$4</f>
        <v>0</v>
      </c>
      <c r="K13" s="4">
        <f>+C13+F13+I13</f>
        <v>0</v>
      </c>
    </row>
    <row r="14" spans="1:14" ht="15.75" thickBot="1" x14ac:dyDescent="0.3">
      <c r="A14" s="2" t="s">
        <v>572</v>
      </c>
      <c r="B14" s="317">
        <v>0.05</v>
      </c>
      <c r="C14">
        <f>+B14*STR!$C$4</f>
        <v>0</v>
      </c>
      <c r="E14" s="317">
        <v>0.05</v>
      </c>
      <c r="F14">
        <f>+E14*STR!$C$4</f>
        <v>0</v>
      </c>
      <c r="H14" s="317">
        <v>0.05</v>
      </c>
      <c r="I14">
        <f>+H14*STR!$C$4</f>
        <v>0</v>
      </c>
      <c r="K14" s="31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7" t="s">
        <v>588</v>
      </c>
      <c r="C2" s="928"/>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3">
        <f>+AVERAGE(E3:F3)</f>
        <v>167500</v>
      </c>
      <c r="D8" s="703"/>
      <c r="E8" s="929"/>
      <c r="F8" s="624"/>
      <c r="G8" s="753"/>
      <c r="I8" s="61"/>
      <c r="J8" s="61"/>
      <c r="K8" s="61"/>
    </row>
    <row r="9" spans="1:11" ht="15.75" thickBot="1" x14ac:dyDescent="0.3">
      <c r="B9" s="145" t="s">
        <v>155</v>
      </c>
      <c r="C9" s="923">
        <f>+AVERAGE(E4:F4)</f>
        <v>44549.638750000006</v>
      </c>
      <c r="D9" s="703"/>
      <c r="E9" s="754"/>
      <c r="F9" s="740"/>
      <c r="G9" s="755"/>
      <c r="I9" s="61"/>
      <c r="J9" s="61"/>
      <c r="K9" s="61"/>
    </row>
    <row r="10" spans="1:11" ht="15.75" thickBot="1" x14ac:dyDescent="0.3">
      <c r="B10" s="145" t="s">
        <v>156</v>
      </c>
      <c r="C10" s="923">
        <f>+AVERAGE(E5:F5)</f>
        <v>42487.25</v>
      </c>
      <c r="D10" s="703"/>
      <c r="E10" s="930" t="s">
        <v>157</v>
      </c>
      <c r="F10" s="784"/>
      <c r="G10" s="661"/>
      <c r="I10" s="61"/>
      <c r="J10" s="61"/>
      <c r="K10" s="61"/>
    </row>
    <row r="11" spans="1:11" ht="15.75" thickBot="1" x14ac:dyDescent="0.3">
      <c r="B11" s="145" t="s">
        <v>158</v>
      </c>
      <c r="C11" s="923">
        <f>+AVERAGE(E6:F6)</f>
        <v>45703.346999999994</v>
      </c>
      <c r="D11" s="703"/>
      <c r="E11" s="924" t="s">
        <v>159</v>
      </c>
      <c r="F11" s="925"/>
      <c r="G11" s="926"/>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7" t="s">
        <v>587</v>
      </c>
      <c r="C2" s="928"/>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3">
        <f>+AVERAGE(E3:F3)</f>
        <v>375000</v>
      </c>
      <c r="D8" s="703"/>
      <c r="E8" s="929"/>
      <c r="F8" s="624"/>
      <c r="G8" s="753"/>
    </row>
    <row r="9" spans="1:8" ht="15.75" thickBot="1" x14ac:dyDescent="0.3">
      <c r="B9" s="145" t="s">
        <v>155</v>
      </c>
      <c r="C9" s="923">
        <f>+AVERAGE(E4:F4)</f>
        <v>176184.5</v>
      </c>
      <c r="D9" s="703"/>
      <c r="E9" s="754"/>
      <c r="F9" s="740"/>
      <c r="G9" s="755"/>
    </row>
    <row r="10" spans="1:8" ht="15.75" thickBot="1" x14ac:dyDescent="0.3">
      <c r="B10" s="145" t="s">
        <v>156</v>
      </c>
      <c r="C10" s="923">
        <f>+AVERAGE(E5:F5)</f>
        <v>121133.5</v>
      </c>
      <c r="D10" s="703"/>
      <c r="E10" s="930" t="s">
        <v>157</v>
      </c>
      <c r="F10" s="784"/>
      <c r="G10" s="661"/>
    </row>
    <row r="11" spans="1:8" ht="15.75" thickBot="1" x14ac:dyDescent="0.3">
      <c r="B11" s="145" t="s">
        <v>158</v>
      </c>
      <c r="C11" s="923">
        <f>+AVERAGE(E6:F6)</f>
        <v>77681.948333333334</v>
      </c>
      <c r="D11" s="703"/>
      <c r="E11" s="924" t="s">
        <v>159</v>
      </c>
      <c r="F11" s="925"/>
      <c r="G11" s="926"/>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7" t="s">
        <v>473</v>
      </c>
      <c r="C2" s="93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3">
        <f>+AVERAGE(E3:H3)</f>
        <v>315632.25</v>
      </c>
      <c r="D8" s="931"/>
      <c r="E8" s="929"/>
      <c r="F8" s="624"/>
      <c r="G8" s="624"/>
      <c r="H8" s="624"/>
      <c r="I8" s="753"/>
    </row>
    <row r="9" spans="1:10" ht="15.75" thickBot="1" x14ac:dyDescent="0.3">
      <c r="A9" s="148"/>
      <c r="B9" s="145" t="s">
        <v>155</v>
      </c>
      <c r="C9" s="923">
        <f>+AVERAGE(E4:H4)</f>
        <v>138648.73000000001</v>
      </c>
      <c r="D9" s="931"/>
      <c r="E9" s="754"/>
      <c r="F9" s="740"/>
      <c r="G9" s="740"/>
      <c r="H9" s="740"/>
      <c r="I9" s="755"/>
    </row>
    <row r="10" spans="1:10" ht="15.75" thickBot="1" x14ac:dyDescent="0.3">
      <c r="A10" s="148"/>
      <c r="B10" s="145" t="s">
        <v>156</v>
      </c>
      <c r="C10" s="923">
        <f>+AVERAGE(E5:H5)</f>
        <v>37177.026874999996</v>
      </c>
      <c r="D10" s="931"/>
      <c r="E10" s="930" t="s">
        <v>157</v>
      </c>
      <c r="F10" s="935"/>
      <c r="G10" s="935"/>
      <c r="H10" s="935"/>
      <c r="I10" s="936"/>
    </row>
    <row r="11" spans="1:10" ht="15.75" thickBot="1" x14ac:dyDescent="0.3">
      <c r="B11" s="145" t="s">
        <v>158</v>
      </c>
      <c r="C11" s="923">
        <f>+AVERAGE(E6:H6)</f>
        <v>117803.01925000001</v>
      </c>
      <c r="D11" s="931"/>
      <c r="E11" s="924" t="s">
        <v>159</v>
      </c>
      <c r="F11" s="932"/>
      <c r="G11" s="932"/>
      <c r="H11" s="932"/>
      <c r="I11" s="93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7" t="s">
        <v>473</v>
      </c>
      <c r="C2" s="928"/>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3">
        <f>+AVERAGE(E3:G3)</f>
        <v>270600</v>
      </c>
      <c r="D8" s="703"/>
      <c r="E8" s="929"/>
      <c r="F8" s="937"/>
      <c r="G8" s="624"/>
      <c r="H8" s="753"/>
    </row>
    <row r="9" spans="1:9" ht="15.75" thickBot="1" x14ac:dyDescent="0.3">
      <c r="B9" s="145" t="s">
        <v>155</v>
      </c>
      <c r="C9" s="923">
        <f>+AVERAGE(E4:G4)</f>
        <v>133923.63333333333</v>
      </c>
      <c r="D9" s="703"/>
      <c r="E9" s="754"/>
      <c r="F9" s="740"/>
      <c r="G9" s="740"/>
      <c r="H9" s="755"/>
    </row>
    <row r="10" spans="1:9" ht="15.75" thickBot="1" x14ac:dyDescent="0.3">
      <c r="B10" s="145" t="s">
        <v>156</v>
      </c>
      <c r="C10" s="923">
        <f>+AVERAGE(E5:G5)</f>
        <v>48783.358384708328</v>
      </c>
      <c r="D10" s="703"/>
      <c r="E10" s="930" t="s">
        <v>157</v>
      </c>
      <c r="F10" s="935"/>
      <c r="G10" s="784"/>
      <c r="H10" s="661"/>
    </row>
    <row r="11" spans="1:9" ht="15.75" thickBot="1" x14ac:dyDescent="0.3">
      <c r="B11" s="145" t="s">
        <v>158</v>
      </c>
      <c r="C11" s="923">
        <f>+AVERAGE(E6:G6)</f>
        <v>85689.034948625005</v>
      </c>
      <c r="D11" s="703"/>
      <c r="E11" s="924" t="s">
        <v>159</v>
      </c>
      <c r="F11" s="932"/>
      <c r="G11" s="925"/>
      <c r="H11" s="926"/>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7" t="s">
        <v>473</v>
      </c>
      <c r="C2" s="928"/>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3">
        <f>+AVERAGE(E3:G3)</f>
        <v>180000</v>
      </c>
      <c r="D8" s="703"/>
      <c r="E8" s="929"/>
      <c r="F8" s="937"/>
      <c r="G8" s="624"/>
      <c r="H8" s="753"/>
    </row>
    <row r="9" spans="1:9" ht="15.75" thickBot="1" x14ac:dyDescent="0.3">
      <c r="B9" s="145" t="s">
        <v>155</v>
      </c>
      <c r="C9" s="923">
        <f>+AVERAGE(E4:G4)</f>
        <v>103547.57</v>
      </c>
      <c r="D9" s="703"/>
      <c r="E9" s="754"/>
      <c r="F9" s="740"/>
      <c r="G9" s="740"/>
      <c r="H9" s="755"/>
    </row>
    <row r="10" spans="1:9" ht="15.75" thickBot="1" x14ac:dyDescent="0.3">
      <c r="B10" s="145" t="s">
        <v>156</v>
      </c>
      <c r="C10" s="923">
        <f>+AVERAGE(E5:G5)</f>
        <v>16660.233833333332</v>
      </c>
      <c r="D10" s="703"/>
      <c r="E10" s="930" t="s">
        <v>157</v>
      </c>
      <c r="F10" s="935"/>
      <c r="G10" s="784"/>
      <c r="H10" s="661"/>
    </row>
    <row r="11" spans="1:9" ht="15.75" thickBot="1" x14ac:dyDescent="0.3">
      <c r="B11" s="145" t="s">
        <v>158</v>
      </c>
      <c r="C11" s="923">
        <f>+AVERAGE(E6:G6)</f>
        <v>38679.975259259263</v>
      </c>
      <c r="D11" s="703"/>
      <c r="E11" s="924" t="s">
        <v>159</v>
      </c>
      <c r="F11" s="932"/>
      <c r="G11" s="925"/>
      <c r="H11" s="926"/>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2026-06-23T19:25:26Z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