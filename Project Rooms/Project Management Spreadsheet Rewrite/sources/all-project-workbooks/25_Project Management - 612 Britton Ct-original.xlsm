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6.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86.xml" ContentType="application/inkml+xml"/>
  <Override PartName="/xl/ink/ink87.xml" ContentType="application/inkml+xml"/>
  <Override PartName="/xl/drawings/drawing6.xml" ContentType="application/vnd.openxmlformats-officedocument.drawing+xml"/>
  <Override PartName="/xl/ink/ink88.xml" ContentType="application/inkml+xml"/>
  <Override PartName="/xl/drawings/drawing7.xml" ContentType="application/vnd.openxmlformats-officedocument.drawing+xml"/>
  <Override PartName="/xl/ink/ink89.xml" ContentType="application/inkml+xml"/>
  <Override PartName="/xl/drawings/drawing8.xml" ContentType="application/vnd.openxmlformats-officedocument.drawing+xml"/>
  <Override PartName="/xl/ink/ink90.xml" ContentType="application/inkml+xml"/>
  <Override PartName="/xl/drawings/drawing9.xml" ContentType="application/vnd.openxmlformats-officedocument.drawing+xml"/>
  <Override PartName="/xl/ink/ink91.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416" documentId="8_{6FF52B21-B6A4-49D6-8067-DA6CC0784D23}" xr6:coauthVersionLast="47" xr6:coauthVersionMax="47" xr10:uidLastSave="{989807DC-383A-4410-BE70-38E7E5347779}"/>
  <bookViews>
    <workbookView xWindow="-120" yWindow="-120" windowWidth="38640" windowHeight="15720" tabRatio="889" xr2:uid="{00000000-000D-0000-FFFF-FFFF00000000}"/>
  </bookViews>
  <sheets>
    <sheet name="Profit" sheetId="1" r:id="rId1"/>
    <sheet name="Amortization" sheetId="63" r:id="rId2"/>
    <sheet name="Docs" sheetId="64" r:id="rId3"/>
    <sheet name="Sheet1" sheetId="65" r:id="rId4"/>
    <sheet name="MOG" sheetId="33" r:id="rId5"/>
    <sheet name="Todo" sheetId="19" r:id="rId6"/>
    <sheet name="Contact" sheetId="10" r:id="rId7"/>
    <sheet name="Carrying" sheetId="57" r:id="rId8"/>
    <sheet name="Contract" sheetId="36" r:id="rId9"/>
    <sheet name="UpdateContract" sheetId="47" r:id="rId10"/>
    <sheet name="Gnatt Chart" sheetId="37"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Exterior" sheetId="16" r:id="rId25"/>
    <sheet name="Landscape" sheetId="13" r:id="rId26"/>
    <sheet name="2024" sheetId="62" r:id="rId27"/>
    <sheet name="STR" sheetId="59" r:id="rId28"/>
    <sheet name="2023" sheetId="56" r:id="rId29"/>
    <sheet name="2022" sheetId="55" r:id="rId30"/>
    <sheet name="2021" sheetId="54" r:id="rId31"/>
    <sheet name="2020" sheetId="53" r:id="rId32"/>
    <sheet name="Furnishing" sheetId="61" r:id="rId33"/>
  </sheets>
  <externalReferences>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s>
  <definedNames>
    <definedName name="_xlnm._FilterDatabase" localSheetId="10" hidden="1">'Gnatt Chart'!$A$1:$DU$26</definedName>
    <definedName name="_xleta.FIXED" hidden="1" xlm="1">#NAME?</definedName>
    <definedName name="_xleta.IF" hidden="1" xlm="1">#NAME?</definedName>
    <definedName name="_xleta.SUM" hidden="1" xlm="1">#NAME?</definedName>
    <definedName name="ExternalData_2" localSheetId="11" hidden="1">'Recap'!$N$4:$S$5</definedName>
    <definedName name="ExternalData_3" localSheetId="9" hidden="1">UpdateContract!$B$4:$H$27</definedName>
    <definedName name="ExternalData_4" localSheetId="10" hidden="1">'Gnatt Chart'!$A$27:$O$50</definedName>
    <definedName name="Milestone_Marker">'Gnatt Chart'!$G$4</definedName>
    <definedName name="Project_Start">'Gnatt Chart'!$F$2</definedName>
    <definedName name="ProposalToGnatt__2" localSheetId="11" hidden="1">'Recap'!$A$4:$G$27</definedName>
    <definedName name="Scrolling_Increment">'Gnatt Chart'!$AB$24</definedName>
    <definedName name="Today" localSheetId="10">TODAY()</definedName>
  </definedNames>
  <calcPr calcId="191028" calcMode="autoNoTable"/>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7" i="19" l="1"/>
  <c r="F29" i="22"/>
  <c r="F28" i="22"/>
  <c r="F27" i="22"/>
  <c r="F26" i="22"/>
  <c r="F25" i="22"/>
  <c r="F24" i="22"/>
  <c r="F23" i="22"/>
  <c r="F22" i="22"/>
  <c r="F21" i="22"/>
  <c r="F20" i="22"/>
  <c r="F19" i="22"/>
  <c r="F18" i="22"/>
  <c r="F17" i="22"/>
  <c r="F16" i="22"/>
  <c r="F15" i="22"/>
  <c r="F7" i="16"/>
  <c r="F6" i="16"/>
  <c r="F5" i="16"/>
  <c r="N52" i="19"/>
  <c r="N51" i="19"/>
  <c r="N49" i="19"/>
  <c r="N48" i="19"/>
  <c r="N47" i="19"/>
  <c r="N50" i="19" l="1"/>
  <c r="J52" i="19" l="1"/>
  <c r="J51" i="19"/>
  <c r="J49" i="19"/>
  <c r="J48" i="19"/>
  <c r="J47" i="19"/>
  <c r="J50" i="19" l="1"/>
  <c r="O52" i="19" l="1"/>
  <c r="M52" i="19"/>
  <c r="L52" i="19"/>
  <c r="K52" i="19"/>
  <c r="I52" i="19"/>
  <c r="H52" i="19"/>
  <c r="G52" i="19"/>
  <c r="F52" i="19"/>
  <c r="O51" i="19"/>
  <c r="M51" i="19"/>
  <c r="L51" i="19"/>
  <c r="K51" i="19"/>
  <c r="I51" i="19"/>
  <c r="H51" i="19"/>
  <c r="G51" i="19"/>
  <c r="F51" i="19"/>
  <c r="O50" i="19"/>
  <c r="M50" i="19"/>
  <c r="L50" i="19"/>
  <c r="K50" i="19"/>
  <c r="I50" i="19"/>
  <c r="H50" i="19"/>
  <c r="G50" i="19"/>
  <c r="F50" i="19"/>
  <c r="F49" i="19"/>
  <c r="F48" i="19"/>
  <c r="O49" i="19"/>
  <c r="M49" i="19"/>
  <c r="L49" i="19"/>
  <c r="K49" i="19"/>
  <c r="I49" i="19"/>
  <c r="H49" i="19"/>
  <c r="G49" i="19"/>
  <c r="O48" i="19"/>
  <c r="M48" i="19"/>
  <c r="L48" i="19"/>
  <c r="K48" i="19"/>
  <c r="I48" i="19"/>
  <c r="H48" i="19"/>
  <c r="G48" i="19"/>
  <c r="O47" i="19"/>
  <c r="M47" i="19"/>
  <c r="L47" i="19"/>
  <c r="K47" i="19"/>
  <c r="I47" i="19"/>
  <c r="H47" i="19"/>
  <c r="G47" i="19"/>
  <c r="F47" i="19"/>
  <c r="E47" i="19"/>
  <c r="G46" i="19"/>
  <c r="G45" i="19"/>
  <c r="G44" i="19"/>
  <c r="H46" i="19"/>
  <c r="H45" i="19"/>
  <c r="H44" i="19"/>
  <c r="H42" i="19"/>
  <c r="H41" i="19"/>
  <c r="H40" i="19"/>
  <c r="H39" i="19"/>
  <c r="H38" i="19"/>
  <c r="H37" i="19"/>
  <c r="H36" i="19"/>
  <c r="H35" i="19"/>
  <c r="H34" i="19"/>
  <c r="H33" i="19"/>
  <c r="H32" i="19"/>
  <c r="H31" i="19"/>
  <c r="H30" i="19"/>
  <c r="H29" i="19"/>
  <c r="H28" i="19"/>
  <c r="H27" i="19"/>
  <c r="H26" i="19"/>
  <c r="H25" i="19"/>
  <c r="H24" i="19"/>
  <c r="H23" i="19"/>
  <c r="H22" i="19"/>
  <c r="H21" i="19"/>
  <c r="H20" i="19"/>
  <c r="H19" i="19"/>
  <c r="H18" i="19"/>
  <c r="H17" i="19"/>
  <c r="H16" i="19"/>
  <c r="H15" i="19"/>
  <c r="H14" i="19"/>
  <c r="H13" i="19"/>
  <c r="H12" i="19"/>
  <c r="H11" i="19"/>
  <c r="H10" i="19"/>
  <c r="H9" i="19"/>
  <c r="H8" i="19"/>
  <c r="H7" i="19"/>
  <c r="H6" i="19"/>
  <c r="H5" i="19"/>
  <c r="H4" i="19"/>
  <c r="H3" i="19"/>
  <c r="I46" i="19"/>
  <c r="I45" i="19"/>
  <c r="I44" i="19"/>
  <c r="I41" i="19"/>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I6" i="19"/>
  <c r="I5" i="19"/>
  <c r="I4" i="19"/>
  <c r="I3" i="19"/>
  <c r="E39" i="1"/>
  <c r="C47" i="19" l="1"/>
  <c r="BQ2" i="64"/>
  <c r="BP2" i="64"/>
  <c r="BO2" i="64"/>
  <c r="B83" i="65"/>
  <c r="B62" i="64"/>
  <c r="U2" i="64" s="1"/>
  <c r="B49" i="64"/>
  <c r="AF2" i="64" s="1"/>
  <c r="B50" i="64"/>
  <c r="AG2" i="64" s="1"/>
  <c r="B28" i="64"/>
  <c r="J2" i="64" s="1"/>
  <c r="B7" i="1"/>
  <c r="B5" i="1"/>
  <c r="B69" i="64"/>
  <c r="BK2" i="64" s="1"/>
  <c r="B68" i="64"/>
  <c r="CI2" i="64" s="1"/>
  <c r="B65" i="64"/>
  <c r="BF2" i="64" s="1"/>
  <c r="B64" i="64"/>
  <c r="CM2" i="64" s="1"/>
  <c r="B55" i="64"/>
  <c r="B56" i="64" s="1"/>
  <c r="AK2" i="64" s="1"/>
  <c r="B48" i="64"/>
  <c r="V2" i="64" s="1"/>
  <c r="B47" i="64"/>
  <c r="B44" i="64"/>
  <c r="R2" i="64" s="1"/>
  <c r="B43" i="64"/>
  <c r="CD2" i="64" s="1"/>
  <c r="B31" i="64"/>
  <c r="H2" i="64" s="1"/>
  <c r="B30" i="64"/>
  <c r="K2" i="64" s="1"/>
  <c r="B27" i="64"/>
  <c r="I2" i="64" s="1"/>
  <c r="B15" i="64"/>
  <c r="B16" i="64" s="1"/>
  <c r="B14" i="64"/>
  <c r="BJ2" i="64" s="1"/>
  <c r="B100" i="64"/>
  <c r="AZ2" i="64" s="1"/>
  <c r="B99" i="64"/>
  <c r="AY2" i="64" s="1"/>
  <c r="B90" i="64"/>
  <c r="X2" i="64" s="1"/>
  <c r="B89" i="64"/>
  <c r="Y2" i="64" s="1"/>
  <c r="B60" i="64"/>
  <c r="BY2" i="64" s="1"/>
  <c r="B23" i="64"/>
  <c r="B22" i="64"/>
  <c r="B21" i="64"/>
  <c r="AP2" i="64" s="1"/>
  <c r="B18" i="64"/>
  <c r="CL2" i="64" s="1"/>
  <c r="G5" i="64"/>
  <c r="CR2" i="64"/>
  <c r="CQ2" i="64"/>
  <c r="CP2" i="64"/>
  <c r="CO2" i="64"/>
  <c r="CN2" i="64"/>
  <c r="CJ2" i="64"/>
  <c r="CH2" i="64"/>
  <c r="CG2" i="64"/>
  <c r="CF2" i="64"/>
  <c r="CE2" i="64"/>
  <c r="CB2" i="64"/>
  <c r="CA2" i="64"/>
  <c r="BX2" i="64"/>
  <c r="BW2" i="64"/>
  <c r="BV2" i="64"/>
  <c r="BU2" i="64"/>
  <c r="BT2" i="64"/>
  <c r="BS2" i="64"/>
  <c r="BR2" i="64"/>
  <c r="BN2" i="64"/>
  <c r="BL2" i="64"/>
  <c r="BH2" i="64"/>
  <c r="BG2" i="64"/>
  <c r="BE2" i="64"/>
  <c r="BA2" i="64"/>
  <c r="AW2" i="64"/>
  <c r="AS2" i="64"/>
  <c r="AR2" i="64"/>
  <c r="AQ2" i="64"/>
  <c r="AN2" i="64"/>
  <c r="AM2" i="64"/>
  <c r="AL2" i="64"/>
  <c r="AJ2" i="64"/>
  <c r="AI2" i="64"/>
  <c r="AH2" i="64"/>
  <c r="AE2" i="64"/>
  <c r="AD2" i="64"/>
  <c r="AC2" i="64"/>
  <c r="AB2" i="64"/>
  <c r="AA2" i="64"/>
  <c r="Z2" i="64"/>
  <c r="W2" i="64"/>
  <c r="T2" i="64"/>
  <c r="S2" i="64"/>
  <c r="Q2" i="64"/>
  <c r="O2" i="64"/>
  <c r="N2" i="64"/>
  <c r="M2" i="64"/>
  <c r="L2" i="64"/>
  <c r="G2" i="64"/>
  <c r="F2" i="64"/>
  <c r="E2" i="64"/>
  <c r="D2" i="64"/>
  <c r="B84" i="65"/>
  <c r="B78" i="65"/>
  <c r="AV2" i="65" s="1"/>
  <c r="B77" i="65"/>
  <c r="AW2" i="65" s="1"/>
  <c r="B55" i="65"/>
  <c r="B54" i="65"/>
  <c r="AA2" i="65" s="1"/>
  <c r="B53" i="65"/>
  <c r="B51" i="65"/>
  <c r="B50" i="65"/>
  <c r="N2" i="65" s="1"/>
  <c r="B47" i="65"/>
  <c r="BF2" i="65" s="1"/>
  <c r="B44" i="65"/>
  <c r="B42" i="65"/>
  <c r="B41" i="65"/>
  <c r="B40" i="65"/>
  <c r="B39" i="65"/>
  <c r="R2" i="65" s="1"/>
  <c r="B36" i="65"/>
  <c r="B35" i="65"/>
  <c r="B29" i="65"/>
  <c r="B28" i="65"/>
  <c r="F2" i="65" s="1"/>
  <c r="B27" i="65"/>
  <c r="B23" i="65"/>
  <c r="AQ2" i="65" s="1"/>
  <c r="B22" i="65"/>
  <c r="AP2" i="65" s="1"/>
  <c r="B21" i="65"/>
  <c r="AO2" i="65" s="1"/>
  <c r="B19" i="65"/>
  <c r="AL2" i="65" s="1"/>
  <c r="B18" i="65"/>
  <c r="B15" i="65"/>
  <c r="B16" i="65" s="1"/>
  <c r="B14" i="65"/>
  <c r="B13" i="65"/>
  <c r="AI2" i="65" s="1"/>
  <c r="B11" i="65"/>
  <c r="S2" i="65" s="1"/>
  <c r="B10" i="65"/>
  <c r="X2" i="65" s="1"/>
  <c r="BQ2" i="65"/>
  <c r="BP2" i="65"/>
  <c r="BN2" i="65"/>
  <c r="BM2" i="65"/>
  <c r="BL2" i="65"/>
  <c r="BK2" i="65"/>
  <c r="BJ2" i="65"/>
  <c r="BI2" i="65"/>
  <c r="BH2" i="65"/>
  <c r="BG2" i="65"/>
  <c r="BE2" i="65"/>
  <c r="BD2" i="65"/>
  <c r="BC2" i="65"/>
  <c r="BB2" i="65"/>
  <c r="BA2" i="65"/>
  <c r="AZ2" i="65"/>
  <c r="AY2" i="65"/>
  <c r="AX2" i="65"/>
  <c r="AU2" i="65"/>
  <c r="AT2" i="65"/>
  <c r="AS2" i="65"/>
  <c r="AR2" i="65"/>
  <c r="AN2" i="65"/>
  <c r="AM2" i="65"/>
  <c r="AK2" i="65"/>
  <c r="AH2" i="65"/>
  <c r="AG2" i="65"/>
  <c r="AF2" i="65"/>
  <c r="AE2" i="65"/>
  <c r="AC2" i="65"/>
  <c r="AB2" i="65"/>
  <c r="Z2" i="65"/>
  <c r="Y2" i="65"/>
  <c r="W2" i="65"/>
  <c r="U2" i="65"/>
  <c r="Q2" i="65"/>
  <c r="P2" i="65"/>
  <c r="O2" i="65"/>
  <c r="M2" i="65"/>
  <c r="L2" i="65"/>
  <c r="K2" i="65"/>
  <c r="J2" i="65"/>
  <c r="I2" i="65"/>
  <c r="H2" i="65"/>
  <c r="G2" i="65"/>
  <c r="E2" i="65"/>
  <c r="D2" i="65"/>
  <c r="C2" i="65"/>
  <c r="B67" i="64" l="1"/>
  <c r="BI2" i="64" s="1"/>
  <c r="B19" i="64"/>
  <c r="CK2" i="64" s="1"/>
  <c r="B95" i="64"/>
  <c r="AT2" i="64"/>
  <c r="AV2" i="64"/>
  <c r="B13" i="64"/>
  <c r="AU2" i="64" s="1"/>
  <c r="AD2" i="65"/>
  <c r="AJ2" i="65"/>
  <c r="B88" i="65"/>
  <c r="BR2" i="65" s="1"/>
  <c r="BO2" i="65"/>
  <c r="B12" i="65"/>
  <c r="T2" i="65" s="1"/>
  <c r="C2" i="63" l="1"/>
  <c r="C3" i="63"/>
  <c r="K4" i="63"/>
  <c r="Q782" i="63"/>
  <c r="I782" i="63"/>
  <c r="Q781" i="63"/>
  <c r="I781" i="63"/>
  <c r="Q780" i="63"/>
  <c r="I780" i="63"/>
  <c r="Q779" i="63"/>
  <c r="I779" i="63"/>
  <c r="Q778" i="63"/>
  <c r="I778" i="63"/>
  <c r="Q777" i="63"/>
  <c r="I777" i="63"/>
  <c r="Q776" i="63"/>
  <c r="I776" i="63"/>
  <c r="Q775" i="63"/>
  <c r="I775" i="63"/>
  <c r="Q774" i="63"/>
  <c r="I774" i="63"/>
  <c r="Q773" i="63"/>
  <c r="I773" i="63"/>
  <c r="Q772" i="63"/>
  <c r="I772" i="63"/>
  <c r="Q771" i="63"/>
  <c r="I771" i="63"/>
  <c r="Q770" i="63"/>
  <c r="I770" i="63"/>
  <c r="Q769" i="63"/>
  <c r="I769" i="63"/>
  <c r="Q768" i="63"/>
  <c r="I768" i="63"/>
  <c r="Q767" i="63"/>
  <c r="I767" i="63"/>
  <c r="Q766" i="63"/>
  <c r="I766" i="63"/>
  <c r="Q765" i="63"/>
  <c r="I765" i="63"/>
  <c r="Q764" i="63"/>
  <c r="I764" i="63"/>
  <c r="Q763" i="63"/>
  <c r="I763" i="63"/>
  <c r="Q762" i="63"/>
  <c r="I762" i="63"/>
  <c r="Q761" i="63"/>
  <c r="I761" i="63"/>
  <c r="Q760" i="63"/>
  <c r="I760" i="63"/>
  <c r="Q759" i="63"/>
  <c r="I759" i="63"/>
  <c r="Q758" i="63"/>
  <c r="I758" i="63"/>
  <c r="Q757" i="63"/>
  <c r="I757" i="63"/>
  <c r="Q756" i="63"/>
  <c r="I756" i="63"/>
  <c r="Q755" i="63"/>
  <c r="I755" i="63"/>
  <c r="Q754" i="63"/>
  <c r="I754" i="63"/>
  <c r="Q753" i="63"/>
  <c r="I753" i="63"/>
  <c r="Q752" i="63"/>
  <c r="I752" i="63"/>
  <c r="Q751" i="63"/>
  <c r="I751" i="63"/>
  <c r="Q750" i="63"/>
  <c r="I750" i="63"/>
  <c r="Q749" i="63"/>
  <c r="I749" i="63"/>
  <c r="Q748" i="63"/>
  <c r="I748" i="63"/>
  <c r="Q747" i="63"/>
  <c r="I747" i="63"/>
  <c r="Q746" i="63"/>
  <c r="I746" i="63"/>
  <c r="Q745" i="63"/>
  <c r="I745" i="63"/>
  <c r="Q744" i="63"/>
  <c r="I744" i="63"/>
  <c r="Q743" i="63"/>
  <c r="I743" i="63"/>
  <c r="Q742" i="63"/>
  <c r="I742" i="63"/>
  <c r="Q741" i="63"/>
  <c r="I741" i="63"/>
  <c r="Q740" i="63"/>
  <c r="I740" i="63"/>
  <c r="Q739" i="63"/>
  <c r="I739" i="63"/>
  <c r="Q738" i="63"/>
  <c r="I738" i="63"/>
  <c r="Q737" i="63"/>
  <c r="I737" i="63"/>
  <c r="Q736" i="63"/>
  <c r="I736" i="63"/>
  <c r="Q735" i="63"/>
  <c r="I735" i="63"/>
  <c r="Q734" i="63"/>
  <c r="I734" i="63"/>
  <c r="Q733" i="63"/>
  <c r="I733" i="63"/>
  <c r="Q732" i="63"/>
  <c r="I732" i="63"/>
  <c r="Q731" i="63"/>
  <c r="I731" i="63"/>
  <c r="Q730" i="63"/>
  <c r="I730" i="63"/>
  <c r="Q729" i="63"/>
  <c r="I729" i="63"/>
  <c r="Q728" i="63"/>
  <c r="I728" i="63"/>
  <c r="Q727" i="63"/>
  <c r="I727" i="63"/>
  <c r="Q726" i="63"/>
  <c r="I726" i="63"/>
  <c r="Q725" i="63"/>
  <c r="I725" i="63"/>
  <c r="Q724" i="63"/>
  <c r="I724" i="63"/>
  <c r="AC723" i="63"/>
  <c r="I723" i="63" s="1"/>
  <c r="Q723" i="63"/>
  <c r="AC722" i="63"/>
  <c r="I722" i="63" s="1"/>
  <c r="Q722" i="63"/>
  <c r="AC721" i="63"/>
  <c r="I721" i="63" s="1"/>
  <c r="Q721" i="63"/>
  <c r="AC720" i="63"/>
  <c r="I720" i="63" s="1"/>
  <c r="Q720" i="63"/>
  <c r="AC719" i="63"/>
  <c r="I719" i="63" s="1"/>
  <c r="Q719" i="63"/>
  <c r="AC718" i="63"/>
  <c r="I718" i="63" s="1"/>
  <c r="Q718" i="63"/>
  <c r="AC717" i="63"/>
  <c r="I717" i="63" s="1"/>
  <c r="Q717" i="63"/>
  <c r="AC716" i="63"/>
  <c r="I716" i="63" s="1"/>
  <c r="Q716" i="63"/>
  <c r="AC715" i="63"/>
  <c r="I715" i="63" s="1"/>
  <c r="Q715" i="63"/>
  <c r="AC714" i="63"/>
  <c r="I714" i="63" s="1"/>
  <c r="Q714" i="63"/>
  <c r="AC713" i="63"/>
  <c r="I713" i="63" s="1"/>
  <c r="Q713" i="63"/>
  <c r="AC712" i="63"/>
  <c r="I712" i="63" s="1"/>
  <c r="Q712" i="63"/>
  <c r="AC711" i="63"/>
  <c r="I711" i="63" s="1"/>
  <c r="Q711" i="63"/>
  <c r="AC710" i="63"/>
  <c r="I710" i="63" s="1"/>
  <c r="Q710" i="63"/>
  <c r="AC709" i="63"/>
  <c r="I709" i="63" s="1"/>
  <c r="Q709" i="63"/>
  <c r="AC708" i="63"/>
  <c r="I708" i="63" s="1"/>
  <c r="Q708" i="63"/>
  <c r="AC707" i="63"/>
  <c r="I707" i="63" s="1"/>
  <c r="Q707" i="63"/>
  <c r="AC706" i="63"/>
  <c r="I706" i="63" s="1"/>
  <c r="Q706" i="63"/>
  <c r="AC705" i="63"/>
  <c r="I705" i="63" s="1"/>
  <c r="Q705" i="63"/>
  <c r="AC704" i="63"/>
  <c r="I704" i="63" s="1"/>
  <c r="Q704" i="63"/>
  <c r="AC703" i="63"/>
  <c r="I703" i="63" s="1"/>
  <c r="Q703" i="63"/>
  <c r="AC702" i="63"/>
  <c r="I702" i="63" s="1"/>
  <c r="Q702" i="63"/>
  <c r="AC701" i="63"/>
  <c r="I701" i="63" s="1"/>
  <c r="Q701" i="63"/>
  <c r="AC700" i="63"/>
  <c r="I700" i="63" s="1"/>
  <c r="Q700" i="63"/>
  <c r="AC699" i="63"/>
  <c r="Q699" i="63"/>
  <c r="I699" i="63"/>
  <c r="AC698" i="63"/>
  <c r="I698" i="63" s="1"/>
  <c r="Q698" i="63"/>
  <c r="AC697" i="63"/>
  <c r="I697" i="63" s="1"/>
  <c r="Q697" i="63"/>
  <c r="AC696" i="63"/>
  <c r="I696" i="63" s="1"/>
  <c r="Q696" i="63"/>
  <c r="AC695" i="63"/>
  <c r="I695" i="63" s="1"/>
  <c r="Q695" i="63"/>
  <c r="AC694" i="63"/>
  <c r="I694" i="63" s="1"/>
  <c r="Q694" i="63"/>
  <c r="AC693" i="63"/>
  <c r="I693" i="63" s="1"/>
  <c r="Q693" i="63"/>
  <c r="AC692" i="63"/>
  <c r="Q692" i="63"/>
  <c r="I692" i="63"/>
  <c r="AC691" i="63"/>
  <c r="I691" i="63" s="1"/>
  <c r="Q691" i="63"/>
  <c r="AC690" i="63"/>
  <c r="I690" i="63" s="1"/>
  <c r="Q690" i="63"/>
  <c r="AC689" i="63"/>
  <c r="I689" i="63" s="1"/>
  <c r="Q689" i="63"/>
  <c r="AC688" i="63"/>
  <c r="I688" i="63" s="1"/>
  <c r="Q688" i="63"/>
  <c r="AC687" i="63"/>
  <c r="I687" i="63" s="1"/>
  <c r="Q687" i="63"/>
  <c r="AC686" i="63"/>
  <c r="I686" i="63" s="1"/>
  <c r="Q686" i="63"/>
  <c r="AC685" i="63"/>
  <c r="I685" i="63" s="1"/>
  <c r="Q685" i="63"/>
  <c r="AC684" i="63"/>
  <c r="I684" i="63" s="1"/>
  <c r="Q684" i="63"/>
  <c r="AC683" i="63"/>
  <c r="I683" i="63" s="1"/>
  <c r="Q683" i="63"/>
  <c r="AC682" i="63"/>
  <c r="I682" i="63" s="1"/>
  <c r="Q682" i="63"/>
  <c r="AC681" i="63"/>
  <c r="I681" i="63" s="1"/>
  <c r="Q681" i="63"/>
  <c r="AC680" i="63"/>
  <c r="I680" i="63" s="1"/>
  <c r="Q680" i="63"/>
  <c r="AC679" i="63"/>
  <c r="I679" i="63" s="1"/>
  <c r="Q679" i="63"/>
  <c r="AC678" i="63"/>
  <c r="I678" i="63" s="1"/>
  <c r="Q678" i="63"/>
  <c r="AC677" i="63"/>
  <c r="I677" i="63" s="1"/>
  <c r="Q677" i="63"/>
  <c r="AC676" i="63"/>
  <c r="I676" i="63" s="1"/>
  <c r="Q676" i="63"/>
  <c r="AC675" i="63"/>
  <c r="I675" i="63" s="1"/>
  <c r="Q675" i="63"/>
  <c r="AC674" i="63"/>
  <c r="I674" i="63" s="1"/>
  <c r="Q674" i="63"/>
  <c r="AC673" i="63"/>
  <c r="I673" i="63" s="1"/>
  <c r="Q673" i="63"/>
  <c r="AC672" i="63"/>
  <c r="I672" i="63" s="1"/>
  <c r="Q672" i="63"/>
  <c r="AC671" i="63"/>
  <c r="I671" i="63" s="1"/>
  <c r="Q671" i="63"/>
  <c r="AC670" i="63"/>
  <c r="I670" i="63" s="1"/>
  <c r="Q670" i="63"/>
  <c r="AC669" i="63"/>
  <c r="I669" i="63" s="1"/>
  <c r="Q669" i="63"/>
  <c r="AC668" i="63"/>
  <c r="I668" i="63" s="1"/>
  <c r="Q668" i="63"/>
  <c r="AC667" i="63"/>
  <c r="I667" i="63" s="1"/>
  <c r="Q667" i="63"/>
  <c r="AC666" i="63"/>
  <c r="I666" i="63" s="1"/>
  <c r="Q666" i="63"/>
  <c r="AC665" i="63"/>
  <c r="I665" i="63" s="1"/>
  <c r="Q665" i="63"/>
  <c r="AC664" i="63"/>
  <c r="I664" i="63" s="1"/>
  <c r="Q664" i="63"/>
  <c r="AC663" i="63"/>
  <c r="I663" i="63" s="1"/>
  <c r="Q663" i="63"/>
  <c r="AC662" i="63"/>
  <c r="I662" i="63" s="1"/>
  <c r="Q662" i="63"/>
  <c r="AC661" i="63"/>
  <c r="Q661" i="63"/>
  <c r="I661" i="63"/>
  <c r="AC660" i="63"/>
  <c r="I660" i="63" s="1"/>
  <c r="Q660" i="63"/>
  <c r="AC659" i="63"/>
  <c r="I659" i="63" s="1"/>
  <c r="Q659" i="63"/>
  <c r="AC658" i="63"/>
  <c r="I658" i="63" s="1"/>
  <c r="Q658" i="63"/>
  <c r="AC657" i="63"/>
  <c r="I657" i="63" s="1"/>
  <c r="Q657" i="63"/>
  <c r="AC656" i="63"/>
  <c r="I656" i="63" s="1"/>
  <c r="Q656" i="63"/>
  <c r="AC655" i="63"/>
  <c r="I655" i="63" s="1"/>
  <c r="Q655" i="63"/>
  <c r="AC654" i="63"/>
  <c r="I654" i="63" s="1"/>
  <c r="Q654" i="63"/>
  <c r="AC653" i="63"/>
  <c r="I653" i="63" s="1"/>
  <c r="Q653" i="63"/>
  <c r="AC652" i="63"/>
  <c r="I652" i="63" s="1"/>
  <c r="Q652" i="63"/>
  <c r="AC651" i="63"/>
  <c r="I651" i="63" s="1"/>
  <c r="Q651" i="63"/>
  <c r="AC650" i="63"/>
  <c r="I650" i="63" s="1"/>
  <c r="Q650" i="63"/>
  <c r="AC649" i="63"/>
  <c r="I649" i="63" s="1"/>
  <c r="Q649" i="63"/>
  <c r="AC648" i="63"/>
  <c r="I648" i="63" s="1"/>
  <c r="Q648" i="63"/>
  <c r="AC647" i="63"/>
  <c r="I647" i="63" s="1"/>
  <c r="Q647" i="63"/>
  <c r="AC646" i="63"/>
  <c r="I646" i="63" s="1"/>
  <c r="Q646" i="63"/>
  <c r="AC645" i="63"/>
  <c r="I645" i="63" s="1"/>
  <c r="Q645" i="63"/>
  <c r="AC644" i="63"/>
  <c r="I644" i="63" s="1"/>
  <c r="Q644" i="63"/>
  <c r="AC643" i="63"/>
  <c r="I643" i="63" s="1"/>
  <c r="Q643" i="63"/>
  <c r="AC642" i="63"/>
  <c r="I642" i="63" s="1"/>
  <c r="Q642" i="63"/>
  <c r="AC641" i="63"/>
  <c r="I641" i="63" s="1"/>
  <c r="Q641" i="63"/>
  <c r="AC640" i="63"/>
  <c r="I640" i="63" s="1"/>
  <c r="Q640" i="63"/>
  <c r="AC639" i="63"/>
  <c r="I639" i="63" s="1"/>
  <c r="Q639" i="63"/>
  <c r="AC638" i="63"/>
  <c r="I638" i="63" s="1"/>
  <c r="Q638" i="63"/>
  <c r="AC637" i="63"/>
  <c r="I637" i="63" s="1"/>
  <c r="Q637" i="63"/>
  <c r="AC636" i="63"/>
  <c r="I636" i="63" s="1"/>
  <c r="Q636" i="63"/>
  <c r="AC635" i="63"/>
  <c r="I635" i="63" s="1"/>
  <c r="Q635" i="63"/>
  <c r="AC634" i="63"/>
  <c r="I634" i="63" s="1"/>
  <c r="Q634" i="63"/>
  <c r="AC633" i="63"/>
  <c r="I633" i="63" s="1"/>
  <c r="Q633" i="63"/>
  <c r="AC632" i="63"/>
  <c r="I632" i="63" s="1"/>
  <c r="Q632" i="63"/>
  <c r="AC631" i="63"/>
  <c r="I631" i="63" s="1"/>
  <c r="Q631" i="63"/>
  <c r="AC630" i="63"/>
  <c r="I630" i="63" s="1"/>
  <c r="Q630" i="63"/>
  <c r="AC629" i="63"/>
  <c r="I629" i="63" s="1"/>
  <c r="Q629" i="63"/>
  <c r="AC628" i="63"/>
  <c r="I628" i="63" s="1"/>
  <c r="Q628" i="63"/>
  <c r="AC627" i="63"/>
  <c r="I627" i="63" s="1"/>
  <c r="Q627" i="63"/>
  <c r="AC626" i="63"/>
  <c r="I626" i="63" s="1"/>
  <c r="Q626" i="63"/>
  <c r="AC625" i="63"/>
  <c r="I625" i="63" s="1"/>
  <c r="Q625" i="63"/>
  <c r="AC624" i="63"/>
  <c r="I624" i="63" s="1"/>
  <c r="Q624" i="63"/>
  <c r="AC623" i="63"/>
  <c r="I623" i="63" s="1"/>
  <c r="Q623" i="63"/>
  <c r="AC622" i="63"/>
  <c r="I622" i="63" s="1"/>
  <c r="Q622" i="63"/>
  <c r="AC621" i="63"/>
  <c r="I621" i="63" s="1"/>
  <c r="Q621" i="63"/>
  <c r="AC620" i="63"/>
  <c r="I620" i="63" s="1"/>
  <c r="Q620" i="63"/>
  <c r="AC619" i="63"/>
  <c r="I619" i="63" s="1"/>
  <c r="Q619" i="63"/>
  <c r="AC618" i="63"/>
  <c r="I618" i="63" s="1"/>
  <c r="Q618" i="63"/>
  <c r="AC617" i="63"/>
  <c r="I617" i="63" s="1"/>
  <c r="Q617" i="63"/>
  <c r="AC616" i="63"/>
  <c r="I616" i="63" s="1"/>
  <c r="Q616" i="63"/>
  <c r="AC615" i="63"/>
  <c r="I615" i="63" s="1"/>
  <c r="Q615" i="63"/>
  <c r="AC614" i="63"/>
  <c r="I614" i="63" s="1"/>
  <c r="Q614" i="63"/>
  <c r="AC613" i="63"/>
  <c r="I613" i="63" s="1"/>
  <c r="Q613" i="63"/>
  <c r="AC612" i="63"/>
  <c r="I612" i="63" s="1"/>
  <c r="Q612" i="63"/>
  <c r="AC611" i="63"/>
  <c r="I611" i="63" s="1"/>
  <c r="Q611" i="63"/>
  <c r="AC610" i="63"/>
  <c r="I610" i="63" s="1"/>
  <c r="Q610" i="63"/>
  <c r="AC609" i="63"/>
  <c r="I609" i="63" s="1"/>
  <c r="Q609" i="63"/>
  <c r="AC608" i="63"/>
  <c r="I608" i="63" s="1"/>
  <c r="Q608" i="63"/>
  <c r="AC607" i="63"/>
  <c r="I607" i="63" s="1"/>
  <c r="Q607" i="63"/>
  <c r="AC606" i="63"/>
  <c r="I606" i="63" s="1"/>
  <c r="Q606" i="63"/>
  <c r="AC605" i="63"/>
  <c r="I605" i="63" s="1"/>
  <c r="Q605" i="63"/>
  <c r="AC604" i="63"/>
  <c r="I604" i="63" s="1"/>
  <c r="Q604" i="63"/>
  <c r="AC603" i="63"/>
  <c r="Q603" i="63"/>
  <c r="I603" i="63"/>
  <c r="AC602" i="63"/>
  <c r="I602" i="63" s="1"/>
  <c r="Q602" i="63"/>
  <c r="AC601" i="63"/>
  <c r="I601" i="63" s="1"/>
  <c r="Q601" i="63"/>
  <c r="AC600" i="63"/>
  <c r="I600" i="63" s="1"/>
  <c r="Q600" i="63"/>
  <c r="AC599" i="63"/>
  <c r="I599" i="63" s="1"/>
  <c r="Q599" i="63"/>
  <c r="AC598" i="63"/>
  <c r="I598" i="63" s="1"/>
  <c r="Q598" i="63"/>
  <c r="AC597" i="63"/>
  <c r="I597" i="63" s="1"/>
  <c r="Q597" i="63"/>
  <c r="AC596" i="63"/>
  <c r="I596" i="63" s="1"/>
  <c r="Q596" i="63"/>
  <c r="AC595" i="63"/>
  <c r="I595" i="63" s="1"/>
  <c r="Q595" i="63"/>
  <c r="AC594" i="63"/>
  <c r="I594" i="63" s="1"/>
  <c r="Q594" i="63"/>
  <c r="AC593" i="63"/>
  <c r="I593" i="63" s="1"/>
  <c r="Q593" i="63"/>
  <c r="AC592" i="63"/>
  <c r="I592" i="63" s="1"/>
  <c r="Q592" i="63"/>
  <c r="AC591" i="63"/>
  <c r="I591" i="63" s="1"/>
  <c r="Q591" i="63"/>
  <c r="AC590" i="63"/>
  <c r="I590" i="63" s="1"/>
  <c r="Q590" i="63"/>
  <c r="AC589" i="63"/>
  <c r="I589" i="63" s="1"/>
  <c r="Q589" i="63"/>
  <c r="AC588" i="63"/>
  <c r="I588" i="63" s="1"/>
  <c r="Q588" i="63"/>
  <c r="AC587" i="63"/>
  <c r="I587" i="63" s="1"/>
  <c r="Q587" i="63"/>
  <c r="AC586" i="63"/>
  <c r="I586" i="63" s="1"/>
  <c r="Q586" i="63"/>
  <c r="AC585" i="63"/>
  <c r="I585" i="63" s="1"/>
  <c r="Q585" i="63"/>
  <c r="AC584" i="63"/>
  <c r="I584" i="63" s="1"/>
  <c r="Q584" i="63"/>
  <c r="AC583" i="63"/>
  <c r="I583" i="63" s="1"/>
  <c r="Q583" i="63"/>
  <c r="AC582" i="63"/>
  <c r="I582" i="63" s="1"/>
  <c r="Q582" i="63"/>
  <c r="AC581" i="63"/>
  <c r="I581" i="63" s="1"/>
  <c r="Q581" i="63"/>
  <c r="AC580" i="63"/>
  <c r="I580" i="63" s="1"/>
  <c r="Q580" i="63"/>
  <c r="AC579" i="63"/>
  <c r="I579" i="63" s="1"/>
  <c r="Q579" i="63"/>
  <c r="AC578" i="63"/>
  <c r="I578" i="63" s="1"/>
  <c r="Q578" i="63"/>
  <c r="AC577" i="63"/>
  <c r="I577" i="63" s="1"/>
  <c r="Q577" i="63"/>
  <c r="AC576" i="63"/>
  <c r="I576" i="63" s="1"/>
  <c r="Q576" i="63"/>
  <c r="AC575" i="63"/>
  <c r="I575" i="63" s="1"/>
  <c r="Q575" i="63"/>
  <c r="AC574" i="63"/>
  <c r="I574" i="63" s="1"/>
  <c r="Q574" i="63"/>
  <c r="AC573" i="63"/>
  <c r="I573" i="63" s="1"/>
  <c r="Q573" i="63"/>
  <c r="AC572" i="63"/>
  <c r="I572" i="63" s="1"/>
  <c r="Q572" i="63"/>
  <c r="AC571" i="63"/>
  <c r="I571" i="63" s="1"/>
  <c r="Q571" i="63"/>
  <c r="AC570" i="63"/>
  <c r="I570" i="63" s="1"/>
  <c r="Q570" i="63"/>
  <c r="AC569" i="63"/>
  <c r="I569" i="63" s="1"/>
  <c r="Q569" i="63"/>
  <c r="AC568" i="63"/>
  <c r="I568" i="63" s="1"/>
  <c r="Q568" i="63"/>
  <c r="AC567" i="63"/>
  <c r="I567" i="63" s="1"/>
  <c r="Q567" i="63"/>
  <c r="AC566" i="63"/>
  <c r="I566" i="63" s="1"/>
  <c r="Q566" i="63"/>
  <c r="AC565" i="63"/>
  <c r="I565" i="63" s="1"/>
  <c r="Q565" i="63"/>
  <c r="AC564" i="63"/>
  <c r="I564" i="63" s="1"/>
  <c r="Q564" i="63"/>
  <c r="AC563" i="63"/>
  <c r="I563" i="63" s="1"/>
  <c r="Q563" i="63"/>
  <c r="AC562" i="63"/>
  <c r="I562" i="63" s="1"/>
  <c r="Q562" i="63"/>
  <c r="AC561" i="63"/>
  <c r="I561" i="63" s="1"/>
  <c r="Q561" i="63"/>
  <c r="AC560" i="63"/>
  <c r="I560" i="63" s="1"/>
  <c r="Q560" i="63"/>
  <c r="AC559" i="63"/>
  <c r="I559" i="63" s="1"/>
  <c r="Q559" i="63"/>
  <c r="AC558" i="63"/>
  <c r="I558" i="63" s="1"/>
  <c r="Q558" i="63"/>
  <c r="AC557" i="63"/>
  <c r="I557" i="63" s="1"/>
  <c r="Q557" i="63"/>
  <c r="AC556" i="63"/>
  <c r="I556" i="63" s="1"/>
  <c r="Q556" i="63"/>
  <c r="AC555" i="63"/>
  <c r="I555" i="63" s="1"/>
  <c r="Q555" i="63"/>
  <c r="AC554" i="63"/>
  <c r="I554" i="63" s="1"/>
  <c r="Q554" i="63"/>
  <c r="AC553" i="63"/>
  <c r="I553" i="63" s="1"/>
  <c r="Q553" i="63"/>
  <c r="AC552" i="63"/>
  <c r="I552" i="63" s="1"/>
  <c r="Q552" i="63"/>
  <c r="AC551" i="63"/>
  <c r="I551" i="63" s="1"/>
  <c r="Q551" i="63"/>
  <c r="AC550" i="63"/>
  <c r="I550" i="63" s="1"/>
  <c r="Q550" i="63"/>
  <c r="AC549" i="63"/>
  <c r="I549" i="63" s="1"/>
  <c r="Q549" i="63"/>
  <c r="AC548" i="63"/>
  <c r="I548" i="63" s="1"/>
  <c r="Q548" i="63"/>
  <c r="AC547" i="63"/>
  <c r="I547" i="63" s="1"/>
  <c r="Q547" i="63"/>
  <c r="AC546" i="63"/>
  <c r="I546" i="63" s="1"/>
  <c r="Q546" i="63"/>
  <c r="AC545" i="63"/>
  <c r="I545" i="63" s="1"/>
  <c r="Q545" i="63"/>
  <c r="AC544" i="63"/>
  <c r="I544" i="63" s="1"/>
  <c r="Q544" i="63"/>
  <c r="AC543" i="63"/>
  <c r="I543" i="63" s="1"/>
  <c r="V543" i="63"/>
  <c r="T543" i="63"/>
  <c r="U543" i="63" s="1"/>
  <c r="Q543" i="63"/>
  <c r="R543" i="63" s="1"/>
  <c r="AC542" i="63"/>
  <c r="I542" i="63" s="1"/>
  <c r="V542" i="63"/>
  <c r="T542" i="63"/>
  <c r="R542" i="63"/>
  <c r="Q542" i="63"/>
  <c r="AC541" i="63"/>
  <c r="V541" i="63"/>
  <c r="T541" i="63"/>
  <c r="R541" i="63"/>
  <c r="Q541" i="63"/>
  <c r="AC540" i="63"/>
  <c r="I540" i="63" s="1"/>
  <c r="V540" i="63"/>
  <c r="T540" i="63"/>
  <c r="R540" i="63"/>
  <c r="Q540" i="63"/>
  <c r="AC539" i="63"/>
  <c r="V539" i="63"/>
  <c r="T539" i="63"/>
  <c r="Q539" i="63"/>
  <c r="AC538" i="63"/>
  <c r="I538" i="63" s="1"/>
  <c r="V538" i="63"/>
  <c r="T538" i="63"/>
  <c r="R538" i="63"/>
  <c r="Q538" i="63"/>
  <c r="AC537" i="63"/>
  <c r="V537" i="63"/>
  <c r="T537" i="63"/>
  <c r="Q537" i="63"/>
  <c r="I537" i="63"/>
  <c r="AC536" i="63"/>
  <c r="I536" i="63" s="1"/>
  <c r="V536" i="63"/>
  <c r="T536" i="63"/>
  <c r="R536" i="63"/>
  <c r="Q536" i="63"/>
  <c r="AC535" i="63"/>
  <c r="I535" i="63" s="1"/>
  <c r="V535" i="63"/>
  <c r="T535" i="63"/>
  <c r="Q535" i="63"/>
  <c r="R535" i="63" s="1"/>
  <c r="AC534" i="63"/>
  <c r="I534" i="63" s="1"/>
  <c r="V534" i="63"/>
  <c r="T534" i="63"/>
  <c r="R534" i="63"/>
  <c r="Q534" i="63"/>
  <c r="AC533" i="63"/>
  <c r="V533" i="63"/>
  <c r="T533" i="63"/>
  <c r="R533" i="63"/>
  <c r="Q533" i="63"/>
  <c r="AC532" i="63"/>
  <c r="I532" i="63" s="1"/>
  <c r="V532" i="63"/>
  <c r="T532" i="63"/>
  <c r="Q532" i="63"/>
  <c r="R532" i="63" s="1"/>
  <c r="AC531" i="63"/>
  <c r="V531" i="63"/>
  <c r="T531" i="63"/>
  <c r="U531" i="63" s="1"/>
  <c r="Q531" i="63"/>
  <c r="AC530" i="63"/>
  <c r="V530" i="63"/>
  <c r="T530" i="63"/>
  <c r="R530" i="63"/>
  <c r="Q530" i="63"/>
  <c r="I530" i="63"/>
  <c r="AC529" i="63"/>
  <c r="I529" i="63" s="1"/>
  <c r="V529" i="63"/>
  <c r="T529" i="63"/>
  <c r="Q529" i="63"/>
  <c r="AC528" i="63"/>
  <c r="I528" i="63" s="1"/>
  <c r="V528" i="63"/>
  <c r="T528" i="63"/>
  <c r="R528" i="63"/>
  <c r="Q528" i="63"/>
  <c r="AC527" i="63"/>
  <c r="I527" i="63" s="1"/>
  <c r="V527" i="63"/>
  <c r="T527" i="63"/>
  <c r="U527" i="63" s="1"/>
  <c r="Q527" i="63"/>
  <c r="R527" i="63" s="1"/>
  <c r="AC526" i="63"/>
  <c r="I526" i="63" s="1"/>
  <c r="V526" i="63"/>
  <c r="T526" i="63"/>
  <c r="R526" i="63"/>
  <c r="Q526" i="63"/>
  <c r="AC525" i="63"/>
  <c r="V525" i="63"/>
  <c r="T525" i="63"/>
  <c r="Q525" i="63"/>
  <c r="R525" i="63" s="1"/>
  <c r="AC524" i="63"/>
  <c r="V524" i="63"/>
  <c r="T524" i="63"/>
  <c r="R524" i="63"/>
  <c r="Q524" i="63"/>
  <c r="I524" i="63"/>
  <c r="AC523" i="63"/>
  <c r="V523" i="63"/>
  <c r="T523" i="63"/>
  <c r="Q523" i="63"/>
  <c r="AC522" i="63"/>
  <c r="I522" i="63" s="1"/>
  <c r="V522" i="63"/>
  <c r="T522" i="63"/>
  <c r="R522" i="63"/>
  <c r="Q522" i="63"/>
  <c r="AC521" i="63"/>
  <c r="I521" i="63" s="1"/>
  <c r="V521" i="63"/>
  <c r="T521" i="63"/>
  <c r="Q521" i="63"/>
  <c r="AC520" i="63"/>
  <c r="I520" i="63" s="1"/>
  <c r="V520" i="63"/>
  <c r="T520" i="63"/>
  <c r="R520" i="63"/>
  <c r="Q520" i="63"/>
  <c r="AC519" i="63"/>
  <c r="V519" i="63"/>
  <c r="T519" i="63"/>
  <c r="Q519" i="63"/>
  <c r="AC518" i="63"/>
  <c r="I518" i="63" s="1"/>
  <c r="V518" i="63"/>
  <c r="T518" i="63"/>
  <c r="R518" i="63"/>
  <c r="Q518" i="63"/>
  <c r="AC517" i="63"/>
  <c r="I517" i="63" s="1"/>
  <c r="V517" i="63"/>
  <c r="T517" i="63"/>
  <c r="Q517" i="63"/>
  <c r="AC516" i="63"/>
  <c r="I516" i="63" s="1"/>
  <c r="V516" i="63"/>
  <c r="T516" i="63"/>
  <c r="R516" i="63"/>
  <c r="Q516" i="63"/>
  <c r="AC515" i="63"/>
  <c r="V515" i="63"/>
  <c r="T515" i="63"/>
  <c r="Q515" i="63"/>
  <c r="AC514" i="63"/>
  <c r="V514" i="63"/>
  <c r="T514" i="63"/>
  <c r="R514" i="63"/>
  <c r="Q514" i="63"/>
  <c r="I514" i="63"/>
  <c r="AC513" i="63"/>
  <c r="I513" i="63" s="1"/>
  <c r="V513" i="63"/>
  <c r="T513" i="63"/>
  <c r="U513" i="63" s="1"/>
  <c r="Q513" i="63"/>
  <c r="AC512" i="63"/>
  <c r="I512" i="63" s="1"/>
  <c r="V512" i="63"/>
  <c r="T512" i="63"/>
  <c r="R512" i="63"/>
  <c r="Q512" i="63"/>
  <c r="AC511" i="63"/>
  <c r="I511" i="63" s="1"/>
  <c r="V511" i="63"/>
  <c r="T511" i="63"/>
  <c r="Q511" i="63"/>
  <c r="AC510" i="63"/>
  <c r="I510" i="63" s="1"/>
  <c r="V510" i="63"/>
  <c r="T510" i="63"/>
  <c r="R510" i="63"/>
  <c r="Q510" i="63"/>
  <c r="AC509" i="63"/>
  <c r="I509" i="63" s="1"/>
  <c r="V509" i="63"/>
  <c r="T509" i="63"/>
  <c r="Q509" i="63"/>
  <c r="AC508" i="63"/>
  <c r="I508" i="63" s="1"/>
  <c r="V508" i="63"/>
  <c r="T508" i="63"/>
  <c r="R508" i="63"/>
  <c r="Q508" i="63"/>
  <c r="AC507" i="63"/>
  <c r="V507" i="63"/>
  <c r="T507" i="63"/>
  <c r="U507" i="63" s="1"/>
  <c r="Q507" i="63"/>
  <c r="AC506" i="63"/>
  <c r="I506" i="63" s="1"/>
  <c r="V506" i="63"/>
  <c r="T506" i="63"/>
  <c r="R506" i="63"/>
  <c r="Q506" i="63"/>
  <c r="AC505" i="63"/>
  <c r="I505" i="63" s="1"/>
  <c r="V505" i="63"/>
  <c r="T505" i="63"/>
  <c r="Q505" i="63"/>
  <c r="AC504" i="63"/>
  <c r="I504" i="63" s="1"/>
  <c r="V504" i="63"/>
  <c r="T504" i="63"/>
  <c r="R504" i="63"/>
  <c r="Q504" i="63"/>
  <c r="AC503" i="63"/>
  <c r="I503" i="63" s="1"/>
  <c r="V503" i="63"/>
  <c r="T503" i="63"/>
  <c r="R503" i="63"/>
  <c r="Q503" i="63"/>
  <c r="AC502" i="63"/>
  <c r="I502" i="63" s="1"/>
  <c r="V502" i="63"/>
  <c r="T502" i="63"/>
  <c r="Q502" i="63"/>
  <c r="AC501" i="63"/>
  <c r="V501" i="63"/>
  <c r="T501" i="63"/>
  <c r="R501" i="63"/>
  <c r="Q501" i="63"/>
  <c r="AC500" i="63"/>
  <c r="I500" i="63" s="1"/>
  <c r="V500" i="63"/>
  <c r="T500" i="63"/>
  <c r="R500" i="63"/>
  <c r="Q500" i="63"/>
  <c r="AC499" i="63"/>
  <c r="I499" i="63" s="1"/>
  <c r="V499" i="63"/>
  <c r="T499" i="63"/>
  <c r="R499" i="63"/>
  <c r="Q499" i="63"/>
  <c r="AC498" i="63"/>
  <c r="I498" i="63" s="1"/>
  <c r="V498" i="63"/>
  <c r="T498" i="63"/>
  <c r="Q498" i="63"/>
  <c r="AC497" i="63"/>
  <c r="I497" i="63" s="1"/>
  <c r="V497" i="63"/>
  <c r="T497" i="63"/>
  <c r="Q497" i="63"/>
  <c r="AC496" i="63"/>
  <c r="I496" i="63" s="1"/>
  <c r="V496" i="63"/>
  <c r="T496" i="63"/>
  <c r="R496" i="63"/>
  <c r="Q496" i="63"/>
  <c r="AC495" i="63"/>
  <c r="I495" i="63" s="1"/>
  <c r="V495" i="63"/>
  <c r="T495" i="63"/>
  <c r="R495" i="63"/>
  <c r="Q495" i="63"/>
  <c r="AC494" i="63"/>
  <c r="I494" i="63" s="1"/>
  <c r="V494" i="63"/>
  <c r="T494" i="63"/>
  <c r="U494" i="63" s="1"/>
  <c r="Q494" i="63"/>
  <c r="R494" i="63" s="1"/>
  <c r="AC493" i="63"/>
  <c r="V493" i="63"/>
  <c r="T493" i="63"/>
  <c r="R493" i="63"/>
  <c r="Q493" i="63"/>
  <c r="AC492" i="63"/>
  <c r="V492" i="63"/>
  <c r="T492" i="63"/>
  <c r="Q492" i="63"/>
  <c r="AC491" i="63"/>
  <c r="I491" i="63" s="1"/>
  <c r="V491" i="63"/>
  <c r="T491" i="63"/>
  <c r="R491" i="63"/>
  <c r="Q491" i="63"/>
  <c r="V15" i="63"/>
  <c r="T15" i="63"/>
  <c r="W15" i="63" s="1"/>
  <c r="R15" i="63"/>
  <c r="AL15" i="63" s="1"/>
  <c r="AM15" i="63" s="1"/>
  <c r="Q15" i="63"/>
  <c r="M15" i="63"/>
  <c r="L15" i="63" s="1"/>
  <c r="N15" i="63" s="1"/>
  <c r="K15" i="63"/>
  <c r="AG15" i="63" s="1"/>
  <c r="AJ15" i="63" s="1"/>
  <c r="AK15" i="63" s="1"/>
  <c r="I15" i="63"/>
  <c r="B15" i="63"/>
  <c r="C10" i="63"/>
  <c r="V9" i="63"/>
  <c r="V10" i="63" s="1"/>
  <c r="K8" i="63"/>
  <c r="W7" i="63"/>
  <c r="T6" i="63"/>
  <c r="B11" i="64" s="1"/>
  <c r="BZ2" i="64" s="1"/>
  <c r="C5" i="63"/>
  <c r="C15" i="63" s="1"/>
  <c r="L4" i="63"/>
  <c r="J4" i="63"/>
  <c r="M5" i="63" s="1"/>
  <c r="D4" i="63"/>
  <c r="T3" i="63"/>
  <c r="J3" i="63"/>
  <c r="T9" i="63"/>
  <c r="G43" i="19"/>
  <c r="F43" i="19"/>
  <c r="H43" i="19"/>
  <c r="I43" i="19"/>
  <c r="E44" i="19"/>
  <c r="F17" i="1"/>
  <c r="E17" i="1"/>
  <c r="D17" i="1"/>
  <c r="O15" i="63" l="1"/>
  <c r="U502" i="63"/>
  <c r="K5" i="63"/>
  <c r="J5" i="63" s="1"/>
  <c r="U496" i="63"/>
  <c r="U498" i="63"/>
  <c r="U517" i="63"/>
  <c r="U535" i="63"/>
  <c r="U530" i="63"/>
  <c r="U511" i="63"/>
  <c r="U505" i="63"/>
  <c r="U538" i="63"/>
  <c r="U509" i="63"/>
  <c r="U539" i="63"/>
  <c r="U521" i="63"/>
  <c r="U523" i="63"/>
  <c r="U491" i="63"/>
  <c r="U515" i="63"/>
  <c r="U500" i="63"/>
  <c r="U514" i="63"/>
  <c r="U519" i="63"/>
  <c r="U525" i="63"/>
  <c r="U533" i="63"/>
  <c r="U541" i="63"/>
  <c r="K6" i="63"/>
  <c r="J6" i="63" s="1"/>
  <c r="AB533" i="63" s="1"/>
  <c r="AE533" i="63" s="1"/>
  <c r="U492" i="63"/>
  <c r="U497" i="63"/>
  <c r="F15" i="63"/>
  <c r="S542" i="63"/>
  <c r="S534" i="63"/>
  <c r="S526" i="63"/>
  <c r="S518" i="63"/>
  <c r="S510" i="63"/>
  <c r="S540" i="63"/>
  <c r="S537" i="63"/>
  <c r="S528" i="63"/>
  <c r="S512" i="63"/>
  <c r="S521" i="63"/>
  <c r="S504" i="63"/>
  <c r="S499" i="63"/>
  <c r="S491" i="63"/>
  <c r="S535" i="63"/>
  <c r="S513" i="63"/>
  <c r="S543" i="63"/>
  <c r="S529" i="63"/>
  <c r="S498" i="63"/>
  <c r="S496" i="63"/>
  <c r="S511" i="63"/>
  <c r="S503" i="63"/>
  <c r="S505" i="63"/>
  <c r="S502" i="63"/>
  <c r="S494" i="63"/>
  <c r="S500" i="63"/>
  <c r="S517" i="63"/>
  <c r="S495" i="63"/>
  <c r="S509" i="63"/>
  <c r="S15" i="63"/>
  <c r="AB503" i="63"/>
  <c r="AE503" i="63" s="1"/>
  <c r="U4" i="63"/>
  <c r="K7" i="63"/>
  <c r="J7" i="63" s="1"/>
  <c r="E15" i="63"/>
  <c r="G15" i="63" s="1"/>
  <c r="U15" i="63"/>
  <c r="V6" i="63"/>
  <c r="L7" i="63"/>
  <c r="L5" i="63"/>
  <c r="L6" i="63" s="1"/>
  <c r="W6" i="63"/>
  <c r="M7" i="63"/>
  <c r="U7" i="63"/>
  <c r="T10" i="63" s="1"/>
  <c r="S10" i="63" s="1"/>
  <c r="V7" i="63"/>
  <c r="M4" i="63"/>
  <c r="M6" i="63" s="1"/>
  <c r="AB531" i="63"/>
  <c r="AE531" i="63" s="1"/>
  <c r="R531" i="63"/>
  <c r="S506" i="63"/>
  <c r="I519" i="63"/>
  <c r="S519" i="63"/>
  <c r="I492" i="63"/>
  <c r="S492" i="63"/>
  <c r="S497" i="63"/>
  <c r="U495" i="63"/>
  <c r="I501" i="63"/>
  <c r="S501" i="63"/>
  <c r="S493" i="63"/>
  <c r="I493" i="63"/>
  <c r="U503" i="63"/>
  <c r="U508" i="63"/>
  <c r="R497" i="63"/>
  <c r="R498" i="63"/>
  <c r="R492" i="63"/>
  <c r="R505" i="63"/>
  <c r="U493" i="63"/>
  <c r="AB504" i="63"/>
  <c r="AE504" i="63" s="1"/>
  <c r="R529" i="63"/>
  <c r="U499" i="63"/>
  <c r="U504" i="63"/>
  <c r="R537" i="63"/>
  <c r="U501" i="63"/>
  <c r="R502" i="63"/>
  <c r="U506" i="63"/>
  <c r="U516" i="63"/>
  <c r="R523" i="63"/>
  <c r="AB530" i="63"/>
  <c r="AE530" i="63" s="1"/>
  <c r="S541" i="63"/>
  <c r="I541" i="63"/>
  <c r="S507" i="63"/>
  <c r="I507" i="63"/>
  <c r="U510" i="63"/>
  <c r="R513" i="63"/>
  <c r="R519" i="63"/>
  <c r="S520" i="63"/>
  <c r="U522" i="63"/>
  <c r="S527" i="63"/>
  <c r="U532" i="63"/>
  <c r="S508" i="63"/>
  <c r="U512" i="63"/>
  <c r="S514" i="63"/>
  <c r="U528" i="63"/>
  <c r="S533" i="63"/>
  <c r="I533" i="63"/>
  <c r="S539" i="63"/>
  <c r="R507" i="63"/>
  <c r="S515" i="63"/>
  <c r="I515" i="63"/>
  <c r="U518" i="63"/>
  <c r="U524" i="63"/>
  <c r="U526" i="63"/>
  <c r="S532" i="63"/>
  <c r="S538" i="63"/>
  <c r="S516" i="63"/>
  <c r="U520" i="63"/>
  <c r="R521" i="63"/>
  <c r="U542" i="63"/>
  <c r="R515" i="63"/>
  <c r="S522" i="63"/>
  <c r="S531" i="63"/>
  <c r="U534" i="63"/>
  <c r="S523" i="63"/>
  <c r="I523" i="63"/>
  <c r="S524" i="63"/>
  <c r="S525" i="63"/>
  <c r="I525" i="63"/>
  <c r="S530" i="63"/>
  <c r="S536" i="63"/>
  <c r="R511" i="63"/>
  <c r="U540" i="63"/>
  <c r="AB527" i="63"/>
  <c r="AE527" i="63" s="1"/>
  <c r="I531" i="63"/>
  <c r="I539" i="63"/>
  <c r="U536" i="63"/>
  <c r="R539" i="63"/>
  <c r="U529" i="63"/>
  <c r="U537" i="63"/>
  <c r="R509" i="63"/>
  <c r="R517" i="63"/>
  <c r="S7" i="57"/>
  <c r="S8" i="57"/>
  <c r="S9" i="57" s="1"/>
  <c r="S10" i="57" s="1"/>
  <c r="S11" i="57" s="1"/>
  <c r="S12" i="57" s="1"/>
  <c r="S13" i="57" s="1"/>
  <c r="S14" i="57" s="1"/>
  <c r="S15" i="57" s="1"/>
  <c r="S16" i="57" s="1"/>
  <c r="S17" i="57" s="1"/>
  <c r="S18" i="57" s="1"/>
  <c r="S19" i="57" s="1"/>
  <c r="S20" i="57" s="1"/>
  <c r="S21" i="57" s="1"/>
  <c r="S22" i="57" s="1"/>
  <c r="S23" i="57" s="1"/>
  <c r="B28" i="1"/>
  <c r="J67" i="1"/>
  <c r="AB508" i="63" l="1"/>
  <c r="AE508" i="63" s="1"/>
  <c r="AB537" i="63"/>
  <c r="AE537" i="63" s="1"/>
  <c r="AB510" i="63"/>
  <c r="AE510" i="63" s="1"/>
  <c r="AB501" i="63"/>
  <c r="AE501" i="63" s="1"/>
  <c r="AB506" i="63"/>
  <c r="AE506" i="63" s="1"/>
  <c r="AB522" i="63"/>
  <c r="AE522" i="63" s="1"/>
  <c r="AB541" i="63"/>
  <c r="AE541" i="63" s="1"/>
  <c r="AB513" i="63"/>
  <c r="AE513" i="63" s="1"/>
  <c r="AB523" i="63"/>
  <c r="AE523" i="63" s="1"/>
  <c r="AB497" i="63"/>
  <c r="AE497" i="63" s="1"/>
  <c r="AB512" i="63"/>
  <c r="AE512" i="63" s="1"/>
  <c r="AB516" i="63"/>
  <c r="AE516" i="63" s="1"/>
  <c r="AB514" i="63"/>
  <c r="AE514" i="63" s="1"/>
  <c r="AB515" i="63"/>
  <c r="AE515" i="63" s="1"/>
  <c r="AB526" i="63"/>
  <c r="AE526" i="63" s="1"/>
  <c r="AB543" i="63"/>
  <c r="AE543" i="63" s="1"/>
  <c r="AB511" i="63"/>
  <c r="AE511" i="63" s="1"/>
  <c r="AB509" i="63"/>
  <c r="AE509" i="63" s="1"/>
  <c r="AB496" i="63"/>
  <c r="AE496" i="63" s="1"/>
  <c r="AB491" i="63"/>
  <c r="AE491" i="63" s="1"/>
  <c r="AB528" i="63"/>
  <c r="AE528" i="63" s="1"/>
  <c r="AB532" i="63"/>
  <c r="AE532" i="63" s="1"/>
  <c r="AB507" i="63"/>
  <c r="AE507" i="63" s="1"/>
  <c r="AB500" i="63"/>
  <c r="AE500" i="63" s="1"/>
  <c r="AB494" i="63"/>
  <c r="AE494" i="63" s="1"/>
  <c r="AB492" i="63"/>
  <c r="AE492" i="63" s="1"/>
  <c r="J15" i="63"/>
  <c r="P15" i="63" s="1"/>
  <c r="J16" i="63" s="1"/>
  <c r="AB493" i="63"/>
  <c r="AE493" i="63" s="1"/>
  <c r="AB518" i="63"/>
  <c r="AE518" i="63" s="1"/>
  <c r="AB540" i="63"/>
  <c r="AE540" i="63" s="1"/>
  <c r="AB536" i="63"/>
  <c r="AE536" i="63" s="1"/>
  <c r="AB535" i="63"/>
  <c r="AE535" i="63" s="1"/>
  <c r="AB538" i="63"/>
  <c r="AE538" i="63" s="1"/>
  <c r="AB539" i="63"/>
  <c r="AE539" i="63" s="1"/>
  <c r="AB502" i="63"/>
  <c r="AE502" i="63" s="1"/>
  <c r="AB15" i="63"/>
  <c r="AE15" i="63" s="1"/>
  <c r="AB495" i="63"/>
  <c r="AE495" i="63" s="1"/>
  <c r="AB542" i="63"/>
  <c r="AE542" i="63" s="1"/>
  <c r="AB525" i="63"/>
  <c r="AE525" i="63" s="1"/>
  <c r="AB517" i="63"/>
  <c r="AE517" i="63" s="1"/>
  <c r="AB505" i="63"/>
  <c r="AE505" i="63" s="1"/>
  <c r="AB524" i="63"/>
  <c r="AE524" i="63" s="1"/>
  <c r="AB521" i="63"/>
  <c r="AE521" i="63" s="1"/>
  <c r="AB519" i="63"/>
  <c r="AE519" i="63" s="1"/>
  <c r="AB529" i="63"/>
  <c r="AE529" i="63" s="1"/>
  <c r="AB498" i="63"/>
  <c r="AE498" i="63" s="1"/>
  <c r="AB499" i="63"/>
  <c r="AE499" i="63" s="1"/>
  <c r="AB520" i="63"/>
  <c r="AE520" i="63" s="1"/>
  <c r="AB534" i="63"/>
  <c r="AE534" i="63" s="1"/>
  <c r="D15" i="63"/>
  <c r="H15" i="63" s="1"/>
  <c r="B16" i="63" s="1"/>
  <c r="T4" i="63"/>
  <c r="B10" i="64" s="1"/>
  <c r="U5" i="63"/>
  <c r="T5" i="63" s="1"/>
  <c r="U9" i="63" s="1"/>
  <c r="S9" i="63" s="1"/>
  <c r="V4" i="63"/>
  <c r="J12" i="63"/>
  <c r="J9" i="63"/>
  <c r="AC16" i="63"/>
  <c r="AD15" i="63"/>
  <c r="X15" i="63"/>
  <c r="Y15" i="63" s="1"/>
  <c r="R12" i="63"/>
  <c r="CC2" i="64" l="1"/>
  <c r="B12" i="64"/>
  <c r="AO2" i="64" s="1"/>
  <c r="C16" i="63"/>
  <c r="V5" i="63"/>
  <c r="W4" i="63"/>
  <c r="W5" i="63" s="1"/>
  <c r="I16" i="63"/>
  <c r="S16" i="63"/>
  <c r="E16" i="63"/>
  <c r="G16" i="63" s="1"/>
  <c r="U6" i="57"/>
  <c r="U5" i="57"/>
  <c r="C60" i="19"/>
  <c r="D16" i="63" l="1"/>
  <c r="T7" i="57"/>
  <c r="U7" i="57" s="1"/>
  <c r="G14" i="1"/>
  <c r="E8" i="3"/>
  <c r="F8" i="3" s="1"/>
  <c r="G8" i="3" s="1"/>
  <c r="F19" i="3"/>
  <c r="F18" i="3"/>
  <c r="F17" i="3"/>
  <c r="F16" i="3"/>
  <c r="F15" i="3"/>
  <c r="F14" i="3"/>
  <c r="F13" i="3"/>
  <c r="F12" i="3"/>
  <c r="F11" i="3"/>
  <c r="F10" i="3"/>
  <c r="F9" i="3"/>
  <c r="J1" i="35"/>
  <c r="K1" i="18"/>
  <c r="K1" i="3"/>
  <c r="L1" i="4"/>
  <c r="K2" i="6"/>
  <c r="L2" i="20"/>
  <c r="K5" i="22"/>
  <c r="J4" i="15"/>
  <c r="I3" i="21"/>
  <c r="A9" i="1"/>
  <c r="F16" i="63" l="1"/>
  <c r="H16" i="63"/>
  <c r="T8" i="57"/>
  <c r="U8" i="57" s="1"/>
  <c r="A16" i="63" l="1"/>
  <c r="C17" i="63"/>
  <c r="B17" i="63"/>
  <c r="T9" i="57"/>
  <c r="U9" i="57" s="1"/>
  <c r="H52" i="1"/>
  <c r="F11" i="1"/>
  <c r="U51" i="19"/>
  <c r="T51" i="19"/>
  <c r="S51" i="19"/>
  <c r="R51" i="19"/>
  <c r="Q51" i="19"/>
  <c r="B59" i="19"/>
  <c r="E63" i="19"/>
  <c r="E17" i="63" l="1"/>
  <c r="G17" i="63" s="1"/>
  <c r="Q16" i="63"/>
  <c r="K16" i="63"/>
  <c r="V16" i="63"/>
  <c r="AA16" i="63" s="1"/>
  <c r="M16" i="63"/>
  <c r="O16" i="63" s="1"/>
  <c r="T16" i="63"/>
  <c r="T10" i="57"/>
  <c r="U10" i="57" s="1"/>
  <c r="C51" i="19"/>
  <c r="E62" i="19"/>
  <c r="D17" i="63" l="1"/>
  <c r="W16" i="63"/>
  <c r="U16" i="63"/>
  <c r="AD16" i="63"/>
  <c r="L16" i="63"/>
  <c r="R16" i="63"/>
  <c r="AL16" i="63" s="1"/>
  <c r="AG16" i="63"/>
  <c r="AJ16" i="63" s="1"/>
  <c r="AB16" i="63"/>
  <c r="T11" i="57"/>
  <c r="U11" i="57" s="1"/>
  <c r="Z16" i="63" l="1"/>
  <c r="X16" i="63"/>
  <c r="Y16" i="63" s="1"/>
  <c r="F17" i="63"/>
  <c r="H17" i="63"/>
  <c r="N16" i="63"/>
  <c r="P16" i="63"/>
  <c r="T12" i="57"/>
  <c r="U12" i="57" s="1"/>
  <c r="J46" i="19"/>
  <c r="J45" i="19"/>
  <c r="J44"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N46" i="19"/>
  <c r="N45" i="19"/>
  <c r="N44" i="19"/>
  <c r="N41" i="19"/>
  <c r="N40" i="19"/>
  <c r="N39" i="19"/>
  <c r="N38" i="19"/>
  <c r="N37" i="19"/>
  <c r="N36" i="19"/>
  <c r="N35" i="19"/>
  <c r="N34" i="19"/>
  <c r="N33" i="19"/>
  <c r="N32"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6" i="19"/>
  <c r="N5" i="19"/>
  <c r="N4" i="19"/>
  <c r="N3" i="19"/>
  <c r="M46" i="19"/>
  <c r="M45" i="19"/>
  <c r="M44" i="19"/>
  <c r="M41" i="19"/>
  <c r="M40" i="19"/>
  <c r="M39" i="19"/>
  <c r="M38" i="19"/>
  <c r="M37" i="19"/>
  <c r="M36" i="19"/>
  <c r="M35" i="19"/>
  <c r="M34" i="19"/>
  <c r="M33" i="19"/>
  <c r="M32" i="19"/>
  <c r="M31" i="19"/>
  <c r="M30" i="19"/>
  <c r="M29" i="19"/>
  <c r="M28" i="19"/>
  <c r="M27" i="19"/>
  <c r="M26" i="19"/>
  <c r="M25" i="19"/>
  <c r="M24" i="19"/>
  <c r="M23" i="19"/>
  <c r="M22" i="19"/>
  <c r="M21" i="19"/>
  <c r="M20" i="19"/>
  <c r="M19" i="19"/>
  <c r="M18" i="19"/>
  <c r="M17" i="19"/>
  <c r="M16" i="19"/>
  <c r="M15" i="19"/>
  <c r="M14" i="19"/>
  <c r="M13" i="19"/>
  <c r="M12" i="19"/>
  <c r="M11" i="19"/>
  <c r="M10" i="19"/>
  <c r="M9" i="19"/>
  <c r="M8" i="19"/>
  <c r="M7" i="19"/>
  <c r="M6" i="19"/>
  <c r="M5" i="19"/>
  <c r="M4" i="19"/>
  <c r="M3" i="19"/>
  <c r="L46" i="19"/>
  <c r="L45" i="19"/>
  <c r="L44"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L4" i="19"/>
  <c r="L3" i="19"/>
  <c r="K46" i="19"/>
  <c r="K45" i="19"/>
  <c r="K44" i="19"/>
  <c r="K41" i="19"/>
  <c r="K40" i="19"/>
  <c r="K39" i="19"/>
  <c r="K38" i="19"/>
  <c r="K37" i="19"/>
  <c r="K36" i="19"/>
  <c r="K35" i="19"/>
  <c r="K34" i="19"/>
  <c r="K33" i="19"/>
  <c r="K32" i="19"/>
  <c r="K31" i="19"/>
  <c r="K30" i="19"/>
  <c r="K29" i="19"/>
  <c r="K28" i="19"/>
  <c r="K27" i="19"/>
  <c r="K26" i="19"/>
  <c r="K25" i="19"/>
  <c r="K24" i="19"/>
  <c r="K23" i="19"/>
  <c r="K22" i="19"/>
  <c r="K21" i="19"/>
  <c r="K20" i="19"/>
  <c r="K19" i="19"/>
  <c r="K18" i="19"/>
  <c r="K17" i="19"/>
  <c r="K16" i="19"/>
  <c r="K15" i="19"/>
  <c r="K14" i="19"/>
  <c r="K13" i="19"/>
  <c r="K12" i="19"/>
  <c r="K11" i="19"/>
  <c r="K10" i="19"/>
  <c r="K9" i="19"/>
  <c r="K8" i="19"/>
  <c r="K7" i="19"/>
  <c r="K6" i="19"/>
  <c r="K5" i="19"/>
  <c r="K4" i="19"/>
  <c r="K3" i="19"/>
  <c r="O46" i="19"/>
  <c r="O45" i="19"/>
  <c r="O44" i="19"/>
  <c r="O41" i="19"/>
  <c r="O40" i="19"/>
  <c r="O39" i="19"/>
  <c r="O38"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AH16" i="63" l="1"/>
  <c r="J17" i="63"/>
  <c r="AM16" i="63"/>
  <c r="AK16" i="63"/>
  <c r="A17" i="63"/>
  <c r="C18" i="63"/>
  <c r="B18" i="63"/>
  <c r="AE16" i="63"/>
  <c r="T13" i="57"/>
  <c r="U13" i="57" s="1"/>
  <c r="D14" i="1"/>
  <c r="A5" i="57"/>
  <c r="A6" i="57" s="1"/>
  <c r="A7" i="57" s="1"/>
  <c r="A8" i="57" s="1"/>
  <c r="A9" i="57" s="1"/>
  <c r="A10" i="57" s="1"/>
  <c r="A11" i="57" s="1"/>
  <c r="A12" i="57" s="1"/>
  <c r="A13" i="57" s="1"/>
  <c r="A14" i="57" s="1"/>
  <c r="A15" i="57" s="1"/>
  <c r="A16" i="57" s="1"/>
  <c r="A17" i="57" s="1"/>
  <c r="A18" i="57" s="1"/>
  <c r="A19" i="57" s="1"/>
  <c r="A20" i="57" s="1"/>
  <c r="A21" i="57" s="1"/>
  <c r="A22" i="57" s="1"/>
  <c r="A23" i="57" s="1"/>
  <c r="I52" i="33"/>
  <c r="B37" i="33"/>
  <c r="C37" i="33" s="1"/>
  <c r="B24" i="33"/>
  <c r="O15" i="1"/>
  <c r="O12" i="1"/>
  <c r="O11" i="1"/>
  <c r="F5" i="58"/>
  <c r="F12" i="58"/>
  <c r="F11" i="58"/>
  <c r="F10" i="58"/>
  <c r="F9" i="58"/>
  <c r="J2" i="58"/>
  <c r="E18" i="63" l="1"/>
  <c r="G18" i="63" s="1"/>
  <c r="M17" i="63"/>
  <c r="O17" i="63" s="1"/>
  <c r="T17" i="63"/>
  <c r="K17" i="63"/>
  <c r="V17" i="63"/>
  <c r="AA17" i="63" s="1"/>
  <c r="Q17" i="63"/>
  <c r="AC17" i="63"/>
  <c r="G8" i="58"/>
  <c r="T14" i="57"/>
  <c r="U14" i="57" s="1"/>
  <c r="D5" i="57"/>
  <c r="D6" i="57" s="1"/>
  <c r="G5" i="57"/>
  <c r="G6" i="57" s="1"/>
  <c r="G7" i="57" s="1"/>
  <c r="G8" i="57" s="1"/>
  <c r="G9" i="57" s="1"/>
  <c r="G10" i="57" s="1"/>
  <c r="G11" i="57" s="1"/>
  <c r="G12" i="57" s="1"/>
  <c r="G13" i="57" s="1"/>
  <c r="G14" i="57" s="1"/>
  <c r="G15" i="57" s="1"/>
  <c r="G16" i="57" s="1"/>
  <c r="G17" i="57" s="1"/>
  <c r="G18" i="57" s="1"/>
  <c r="G19" i="57" s="1"/>
  <c r="G20" i="57" s="1"/>
  <c r="G21" i="57" s="1"/>
  <c r="G22" i="57" s="1"/>
  <c r="G23" i="57" s="1"/>
  <c r="E19" i="1"/>
  <c r="O16" i="1" s="1"/>
  <c r="D19" i="1"/>
  <c r="K1" i="16"/>
  <c r="I1" i="13"/>
  <c r="G17" i="13" s="1"/>
  <c r="E7" i="35"/>
  <c r="F7" i="35" s="1"/>
  <c r="E6" i="35"/>
  <c r="F6" i="35" s="1"/>
  <c r="E5" i="35"/>
  <c r="F5" i="35" s="1"/>
  <c r="E4" i="35"/>
  <c r="F4" i="35" s="1"/>
  <c r="F33" i="35"/>
  <c r="F32" i="35"/>
  <c r="F31" i="35"/>
  <c r="F30" i="35"/>
  <c r="F29" i="35"/>
  <c r="F28" i="35"/>
  <c r="F27" i="35"/>
  <c r="F26" i="35"/>
  <c r="F25" i="35"/>
  <c r="F24" i="35"/>
  <c r="F23" i="35"/>
  <c r="F22" i="35"/>
  <c r="F21" i="35"/>
  <c r="F20" i="35"/>
  <c r="F19" i="35"/>
  <c r="F18" i="35"/>
  <c r="F17" i="35"/>
  <c r="F16" i="35"/>
  <c r="F13" i="35"/>
  <c r="F12" i="35"/>
  <c r="F11" i="35"/>
  <c r="G8" i="35"/>
  <c r="G4" i="18"/>
  <c r="H5" i="18"/>
  <c r="F4" i="3"/>
  <c r="E4" i="3"/>
  <c r="H41" i="4"/>
  <c r="I41" i="4" s="1"/>
  <c r="H40" i="4"/>
  <c r="I40" i="4" s="1"/>
  <c r="H39" i="4"/>
  <c r="I39" i="4" s="1"/>
  <c r="H38" i="4"/>
  <c r="I38" i="4" s="1"/>
  <c r="H37" i="4"/>
  <c r="I37" i="4" s="1"/>
  <c r="H34" i="4"/>
  <c r="I34" i="4" s="1"/>
  <c r="H33" i="4"/>
  <c r="I33" i="4" s="1"/>
  <c r="H31" i="4"/>
  <c r="I31" i="4" s="1"/>
  <c r="H30" i="4"/>
  <c r="I30" i="4" s="1"/>
  <c r="H29" i="4"/>
  <c r="I29" i="4" s="1"/>
  <c r="H28" i="4"/>
  <c r="I28" i="4" s="1"/>
  <c r="H27" i="4"/>
  <c r="I27" i="4" s="1"/>
  <c r="H26" i="4"/>
  <c r="I26" i="4" s="1"/>
  <c r="H25" i="4"/>
  <c r="I25" i="4" s="1"/>
  <c r="H24" i="4"/>
  <c r="I24" i="4" s="1"/>
  <c r="H23" i="4"/>
  <c r="I23" i="4" s="1"/>
  <c r="H22" i="4"/>
  <c r="I22" i="4" s="1"/>
  <c r="I18" i="4"/>
  <c r="H18" i="4"/>
  <c r="H17" i="4"/>
  <c r="I17" i="4" s="1"/>
  <c r="I16" i="4"/>
  <c r="H16" i="4"/>
  <c r="I15" i="4"/>
  <c r="H15" i="4"/>
  <c r="I14" i="4"/>
  <c r="H14" i="4"/>
  <c r="H13" i="4"/>
  <c r="I13" i="4" s="1"/>
  <c r="H12" i="4"/>
  <c r="I12" i="4" s="1"/>
  <c r="H21" i="4"/>
  <c r="F7" i="4"/>
  <c r="G6" i="4"/>
  <c r="F6" i="4"/>
  <c r="D18" i="63" l="1"/>
  <c r="F18" i="63" s="1"/>
  <c r="S17" i="63"/>
  <c r="I17" i="63"/>
  <c r="L17" i="63"/>
  <c r="AD17" i="63"/>
  <c r="U17" i="63"/>
  <c r="W17" i="63"/>
  <c r="AB17" i="63"/>
  <c r="R17" i="63"/>
  <c r="AL17" i="63" s="1"/>
  <c r="AG17" i="63"/>
  <c r="AJ17" i="63" s="1"/>
  <c r="E6" i="57"/>
  <c r="D7" i="57"/>
  <c r="D8" i="57" s="1"/>
  <c r="D9" i="57" s="1"/>
  <c r="D10" i="57" s="1"/>
  <c r="D11" i="57" s="1"/>
  <c r="D12" i="57" s="1"/>
  <c r="D13" i="57" s="1"/>
  <c r="D14" i="57" s="1"/>
  <c r="D15" i="57" s="1"/>
  <c r="D16" i="57" s="1"/>
  <c r="D17" i="57" s="1"/>
  <c r="D18" i="57" s="1"/>
  <c r="D19" i="57" s="1"/>
  <c r="D20" i="57" s="1"/>
  <c r="D21" i="57" s="1"/>
  <c r="D22" i="57" s="1"/>
  <c r="D23" i="57" s="1"/>
  <c r="E7" i="57"/>
  <c r="E8" i="57" s="1"/>
  <c r="E9" i="57" s="1"/>
  <c r="T15" i="57"/>
  <c r="U15" i="57" s="1"/>
  <c r="B17" i="57"/>
  <c r="B18" i="57" s="1"/>
  <c r="B19" i="57" s="1"/>
  <c r="B20" i="57" s="1"/>
  <c r="B21" i="57" s="1"/>
  <c r="B22" i="57" s="1"/>
  <c r="B23" i="57" s="1"/>
  <c r="J5" i="57"/>
  <c r="G4" i="3"/>
  <c r="H18" i="63" l="1"/>
  <c r="C19" i="63" s="1"/>
  <c r="Z17" i="63"/>
  <c r="X17" i="63"/>
  <c r="Y17" i="63" s="1"/>
  <c r="N17" i="63"/>
  <c r="P17" i="63"/>
  <c r="M5" i="57"/>
  <c r="J6" i="57"/>
  <c r="E18" i="57"/>
  <c r="E19" i="57" s="1"/>
  <c r="E20" i="57" s="1"/>
  <c r="E21" i="57" s="1"/>
  <c r="E22" i="57" s="1"/>
  <c r="E23" i="57" s="1"/>
  <c r="E10" i="57"/>
  <c r="E11" i="57" s="1"/>
  <c r="E12" i="57" s="1"/>
  <c r="E13" i="57" s="1"/>
  <c r="E14" i="57" s="1"/>
  <c r="E15" i="57" s="1"/>
  <c r="E16" i="57" s="1"/>
  <c r="E17" i="57" s="1"/>
  <c r="T16" i="57"/>
  <c r="U16" i="57" s="1"/>
  <c r="D3" i="4"/>
  <c r="F9" i="22"/>
  <c r="G9" i="22" s="1"/>
  <c r="G8" i="22"/>
  <c r="F7" i="22"/>
  <c r="G7" i="22" s="1"/>
  <c r="F6" i="22"/>
  <c r="G6" i="22" s="1"/>
  <c r="F5" i="22"/>
  <c r="G5" i="22" s="1"/>
  <c r="E7" i="15"/>
  <c r="F7" i="15" s="1"/>
  <c r="E6" i="15"/>
  <c r="F6" i="15" s="1"/>
  <c r="E5" i="15"/>
  <c r="F5" i="15" s="1"/>
  <c r="G8" i="15"/>
  <c r="A18" i="63" l="1"/>
  <c r="M18" i="63" s="1"/>
  <c r="O18" i="63" s="1"/>
  <c r="B19" i="63"/>
  <c r="E19" i="63" s="1"/>
  <c r="T18" i="63"/>
  <c r="AM17" i="63"/>
  <c r="AK17" i="63"/>
  <c r="AH17" i="63"/>
  <c r="J18" i="63"/>
  <c r="AE17" i="63"/>
  <c r="J7" i="57"/>
  <c r="K6" i="57"/>
  <c r="P5" i="57"/>
  <c r="P6" i="57" s="1"/>
  <c r="M6" i="57"/>
  <c r="M7" i="57" s="1"/>
  <c r="M8" i="57" s="1"/>
  <c r="M9" i="57" s="1"/>
  <c r="M10" i="57" s="1"/>
  <c r="M11" i="57" s="1"/>
  <c r="M12" i="57" s="1"/>
  <c r="M13" i="57" s="1"/>
  <c r="M14" i="57" s="1"/>
  <c r="M15" i="57" s="1"/>
  <c r="M16" i="57" s="1"/>
  <c r="M17" i="57" s="1"/>
  <c r="M18" i="57" s="1"/>
  <c r="M19" i="57" s="1"/>
  <c r="M20" i="57" s="1"/>
  <c r="M21" i="57" s="1"/>
  <c r="M22" i="57" s="1"/>
  <c r="M23" i="57" s="1"/>
  <c r="T17" i="57"/>
  <c r="U17" i="57" s="1"/>
  <c r="F19" i="21"/>
  <c r="J43" i="4"/>
  <c r="H4" i="4"/>
  <c r="I4" i="4" s="1"/>
  <c r="H5" i="4"/>
  <c r="I5" i="4" s="1"/>
  <c r="H8" i="4"/>
  <c r="H7" i="4"/>
  <c r="I7" i="4" s="1"/>
  <c r="H6" i="4"/>
  <c r="I6" i="4" s="1"/>
  <c r="D8" i="4"/>
  <c r="H10" i="22"/>
  <c r="F13" i="21"/>
  <c r="F15" i="21"/>
  <c r="F8" i="21"/>
  <c r="F16" i="21"/>
  <c r="F12" i="21"/>
  <c r="F14" i="21"/>
  <c r="F9" i="21"/>
  <c r="F17" i="21"/>
  <c r="F7" i="21"/>
  <c r="F10" i="21"/>
  <c r="F18" i="21"/>
  <c r="F5" i="21"/>
  <c r="F11" i="21"/>
  <c r="F4" i="21"/>
  <c r="F6" i="21"/>
  <c r="F3" i="21"/>
  <c r="G19" i="63" l="1"/>
  <c r="D19" i="63"/>
  <c r="F19" i="63" s="1"/>
  <c r="Q18" i="63"/>
  <c r="K18" i="63"/>
  <c r="V18" i="63"/>
  <c r="AA18" i="63" s="1"/>
  <c r="AD18" i="63"/>
  <c r="L18" i="63"/>
  <c r="N18" i="63" s="1"/>
  <c r="W18" i="63"/>
  <c r="AG18" i="63"/>
  <c r="AJ18" i="63" s="1"/>
  <c r="AB18" i="63"/>
  <c r="R18" i="63"/>
  <c r="AL18" i="63" s="1"/>
  <c r="AC18" i="63"/>
  <c r="H19" i="63"/>
  <c r="P7" i="57"/>
  <c r="Q6" i="57"/>
  <c r="J8" i="57"/>
  <c r="K7" i="57"/>
  <c r="T18" i="57"/>
  <c r="U18" i="57" s="1"/>
  <c r="G5" i="21"/>
  <c r="G20" i="21"/>
  <c r="G24" i="21" s="1"/>
  <c r="J9" i="4"/>
  <c r="U18" i="63" l="1"/>
  <c r="X18" i="63"/>
  <c r="Y18" i="63"/>
  <c r="Z18" i="63"/>
  <c r="I18" i="63"/>
  <c r="S18" i="63"/>
  <c r="P18" i="63"/>
  <c r="AE18" i="63" s="1"/>
  <c r="A19" i="63"/>
  <c r="C20" i="63"/>
  <c r="B20" i="63"/>
  <c r="J9" i="57"/>
  <c r="J10" i="57" s="1"/>
  <c r="J11" i="57" s="1"/>
  <c r="J12" i="57" s="1"/>
  <c r="J13" i="57" s="1"/>
  <c r="J14" i="57" s="1"/>
  <c r="J15" i="57" s="1"/>
  <c r="J16" i="57" s="1"/>
  <c r="J17" i="57" s="1"/>
  <c r="J18" i="57" s="1"/>
  <c r="J19" i="57" s="1"/>
  <c r="J20" i="57" s="1"/>
  <c r="J21" i="57" s="1"/>
  <c r="J22" i="57" s="1"/>
  <c r="J23" i="57" s="1"/>
  <c r="K8" i="57"/>
  <c r="P8" i="57"/>
  <c r="Q7" i="57"/>
  <c r="T19" i="57"/>
  <c r="U19" i="57" s="1"/>
  <c r="F42" i="1"/>
  <c r="F16" i="1"/>
  <c r="E15" i="1"/>
  <c r="D15" i="1"/>
  <c r="B21" i="1" s="1"/>
  <c r="B1" i="1"/>
  <c r="C1" i="1"/>
  <c r="D1" i="1"/>
  <c r="B45" i="64" l="1"/>
  <c r="P2" i="64" s="1"/>
  <c r="B37" i="65"/>
  <c r="V2" i="65" s="1"/>
  <c r="E20" i="63"/>
  <c r="G20" i="63" s="1"/>
  <c r="K19" i="63"/>
  <c r="Q19" i="63"/>
  <c r="T19" i="63"/>
  <c r="V19" i="63"/>
  <c r="AA19" i="63" s="1"/>
  <c r="M19" i="63"/>
  <c r="O19" i="63" s="1"/>
  <c r="J19" i="63"/>
  <c r="AM18" i="63"/>
  <c r="AK18" i="63"/>
  <c r="AH18" i="63"/>
  <c r="P9" i="57"/>
  <c r="Q8" i="57"/>
  <c r="T20" i="57"/>
  <c r="U20" i="57" s="1"/>
  <c r="C22" i="1"/>
  <c r="H22" i="1" s="1"/>
  <c r="G8" i="1"/>
  <c r="F22" i="1"/>
  <c r="B54" i="1"/>
  <c r="AC19" i="63" l="1"/>
  <c r="W19" i="63"/>
  <c r="U19" i="63"/>
  <c r="L19" i="63"/>
  <c r="N19" i="63" s="1"/>
  <c r="AD19" i="63"/>
  <c r="R19" i="63"/>
  <c r="AL19" i="63" s="1"/>
  <c r="AB19" i="63"/>
  <c r="AG19" i="63"/>
  <c r="AJ19" i="63" s="1"/>
  <c r="D20" i="63"/>
  <c r="P10" i="57"/>
  <c r="Q9" i="57"/>
  <c r="T21" i="57"/>
  <c r="U21" i="57" s="1"/>
  <c r="F20" i="63" l="1"/>
  <c r="H20" i="63"/>
  <c r="Z19" i="63"/>
  <c r="X19" i="63"/>
  <c r="Y19" i="63" s="1"/>
  <c r="S19" i="63"/>
  <c r="I19" i="63"/>
  <c r="P19" i="63"/>
  <c r="P11" i="57"/>
  <c r="Q10" i="57"/>
  <c r="B6" i="1"/>
  <c r="T22" i="57"/>
  <c r="U22" i="57" s="1"/>
  <c r="E69" i="19"/>
  <c r="E75" i="1"/>
  <c r="G76" i="1"/>
  <c r="D76" i="1"/>
  <c r="B19" i="1"/>
  <c r="C7" i="1" l="1"/>
  <c r="E7" i="1" s="1"/>
  <c r="E10" i="1" s="1"/>
  <c r="C39" i="1"/>
  <c r="AK19" i="63"/>
  <c r="AH19" i="63"/>
  <c r="J20" i="63"/>
  <c r="AM19" i="63"/>
  <c r="AE19" i="63"/>
  <c r="B21" i="63"/>
  <c r="A20" i="63"/>
  <c r="C21" i="63"/>
  <c r="P12" i="57"/>
  <c r="Q11" i="57"/>
  <c r="G6" i="1"/>
  <c r="T23" i="57"/>
  <c r="U23" i="57" s="1"/>
  <c r="U25" i="57" s="1"/>
  <c r="F19" i="1"/>
  <c r="V20" i="63" l="1"/>
  <c r="AA20" i="63" s="1"/>
  <c r="M20" i="63"/>
  <c r="O20" i="63" s="1"/>
  <c r="T20" i="63"/>
  <c r="K20" i="63"/>
  <c r="Q20" i="63"/>
  <c r="E21" i="63"/>
  <c r="G21" i="63" s="1"/>
  <c r="AC20" i="63"/>
  <c r="P13" i="57"/>
  <c r="Q12" i="57"/>
  <c r="AD20" i="63" l="1"/>
  <c r="L20" i="63"/>
  <c r="AB20" i="63"/>
  <c r="R20" i="63"/>
  <c r="AL20" i="63" s="1"/>
  <c r="AG20" i="63"/>
  <c r="AJ20" i="63" s="1"/>
  <c r="U20" i="63"/>
  <c r="W20" i="63"/>
  <c r="S20" i="63"/>
  <c r="I20" i="63"/>
  <c r="D21" i="63"/>
  <c r="P14" i="57"/>
  <c r="Q13" i="57"/>
  <c r="Q52" i="19"/>
  <c r="Q46" i="19"/>
  <c r="Q45" i="19"/>
  <c r="Q44" i="19"/>
  <c r="Q43" i="19"/>
  <c r="C11" i="62"/>
  <c r="C9" i="62"/>
  <c r="C8" i="62"/>
  <c r="C7" i="62"/>
  <c r="C10" i="62"/>
  <c r="C5" i="62"/>
  <c r="C4" i="62"/>
  <c r="C3" i="62"/>
  <c r="Z20" i="63" l="1"/>
  <c r="X20" i="63"/>
  <c r="Y20" i="63" s="1"/>
  <c r="F21" i="63"/>
  <c r="H21" i="63"/>
  <c r="N20" i="63"/>
  <c r="P20" i="63"/>
  <c r="P15" i="57"/>
  <c r="Q14" i="57"/>
  <c r="C6" i="62"/>
  <c r="AM20" i="63" l="1"/>
  <c r="J21" i="63"/>
  <c r="AK20" i="63"/>
  <c r="AH20" i="63"/>
  <c r="AE20" i="63"/>
  <c r="A21" i="63"/>
  <c r="C22" i="63"/>
  <c r="B22" i="63"/>
  <c r="P16" i="57"/>
  <c r="Q15" i="57"/>
  <c r="AC21" i="63" l="1"/>
  <c r="E22" i="63"/>
  <c r="G22" i="63" s="1"/>
  <c r="Q21" i="63"/>
  <c r="V21" i="63"/>
  <c r="AA21" i="63" s="1"/>
  <c r="M21" i="63"/>
  <c r="O21" i="63" s="1"/>
  <c r="T21" i="63"/>
  <c r="K21" i="63"/>
  <c r="P17" i="57"/>
  <c r="Q16" i="57"/>
  <c r="AG21" i="63" l="1"/>
  <c r="AJ21" i="63" s="1"/>
  <c r="AB21" i="63"/>
  <c r="R21" i="63"/>
  <c r="AL21" i="63" s="1"/>
  <c r="I21" i="63"/>
  <c r="S21" i="63"/>
  <c r="AD21" i="63"/>
  <c r="L21" i="63"/>
  <c r="W21" i="63"/>
  <c r="U21" i="63"/>
  <c r="D22" i="63"/>
  <c r="P18" i="57"/>
  <c r="Q17" i="57"/>
  <c r="F22" i="63" l="1"/>
  <c r="H22" i="63"/>
  <c r="Z21" i="63"/>
  <c r="X21" i="63"/>
  <c r="Y21" i="63" s="1"/>
  <c r="N21" i="63"/>
  <c r="P21" i="63"/>
  <c r="P19" i="57"/>
  <c r="Q18" i="57"/>
  <c r="AH21" i="63" l="1"/>
  <c r="J22" i="63"/>
  <c r="AM21" i="63"/>
  <c r="AK21" i="63"/>
  <c r="AE21" i="63"/>
  <c r="A22" i="63"/>
  <c r="C23" i="63"/>
  <c r="B23" i="63"/>
  <c r="P20" i="57"/>
  <c r="Q19" i="57"/>
  <c r="N6" i="57"/>
  <c r="E23" i="63" l="1"/>
  <c r="G23" i="63" s="1"/>
  <c r="T22" i="63"/>
  <c r="K22" i="63"/>
  <c r="Q22" i="63"/>
  <c r="M22" i="63"/>
  <c r="O22" i="63" s="1"/>
  <c r="V22" i="63"/>
  <c r="AA22" i="63" s="1"/>
  <c r="AC22" i="63"/>
  <c r="P21" i="57"/>
  <c r="Q20" i="57"/>
  <c r="N7" i="57"/>
  <c r="K9" i="57"/>
  <c r="K10" i="57" s="1"/>
  <c r="K11" i="57" s="1"/>
  <c r="K12" i="57" s="1"/>
  <c r="K13" i="57" s="1"/>
  <c r="K14" i="57" s="1"/>
  <c r="K15" i="57" s="1"/>
  <c r="K16" i="57" s="1"/>
  <c r="K17" i="57" s="1"/>
  <c r="K18" i="57" s="1"/>
  <c r="K19" i="57" s="1"/>
  <c r="K20" i="57" s="1"/>
  <c r="K21" i="57" s="1"/>
  <c r="K22" i="57" s="1"/>
  <c r="K23" i="57" s="1"/>
  <c r="D23" i="63" l="1"/>
  <c r="F23" i="63" s="1"/>
  <c r="AB22" i="63"/>
  <c r="R22" i="63"/>
  <c r="AL22" i="63" s="1"/>
  <c r="AG22" i="63"/>
  <c r="AJ22" i="63" s="1"/>
  <c r="S22" i="63"/>
  <c r="I22" i="63"/>
  <c r="L22" i="63"/>
  <c r="AD22" i="63"/>
  <c r="U22" i="63"/>
  <c r="W22" i="63"/>
  <c r="P22" i="57"/>
  <c r="Q21" i="57"/>
  <c r="N8" i="57"/>
  <c r="H23" i="63" l="1"/>
  <c r="B24" i="63" s="1"/>
  <c r="N22" i="63"/>
  <c r="P22" i="63"/>
  <c r="Z22" i="63"/>
  <c r="X22" i="63"/>
  <c r="Y22" i="63" s="1"/>
  <c r="P23" i="57"/>
  <c r="Q23" i="57" s="1"/>
  <c r="Q22" i="57"/>
  <c r="N9" i="57"/>
  <c r="A23" i="63" l="1"/>
  <c r="C24" i="63"/>
  <c r="V23" i="63"/>
  <c r="AA23" i="63" s="1"/>
  <c r="M23" i="63"/>
  <c r="O23" i="63" s="1"/>
  <c r="T23" i="63"/>
  <c r="K23" i="63"/>
  <c r="Q23" i="63"/>
  <c r="E24" i="63"/>
  <c r="G24" i="63" s="1"/>
  <c r="AK22" i="63"/>
  <c r="AH22" i="63"/>
  <c r="AM22" i="63"/>
  <c r="J23" i="63"/>
  <c r="AE22" i="63"/>
  <c r="N10" i="57"/>
  <c r="AD23" i="63" l="1"/>
  <c r="L23" i="63"/>
  <c r="N23" i="63" s="1"/>
  <c r="W23" i="63"/>
  <c r="U23" i="63"/>
  <c r="D24" i="63"/>
  <c r="AG23" i="63"/>
  <c r="AJ23" i="63" s="1"/>
  <c r="AB23" i="63"/>
  <c r="R23" i="63"/>
  <c r="AL23" i="63" s="1"/>
  <c r="AC23" i="63"/>
  <c r="N11" i="57"/>
  <c r="P23" i="63" l="1"/>
  <c r="AE23" i="63" s="1"/>
  <c r="X23" i="63"/>
  <c r="Z23" i="63"/>
  <c r="AH23" i="63" s="1"/>
  <c r="Y23" i="63"/>
  <c r="F24" i="63"/>
  <c r="H24" i="63"/>
  <c r="J24" i="63"/>
  <c r="AK23" i="63"/>
  <c r="S23" i="63"/>
  <c r="I23" i="63"/>
  <c r="N12" i="57"/>
  <c r="AM23" i="63" l="1"/>
  <c r="A24" i="63"/>
  <c r="C25" i="63"/>
  <c r="B25" i="63"/>
  <c r="AC24" i="63"/>
  <c r="N13" i="57"/>
  <c r="R25" i="57"/>
  <c r="E25" i="63" l="1"/>
  <c r="G25" i="63" s="1"/>
  <c r="I24" i="63"/>
  <c r="S24" i="63"/>
  <c r="Q24" i="63"/>
  <c r="V24" i="63"/>
  <c r="AA24" i="63" s="1"/>
  <c r="M24" i="63"/>
  <c r="O24" i="63" s="1"/>
  <c r="T24" i="63"/>
  <c r="K24" i="63"/>
  <c r="N14" i="57"/>
  <c r="D25" i="63" l="1"/>
  <c r="F25" i="63" s="1"/>
  <c r="AD24" i="63"/>
  <c r="L24" i="63"/>
  <c r="R24" i="63"/>
  <c r="AL24" i="63" s="1"/>
  <c r="AG24" i="63"/>
  <c r="AJ24" i="63" s="1"/>
  <c r="AB24" i="63"/>
  <c r="W24" i="63"/>
  <c r="U24" i="63"/>
  <c r="N15" i="57"/>
  <c r="C25" i="57"/>
  <c r="E13" i="59"/>
  <c r="H25" i="63" l="1"/>
  <c r="A25" i="63" s="1"/>
  <c r="Z24" i="63"/>
  <c r="X24" i="63"/>
  <c r="Y24" i="63" s="1"/>
  <c r="N24" i="63"/>
  <c r="P24" i="63"/>
  <c r="N16" i="57"/>
  <c r="H13" i="59"/>
  <c r="B26" i="63" l="1"/>
  <c r="C26" i="63"/>
  <c r="E26" i="63"/>
  <c r="G26" i="63" s="1"/>
  <c r="M25" i="63"/>
  <c r="O25" i="63" s="1"/>
  <c r="T25" i="63"/>
  <c r="V25" i="63"/>
  <c r="AA25" i="63" s="1"/>
  <c r="K25" i="63"/>
  <c r="Q25" i="63"/>
  <c r="AK24" i="63"/>
  <c r="AH24" i="63"/>
  <c r="J25" i="63"/>
  <c r="AM24" i="63"/>
  <c r="AE24" i="63"/>
  <c r="N17" i="57"/>
  <c r="H6" i="57"/>
  <c r="H7" i="57" s="1"/>
  <c r="H8" i="57" s="1"/>
  <c r="H9" i="57" s="1"/>
  <c r="H10" i="57" s="1"/>
  <c r="H11" i="57" s="1"/>
  <c r="H12" i="57" s="1"/>
  <c r="H13" i="57" s="1"/>
  <c r="H14" i="57" s="1"/>
  <c r="H15" i="57" s="1"/>
  <c r="H16" i="57" s="1"/>
  <c r="H17" i="57" s="1"/>
  <c r="H18" i="57" s="1"/>
  <c r="H19" i="57" s="1"/>
  <c r="H20" i="57" s="1"/>
  <c r="H21" i="57" s="1"/>
  <c r="H22" i="57" s="1"/>
  <c r="H23" i="57" s="1"/>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J43" i="19"/>
  <c r="F23" i="16"/>
  <c r="D74" i="1"/>
  <c r="D72" i="1"/>
  <c r="D73" i="1" s="1"/>
  <c r="E72" i="1"/>
  <c r="E73" i="1" s="1"/>
  <c r="E74"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C5" i="56"/>
  <c r="F5" i="56"/>
  <c r="G14" i="4"/>
  <c r="G13" i="4"/>
  <c r="G26" i="4"/>
  <c r="G24" i="4"/>
  <c r="F17" i="58"/>
  <c r="F16" i="58"/>
  <c r="F15" i="58"/>
  <c r="F14" i="58"/>
  <c r="F13" i="58"/>
  <c r="F22" i="16"/>
  <c r="D26" i="63" l="1"/>
  <c r="F26" i="63" s="1"/>
  <c r="L25" i="63"/>
  <c r="N25" i="63" s="1"/>
  <c r="AD25" i="63"/>
  <c r="AB25" i="63"/>
  <c r="R25" i="63"/>
  <c r="AL25" i="63" s="1"/>
  <c r="AG25" i="63"/>
  <c r="AJ25" i="63" s="1"/>
  <c r="AC25" i="63"/>
  <c r="U25" i="63"/>
  <c r="W25" i="63"/>
  <c r="H26" i="63"/>
  <c r="G6" i="20"/>
  <c r="F39" i="1"/>
  <c r="H39" i="1"/>
  <c r="N18" i="57"/>
  <c r="G24" i="58"/>
  <c r="C13" i="59"/>
  <c r="I14" i="59"/>
  <c r="F14" i="59"/>
  <c r="C14" i="59"/>
  <c r="L3" i="59"/>
  <c r="M4" i="59" s="1"/>
  <c r="I13" i="59" s="1"/>
  <c r="J16" i="59" s="1"/>
  <c r="H3" i="59"/>
  <c r="I4" i="59" s="1"/>
  <c r="F4" i="59"/>
  <c r="F13" i="59" s="1"/>
  <c r="D27" i="1"/>
  <c r="F67" i="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S52" i="19"/>
  <c r="R43" i="19"/>
  <c r="S43" i="19"/>
  <c r="C8" i="55"/>
  <c r="S46" i="19"/>
  <c r="T52" i="19"/>
  <c r="T43" i="19"/>
  <c r="U43" i="19"/>
  <c r="T44" i="19"/>
  <c r="C11" i="56"/>
  <c r="C10" i="56"/>
  <c r="C9" i="56"/>
  <c r="C8" i="56"/>
  <c r="C7" i="56"/>
  <c r="R52" i="19" s="1"/>
  <c r="C6" i="56"/>
  <c r="R46" i="19"/>
  <c r="C4" i="56"/>
  <c r="R45" i="19" s="1"/>
  <c r="C3" i="56"/>
  <c r="R44" i="19" s="1"/>
  <c r="C11" i="55"/>
  <c r="C10" i="55"/>
  <c r="C9" i="55"/>
  <c r="C7" i="55"/>
  <c r="C6" i="55"/>
  <c r="C5" i="55"/>
  <c r="C4" i="55"/>
  <c r="S45" i="19" s="1"/>
  <c r="C3" i="55"/>
  <c r="S44" i="19" s="1"/>
  <c r="C11" i="54"/>
  <c r="C10" i="54"/>
  <c r="C9" i="54"/>
  <c r="C8" i="54"/>
  <c r="C7" i="54"/>
  <c r="C6" i="54"/>
  <c r="C5" i="54"/>
  <c r="T46" i="19" s="1"/>
  <c r="C4" i="54"/>
  <c r="T45" i="19" s="1"/>
  <c r="C3" i="54"/>
  <c r="S25" i="63" l="1"/>
  <c r="I25" i="63"/>
  <c r="AE25" i="63"/>
  <c r="C27" i="63"/>
  <c r="B27" i="63"/>
  <c r="A26" i="63"/>
  <c r="Z25" i="63"/>
  <c r="Y25" i="63"/>
  <c r="X25" i="63"/>
  <c r="P25" i="63"/>
  <c r="N19" i="57"/>
  <c r="B35" i="1"/>
  <c r="G16" i="59"/>
  <c r="K14" i="59"/>
  <c r="D16" i="59"/>
  <c r="K13" i="59"/>
  <c r="K17" i="59" s="1"/>
  <c r="N6" i="59"/>
  <c r="G16" i="37"/>
  <c r="H16" i="37" s="1"/>
  <c r="N16" i="37" s="1"/>
  <c r="C6" i="53"/>
  <c r="C11" i="53"/>
  <c r="C10" i="53"/>
  <c r="C9" i="53"/>
  <c r="C8" i="53"/>
  <c r="C5" i="53"/>
  <c r="U46" i="19" s="1"/>
  <c r="C4" i="53"/>
  <c r="U45" i="19" s="1"/>
  <c r="C3" i="53"/>
  <c r="U44" i="19" s="1"/>
  <c r="D20" i="1"/>
  <c r="K43" i="19"/>
  <c r="L43" i="19"/>
  <c r="V26" i="63" l="1"/>
  <c r="AA26" i="63" s="1"/>
  <c r="M26" i="63"/>
  <c r="O26" i="63" s="1"/>
  <c r="T26" i="63"/>
  <c r="K26" i="63"/>
  <c r="Q26" i="63"/>
  <c r="E27" i="63"/>
  <c r="G27" i="63" s="1"/>
  <c r="AM25" i="63"/>
  <c r="AK25" i="63"/>
  <c r="AH25" i="63"/>
  <c r="J26" i="63"/>
  <c r="B34" i="1"/>
  <c r="N20" i="57"/>
  <c r="B29" i="1"/>
  <c r="H29" i="1" s="1"/>
  <c r="C7" i="53"/>
  <c r="U52" i="19" s="1"/>
  <c r="O4" i="37"/>
  <c r="M4" i="37" a="1"/>
  <c r="M4" i="37" s="1"/>
  <c r="E33" i="35"/>
  <c r="E32" i="35"/>
  <c r="E30" i="35"/>
  <c r="E29" i="35"/>
  <c r="F38" i="20"/>
  <c r="F37" i="20"/>
  <c r="G37" i="20" s="1"/>
  <c r="F36" i="20"/>
  <c r="G36" i="20" s="1"/>
  <c r="F35" i="20"/>
  <c r="G35" i="20" s="1"/>
  <c r="F21" i="16"/>
  <c r="F34" i="20"/>
  <c r="G34" i="20" s="1"/>
  <c r="F20" i="16"/>
  <c r="F19" i="16"/>
  <c r="F33" i="20"/>
  <c r="G33" i="20" s="1"/>
  <c r="F32" i="20"/>
  <c r="F31" i="20"/>
  <c r="G31" i="20" s="1"/>
  <c r="F30" i="20"/>
  <c r="G30" i="20" s="1"/>
  <c r="G28" i="22"/>
  <c r="G27" i="22"/>
  <c r="G26" i="22"/>
  <c r="G25" i="22"/>
  <c r="G24" i="22"/>
  <c r="G23" i="22"/>
  <c r="G22" i="22"/>
  <c r="G21" i="22"/>
  <c r="G20" i="22"/>
  <c r="G19" i="22"/>
  <c r="A4" i="37"/>
  <c r="N2" i="52"/>
  <c r="F18" i="16"/>
  <c r="F17" i="16"/>
  <c r="F16" i="16"/>
  <c r="F15" i="16"/>
  <c r="F14" i="16"/>
  <c r="F13" i="16"/>
  <c r="F12" i="16"/>
  <c r="F11" i="16"/>
  <c r="F10" i="16"/>
  <c r="F9" i="16"/>
  <c r="F8" i="16"/>
  <c r="F4" i="16"/>
  <c r="C17" i="13"/>
  <c r="F15" i="13"/>
  <c r="F14" i="13"/>
  <c r="F13" i="13"/>
  <c r="G18" i="37" s="1"/>
  <c r="H18" i="37" s="1"/>
  <c r="F11" i="13"/>
  <c r="F10" i="13"/>
  <c r="F9" i="13"/>
  <c r="F8" i="13"/>
  <c r="F7" i="13"/>
  <c r="F6" i="13"/>
  <c r="F5" i="13"/>
  <c r="C5" i="13"/>
  <c r="F4" i="13"/>
  <c r="E31" i="35"/>
  <c r="E28" i="35"/>
  <c r="E27" i="35"/>
  <c r="E26" i="35"/>
  <c r="E25" i="35"/>
  <c r="E24" i="35"/>
  <c r="E23" i="35"/>
  <c r="E22" i="35"/>
  <c r="E21" i="35"/>
  <c r="E20" i="35"/>
  <c r="E19" i="35"/>
  <c r="E18" i="35"/>
  <c r="E17" i="35"/>
  <c r="E16" i="35"/>
  <c r="E15" i="35"/>
  <c r="E14" i="35"/>
  <c r="F14" i="35" s="1"/>
  <c r="E13" i="35"/>
  <c r="E12" i="35"/>
  <c r="E11" i="35"/>
  <c r="G16" i="18"/>
  <c r="H17" i="18" s="1"/>
  <c r="G15" i="18"/>
  <c r="G14" i="18"/>
  <c r="G13" i="18"/>
  <c r="G12" i="18"/>
  <c r="G11" i="18"/>
  <c r="G10" i="18"/>
  <c r="G9" i="18"/>
  <c r="G8" i="18"/>
  <c r="B3" i="3"/>
  <c r="B5" i="3" s="1"/>
  <c r="F5" i="3" s="1"/>
  <c r="G5" i="3" s="1"/>
  <c r="H6" i="3" s="1"/>
  <c r="G29" i="4"/>
  <c r="G23" i="4"/>
  <c r="D46" i="4"/>
  <c r="H46" i="4" s="1"/>
  <c r="J49" i="4" s="1"/>
  <c r="F41" i="6"/>
  <c r="E41" i="6"/>
  <c r="F40" i="6"/>
  <c r="E40" i="6"/>
  <c r="F39" i="6"/>
  <c r="E39" i="6"/>
  <c r="F38" i="6"/>
  <c r="E38" i="6"/>
  <c r="E37" i="6"/>
  <c r="F37" i="6" s="1"/>
  <c r="G42" i="6" s="1"/>
  <c r="F36" i="6"/>
  <c r="E36" i="6"/>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29" i="22"/>
  <c r="G17" i="22"/>
  <c r="G16" i="22"/>
  <c r="G15" i="22"/>
  <c r="F14" i="22"/>
  <c r="F13" i="22"/>
  <c r="G13" i="22" s="1"/>
  <c r="E29" i="15"/>
  <c r="F29" i="15" s="1"/>
  <c r="F23" i="15"/>
  <c r="E23" i="15"/>
  <c r="E22" i="15"/>
  <c r="F22" i="15" s="1"/>
  <c r="E20" i="15"/>
  <c r="F20" i="15" s="1"/>
  <c r="E19" i="15"/>
  <c r="F19" i="15" s="1"/>
  <c r="E18" i="15"/>
  <c r="F18" i="15" s="1"/>
  <c r="E17" i="15"/>
  <c r="F17" i="15" s="1"/>
  <c r="E16" i="15"/>
  <c r="F16" i="15" s="1"/>
  <c r="F14" i="15"/>
  <c r="E11" i="15"/>
  <c r="E10" i="15"/>
  <c r="F10" i="15" s="1"/>
  <c r="E9" i="15"/>
  <c r="E12" i="21"/>
  <c r="E9" i="21"/>
  <c r="E61" i="50"/>
  <c r="F60" i="50"/>
  <c r="E60" i="50"/>
  <c r="F59" i="50"/>
  <c r="E59" i="50"/>
  <c r="F58" i="50"/>
  <c r="E58" i="50"/>
  <c r="F57" i="50"/>
  <c r="E57" i="50"/>
  <c r="F56" i="50"/>
  <c r="E56" i="50"/>
  <c r="F55" i="50"/>
  <c r="E55" i="50"/>
  <c r="F54" i="50"/>
  <c r="E54" i="50"/>
  <c r="F53" i="50"/>
  <c r="E53" i="50"/>
  <c r="F52" i="50"/>
  <c r="E52" i="50"/>
  <c r="F51" i="50"/>
  <c r="E51" i="50"/>
  <c r="F50" i="50"/>
  <c r="E50" i="50"/>
  <c r="F49" i="50"/>
  <c r="E49" i="50"/>
  <c r="F48" i="50"/>
  <c r="E48" i="50"/>
  <c r="F47" i="50"/>
  <c r="E47" i="50"/>
  <c r="E46" i="50"/>
  <c r="F46" i="50" s="1"/>
  <c r="E45" i="50"/>
  <c r="F45" i="50" s="1"/>
  <c r="E44" i="50"/>
  <c r="F44" i="50" s="1"/>
  <c r="E43" i="50"/>
  <c r="F43" i="50" s="1"/>
  <c r="F42" i="50"/>
  <c r="E42" i="50"/>
  <c r="F41" i="50"/>
  <c r="E41" i="50"/>
  <c r="F40" i="50"/>
  <c r="E40" i="50"/>
  <c r="F39" i="50"/>
  <c r="E39" i="50"/>
  <c r="F38" i="50"/>
  <c r="E38" i="50"/>
  <c r="F37" i="50"/>
  <c r="E37" i="50"/>
  <c r="F36" i="50"/>
  <c r="E36" i="50"/>
  <c r="F35" i="50"/>
  <c r="E35" i="50"/>
  <c r="F34" i="50"/>
  <c r="E34" i="50"/>
  <c r="F33" i="50"/>
  <c r="E33" i="50"/>
  <c r="F32" i="50"/>
  <c r="E32" i="50"/>
  <c r="F31" i="50"/>
  <c r="E31" i="50"/>
  <c r="F30" i="50"/>
  <c r="E30" i="50"/>
  <c r="F29" i="50"/>
  <c r="E29" i="50"/>
  <c r="F28" i="50"/>
  <c r="E28" i="50"/>
  <c r="F27" i="50"/>
  <c r="E27" i="50"/>
  <c r="F26" i="50"/>
  <c r="E26" i="50"/>
  <c r="F25" i="50"/>
  <c r="E25" i="50"/>
  <c r="F24" i="50"/>
  <c r="E24" i="50"/>
  <c r="F23" i="50"/>
  <c r="E23" i="50"/>
  <c r="F22" i="50"/>
  <c r="E22" i="50"/>
  <c r="F21" i="50"/>
  <c r="E21" i="50"/>
  <c r="F20" i="50"/>
  <c r="E20" i="50"/>
  <c r="F19" i="50"/>
  <c r="E19" i="50"/>
  <c r="F18" i="50"/>
  <c r="E18" i="50"/>
  <c r="F17" i="50"/>
  <c r="E17" i="50"/>
  <c r="F16" i="50"/>
  <c r="E16" i="50"/>
  <c r="F15" i="50"/>
  <c r="E15" i="50"/>
  <c r="F14" i="50"/>
  <c r="E14" i="50"/>
  <c r="F13" i="50"/>
  <c r="E13" i="50"/>
  <c r="F12" i="50"/>
  <c r="E12" i="50"/>
  <c r="F11" i="50"/>
  <c r="E11" i="50"/>
  <c r="F10" i="50"/>
  <c r="E10" i="50"/>
  <c r="F9" i="50"/>
  <c r="E9" i="50"/>
  <c r="F8" i="50"/>
  <c r="E8" i="50"/>
  <c r="F7" i="50"/>
  <c r="E7" i="50"/>
  <c r="F6" i="50"/>
  <c r="E6" i="50"/>
  <c r="F5" i="50"/>
  <c r="E5" i="50"/>
  <c r="F4" i="50"/>
  <c r="E4" i="50"/>
  <c r="F3" i="50"/>
  <c r="E3" i="50"/>
  <c r="E11" i="9"/>
  <c r="D7" i="9"/>
  <c r="C6" i="9"/>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O43" i="19"/>
  <c r="N43" i="19"/>
  <c r="M43" i="19"/>
  <c r="B1" i="19"/>
  <c r="E43" i="19" s="1"/>
  <c r="I74" i="33"/>
  <c r="A57" i="33"/>
  <c r="I61" i="33" s="1"/>
  <c r="H41" i="33"/>
  <c r="C38" i="33"/>
  <c r="H32" i="33"/>
  <c r="I31" i="33"/>
  <c r="H25" i="33"/>
  <c r="H19" i="33"/>
  <c r="I16" i="33"/>
  <c r="C14" i="33"/>
  <c r="I1" i="33"/>
  <c r="D93" i="1"/>
  <c r="B48" i="1" s="1"/>
  <c r="F48" i="1" s="1"/>
  <c r="D82" i="1"/>
  <c r="B47" i="1" s="1"/>
  <c r="D47" i="1" s="1"/>
  <c r="F46" i="1"/>
  <c r="D41" i="1"/>
  <c r="D26" i="1"/>
  <c r="F18" i="1"/>
  <c r="H16" i="1"/>
  <c r="H25" i="16" l="1"/>
  <c r="G17" i="37" s="1"/>
  <c r="H17" i="37" s="1"/>
  <c r="N17" i="37" s="1"/>
  <c r="D27" i="63"/>
  <c r="F27" i="63" s="1"/>
  <c r="H27" i="63"/>
  <c r="AG26" i="63"/>
  <c r="AJ26" i="63" s="1"/>
  <c r="AB26" i="63"/>
  <c r="R26" i="63"/>
  <c r="AL26" i="63" s="1"/>
  <c r="AC26" i="63"/>
  <c r="AD26" i="63"/>
  <c r="L26" i="63"/>
  <c r="N26" i="63" s="1"/>
  <c r="W26" i="63"/>
  <c r="U26" i="63"/>
  <c r="I18" i="18"/>
  <c r="G19" i="37" s="1"/>
  <c r="H19" i="37" s="1"/>
  <c r="I34" i="1"/>
  <c r="H34" i="1"/>
  <c r="G32" i="20"/>
  <c r="N21" i="57"/>
  <c r="F24" i="33"/>
  <c r="I26" i="33" s="1"/>
  <c r="F14" i="33"/>
  <c r="G14" i="22"/>
  <c r="F15" i="35"/>
  <c r="G35" i="35"/>
  <c r="H36" i="35" s="1"/>
  <c r="G15" i="37" s="1"/>
  <c r="H15" i="37" s="1"/>
  <c r="N15" i="37" s="1"/>
  <c r="G15" i="20"/>
  <c r="F9" i="15"/>
  <c r="G8" i="37"/>
  <c r="H8" i="37" s="1"/>
  <c r="B20" i="3"/>
  <c r="F20" i="3" s="1"/>
  <c r="G20" i="3" s="1"/>
  <c r="B17" i="37"/>
  <c r="B18" i="37" s="1"/>
  <c r="B19" i="37" s="1"/>
  <c r="B20" i="37" s="1"/>
  <c r="B22" i="37" s="1"/>
  <c r="B16" i="37"/>
  <c r="I21" i="4"/>
  <c r="F10" i="1"/>
  <c r="G7" i="20"/>
  <c r="H38" i="20" s="1"/>
  <c r="D48" i="4"/>
  <c r="G23" i="6"/>
  <c r="H44" i="6" s="1"/>
  <c r="F11" i="15"/>
  <c r="P37" i="37"/>
  <c r="P7" i="37"/>
  <c r="F29" i="6"/>
  <c r="G32" i="6" s="1"/>
  <c r="G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31" i="22" l="1"/>
  <c r="I31" i="22" s="1"/>
  <c r="G10" i="37" s="1"/>
  <c r="G24" i="37"/>
  <c r="H24" i="37" s="1"/>
  <c r="O3" i="37" s="1"/>
  <c r="I26" i="63"/>
  <c r="S26" i="63"/>
  <c r="P26" i="63"/>
  <c r="AE26" i="63" s="1"/>
  <c r="X26" i="63"/>
  <c r="Y26" i="63"/>
  <c r="Z26" i="63"/>
  <c r="A27" i="63"/>
  <c r="C28" i="63"/>
  <c r="B28" i="63"/>
  <c r="G12" i="37"/>
  <c r="H12" i="37" s="1"/>
  <c r="N22" i="57"/>
  <c r="H10" i="37"/>
  <c r="N10" i="37" s="1"/>
  <c r="G30" i="15"/>
  <c r="N8" i="37"/>
  <c r="B23" i="37"/>
  <c r="B24" i="37" s="1"/>
  <c r="B25" i="37" s="1"/>
  <c r="G13" i="15"/>
  <c r="H31" i="15" s="1"/>
  <c r="G9" i="37" s="1"/>
  <c r="F43" i="1"/>
  <c r="F44" i="1"/>
  <c r="K42" i="1"/>
  <c r="E45" i="19" s="1"/>
  <c r="E22" i="1"/>
  <c r="F25" i="57"/>
  <c r="B31" i="1" s="1"/>
  <c r="G10" i="3"/>
  <c r="H21" i="3" s="1"/>
  <c r="I22" i="3" s="1"/>
  <c r="G14" i="37" s="1"/>
  <c r="J3" i="37"/>
  <c r="M3" i="37" s="1"/>
  <c r="D37" i="33"/>
  <c r="F37" i="33" s="1"/>
  <c r="G11" i="37"/>
  <c r="H11" i="37"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K27" i="63" l="1"/>
  <c r="Q27" i="63"/>
  <c r="T27" i="63"/>
  <c r="V27" i="63"/>
  <c r="AA27" i="63" s="1"/>
  <c r="M27" i="63"/>
  <c r="O27" i="63" s="1"/>
  <c r="J27" i="63"/>
  <c r="AM26" i="63"/>
  <c r="AH26" i="63"/>
  <c r="AK26" i="63"/>
  <c r="E28" i="63"/>
  <c r="G28" i="63" s="1"/>
  <c r="D28" i="63"/>
  <c r="F28" i="63" s="1"/>
  <c r="N23" i="57"/>
  <c r="O25" i="57" s="1"/>
  <c r="B36" i="1" s="1"/>
  <c r="I31" i="1"/>
  <c r="H31" i="1"/>
  <c r="H9" i="37"/>
  <c r="K50" i="4"/>
  <c r="G13" i="37" s="1"/>
  <c r="H13" i="37" s="1"/>
  <c r="N13" i="37" s="1"/>
  <c r="M2" i="37" s="1"/>
  <c r="D14" i="33"/>
  <c r="B14" i="33" s="1"/>
  <c r="I20" i="33" s="1"/>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27" i="63" l="1"/>
  <c r="H28" i="63"/>
  <c r="W27" i="63"/>
  <c r="U27" i="63"/>
  <c r="AB27" i="63"/>
  <c r="R27" i="63"/>
  <c r="AL27" i="63" s="1"/>
  <c r="AG27" i="63"/>
  <c r="AJ27" i="63" s="1"/>
  <c r="AD27" i="63"/>
  <c r="L27" i="63"/>
  <c r="N27" i="63" s="1"/>
  <c r="J2" i="37"/>
  <c r="J5" i="37" s="1"/>
  <c r="B59" i="1" s="1"/>
  <c r="D59"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29" i="63" l="1"/>
  <c r="A28" i="63"/>
  <c r="C29" i="63"/>
  <c r="Z27" i="63"/>
  <c r="X27" i="63"/>
  <c r="Y27" i="63" s="1"/>
  <c r="S27" i="63"/>
  <c r="I27" i="63"/>
  <c r="P27" i="63"/>
  <c r="B61" i="1"/>
  <c r="D61" i="1" s="1"/>
  <c r="D62"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0" i="1" l="1"/>
  <c r="D40" i="1" s="1"/>
  <c r="E46" i="19"/>
  <c r="V28" i="63"/>
  <c r="AA28" i="63" s="1"/>
  <c r="M28" i="63"/>
  <c r="O28" i="63" s="1"/>
  <c r="T28" i="63"/>
  <c r="K28" i="63"/>
  <c r="Q28" i="63"/>
  <c r="AK27" i="63"/>
  <c r="AH27" i="63"/>
  <c r="J28" i="63"/>
  <c r="AM27" i="63"/>
  <c r="E29" i="63"/>
  <c r="G29" i="63" s="1"/>
  <c r="AE27"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D28" i="63"/>
  <c r="L28" i="63"/>
  <c r="N28" i="63" s="1"/>
  <c r="U28" i="63"/>
  <c r="W28" i="63"/>
  <c r="AB28" i="63"/>
  <c r="R28" i="63"/>
  <c r="AL28" i="63" s="1"/>
  <c r="AG28" i="63"/>
  <c r="AJ28" i="63" s="1"/>
  <c r="AC28" i="63"/>
  <c r="D29" i="63"/>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P28" i="63" l="1"/>
  <c r="AE28" i="63" s="1"/>
  <c r="F29" i="63"/>
  <c r="H29" i="63"/>
  <c r="AK28" i="63"/>
  <c r="J29" i="63"/>
  <c r="Z28" i="63"/>
  <c r="AH28" i="63" s="1"/>
  <c r="X28" i="63"/>
  <c r="Y28" i="63" s="1"/>
  <c r="S28" i="63"/>
  <c r="I28"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M28" i="63" l="1"/>
  <c r="AC29" i="63"/>
  <c r="A29" i="63"/>
  <c r="C30" i="63"/>
  <c r="B30"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E30" i="63" l="1"/>
  <c r="G30" i="63" s="1"/>
  <c r="Q29" i="63"/>
  <c r="V29" i="63"/>
  <c r="AA29" i="63" s="1"/>
  <c r="M29" i="63"/>
  <c r="O29" i="63" s="1"/>
  <c r="T29" i="63"/>
  <c r="K29" i="63"/>
  <c r="I29" i="63"/>
  <c r="S29" i="63"/>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D30" i="63" l="1"/>
  <c r="F30" i="63" s="1"/>
  <c r="AG29" i="63"/>
  <c r="AJ29" i="63" s="1"/>
  <c r="R29" i="63"/>
  <c r="AL29" i="63" s="1"/>
  <c r="AB29" i="63"/>
  <c r="AD29" i="63"/>
  <c r="L29" i="63"/>
  <c r="W29" i="63"/>
  <c r="U29"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H30" i="63" l="1"/>
  <c r="A30" i="63" s="1"/>
  <c r="N29" i="63"/>
  <c r="P29" i="63"/>
  <c r="AE29" i="63"/>
  <c r="X29" i="63"/>
  <c r="Y29" i="63" s="1"/>
  <c r="Z29" i="63"/>
  <c r="B31"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C31" i="63" l="1"/>
  <c r="T30" i="63"/>
  <c r="K30" i="63"/>
  <c r="M30" i="63"/>
  <c r="O30" i="63" s="1"/>
  <c r="Q30" i="63"/>
  <c r="V30" i="63"/>
  <c r="AA30" i="63" s="1"/>
  <c r="AH29" i="63"/>
  <c r="J30" i="63"/>
  <c r="AM29" i="63"/>
  <c r="AK29" i="63"/>
  <c r="E31" i="63"/>
  <c r="G31"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30" i="63" l="1"/>
  <c r="AB30" i="63"/>
  <c r="R30" i="63"/>
  <c r="AL30" i="63" s="1"/>
  <c r="AG30" i="63"/>
  <c r="AJ30" i="63" s="1"/>
  <c r="L30" i="63"/>
  <c r="N30" i="63" s="1"/>
  <c r="AD30" i="63"/>
  <c r="W30" i="63"/>
  <c r="U30" i="63"/>
  <c r="D31"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F31" i="63" l="1"/>
  <c r="H31" i="63"/>
  <c r="Z30" i="63"/>
  <c r="X30" i="63"/>
  <c r="Y30" i="63" s="1"/>
  <c r="P30" i="63"/>
  <c r="S30" i="63"/>
  <c r="I30"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K30" i="63" l="1"/>
  <c r="AH30" i="63"/>
  <c r="AM30" i="63"/>
  <c r="J31" i="63"/>
  <c r="AE30" i="63"/>
  <c r="B32" i="63"/>
  <c r="A31" i="63"/>
  <c r="C32" i="63"/>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V31" i="63" l="1"/>
  <c r="AA31" i="63" s="1"/>
  <c r="M31" i="63"/>
  <c r="O31" i="63" s="1"/>
  <c r="T31" i="63"/>
  <c r="K31" i="63"/>
  <c r="Q31" i="63"/>
  <c r="E32" i="63"/>
  <c r="G32" i="63" s="1"/>
  <c r="AC31"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D32" i="63" l="1"/>
  <c r="F32" i="63" s="1"/>
  <c r="AD31" i="63"/>
  <c r="L31" i="63"/>
  <c r="W31" i="63"/>
  <c r="U31" i="63"/>
  <c r="AG31" i="63"/>
  <c r="AJ31" i="63" s="1"/>
  <c r="AB31" i="63"/>
  <c r="R31" i="63"/>
  <c r="AL31" i="63" s="1"/>
  <c r="S31" i="63"/>
  <c r="I31"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H32" i="63" l="1"/>
  <c r="Z31" i="63"/>
  <c r="X31" i="63"/>
  <c r="Y31" i="63" s="1"/>
  <c r="N31" i="63"/>
  <c r="P31" i="63"/>
  <c r="A32" i="63"/>
  <c r="C33" i="63"/>
  <c r="B33" i="63"/>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Q32" i="63" l="1"/>
  <c r="K32" i="63"/>
  <c r="V32" i="63"/>
  <c r="AA32" i="63" s="1"/>
  <c r="M32" i="63"/>
  <c r="O32" i="63" s="1"/>
  <c r="T32" i="63"/>
  <c r="J32" i="63"/>
  <c r="AM31" i="63"/>
  <c r="AK31" i="63"/>
  <c r="AH31" i="63"/>
  <c r="E33" i="63"/>
  <c r="G33" i="63" s="1"/>
  <c r="AE31"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C32" i="63" l="1"/>
  <c r="W32" i="63"/>
  <c r="U32" i="63"/>
  <c r="AD32" i="63"/>
  <c r="L32" i="63"/>
  <c r="N32" i="63" s="1"/>
  <c r="R32" i="63"/>
  <c r="AL32" i="63" s="1"/>
  <c r="AG32" i="63"/>
  <c r="AJ32" i="63" s="1"/>
  <c r="AB32" i="63"/>
  <c r="D33"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F33" i="63" l="1"/>
  <c r="H33" i="63"/>
  <c r="Z32" i="63"/>
  <c r="X32" i="63"/>
  <c r="Y32" i="63" s="1"/>
  <c r="S32" i="63"/>
  <c r="I32" i="63"/>
  <c r="P32" i="63"/>
  <c r="AE32"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33" i="63" l="1"/>
  <c r="C34" i="63"/>
  <c r="B34" i="63"/>
  <c r="AH32" i="63"/>
  <c r="AK32" i="63"/>
  <c r="J33" i="63"/>
  <c r="AM32"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3" i="63" l="1"/>
  <c r="E34" i="63"/>
  <c r="G34" i="63" s="1"/>
  <c r="M33" i="63"/>
  <c r="O33" i="63" s="1"/>
  <c r="T33" i="63"/>
  <c r="K33" i="63"/>
  <c r="V33" i="63"/>
  <c r="AA33" i="63" s="1"/>
  <c r="Q33"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D34" i="63" l="1"/>
  <c r="F34" i="63" s="1"/>
  <c r="U33" i="63"/>
  <c r="W33" i="63"/>
  <c r="L33" i="63"/>
  <c r="AD33" i="63"/>
  <c r="AB33" i="63"/>
  <c r="R33" i="63"/>
  <c r="AL33" i="63" s="1"/>
  <c r="AG33" i="63"/>
  <c r="AJ33" i="63" s="1"/>
  <c r="S33" i="63"/>
  <c r="I33" i="63"/>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H34" i="63" l="1"/>
  <c r="N33" i="63"/>
  <c r="P33" i="63"/>
  <c r="C35" i="63"/>
  <c r="A34" i="63"/>
  <c r="B35" i="63"/>
  <c r="AE33" i="63"/>
  <c r="Z33" i="63"/>
  <c r="X33" i="63"/>
  <c r="Y33" i="63" s="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E35" i="63" l="1"/>
  <c r="G35" i="63" s="1"/>
  <c r="Q34" i="63"/>
  <c r="V34" i="63"/>
  <c r="AA34" i="63" s="1"/>
  <c r="M34" i="63"/>
  <c r="O34" i="63" s="1"/>
  <c r="T34" i="63"/>
  <c r="K34" i="63"/>
  <c r="D35" i="63"/>
  <c r="F35" i="63" s="1"/>
  <c r="AM33" i="63"/>
  <c r="AK33" i="63"/>
  <c r="AH33" i="63"/>
  <c r="J34"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W34" i="63" l="1"/>
  <c r="U34" i="63"/>
  <c r="P34" i="63"/>
  <c r="AC34" i="63"/>
  <c r="AG34" i="63"/>
  <c r="AJ34" i="63" s="1"/>
  <c r="AB34" i="63"/>
  <c r="R34" i="63"/>
  <c r="AL34" i="63" s="1"/>
  <c r="AD34" i="63"/>
  <c r="L34" i="63"/>
  <c r="N34" i="63" s="1"/>
  <c r="H35" i="63"/>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E34" i="63" l="1"/>
  <c r="I34" i="63"/>
  <c r="S34" i="63"/>
  <c r="A35" i="63"/>
  <c r="C36" i="63"/>
  <c r="B36" i="63"/>
  <c r="J35" i="63"/>
  <c r="AH34" i="63"/>
  <c r="AM34" i="63"/>
  <c r="AK34" i="63"/>
  <c r="X34" i="63"/>
  <c r="Y34" i="63" s="1"/>
  <c r="Z34"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C35" i="63" l="1"/>
  <c r="E36" i="63"/>
  <c r="G36" i="63" s="1"/>
  <c r="K35" i="63"/>
  <c r="Q35" i="63"/>
  <c r="T35" i="63"/>
  <c r="V35" i="63"/>
  <c r="AA35" i="63" s="1"/>
  <c r="M35" i="63"/>
  <c r="O35" i="63" s="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D36" i="63" l="1"/>
  <c r="F36" i="63" s="1"/>
  <c r="AB35" i="63"/>
  <c r="R35" i="63"/>
  <c r="AL35" i="63" s="1"/>
  <c r="AG35" i="63"/>
  <c r="AJ35" i="63" s="1"/>
  <c r="W35" i="63"/>
  <c r="U35" i="63"/>
  <c r="H36" i="63"/>
  <c r="S35" i="63"/>
  <c r="I35" i="63"/>
  <c r="L35" i="63"/>
  <c r="AD35"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7" i="63" l="1"/>
  <c r="A36" i="63"/>
  <c r="C37" i="63"/>
  <c r="Z35" i="63"/>
  <c r="X35" i="63"/>
  <c r="Y35" i="63" s="1"/>
  <c r="N35" i="63"/>
  <c r="P35"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K35" i="63" l="1"/>
  <c r="AH35" i="63"/>
  <c r="J36" i="63"/>
  <c r="AM35" i="63"/>
  <c r="V36" i="63"/>
  <c r="AA36" i="63" s="1"/>
  <c r="M36" i="63"/>
  <c r="O36" i="63" s="1"/>
  <c r="T36" i="63"/>
  <c r="K36" i="63"/>
  <c r="Q36" i="63"/>
  <c r="AE35" i="63"/>
  <c r="E37" i="63"/>
  <c r="G37" i="63" s="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D37" i="63" l="1"/>
  <c r="U36" i="63"/>
  <c r="W36" i="63"/>
  <c r="AC36" i="63"/>
  <c r="P36" i="63"/>
  <c r="AB36" i="63"/>
  <c r="R36" i="63"/>
  <c r="AL36" i="63" s="1"/>
  <c r="AG36" i="63"/>
  <c r="AJ36" i="63" s="1"/>
  <c r="AD36" i="63"/>
  <c r="L36" i="63"/>
  <c r="N36"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E36" i="63" l="1"/>
  <c r="S36" i="63"/>
  <c r="I36" i="63"/>
  <c r="AM36" i="63"/>
  <c r="AK36" i="63"/>
  <c r="J37" i="63"/>
  <c r="Z36" i="63"/>
  <c r="AH36" i="63" s="1"/>
  <c r="Y36" i="63"/>
  <c r="X36" i="63"/>
  <c r="F37" i="63"/>
  <c r="H37"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C37" i="63" l="1"/>
  <c r="A37" i="63"/>
  <c r="C38" i="63"/>
  <c r="B38"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E38" i="63" l="1"/>
  <c r="G38" i="63" s="1"/>
  <c r="Q37" i="63"/>
  <c r="V37" i="63"/>
  <c r="AA37" i="63" s="1"/>
  <c r="M37" i="63"/>
  <c r="O37" i="63" s="1"/>
  <c r="T37" i="63"/>
  <c r="K37" i="63"/>
  <c r="I37" i="63"/>
  <c r="S37"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AD37" i="63" l="1"/>
  <c r="L37" i="63"/>
  <c r="W37" i="63"/>
  <c r="U37" i="63"/>
  <c r="AG37" i="63"/>
  <c r="AJ37" i="63" s="1"/>
  <c r="R37" i="63"/>
  <c r="AL37" i="63" s="1"/>
  <c r="AB37" i="63"/>
  <c r="D38"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37" i="63" l="1"/>
  <c r="X37" i="63"/>
  <c r="Y37" i="63" s="1"/>
  <c r="F38" i="63"/>
  <c r="H38" i="63"/>
  <c r="N37" i="63"/>
  <c r="P37" i="63"/>
  <c r="AE37" i="63" s="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H37" i="63" l="1"/>
  <c r="J38" i="63"/>
  <c r="AM37" i="63"/>
  <c r="AK37" i="63"/>
  <c r="A38" i="63"/>
  <c r="C39" i="63"/>
  <c r="B39" i="63"/>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T38" i="63" l="1"/>
  <c r="K38" i="63"/>
  <c r="M38" i="63"/>
  <c r="O38" i="63" s="1"/>
  <c r="Q38" i="63"/>
  <c r="V38" i="63"/>
  <c r="AA38" i="63" s="1"/>
  <c r="E39" i="63"/>
  <c r="G39" i="63" s="1"/>
  <c r="AC38"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B38" i="63" l="1"/>
  <c r="R38" i="63"/>
  <c r="AL38" i="63" s="1"/>
  <c r="AG38" i="63"/>
  <c r="AJ38" i="63" s="1"/>
  <c r="L38" i="63"/>
  <c r="AD38" i="63"/>
  <c r="W38" i="63"/>
  <c r="U38" i="63"/>
  <c r="S38" i="63"/>
  <c r="I38" i="63"/>
  <c r="D39"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N38" i="63" l="1"/>
  <c r="P38" i="63"/>
  <c r="F39" i="63"/>
  <c r="H39" i="63"/>
  <c r="AE38" i="63"/>
  <c r="Z38" i="63"/>
  <c r="X38" i="63"/>
  <c r="Y38" i="63" s="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40" i="63" l="1"/>
  <c r="C40" i="63"/>
  <c r="A39" i="63"/>
  <c r="AK38" i="63"/>
  <c r="AM38" i="63"/>
  <c r="AH38" i="63"/>
  <c r="J39"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C39" i="63" l="1"/>
  <c r="V39" i="63"/>
  <c r="AA39" i="63" s="1"/>
  <c r="M39" i="63"/>
  <c r="O39" i="63" s="1"/>
  <c r="T39" i="63"/>
  <c r="K39" i="63"/>
  <c r="Q39" i="63"/>
  <c r="E40" i="63"/>
  <c r="G40" i="63" s="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D40" i="63" l="1"/>
  <c r="F40" i="63" s="1"/>
  <c r="AD39" i="63"/>
  <c r="L39" i="63"/>
  <c r="W39" i="63"/>
  <c r="U39" i="63"/>
  <c r="AB39" i="63"/>
  <c r="AG39" i="63"/>
  <c r="AJ39" i="63" s="1"/>
  <c r="R39" i="63"/>
  <c r="AL39" i="63" s="1"/>
  <c r="H40" i="63"/>
  <c r="S39" i="63"/>
  <c r="I39" i="63"/>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Z39" i="63" l="1"/>
  <c r="X39" i="63"/>
  <c r="Y39" i="63" s="1"/>
  <c r="A40" i="63"/>
  <c r="C41" i="63"/>
  <c r="B41" i="63"/>
  <c r="N39" i="63"/>
  <c r="P39" i="63"/>
  <c r="AE39" i="63" s="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Q40" i="63" l="1"/>
  <c r="K40" i="63"/>
  <c r="V40" i="63"/>
  <c r="AA40" i="63" s="1"/>
  <c r="M40" i="63"/>
  <c r="O40" i="63" s="1"/>
  <c r="T40" i="63"/>
  <c r="E41" i="63"/>
  <c r="G41" i="63" s="1"/>
  <c r="J40" i="63"/>
  <c r="AM39" i="63"/>
  <c r="AK39" i="63"/>
  <c r="AH39"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W40" i="63" l="1"/>
  <c r="U40" i="63"/>
  <c r="AD40" i="63"/>
  <c r="L40" i="63"/>
  <c r="N40" i="63" s="1"/>
  <c r="R40" i="63"/>
  <c r="AL40" i="63" s="1"/>
  <c r="AG40" i="63"/>
  <c r="AJ40" i="63" s="1"/>
  <c r="AB40" i="63"/>
  <c r="AC40" i="63"/>
  <c r="D41"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F41" i="63" l="1"/>
  <c r="H41" i="63"/>
  <c r="I40" i="63"/>
  <c r="S40" i="63"/>
  <c r="P40" i="63"/>
  <c r="Z40" i="63"/>
  <c r="X40" i="63"/>
  <c r="Y40" i="63" s="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K40" i="63" l="1"/>
  <c r="AH40" i="63"/>
  <c r="J41" i="63"/>
  <c r="AM40" i="63"/>
  <c r="A41" i="63"/>
  <c r="C42" i="63"/>
  <c r="B42" i="63"/>
  <c r="AE40"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E42" i="63" l="1"/>
  <c r="G42" i="63" s="1"/>
  <c r="M41" i="63"/>
  <c r="O41" i="63" s="1"/>
  <c r="T41" i="63"/>
  <c r="K41" i="63"/>
  <c r="V41" i="63"/>
  <c r="AA41" i="63" s="1"/>
  <c r="Q41" i="63"/>
  <c r="D42" i="63"/>
  <c r="F42" i="63" s="1"/>
  <c r="AC41" i="63"/>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1" i="63" l="1"/>
  <c r="L41" i="63"/>
  <c r="U41" i="63"/>
  <c r="W41" i="63"/>
  <c r="AB41" i="63"/>
  <c r="R41" i="63"/>
  <c r="AL41" i="63" s="1"/>
  <c r="AG41" i="63"/>
  <c r="AJ41" i="63" s="1"/>
  <c r="S41" i="63"/>
  <c r="I41" i="63"/>
  <c r="H42"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C43" i="63" l="1"/>
  <c r="B43" i="63"/>
  <c r="A42" i="63"/>
  <c r="Z41" i="63"/>
  <c r="X41" i="63"/>
  <c r="Y41" i="63" s="1"/>
  <c r="N41" i="63"/>
  <c r="P41"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V42" i="63" l="1"/>
  <c r="AA42" i="63" s="1"/>
  <c r="M42" i="63"/>
  <c r="O42" i="63" s="1"/>
  <c r="Q42" i="63"/>
  <c r="T42" i="63"/>
  <c r="K42" i="63"/>
  <c r="E43" i="63"/>
  <c r="G43" i="63" s="1"/>
  <c r="AM41" i="63"/>
  <c r="AK41" i="63"/>
  <c r="AH41" i="63"/>
  <c r="J42" i="63"/>
  <c r="AE41"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D43" i="63" l="1"/>
  <c r="F43" i="63" s="1"/>
  <c r="L42" i="63"/>
  <c r="N42" i="63" s="1"/>
  <c r="AD42" i="63"/>
  <c r="P42" i="63"/>
  <c r="AC42" i="63"/>
  <c r="W42" i="63"/>
  <c r="U42" i="63"/>
  <c r="H43" i="63"/>
  <c r="R42" i="63"/>
  <c r="AL42" i="63" s="1"/>
  <c r="AG42" i="63"/>
  <c r="AJ42" i="63" s="1"/>
  <c r="AB42"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E42" i="63" l="1"/>
  <c r="Z42" i="63"/>
  <c r="X42" i="63"/>
  <c r="Y42" i="63" s="1"/>
  <c r="C44" i="63"/>
  <c r="A43" i="63"/>
  <c r="B44" i="63"/>
  <c r="I42" i="63"/>
  <c r="S42" i="63"/>
  <c r="AK42" i="63"/>
  <c r="J43" i="63"/>
  <c r="AM42" i="63"/>
  <c r="AH42"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E44" i="63" l="1"/>
  <c r="G44" i="63" s="1"/>
  <c r="V43" i="63"/>
  <c r="AA43" i="63" s="1"/>
  <c r="M43" i="63"/>
  <c r="O43" i="63" s="1"/>
  <c r="K43" i="63"/>
  <c r="T43" i="63"/>
  <c r="Q43" i="63"/>
  <c r="D44" i="63"/>
  <c r="F44" i="63" s="1"/>
  <c r="AC43" i="63"/>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U43" i="63" l="1"/>
  <c r="W43" i="63"/>
  <c r="AD43" i="63"/>
  <c r="L43" i="63"/>
  <c r="R43" i="63"/>
  <c r="AL43" i="63" s="1"/>
  <c r="AG43" i="63"/>
  <c r="AJ43" i="63" s="1"/>
  <c r="AB43" i="63"/>
  <c r="I43" i="63"/>
  <c r="S43" i="63"/>
  <c r="H44"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44" i="63" l="1"/>
  <c r="C45" i="63"/>
  <c r="B45" i="63"/>
  <c r="N43" i="63"/>
  <c r="P43" i="63"/>
  <c r="AE43" i="63" s="1"/>
  <c r="Z43" i="63"/>
  <c r="X43" i="63"/>
  <c r="Y43" i="63" s="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M43" i="63" l="1"/>
  <c r="AK43" i="63"/>
  <c r="AH43" i="63"/>
  <c r="J44" i="63"/>
  <c r="E45" i="63"/>
  <c r="G45" i="63" s="1"/>
  <c r="M44" i="63"/>
  <c r="O44" i="63" s="1"/>
  <c r="K44" i="63"/>
  <c r="Q44" i="63"/>
  <c r="T44" i="63"/>
  <c r="V44" i="63"/>
  <c r="AA44" i="63" s="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D45" i="63" l="1"/>
  <c r="F45" i="63" s="1"/>
  <c r="H45" i="63"/>
  <c r="AC44" i="63"/>
  <c r="U44" i="63"/>
  <c r="W44" i="63"/>
  <c r="AG44" i="63"/>
  <c r="AJ44" i="63" s="1"/>
  <c r="R44" i="63"/>
  <c r="AL44" i="63" s="1"/>
  <c r="AB44" i="63"/>
  <c r="AD44" i="63"/>
  <c r="L44" i="63"/>
  <c r="N44" i="63" s="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P44" i="63" l="1"/>
  <c r="X44" i="63"/>
  <c r="Y44" i="63" s="1"/>
  <c r="Z44" i="63"/>
  <c r="AM44" i="63"/>
  <c r="AK44" i="63"/>
  <c r="AH44" i="63"/>
  <c r="J45" i="63"/>
  <c r="S44" i="63"/>
  <c r="I44" i="63"/>
  <c r="AE44" i="63"/>
  <c r="C46" i="63"/>
  <c r="A45" i="63"/>
  <c r="B46"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E46" i="63" l="1"/>
  <c r="G46" i="63" s="1"/>
  <c r="V45" i="63"/>
  <c r="AA45" i="63" s="1"/>
  <c r="T45" i="63"/>
  <c r="K45" i="63"/>
  <c r="Q45" i="63"/>
  <c r="M45" i="63"/>
  <c r="O45" i="63" s="1"/>
  <c r="AC45" i="63"/>
  <c r="D46" i="63"/>
  <c r="F46"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G45" i="63" l="1"/>
  <c r="AJ45" i="63" s="1"/>
  <c r="AB45" i="63"/>
  <c r="R45" i="63"/>
  <c r="AL45" i="63" s="1"/>
  <c r="W45" i="63"/>
  <c r="U45" i="63"/>
  <c r="AD45" i="63"/>
  <c r="L45" i="63"/>
  <c r="S45" i="63"/>
  <c r="I45" i="63"/>
  <c r="H46"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46" i="63" l="1"/>
  <c r="B47" i="63"/>
  <c r="C47" i="63"/>
  <c r="X45" i="63"/>
  <c r="Y45" i="63" s="1"/>
  <c r="Z45" i="63"/>
  <c r="N45" i="63"/>
  <c r="P45" i="63"/>
  <c r="AE45" i="63" s="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E47" i="63" l="1"/>
  <c r="G47" i="63" s="1"/>
  <c r="AK45" i="63"/>
  <c r="J46" i="63"/>
  <c r="AM45" i="63"/>
  <c r="AH45" i="63"/>
  <c r="K46" i="63"/>
  <c r="Q46" i="63"/>
  <c r="V46" i="63"/>
  <c r="AA46" i="63" s="1"/>
  <c r="T46" i="63"/>
  <c r="M46" i="63"/>
  <c r="O46"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AD46" i="63" l="1"/>
  <c r="L46" i="63"/>
  <c r="N46" i="63" s="1"/>
  <c r="P46" i="63"/>
  <c r="AC46" i="63"/>
  <c r="W46" i="63"/>
  <c r="U46" i="63"/>
  <c r="AB46" i="63"/>
  <c r="R46" i="63"/>
  <c r="AL46" i="63" s="1"/>
  <c r="AG46" i="63"/>
  <c r="AJ46" i="63" s="1"/>
  <c r="D47"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Z46" i="63" l="1"/>
  <c r="AH46" i="63" s="1"/>
  <c r="X46" i="63"/>
  <c r="Y46" i="63" s="1"/>
  <c r="F47" i="63"/>
  <c r="H47" i="63"/>
  <c r="S46" i="63"/>
  <c r="I46" i="63"/>
  <c r="AK46" i="63"/>
  <c r="J47" i="63"/>
  <c r="AM46" i="63"/>
  <c r="AE46"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47" i="63" l="1"/>
  <c r="B48" i="63"/>
  <c r="C48" i="63"/>
  <c r="AC47"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I47" i="63" l="1"/>
  <c r="S47" i="63"/>
  <c r="E48" i="63"/>
  <c r="G48" i="63" s="1"/>
  <c r="V47" i="63"/>
  <c r="AA47" i="63" s="1"/>
  <c r="T47" i="63"/>
  <c r="Q47" i="63"/>
  <c r="M47" i="63"/>
  <c r="O47" i="63" s="1"/>
  <c r="K47"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47" i="63" l="1"/>
  <c r="W47" i="63"/>
  <c r="D48" i="63"/>
  <c r="AD47" i="63"/>
  <c r="L47" i="63"/>
  <c r="AB47" i="63"/>
  <c r="R47" i="63"/>
  <c r="AL47" i="63" s="1"/>
  <c r="AG47" i="63"/>
  <c r="AJ47" i="63" s="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N47" i="63" l="1"/>
  <c r="P47" i="63"/>
  <c r="F48" i="63"/>
  <c r="H48" i="63"/>
  <c r="Z47" i="63"/>
  <c r="X47" i="63"/>
  <c r="Y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A48" i="63" l="1"/>
  <c r="B49" i="63"/>
  <c r="C49" i="63"/>
  <c r="AH47" i="63"/>
  <c r="AM47" i="63"/>
  <c r="AK47" i="63"/>
  <c r="J48" i="63"/>
  <c r="AE47"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C48" i="63" l="1"/>
  <c r="E49" i="63"/>
  <c r="G49" i="63" s="1"/>
  <c r="Q48" i="63"/>
  <c r="M48" i="63"/>
  <c r="O48" i="63" s="1"/>
  <c r="T48" i="63"/>
  <c r="K48" i="63"/>
  <c r="V48" i="63"/>
  <c r="AA48" i="63" s="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I48" i="63" l="1"/>
  <c r="S48" i="63"/>
  <c r="AB48" i="63"/>
  <c r="AG48" i="63"/>
  <c r="AJ48" i="63" s="1"/>
  <c r="R48" i="63"/>
  <c r="AL48" i="63" s="1"/>
  <c r="L48" i="63"/>
  <c r="AD48" i="63"/>
  <c r="W48" i="63"/>
  <c r="U48" i="63"/>
  <c r="D49"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N48" i="63" l="1"/>
  <c r="P48" i="63"/>
  <c r="AE48" i="63"/>
  <c r="F49" i="63"/>
  <c r="H49" i="63"/>
  <c r="Z48" i="63"/>
  <c r="X48" i="63"/>
  <c r="Y48" i="63" s="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50" i="63" l="1"/>
  <c r="B50" i="63"/>
  <c r="A49" i="63"/>
  <c r="AH48" i="63"/>
  <c r="J49" i="63"/>
  <c r="AM48" i="63"/>
  <c r="AK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C49" i="63" l="1"/>
  <c r="T49" i="63"/>
  <c r="K49" i="63"/>
  <c r="V49" i="63"/>
  <c r="AA49" i="63" s="1"/>
  <c r="M49" i="63"/>
  <c r="O49" i="63" s="1"/>
  <c r="Q49" i="63"/>
  <c r="E50" i="63"/>
  <c r="G50"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AB49" i="63" l="1"/>
  <c r="R49" i="63"/>
  <c r="AL49" i="63" s="1"/>
  <c r="AG49" i="63"/>
  <c r="AJ49" i="63" s="1"/>
  <c r="L49" i="63"/>
  <c r="AD49" i="63"/>
  <c r="W49" i="63"/>
  <c r="U49" i="63"/>
  <c r="D50" i="63"/>
  <c r="I49" i="63"/>
  <c r="S49"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N49" i="63" l="1"/>
  <c r="P49" i="63"/>
  <c r="F50" i="63"/>
  <c r="H50" i="63"/>
  <c r="Z49" i="63"/>
  <c r="X49" i="63"/>
  <c r="Y49" i="63" s="1"/>
  <c r="AE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B51" i="63" l="1"/>
  <c r="A50" i="63"/>
  <c r="C51" i="63"/>
  <c r="J50" i="63"/>
  <c r="AM49" i="63"/>
  <c r="AK49" i="63"/>
  <c r="AH49" i="63"/>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AC50" i="63" l="1"/>
  <c r="M50" i="63"/>
  <c r="O50" i="63" s="1"/>
  <c r="K50" i="63"/>
  <c r="V50" i="63"/>
  <c r="AA50" i="63" s="1"/>
  <c r="T50" i="63"/>
  <c r="Q50" i="63"/>
  <c r="E51" i="63"/>
  <c r="G51" i="63" s="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D51" i="63" l="1"/>
  <c r="F51" i="63" s="1"/>
  <c r="R50" i="63"/>
  <c r="AL50" i="63" s="1"/>
  <c r="AG50" i="63"/>
  <c r="AJ50" i="63" s="1"/>
  <c r="AB50" i="63"/>
  <c r="W50" i="63"/>
  <c r="U50" i="63"/>
  <c r="AD50" i="63"/>
  <c r="L50" i="63"/>
  <c r="H51" i="63"/>
  <c r="S50" i="63"/>
  <c r="I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Z50" i="63" l="1"/>
  <c r="X50" i="63"/>
  <c r="Y50" i="63" s="1"/>
  <c r="N50" i="63"/>
  <c r="P50" i="63"/>
  <c r="AE50" i="63" s="1"/>
  <c r="C52" i="63"/>
  <c r="A51" i="63"/>
  <c r="B52" i="63"/>
  <c r="L25" i="57"/>
  <c r="B33" i="1" s="1"/>
  <c r="V51" i="63" l="1"/>
  <c r="AA51" i="63" s="1"/>
  <c r="M51" i="63"/>
  <c r="O51" i="63" s="1"/>
  <c r="Q51" i="63"/>
  <c r="K51" i="63"/>
  <c r="T51" i="63"/>
  <c r="J51" i="63"/>
  <c r="AM50" i="63"/>
  <c r="AK50" i="63"/>
  <c r="AH50" i="63"/>
  <c r="E52" i="63"/>
  <c r="G52" i="63" s="1"/>
  <c r="I33" i="1"/>
  <c r="H33" i="1"/>
  <c r="H49" i="1" s="1"/>
  <c r="D52" i="63" l="1"/>
  <c r="F52" i="63" s="1"/>
  <c r="U51" i="63"/>
  <c r="W51" i="63"/>
  <c r="H52" i="63"/>
  <c r="AD51" i="63"/>
  <c r="L51" i="63"/>
  <c r="N51" i="63" s="1"/>
  <c r="R51" i="63"/>
  <c r="AL51" i="63" s="1"/>
  <c r="AG51" i="63"/>
  <c r="AJ51" i="63" s="1"/>
  <c r="AB51" i="63"/>
  <c r="AC51" i="63"/>
  <c r="K74" i="1"/>
  <c r="K72" i="1"/>
  <c r="S51" i="63" l="1"/>
  <c r="I51" i="63"/>
  <c r="P51" i="63"/>
  <c r="A52" i="63"/>
  <c r="C53" i="63"/>
  <c r="B53" i="63"/>
  <c r="Z51" i="63"/>
  <c r="X51" i="63"/>
  <c r="Y51" i="63" s="1"/>
  <c r="K73" i="1"/>
  <c r="M52" i="63" l="1"/>
  <c r="O52" i="63" s="1"/>
  <c r="K52" i="63"/>
  <c r="Q52" i="63"/>
  <c r="V52" i="63"/>
  <c r="AA52" i="63" s="1"/>
  <c r="T52" i="63"/>
  <c r="D53" i="63"/>
  <c r="F53" i="63" s="1"/>
  <c r="AM51" i="63"/>
  <c r="AH51" i="63"/>
  <c r="AK51" i="63"/>
  <c r="J52" i="63"/>
  <c r="E53" i="63"/>
  <c r="G53" i="63" s="1"/>
  <c r="AE51" i="63"/>
  <c r="C52" i="19"/>
  <c r="U52" i="63" l="1"/>
  <c r="W52" i="63"/>
  <c r="H53" i="63"/>
  <c r="AG52" i="63"/>
  <c r="AJ52" i="63" s="1"/>
  <c r="AB52" i="63"/>
  <c r="R52" i="63"/>
  <c r="AL52" i="63" s="1"/>
  <c r="AC52" i="63"/>
  <c r="L52" i="63"/>
  <c r="N52" i="63" s="1"/>
  <c r="AD52" i="63"/>
  <c r="K71" i="1"/>
  <c r="K76" i="1" s="1"/>
  <c r="C54" i="63" l="1"/>
  <c r="B54" i="63"/>
  <c r="A53" i="63"/>
  <c r="P52" i="63"/>
  <c r="X52" i="63"/>
  <c r="Y52" i="63" s="1"/>
  <c r="Z52" i="63"/>
  <c r="S52" i="63"/>
  <c r="I52" i="63"/>
  <c r="K1" i="33"/>
  <c r="AM52" i="63" l="1"/>
  <c r="AK52" i="63"/>
  <c r="AH52" i="63"/>
  <c r="J53" i="63"/>
  <c r="V53" i="63"/>
  <c r="AA53" i="63" s="1"/>
  <c r="T53" i="63"/>
  <c r="K53" i="63"/>
  <c r="Q53" i="63"/>
  <c r="M53" i="63"/>
  <c r="O53" i="63" s="1"/>
  <c r="E54" i="63"/>
  <c r="G54" i="63" s="1"/>
  <c r="AE52" i="63"/>
  <c r="I25" i="57"/>
  <c r="B32" i="1" s="1"/>
  <c r="B37" i="1" s="1"/>
  <c r="D37" i="1" s="1"/>
  <c r="AG53" i="63" l="1"/>
  <c r="AJ53" i="63" s="1"/>
  <c r="AB53" i="63"/>
  <c r="R53" i="63"/>
  <c r="AL53" i="63" s="1"/>
  <c r="AD53" i="63"/>
  <c r="L53" i="63"/>
  <c r="N53" i="63" s="1"/>
  <c r="W53" i="63"/>
  <c r="U53" i="63"/>
  <c r="AC53" i="63"/>
  <c r="D54" i="63"/>
  <c r="E48" i="19"/>
  <c r="E50" i="1"/>
  <c r="D49" i="1"/>
  <c r="F54" i="63" l="1"/>
  <c r="H54" i="63"/>
  <c r="S53" i="63"/>
  <c r="I53" i="63"/>
  <c r="P53" i="63"/>
  <c r="X53" i="63"/>
  <c r="Y53" i="63" s="1"/>
  <c r="Z53" i="63"/>
  <c r="K44" i="1"/>
  <c r="G75" i="1"/>
  <c r="G14" i="33"/>
  <c r="AK53" i="63" l="1"/>
  <c r="AM53" i="63"/>
  <c r="AH53" i="63"/>
  <c r="J54" i="63"/>
  <c r="AE53" i="63"/>
  <c r="A54" i="63"/>
  <c r="B55" i="63"/>
  <c r="C55" i="63"/>
  <c r="G77" i="1"/>
  <c r="H75" i="1" s="1"/>
  <c r="E17" i="33"/>
  <c r="E39" i="33"/>
  <c r="E15" i="33"/>
  <c r="E16" i="33" s="1"/>
  <c r="E25" i="33"/>
  <c r="E52" i="33"/>
  <c r="AC54" i="63" l="1"/>
  <c r="E55" i="63"/>
  <c r="G55" i="63" s="1"/>
  <c r="K54" i="63"/>
  <c r="Q54" i="63"/>
  <c r="V54" i="63"/>
  <c r="AA54" i="63" s="1"/>
  <c r="M54" i="63"/>
  <c r="O54" i="63" s="1"/>
  <c r="T54" i="63"/>
  <c r="H71" i="1"/>
  <c r="H72" i="1"/>
  <c r="H73" i="1"/>
  <c r="H74" i="1"/>
  <c r="R54" i="63" l="1"/>
  <c r="AL54" i="63" s="1"/>
  <c r="AG54" i="63"/>
  <c r="AJ54" i="63" s="1"/>
  <c r="AB54" i="63"/>
  <c r="AD54" i="63"/>
  <c r="L54" i="63"/>
  <c r="S54" i="63"/>
  <c r="I54" i="63"/>
  <c r="D55" i="63"/>
  <c r="W54" i="63"/>
  <c r="U54" i="63"/>
  <c r="H76" i="1"/>
  <c r="H77" i="1"/>
  <c r="N54" i="63" l="1"/>
  <c r="P54" i="63"/>
  <c r="AE54" i="63"/>
  <c r="Z54" i="63"/>
  <c r="X54" i="63"/>
  <c r="Y54" i="63" s="1"/>
  <c r="F55" i="63"/>
  <c r="H55" i="63"/>
  <c r="A55" i="63" l="1"/>
  <c r="C56" i="63"/>
  <c r="B56" i="63"/>
  <c r="AK54" i="63"/>
  <c r="AH54" i="63"/>
  <c r="J55" i="63"/>
  <c r="AM54" i="63"/>
  <c r="E56" i="63" l="1"/>
  <c r="G56" i="63" s="1"/>
  <c r="AC55" i="63"/>
  <c r="D56" i="63"/>
  <c r="F56" i="63" s="1"/>
  <c r="V55" i="63"/>
  <c r="AA55" i="63" s="1"/>
  <c r="T55" i="63"/>
  <c r="Q55" i="63"/>
  <c r="M55" i="63"/>
  <c r="O55" i="63" s="1"/>
  <c r="K55" i="63"/>
  <c r="AB55" i="63" l="1"/>
  <c r="R55" i="63"/>
  <c r="AL55" i="63" s="1"/>
  <c r="AG55" i="63"/>
  <c r="AJ55" i="63" s="1"/>
  <c r="W55" i="63"/>
  <c r="U55" i="63"/>
  <c r="I55" i="63"/>
  <c r="S55" i="63"/>
  <c r="AD55" i="63"/>
  <c r="L55" i="63"/>
  <c r="H56" i="63"/>
  <c r="Z55" i="63" l="1"/>
  <c r="X55" i="63"/>
  <c r="Y55" i="63" s="1"/>
  <c r="A56" i="63"/>
  <c r="B57" i="63"/>
  <c r="C57" i="63"/>
  <c r="N55" i="63"/>
  <c r="P55" i="63"/>
  <c r="AE55" i="63" s="1"/>
  <c r="AH55" i="63" l="1"/>
  <c r="J56" i="63"/>
  <c r="AM55" i="63"/>
  <c r="AK55" i="63"/>
  <c r="E57" i="63"/>
  <c r="G57" i="63" s="1"/>
  <c r="Q56" i="63"/>
  <c r="M56" i="63"/>
  <c r="O56" i="63" s="1"/>
  <c r="T56" i="63"/>
  <c r="V56" i="63"/>
  <c r="AA56" i="63" s="1"/>
  <c r="K56" i="63"/>
  <c r="AB56" i="63" l="1"/>
  <c r="R56" i="63"/>
  <c r="AL56" i="63" s="1"/>
  <c r="AG56" i="63"/>
  <c r="AJ56" i="63" s="1"/>
  <c r="D57" i="63"/>
  <c r="L56" i="63"/>
  <c r="N56" i="63" s="1"/>
  <c r="AD56" i="63"/>
  <c r="W56" i="63"/>
  <c r="U56" i="63"/>
  <c r="AC56" i="63"/>
  <c r="I9" i="1"/>
  <c r="H10" i="1" s="1"/>
  <c r="I49" i="1" s="1"/>
  <c r="F57" i="63" l="1"/>
  <c r="H57" i="63"/>
  <c r="P56" i="63"/>
  <c r="I56" i="63"/>
  <c r="S56" i="63"/>
  <c r="X56" i="63"/>
  <c r="Y56" i="63" s="1"/>
  <c r="Z56" i="63"/>
  <c r="I50" i="1"/>
  <c r="I52" i="1" s="1"/>
  <c r="E49" i="19"/>
  <c r="AH56" i="63" l="1"/>
  <c r="J57" i="63"/>
  <c r="AM56" i="63"/>
  <c r="AK56" i="63"/>
  <c r="C58" i="63"/>
  <c r="B58" i="63"/>
  <c r="A57" i="63"/>
  <c r="AE56" i="63"/>
  <c r="G13" i="1"/>
  <c r="T57" i="63" l="1"/>
  <c r="Q57" i="63"/>
  <c r="M57" i="63"/>
  <c r="O57" i="63" s="1"/>
  <c r="K57" i="63"/>
  <c r="V57" i="63"/>
  <c r="AA57" i="63" s="1"/>
  <c r="E58" i="63"/>
  <c r="G58" i="63" s="1"/>
  <c r="AC57" i="63"/>
  <c r="L57" i="63" l="1"/>
  <c r="AD57" i="63"/>
  <c r="S57" i="63"/>
  <c r="I57" i="63"/>
  <c r="AB57" i="63"/>
  <c r="R57" i="63"/>
  <c r="AL57" i="63" s="1"/>
  <c r="AG57" i="63"/>
  <c r="AJ57" i="63" s="1"/>
  <c r="D58" i="63"/>
  <c r="W57" i="63"/>
  <c r="U57" i="63"/>
  <c r="Z57" i="63" l="1"/>
  <c r="X57" i="63"/>
  <c r="Y57" i="63" s="1"/>
  <c r="N57" i="63"/>
  <c r="P57" i="63"/>
  <c r="F58" i="63"/>
  <c r="H58" i="63"/>
  <c r="J58" i="63" l="1"/>
  <c r="AK57" i="63"/>
  <c r="AM57" i="63"/>
  <c r="AH57" i="63"/>
  <c r="B59" i="63"/>
  <c r="C59" i="63"/>
  <c r="A58" i="63"/>
  <c r="AE57" i="63"/>
  <c r="M58" i="63" l="1"/>
  <c r="O58" i="63" s="1"/>
  <c r="K58" i="63"/>
  <c r="V58" i="63"/>
  <c r="AA58" i="63" s="1"/>
  <c r="T58" i="63"/>
  <c r="Q58" i="63"/>
  <c r="E59" i="63"/>
  <c r="G59" i="63" s="1"/>
  <c r="AC58" i="63"/>
  <c r="R58" i="63" l="1"/>
  <c r="AL58" i="63" s="1"/>
  <c r="AB58" i="63"/>
  <c r="AG58" i="63"/>
  <c r="AJ58" i="63" s="1"/>
  <c r="AD58" i="63"/>
  <c r="L58" i="63"/>
  <c r="D59" i="63"/>
  <c r="W58" i="63"/>
  <c r="U58" i="63"/>
  <c r="S58" i="63"/>
  <c r="I58" i="63"/>
  <c r="Z58" i="63" l="1"/>
  <c r="X58" i="63"/>
  <c r="Y58" i="63" s="1"/>
  <c r="F59" i="63"/>
  <c r="H59" i="63"/>
  <c r="N58" i="63"/>
  <c r="P58" i="63"/>
  <c r="J59" i="63" l="1"/>
  <c r="AM58" i="63"/>
  <c r="AK58" i="63"/>
  <c r="AH58" i="63"/>
  <c r="AE58" i="63"/>
  <c r="B60" i="63"/>
  <c r="C60" i="63"/>
  <c r="A59" i="63"/>
  <c r="V59" i="63" l="1"/>
  <c r="AA59" i="63" s="1"/>
  <c r="M59" i="63"/>
  <c r="O59" i="63" s="1"/>
  <c r="T59" i="63"/>
  <c r="Q59" i="63"/>
  <c r="K59" i="63"/>
  <c r="E60" i="63"/>
  <c r="G60" i="63" s="1"/>
  <c r="AC59" i="63"/>
  <c r="AD59" i="63" l="1"/>
  <c r="L59" i="63"/>
  <c r="R59" i="63"/>
  <c r="AL59" i="63" s="1"/>
  <c r="AG59" i="63"/>
  <c r="AJ59" i="63" s="1"/>
  <c r="AB59" i="63"/>
  <c r="U59" i="63"/>
  <c r="W59" i="63"/>
  <c r="W60" i="63" s="1"/>
  <c r="W61" i="63" s="1"/>
  <c r="W62" i="63" s="1"/>
  <c r="W63" i="63" s="1"/>
  <c r="W64" i="63" s="1"/>
  <c r="W65" i="63" s="1"/>
  <c r="W66" i="63" s="1"/>
  <c r="W67" i="63" s="1"/>
  <c r="W68" i="63" s="1"/>
  <c r="W69" i="63" s="1"/>
  <c r="W70" i="63" s="1"/>
  <c r="W71" i="63" s="1"/>
  <c r="W72" i="63" s="1"/>
  <c r="W73" i="63" s="1"/>
  <c r="W74" i="63" s="1"/>
  <c r="W75" i="63" s="1"/>
  <c r="W76" i="63" s="1"/>
  <c r="W77" i="63" s="1"/>
  <c r="W78" i="63" s="1"/>
  <c r="W79" i="63" s="1"/>
  <c r="W80" i="63" s="1"/>
  <c r="W81" i="63" s="1"/>
  <c r="W82" i="63" s="1"/>
  <c r="W83" i="63" s="1"/>
  <c r="W84" i="63" s="1"/>
  <c r="W85" i="63" s="1"/>
  <c r="W86" i="63" s="1"/>
  <c r="W87" i="63" s="1"/>
  <c r="W88" i="63" s="1"/>
  <c r="W89" i="63" s="1"/>
  <c r="W90" i="63" s="1"/>
  <c r="W91" i="63" s="1"/>
  <c r="W92" i="63" s="1"/>
  <c r="W93" i="63" s="1"/>
  <c r="W94" i="63" s="1"/>
  <c r="W95" i="63" s="1"/>
  <c r="W96" i="63" s="1"/>
  <c r="W97" i="63" s="1"/>
  <c r="W98" i="63" s="1"/>
  <c r="W99" i="63" s="1"/>
  <c r="W100" i="63" s="1"/>
  <c r="W101" i="63" s="1"/>
  <c r="W102" i="63" s="1"/>
  <c r="W103" i="63" s="1"/>
  <c r="W104" i="63" s="1"/>
  <c r="W105" i="63" s="1"/>
  <c r="W106" i="63" s="1"/>
  <c r="W107" i="63" s="1"/>
  <c r="W108" i="63" s="1"/>
  <c r="W109" i="63" s="1"/>
  <c r="W110" i="63" s="1"/>
  <c r="W111" i="63" s="1"/>
  <c r="W112" i="63" s="1"/>
  <c r="W113" i="63" s="1"/>
  <c r="W114" i="63" s="1"/>
  <c r="W115" i="63" s="1"/>
  <c r="W116" i="63" s="1"/>
  <c r="W117" i="63" s="1"/>
  <c r="W118" i="63" s="1"/>
  <c r="W119" i="63" s="1"/>
  <c r="W120" i="63" s="1"/>
  <c r="W121" i="63" s="1"/>
  <c r="W122" i="63" s="1"/>
  <c r="W123" i="63" s="1"/>
  <c r="W124" i="63" s="1"/>
  <c r="W125" i="63" s="1"/>
  <c r="W126" i="63" s="1"/>
  <c r="W127" i="63" s="1"/>
  <c r="W128" i="63" s="1"/>
  <c r="W129" i="63" s="1"/>
  <c r="W130" i="63" s="1"/>
  <c r="W131" i="63" s="1"/>
  <c r="W132" i="63" s="1"/>
  <c r="W133" i="63" s="1"/>
  <c r="W134" i="63" s="1"/>
  <c r="W135" i="63" s="1"/>
  <c r="W136" i="63" s="1"/>
  <c r="W137" i="63" s="1"/>
  <c r="W138" i="63" s="1"/>
  <c r="W139" i="63" s="1"/>
  <c r="W140" i="63" s="1"/>
  <c r="W141" i="63" s="1"/>
  <c r="W142" i="63" s="1"/>
  <c r="W143" i="63" s="1"/>
  <c r="W144" i="63" s="1"/>
  <c r="W145" i="63" s="1"/>
  <c r="W146" i="63" s="1"/>
  <c r="W147" i="63" s="1"/>
  <c r="W148" i="63" s="1"/>
  <c r="W149" i="63" s="1"/>
  <c r="W150" i="63" s="1"/>
  <c r="W151" i="63" s="1"/>
  <c r="W152" i="63" s="1"/>
  <c r="W153" i="63" s="1"/>
  <c r="W154" i="63" s="1"/>
  <c r="W155" i="63" s="1"/>
  <c r="W156" i="63" s="1"/>
  <c r="W157" i="63" s="1"/>
  <c r="W158" i="63" s="1"/>
  <c r="W159" i="63" s="1"/>
  <c r="W160" i="63" s="1"/>
  <c r="W161" i="63" s="1"/>
  <c r="W162" i="63" s="1"/>
  <c r="W163" i="63" s="1"/>
  <c r="W164" i="63" s="1"/>
  <c r="W165" i="63" s="1"/>
  <c r="W166" i="63" s="1"/>
  <c r="W167" i="63" s="1"/>
  <c r="W168" i="63" s="1"/>
  <c r="W169" i="63" s="1"/>
  <c r="W170" i="63" s="1"/>
  <c r="W171" i="63" s="1"/>
  <c r="W172" i="63" s="1"/>
  <c r="W173" i="63" s="1"/>
  <c r="W174" i="63" s="1"/>
  <c r="W175" i="63" s="1"/>
  <c r="W176" i="63" s="1"/>
  <c r="W177" i="63" s="1"/>
  <c r="W178" i="63" s="1"/>
  <c r="W179" i="63" s="1"/>
  <c r="W180" i="63" s="1"/>
  <c r="W181" i="63" s="1"/>
  <c r="W182" i="63" s="1"/>
  <c r="W183" i="63" s="1"/>
  <c r="W184" i="63" s="1"/>
  <c r="W185" i="63" s="1"/>
  <c r="W186" i="63" s="1"/>
  <c r="W187" i="63" s="1"/>
  <c r="W188" i="63" s="1"/>
  <c r="W189" i="63" s="1"/>
  <c r="W190" i="63" s="1"/>
  <c r="W191" i="63" s="1"/>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W212" i="63" s="1"/>
  <c r="W213" i="63" s="1"/>
  <c r="W214" i="63" s="1"/>
  <c r="W215" i="63" s="1"/>
  <c r="W216" i="63" s="1"/>
  <c r="W217" i="63" s="1"/>
  <c r="W218" i="63" s="1"/>
  <c r="W219" i="63" s="1"/>
  <c r="W220" i="63" s="1"/>
  <c r="W221" i="63" s="1"/>
  <c r="W222" i="63" s="1"/>
  <c r="W223" i="63" s="1"/>
  <c r="W224" i="63" s="1"/>
  <c r="W225" i="63" s="1"/>
  <c r="W226" i="63" s="1"/>
  <c r="W227" i="63" s="1"/>
  <c r="W228" i="63" s="1"/>
  <c r="W229" i="63" s="1"/>
  <c r="W230" i="63" s="1"/>
  <c r="W231" i="63" s="1"/>
  <c r="W232" i="63" s="1"/>
  <c r="W233" i="63" s="1"/>
  <c r="W234" i="63" s="1"/>
  <c r="W235" i="63" s="1"/>
  <c r="W236" i="63" s="1"/>
  <c r="W237" i="63" s="1"/>
  <c r="W238" i="63" s="1"/>
  <c r="W239" i="63" s="1"/>
  <c r="W240" i="63" s="1"/>
  <c r="W241" i="63" s="1"/>
  <c r="W242" i="63" s="1"/>
  <c r="W243" i="63" s="1"/>
  <c r="W244" i="63" s="1"/>
  <c r="W245" i="63" s="1"/>
  <c r="W246" i="63" s="1"/>
  <c r="W247" i="63" s="1"/>
  <c r="W248" i="63" s="1"/>
  <c r="W249" i="63" s="1"/>
  <c r="W250" i="63" s="1"/>
  <c r="W251" i="63" s="1"/>
  <c r="W252" i="63" s="1"/>
  <c r="W253" i="63" s="1"/>
  <c r="W254" i="63" s="1"/>
  <c r="W255" i="63" s="1"/>
  <c r="W256" i="63" s="1"/>
  <c r="W257" i="63" s="1"/>
  <c r="W258" i="63" s="1"/>
  <c r="W259" i="63" s="1"/>
  <c r="W260" i="63" s="1"/>
  <c r="W261" i="63" s="1"/>
  <c r="W262" i="63" s="1"/>
  <c r="W263" i="63" s="1"/>
  <c r="W264" i="63" s="1"/>
  <c r="W265" i="63" s="1"/>
  <c r="W266" i="63" s="1"/>
  <c r="W267" i="63" s="1"/>
  <c r="W268" i="63" s="1"/>
  <c r="W269" i="63" s="1"/>
  <c r="W270" i="63" s="1"/>
  <c r="W271" i="63" s="1"/>
  <c r="W272" i="63" s="1"/>
  <c r="W273" i="63" s="1"/>
  <c r="W274" i="63" s="1"/>
  <c r="W275" i="63" s="1"/>
  <c r="W276" i="63" s="1"/>
  <c r="W277" i="63" s="1"/>
  <c r="W278" i="63" s="1"/>
  <c r="W279" i="63" s="1"/>
  <c r="W280" i="63" s="1"/>
  <c r="W281" i="63" s="1"/>
  <c r="W282" i="63" s="1"/>
  <c r="W283" i="63" s="1"/>
  <c r="W284" i="63" s="1"/>
  <c r="W285" i="63" s="1"/>
  <c r="W286" i="63" s="1"/>
  <c r="W287" i="63" s="1"/>
  <c r="W288" i="63" s="1"/>
  <c r="W289" i="63" s="1"/>
  <c r="W290" i="63" s="1"/>
  <c r="W291" i="63" s="1"/>
  <c r="W292" i="63" s="1"/>
  <c r="W293" i="63" s="1"/>
  <c r="W294" i="63" s="1"/>
  <c r="W295" i="63" s="1"/>
  <c r="W296" i="63" s="1"/>
  <c r="W297" i="63" s="1"/>
  <c r="W298" i="63" s="1"/>
  <c r="W299" i="63" s="1"/>
  <c r="W300" i="63" s="1"/>
  <c r="W301" i="63" s="1"/>
  <c r="W302" i="63" s="1"/>
  <c r="W303" i="63" s="1"/>
  <c r="W304" i="63" s="1"/>
  <c r="W305" i="63" s="1"/>
  <c r="W306" i="63" s="1"/>
  <c r="W307" i="63" s="1"/>
  <c r="W308" i="63" s="1"/>
  <c r="W309" i="63" s="1"/>
  <c r="W310" i="63" s="1"/>
  <c r="W311" i="63" s="1"/>
  <c r="W312" i="63" s="1"/>
  <c r="W313" i="63" s="1"/>
  <c r="W314" i="63" s="1"/>
  <c r="W315" i="63" s="1"/>
  <c r="W316" i="63" s="1"/>
  <c r="W317" i="63" s="1"/>
  <c r="W318" i="63" s="1"/>
  <c r="W319" i="63" s="1"/>
  <c r="W320" i="63" s="1"/>
  <c r="W321" i="63" s="1"/>
  <c r="W322" i="63" s="1"/>
  <c r="W323" i="63" s="1"/>
  <c r="W324" i="63" s="1"/>
  <c r="W325" i="63" s="1"/>
  <c r="W326" i="63" s="1"/>
  <c r="W327" i="63" s="1"/>
  <c r="W328" i="63" s="1"/>
  <c r="W329" i="63" s="1"/>
  <c r="W330" i="63" s="1"/>
  <c r="W331" i="63" s="1"/>
  <c r="W332" i="63" s="1"/>
  <c r="W333" i="63" s="1"/>
  <c r="W334" i="63" s="1"/>
  <c r="W335" i="63" s="1"/>
  <c r="W336" i="63" s="1"/>
  <c r="W337" i="63" s="1"/>
  <c r="W338" i="63" s="1"/>
  <c r="W339" i="63" s="1"/>
  <c r="W340" i="63" s="1"/>
  <c r="W341" i="63" s="1"/>
  <c r="W342" i="63" s="1"/>
  <c r="W343" i="63" s="1"/>
  <c r="W344" i="63" s="1"/>
  <c r="W345" i="63" s="1"/>
  <c r="W346" i="63" s="1"/>
  <c r="W347" i="63" s="1"/>
  <c r="W348" i="63" s="1"/>
  <c r="W349" i="63" s="1"/>
  <c r="W350" i="63" s="1"/>
  <c r="W351" i="63" s="1"/>
  <c r="W352" i="63" s="1"/>
  <c r="W353" i="63" s="1"/>
  <c r="W354" i="63" s="1"/>
  <c r="W355" i="63" s="1"/>
  <c r="W356" i="63" s="1"/>
  <c r="W357" i="63" s="1"/>
  <c r="W358" i="63" s="1"/>
  <c r="W359" i="63" s="1"/>
  <c r="W360" i="63" s="1"/>
  <c r="W361" i="63" s="1"/>
  <c r="W362" i="63" s="1"/>
  <c r="W363" i="63" s="1"/>
  <c r="W364" i="63" s="1"/>
  <c r="W365" i="63" s="1"/>
  <c r="W366" i="63" s="1"/>
  <c r="W367" i="63" s="1"/>
  <c r="W368" i="63" s="1"/>
  <c r="W369" i="63" s="1"/>
  <c r="W370" i="63" s="1"/>
  <c r="W371" i="63" s="1"/>
  <c r="W372" i="63" s="1"/>
  <c r="W373" i="63" s="1"/>
  <c r="W374" i="63" s="1"/>
  <c r="W375" i="63" s="1"/>
  <c r="W376" i="63" s="1"/>
  <c r="W377" i="63" s="1"/>
  <c r="W378" i="63" s="1"/>
  <c r="W379" i="63" s="1"/>
  <c r="W380" i="63" s="1"/>
  <c r="W381" i="63" s="1"/>
  <c r="W382" i="63" s="1"/>
  <c r="W383" i="63" s="1"/>
  <c r="W384" i="63" s="1"/>
  <c r="W385" i="63" s="1"/>
  <c r="W386" i="63" s="1"/>
  <c r="W387" i="63" s="1"/>
  <c r="W388" i="63" s="1"/>
  <c r="W389" i="63" s="1"/>
  <c r="W390" i="63" s="1"/>
  <c r="W391" i="63" s="1"/>
  <c r="W392" i="63" s="1"/>
  <c r="W393" i="63" s="1"/>
  <c r="W394" i="63" s="1"/>
  <c r="W395" i="63" s="1"/>
  <c r="W396" i="63" s="1"/>
  <c r="W397" i="63" s="1"/>
  <c r="W398" i="63" s="1"/>
  <c r="W399" i="63" s="1"/>
  <c r="W400" i="63" s="1"/>
  <c r="W401" i="63" s="1"/>
  <c r="W402" i="63" s="1"/>
  <c r="W403" i="63" s="1"/>
  <c r="W404" i="63" s="1"/>
  <c r="W405" i="63" s="1"/>
  <c r="W406" i="63" s="1"/>
  <c r="W407" i="63" s="1"/>
  <c r="W408" i="63" s="1"/>
  <c r="W409" i="63" s="1"/>
  <c r="W410" i="63" s="1"/>
  <c r="W411" i="63" s="1"/>
  <c r="W412" i="63" s="1"/>
  <c r="W413" i="63" s="1"/>
  <c r="W414" i="63" s="1"/>
  <c r="W415" i="63" s="1"/>
  <c r="W416" i="63" s="1"/>
  <c r="W417" i="63" s="1"/>
  <c r="W418" i="63" s="1"/>
  <c r="W419" i="63" s="1"/>
  <c r="W420" i="63" s="1"/>
  <c r="W421" i="63" s="1"/>
  <c r="W422" i="63" s="1"/>
  <c r="W423" i="63" s="1"/>
  <c r="W424" i="63" s="1"/>
  <c r="W425" i="63" s="1"/>
  <c r="W426" i="63" s="1"/>
  <c r="W427" i="63" s="1"/>
  <c r="W428" i="63" s="1"/>
  <c r="W429" i="63" s="1"/>
  <c r="W430" i="63" s="1"/>
  <c r="W431" i="63" s="1"/>
  <c r="W432" i="63" s="1"/>
  <c r="W433" i="63" s="1"/>
  <c r="W434" i="63" s="1"/>
  <c r="W435" i="63" s="1"/>
  <c r="W436" i="63" s="1"/>
  <c r="W437" i="63" s="1"/>
  <c r="W438" i="63" s="1"/>
  <c r="W439" i="63" s="1"/>
  <c r="W440" i="63" s="1"/>
  <c r="W441" i="63" s="1"/>
  <c r="W442" i="63" s="1"/>
  <c r="W443" i="63" s="1"/>
  <c r="W444" i="63" s="1"/>
  <c r="W445" i="63" s="1"/>
  <c r="W446" i="63" s="1"/>
  <c r="W447" i="63" s="1"/>
  <c r="W448" i="63" s="1"/>
  <c r="W449" i="63" s="1"/>
  <c r="W450" i="63" s="1"/>
  <c r="W451" i="63" s="1"/>
  <c r="W452" i="63" s="1"/>
  <c r="W453" i="63" s="1"/>
  <c r="W454" i="63" s="1"/>
  <c r="W455" i="63" s="1"/>
  <c r="W456" i="63" s="1"/>
  <c r="W457" i="63" s="1"/>
  <c r="W458" i="63" s="1"/>
  <c r="W459" i="63" s="1"/>
  <c r="W460" i="63" s="1"/>
  <c r="W461" i="63" s="1"/>
  <c r="W462" i="63" s="1"/>
  <c r="W463" i="63" s="1"/>
  <c r="W464" i="63" s="1"/>
  <c r="W465" i="63" s="1"/>
  <c r="W466" i="63" s="1"/>
  <c r="W467" i="63" s="1"/>
  <c r="W468" i="63" s="1"/>
  <c r="W469" i="63" s="1"/>
  <c r="W470" i="63" s="1"/>
  <c r="W471" i="63" s="1"/>
  <c r="W472" i="63" s="1"/>
  <c r="W473" i="63" s="1"/>
  <c r="W474" i="63" s="1"/>
  <c r="W475" i="63" s="1"/>
  <c r="W476" i="63" s="1"/>
  <c r="W477" i="63" s="1"/>
  <c r="W478" i="63" s="1"/>
  <c r="W479" i="63" s="1"/>
  <c r="W480" i="63" s="1"/>
  <c r="W481" i="63" s="1"/>
  <c r="W482" i="63" s="1"/>
  <c r="W483" i="63" s="1"/>
  <c r="W484" i="63" s="1"/>
  <c r="W485" i="63" s="1"/>
  <c r="W486" i="63" s="1"/>
  <c r="W487" i="63" s="1"/>
  <c r="W488" i="63" s="1"/>
  <c r="W489" i="63" s="1"/>
  <c r="W490" i="63" s="1"/>
  <c r="W491" i="63" s="1"/>
  <c r="I59" i="63"/>
  <c r="S59" i="63"/>
  <c r="D60" i="63"/>
  <c r="F44" i="19"/>
  <c r="F53" i="19" s="1"/>
  <c r="W492" i="63" l="1"/>
  <c r="N59" i="63"/>
  <c r="P59" i="63"/>
  <c r="Z59" i="63"/>
  <c r="X59" i="63"/>
  <c r="X60" i="63" s="1"/>
  <c r="X61" i="63" s="1"/>
  <c r="X62" i="63" s="1"/>
  <c r="X63" i="63" s="1"/>
  <c r="X64" i="63" s="1"/>
  <c r="X65" i="63" s="1"/>
  <c r="X66" i="63" s="1"/>
  <c r="X67" i="63" s="1"/>
  <c r="X68" i="63" s="1"/>
  <c r="X69" i="63" s="1"/>
  <c r="X70" i="63" s="1"/>
  <c r="X71" i="63" s="1"/>
  <c r="X72" i="63" s="1"/>
  <c r="X73" i="63" s="1"/>
  <c r="X74" i="63" s="1"/>
  <c r="X75" i="63" s="1"/>
  <c r="X76" i="63" s="1"/>
  <c r="X77" i="63" s="1"/>
  <c r="X78" i="63" s="1"/>
  <c r="X79" i="63" s="1"/>
  <c r="X80" i="63" s="1"/>
  <c r="X81" i="63" s="1"/>
  <c r="X82" i="63" s="1"/>
  <c r="X83" i="63" s="1"/>
  <c r="X84" i="63" s="1"/>
  <c r="X85" i="63" s="1"/>
  <c r="X86" i="63" s="1"/>
  <c r="X87" i="63" s="1"/>
  <c r="X88" i="63" s="1"/>
  <c r="X89" i="63" s="1"/>
  <c r="X90" i="63" s="1"/>
  <c r="X91" i="63" s="1"/>
  <c r="X92" i="63" s="1"/>
  <c r="X93" i="63" s="1"/>
  <c r="X94" i="63" s="1"/>
  <c r="X95" i="63" s="1"/>
  <c r="X96" i="63" s="1"/>
  <c r="X97" i="63" s="1"/>
  <c r="X98" i="63" s="1"/>
  <c r="X99" i="63" s="1"/>
  <c r="X100" i="63" s="1"/>
  <c r="X101" i="63" s="1"/>
  <c r="X102" i="63" s="1"/>
  <c r="X103" i="63" s="1"/>
  <c r="X104" i="63" s="1"/>
  <c r="X105" i="63" s="1"/>
  <c r="X106" i="63" s="1"/>
  <c r="X107" i="63" s="1"/>
  <c r="X108" i="63" s="1"/>
  <c r="X109" i="63" s="1"/>
  <c r="X110" i="63" s="1"/>
  <c r="X111" i="63" s="1"/>
  <c r="X112" i="63" s="1"/>
  <c r="X113" i="63" s="1"/>
  <c r="X114" i="63" s="1"/>
  <c r="X115" i="63" s="1"/>
  <c r="X116" i="63" s="1"/>
  <c r="X117" i="63" s="1"/>
  <c r="X118" i="63" s="1"/>
  <c r="X119" i="63" s="1"/>
  <c r="X120" i="63" s="1"/>
  <c r="X121" i="63" s="1"/>
  <c r="X122" i="63" s="1"/>
  <c r="X123" i="63" s="1"/>
  <c r="X124" i="63" s="1"/>
  <c r="X125" i="63" s="1"/>
  <c r="X126" i="63" s="1"/>
  <c r="X127" i="63" s="1"/>
  <c r="X128" i="63" s="1"/>
  <c r="X129" i="63" s="1"/>
  <c r="X130" i="63" s="1"/>
  <c r="X131" i="63" s="1"/>
  <c r="X132" i="63" s="1"/>
  <c r="X133" i="63" s="1"/>
  <c r="X134" i="63" s="1"/>
  <c r="X135" i="63" s="1"/>
  <c r="X136" i="63" s="1"/>
  <c r="X137" i="63" s="1"/>
  <c r="X138" i="63" s="1"/>
  <c r="X139" i="63" s="1"/>
  <c r="X140" i="63" s="1"/>
  <c r="X141" i="63" s="1"/>
  <c r="X142" i="63" s="1"/>
  <c r="X143" i="63" s="1"/>
  <c r="X144" i="63" s="1"/>
  <c r="X145" i="63" s="1"/>
  <c r="X146" i="63" s="1"/>
  <c r="X147" i="63" s="1"/>
  <c r="X148" i="63" s="1"/>
  <c r="X149" i="63" s="1"/>
  <c r="X150" i="63" s="1"/>
  <c r="X151" i="63" s="1"/>
  <c r="X152" i="63" s="1"/>
  <c r="X153" i="63" s="1"/>
  <c r="X154" i="63" s="1"/>
  <c r="X155" i="63" s="1"/>
  <c r="X156" i="63" s="1"/>
  <c r="X157" i="63" s="1"/>
  <c r="X158" i="63" s="1"/>
  <c r="X159" i="63" s="1"/>
  <c r="X160" i="63" s="1"/>
  <c r="X161" i="63" s="1"/>
  <c r="X162" i="63" s="1"/>
  <c r="X163" i="63" s="1"/>
  <c r="X164" i="63" s="1"/>
  <c r="X165" i="63" s="1"/>
  <c r="X166" i="63" s="1"/>
  <c r="X167" i="63" s="1"/>
  <c r="X168" i="63" s="1"/>
  <c r="X169" i="63" s="1"/>
  <c r="X170" i="63" s="1"/>
  <c r="X171" i="63" s="1"/>
  <c r="X172" i="63" s="1"/>
  <c r="X173" i="63" s="1"/>
  <c r="X174" i="63" s="1"/>
  <c r="X175" i="63" s="1"/>
  <c r="X176" i="63" s="1"/>
  <c r="X177" i="63" s="1"/>
  <c r="X178" i="63" s="1"/>
  <c r="X179" i="63" s="1"/>
  <c r="X180" i="63" s="1"/>
  <c r="X181" i="63" s="1"/>
  <c r="X182" i="63" s="1"/>
  <c r="X183" i="63" s="1"/>
  <c r="X184" i="63" s="1"/>
  <c r="X185" i="63" s="1"/>
  <c r="X186" i="63" s="1"/>
  <c r="X187" i="63" s="1"/>
  <c r="X188" i="63" s="1"/>
  <c r="X189" i="63" s="1"/>
  <c r="X190" i="63" s="1"/>
  <c r="X191" i="63" s="1"/>
  <c r="X192" i="63" s="1"/>
  <c r="X193" i="63" s="1"/>
  <c r="X194" i="63" s="1"/>
  <c r="X195" i="63" s="1"/>
  <c r="X196" i="63" s="1"/>
  <c r="X197" i="63" s="1"/>
  <c r="X198" i="63" s="1"/>
  <c r="X199" i="63" s="1"/>
  <c r="X200" i="63" s="1"/>
  <c r="X201" i="63" s="1"/>
  <c r="X202" i="63" s="1"/>
  <c r="X203" i="63" s="1"/>
  <c r="X204" i="63" s="1"/>
  <c r="X205" i="63" s="1"/>
  <c r="X206" i="63" s="1"/>
  <c r="X207" i="63" s="1"/>
  <c r="X208" i="63" s="1"/>
  <c r="X209" i="63" s="1"/>
  <c r="X210" i="63" s="1"/>
  <c r="X211" i="63" s="1"/>
  <c r="X212" i="63" s="1"/>
  <c r="X213" i="63" s="1"/>
  <c r="X214" i="63" s="1"/>
  <c r="X215" i="63" s="1"/>
  <c r="X216" i="63" s="1"/>
  <c r="X217" i="63" s="1"/>
  <c r="X218" i="63" s="1"/>
  <c r="X219" i="63" s="1"/>
  <c r="X220" i="63" s="1"/>
  <c r="X221" i="63" s="1"/>
  <c r="X222" i="63" s="1"/>
  <c r="X223" i="63" s="1"/>
  <c r="X224" i="63" s="1"/>
  <c r="X225" i="63" s="1"/>
  <c r="X226" i="63" s="1"/>
  <c r="X227" i="63" s="1"/>
  <c r="X228" i="63" s="1"/>
  <c r="X229" i="63" s="1"/>
  <c r="X230" i="63" s="1"/>
  <c r="X231" i="63" s="1"/>
  <c r="X232" i="63" s="1"/>
  <c r="X233" i="63" s="1"/>
  <c r="X234" i="63" s="1"/>
  <c r="X235" i="63" s="1"/>
  <c r="X236" i="63" s="1"/>
  <c r="X237" i="63" s="1"/>
  <c r="X238" i="63" s="1"/>
  <c r="X239" i="63" s="1"/>
  <c r="X240" i="63" s="1"/>
  <c r="X241" i="63" s="1"/>
  <c r="X242" i="63" s="1"/>
  <c r="X243" i="63" s="1"/>
  <c r="X244" i="63" s="1"/>
  <c r="X245" i="63" s="1"/>
  <c r="X246" i="63" s="1"/>
  <c r="X247" i="63" s="1"/>
  <c r="X248" i="63" s="1"/>
  <c r="X249" i="63" s="1"/>
  <c r="X250" i="63" s="1"/>
  <c r="X251" i="63" s="1"/>
  <c r="X252" i="63" s="1"/>
  <c r="X253" i="63" s="1"/>
  <c r="X254" i="63" s="1"/>
  <c r="X255" i="63" s="1"/>
  <c r="X256" i="63" s="1"/>
  <c r="X257" i="63" s="1"/>
  <c r="X258" i="63" s="1"/>
  <c r="X259" i="63" s="1"/>
  <c r="X260" i="63" s="1"/>
  <c r="X261" i="63" s="1"/>
  <c r="X262" i="63" s="1"/>
  <c r="X263" i="63" s="1"/>
  <c r="X264" i="63" s="1"/>
  <c r="X265" i="63" s="1"/>
  <c r="X266" i="63" s="1"/>
  <c r="X267" i="63" s="1"/>
  <c r="X268" i="63" s="1"/>
  <c r="X269" i="63" s="1"/>
  <c r="X270" i="63" s="1"/>
  <c r="X271" i="63" s="1"/>
  <c r="X272" i="63" s="1"/>
  <c r="X273" i="63" s="1"/>
  <c r="X274" i="63" s="1"/>
  <c r="X275" i="63" s="1"/>
  <c r="X276" i="63" s="1"/>
  <c r="X277" i="63" s="1"/>
  <c r="X278" i="63" s="1"/>
  <c r="X279" i="63" s="1"/>
  <c r="X280" i="63" s="1"/>
  <c r="X281" i="63" s="1"/>
  <c r="X282" i="63" s="1"/>
  <c r="X283" i="63" s="1"/>
  <c r="X284" i="63" s="1"/>
  <c r="X285" i="63" s="1"/>
  <c r="X286" i="63" s="1"/>
  <c r="X287" i="63" s="1"/>
  <c r="X288" i="63" s="1"/>
  <c r="X289" i="63" s="1"/>
  <c r="X290" i="63" s="1"/>
  <c r="X291" i="63" s="1"/>
  <c r="X292" i="63" s="1"/>
  <c r="X293" i="63" s="1"/>
  <c r="X294" i="63" s="1"/>
  <c r="X295" i="63" s="1"/>
  <c r="X296" i="63" s="1"/>
  <c r="X297" i="63" s="1"/>
  <c r="X298" i="63" s="1"/>
  <c r="X299" i="63" s="1"/>
  <c r="X300" i="63" s="1"/>
  <c r="X301" i="63" s="1"/>
  <c r="X302" i="63" s="1"/>
  <c r="X303" i="63" s="1"/>
  <c r="X304" i="63" s="1"/>
  <c r="X305" i="63" s="1"/>
  <c r="X306" i="63" s="1"/>
  <c r="X307" i="63" s="1"/>
  <c r="X308" i="63" s="1"/>
  <c r="X309" i="63" s="1"/>
  <c r="X310" i="63" s="1"/>
  <c r="X311" i="63" s="1"/>
  <c r="X312" i="63" s="1"/>
  <c r="X313" i="63" s="1"/>
  <c r="X314" i="63" s="1"/>
  <c r="X315" i="63" s="1"/>
  <c r="X316" i="63" s="1"/>
  <c r="X317" i="63" s="1"/>
  <c r="X318" i="63" s="1"/>
  <c r="X319" i="63" s="1"/>
  <c r="X320" i="63" s="1"/>
  <c r="X321" i="63" s="1"/>
  <c r="X322" i="63" s="1"/>
  <c r="X323" i="63" s="1"/>
  <c r="X324" i="63" s="1"/>
  <c r="X325" i="63" s="1"/>
  <c r="X326" i="63" s="1"/>
  <c r="X327" i="63" s="1"/>
  <c r="X328" i="63" s="1"/>
  <c r="X329" i="63" s="1"/>
  <c r="X330" i="63" s="1"/>
  <c r="X331" i="63" s="1"/>
  <c r="X332" i="63" s="1"/>
  <c r="X333" i="63" s="1"/>
  <c r="X334" i="63" s="1"/>
  <c r="X335" i="63" s="1"/>
  <c r="X336" i="63" s="1"/>
  <c r="X337" i="63" s="1"/>
  <c r="X338" i="63" s="1"/>
  <c r="X339" i="63" s="1"/>
  <c r="X340" i="63" s="1"/>
  <c r="X341" i="63" s="1"/>
  <c r="X342" i="63" s="1"/>
  <c r="X343" i="63" s="1"/>
  <c r="X344" i="63" s="1"/>
  <c r="X345" i="63" s="1"/>
  <c r="X346" i="63" s="1"/>
  <c r="X347" i="63" s="1"/>
  <c r="X348" i="63" s="1"/>
  <c r="X349" i="63" s="1"/>
  <c r="X350" i="63" s="1"/>
  <c r="X351" i="63" s="1"/>
  <c r="X352" i="63" s="1"/>
  <c r="X353" i="63" s="1"/>
  <c r="X354" i="63" s="1"/>
  <c r="X355" i="63" s="1"/>
  <c r="X356" i="63" s="1"/>
  <c r="X357" i="63" s="1"/>
  <c r="X358" i="63" s="1"/>
  <c r="X359" i="63" s="1"/>
  <c r="X360" i="63" s="1"/>
  <c r="X361" i="63" s="1"/>
  <c r="X362" i="63" s="1"/>
  <c r="X363" i="63" s="1"/>
  <c r="X364" i="63" s="1"/>
  <c r="X365" i="63" s="1"/>
  <c r="X366" i="63" s="1"/>
  <c r="X367" i="63" s="1"/>
  <c r="X368" i="63" s="1"/>
  <c r="X369" i="63" s="1"/>
  <c r="X370" i="63" s="1"/>
  <c r="X371" i="63" s="1"/>
  <c r="X372" i="63" s="1"/>
  <c r="X373" i="63" s="1"/>
  <c r="X374" i="63" s="1"/>
  <c r="X375" i="63" s="1"/>
  <c r="X376" i="63" s="1"/>
  <c r="X377" i="63" s="1"/>
  <c r="X378" i="63" s="1"/>
  <c r="X379" i="63" s="1"/>
  <c r="X380" i="63" s="1"/>
  <c r="X381" i="63" s="1"/>
  <c r="X382" i="63" s="1"/>
  <c r="X383" i="63" s="1"/>
  <c r="X384" i="63" s="1"/>
  <c r="X385" i="63" s="1"/>
  <c r="X386" i="63" s="1"/>
  <c r="X387" i="63" s="1"/>
  <c r="X388" i="63" s="1"/>
  <c r="X389" i="63" s="1"/>
  <c r="X390" i="63" s="1"/>
  <c r="X391" i="63" s="1"/>
  <c r="X392" i="63" s="1"/>
  <c r="X393" i="63" s="1"/>
  <c r="X394" i="63" s="1"/>
  <c r="X395" i="63" s="1"/>
  <c r="X396" i="63" s="1"/>
  <c r="X397" i="63" s="1"/>
  <c r="X398" i="63" s="1"/>
  <c r="X399" i="63" s="1"/>
  <c r="X400" i="63" s="1"/>
  <c r="X401" i="63" s="1"/>
  <c r="X402" i="63" s="1"/>
  <c r="X403" i="63" s="1"/>
  <c r="X404" i="63" s="1"/>
  <c r="X405" i="63" s="1"/>
  <c r="X406" i="63" s="1"/>
  <c r="X407" i="63" s="1"/>
  <c r="X408" i="63" s="1"/>
  <c r="X409" i="63" s="1"/>
  <c r="X410" i="63" s="1"/>
  <c r="X411" i="63" s="1"/>
  <c r="X412" i="63" s="1"/>
  <c r="X413" i="63" s="1"/>
  <c r="X414" i="63" s="1"/>
  <c r="X415" i="63" s="1"/>
  <c r="X416" i="63" s="1"/>
  <c r="X417" i="63" s="1"/>
  <c r="X418" i="63" s="1"/>
  <c r="X419" i="63" s="1"/>
  <c r="X420" i="63" s="1"/>
  <c r="X421" i="63" s="1"/>
  <c r="X422" i="63" s="1"/>
  <c r="X423" i="63" s="1"/>
  <c r="X424" i="63" s="1"/>
  <c r="X425" i="63" s="1"/>
  <c r="X426" i="63" s="1"/>
  <c r="X427" i="63" s="1"/>
  <c r="X428" i="63" s="1"/>
  <c r="X429" i="63" s="1"/>
  <c r="X430" i="63" s="1"/>
  <c r="X431" i="63" s="1"/>
  <c r="X432" i="63" s="1"/>
  <c r="X433" i="63" s="1"/>
  <c r="X434" i="63" s="1"/>
  <c r="X435" i="63" s="1"/>
  <c r="X436" i="63" s="1"/>
  <c r="X437" i="63" s="1"/>
  <c r="X438" i="63" s="1"/>
  <c r="X439" i="63" s="1"/>
  <c r="X440" i="63" s="1"/>
  <c r="X441" i="63" s="1"/>
  <c r="X442" i="63" s="1"/>
  <c r="X443" i="63" s="1"/>
  <c r="X444" i="63" s="1"/>
  <c r="X445" i="63" s="1"/>
  <c r="X446" i="63" s="1"/>
  <c r="X447" i="63" s="1"/>
  <c r="X448" i="63" s="1"/>
  <c r="X449" i="63" s="1"/>
  <c r="X450" i="63" s="1"/>
  <c r="X451" i="63" s="1"/>
  <c r="X452" i="63" s="1"/>
  <c r="X453" i="63" s="1"/>
  <c r="X454" i="63" s="1"/>
  <c r="X455" i="63" s="1"/>
  <c r="X456" i="63" s="1"/>
  <c r="X457" i="63" s="1"/>
  <c r="X458" i="63" s="1"/>
  <c r="X459" i="63" s="1"/>
  <c r="X460" i="63" s="1"/>
  <c r="X461" i="63" s="1"/>
  <c r="X462" i="63" s="1"/>
  <c r="X463" i="63" s="1"/>
  <c r="X464" i="63" s="1"/>
  <c r="X465" i="63" s="1"/>
  <c r="X466" i="63" s="1"/>
  <c r="X467" i="63" s="1"/>
  <c r="X468" i="63" s="1"/>
  <c r="X469" i="63" s="1"/>
  <c r="X470" i="63" s="1"/>
  <c r="X471" i="63" s="1"/>
  <c r="X472" i="63" s="1"/>
  <c r="X473" i="63" s="1"/>
  <c r="X474" i="63" s="1"/>
  <c r="X475" i="63" s="1"/>
  <c r="X476" i="63" s="1"/>
  <c r="X477" i="63" s="1"/>
  <c r="X478" i="63" s="1"/>
  <c r="X479" i="63" s="1"/>
  <c r="X480" i="63" s="1"/>
  <c r="X481" i="63" s="1"/>
  <c r="X482" i="63" s="1"/>
  <c r="X483" i="63" s="1"/>
  <c r="X484" i="63" s="1"/>
  <c r="X485" i="63" s="1"/>
  <c r="X486" i="63" s="1"/>
  <c r="X487" i="63" s="1"/>
  <c r="X488" i="63" s="1"/>
  <c r="X489" i="63" s="1"/>
  <c r="X490" i="63" s="1"/>
  <c r="X491" i="63" s="1"/>
  <c r="X492" i="63" s="1"/>
  <c r="X493" i="63" s="1"/>
  <c r="X494" i="63" s="1"/>
  <c r="X495" i="63" s="1"/>
  <c r="X496" i="63" s="1"/>
  <c r="X497" i="63" s="1"/>
  <c r="X498" i="63" s="1"/>
  <c r="X499" i="63" s="1"/>
  <c r="X500" i="63" s="1"/>
  <c r="X501" i="63" s="1"/>
  <c r="X502" i="63" s="1"/>
  <c r="X503" i="63" s="1"/>
  <c r="X504" i="63" s="1"/>
  <c r="X505" i="63" s="1"/>
  <c r="X506" i="63" s="1"/>
  <c r="X507" i="63" s="1"/>
  <c r="X508" i="63" s="1"/>
  <c r="X509" i="63" s="1"/>
  <c r="X510" i="63" s="1"/>
  <c r="X511" i="63" s="1"/>
  <c r="X512" i="63" s="1"/>
  <c r="X513" i="63" s="1"/>
  <c r="X514" i="63" s="1"/>
  <c r="X515" i="63" s="1"/>
  <c r="X516" i="63" s="1"/>
  <c r="X517" i="63" s="1"/>
  <c r="X518" i="63" s="1"/>
  <c r="X519" i="63" s="1"/>
  <c r="X520" i="63" s="1"/>
  <c r="X521" i="63" s="1"/>
  <c r="X522" i="63" s="1"/>
  <c r="X523" i="63" s="1"/>
  <c r="X524" i="63" s="1"/>
  <c r="X525" i="63" s="1"/>
  <c r="X526" i="63" s="1"/>
  <c r="X527" i="63" s="1"/>
  <c r="X528" i="63" s="1"/>
  <c r="X529" i="63" s="1"/>
  <c r="X530" i="63" s="1"/>
  <c r="X531" i="63" s="1"/>
  <c r="X532" i="63" s="1"/>
  <c r="X533" i="63" s="1"/>
  <c r="X534" i="63" s="1"/>
  <c r="X535" i="63" s="1"/>
  <c r="X536" i="63" s="1"/>
  <c r="X537" i="63" s="1"/>
  <c r="X538" i="63" s="1"/>
  <c r="X539" i="63" s="1"/>
  <c r="X540" i="63" s="1"/>
  <c r="X541" i="63" s="1"/>
  <c r="X542" i="63" s="1"/>
  <c r="X543" i="63" s="1"/>
  <c r="F60" i="63"/>
  <c r="H60" i="63"/>
  <c r="C44" i="19"/>
  <c r="C54" i="19"/>
  <c r="B43" i="19"/>
  <c r="F54" i="19"/>
  <c r="O54" i="19"/>
  <c r="Y59" i="63" l="1"/>
  <c r="Y491" i="63"/>
  <c r="AH59" i="63"/>
  <c r="J60" i="63"/>
  <c r="AM59" i="63"/>
  <c r="AK59" i="63"/>
  <c r="AE59" i="63"/>
  <c r="AF59" i="63" s="1"/>
  <c r="B61" i="63"/>
  <c r="A60" i="63"/>
  <c r="C61" i="63"/>
  <c r="W493" i="63"/>
  <c r="Y492" i="63"/>
  <c r="F45" i="19"/>
  <c r="AC60" i="63" l="1"/>
  <c r="E61" i="63"/>
  <c r="G61" i="63" s="1"/>
  <c r="W494" i="63"/>
  <c r="Y493" i="63"/>
  <c r="Q60" i="63"/>
  <c r="M60" i="63"/>
  <c r="O60" i="63" s="1"/>
  <c r="K60" i="63"/>
  <c r="F55" i="19"/>
  <c r="O55" i="19"/>
  <c r="C45" i="19"/>
  <c r="C55" i="19"/>
  <c r="W495" i="63" l="1"/>
  <c r="Y494" i="63"/>
  <c r="D61" i="63"/>
  <c r="S60" i="63"/>
  <c r="T60" i="63" s="1"/>
  <c r="AG60" i="63" s="1"/>
  <c r="AJ60" i="63" s="1"/>
  <c r="I60" i="63"/>
  <c r="L60" i="63"/>
  <c r="R60" i="63"/>
  <c r="AD60" i="63" l="1"/>
  <c r="N60" i="63"/>
  <c r="P60" i="63"/>
  <c r="F61" i="63"/>
  <c r="H61" i="63"/>
  <c r="AL60" i="63"/>
  <c r="V60" i="63"/>
  <c r="AA60" i="63" s="1"/>
  <c r="W496" i="63"/>
  <c r="Y495" i="63"/>
  <c r="F46" i="19"/>
  <c r="C62" i="63" l="1"/>
  <c r="A61" i="63"/>
  <c r="B62" i="63"/>
  <c r="W497" i="63"/>
  <c r="Y496" i="63"/>
  <c r="U60" i="63"/>
  <c r="AK60" i="63"/>
  <c r="J61" i="63"/>
  <c r="AM60" i="63"/>
  <c r="Z60" i="63" l="1"/>
  <c r="AH60" i="63" s="1"/>
  <c r="Y60" i="63"/>
  <c r="AB60" i="63"/>
  <c r="AE60" i="63" s="1"/>
  <c r="AF60" i="63" s="1"/>
  <c r="W498" i="63"/>
  <c r="Y497" i="63"/>
  <c r="E62" i="63"/>
  <c r="G62" i="63" s="1"/>
  <c r="Q61" i="63"/>
  <c r="M61" i="63"/>
  <c r="O61" i="63" s="1"/>
  <c r="K61" i="63"/>
  <c r="AC61" i="63"/>
  <c r="I61" i="63" l="1"/>
  <c r="S61" i="63"/>
  <c r="W499" i="63"/>
  <c r="Y498" i="63"/>
  <c r="D62" i="63"/>
  <c r="L61" i="63"/>
  <c r="T61" i="63"/>
  <c r="AG61" i="63" s="1"/>
  <c r="AJ61" i="63" s="1"/>
  <c r="R61" i="63"/>
  <c r="C49" i="19"/>
  <c r="N61" i="63" l="1"/>
  <c r="P61" i="63"/>
  <c r="F62" i="63"/>
  <c r="H62" i="63"/>
  <c r="AD61" i="63"/>
  <c r="AL61" i="63"/>
  <c r="V61" i="63"/>
  <c r="AA61" i="63" s="1"/>
  <c r="W500" i="63"/>
  <c r="Y499" i="63"/>
  <c r="C48" i="19"/>
  <c r="E61" i="19" l="1"/>
  <c r="B73" i="19" s="1"/>
  <c r="U61" i="63"/>
  <c r="B63" i="63"/>
  <c r="C63" i="63"/>
  <c r="A62" i="63"/>
  <c r="AM61" i="63"/>
  <c r="AK61" i="63"/>
  <c r="AH61" i="63"/>
  <c r="J62" i="63"/>
  <c r="W501" i="63"/>
  <c r="Y500" i="63"/>
  <c r="Z61" i="63"/>
  <c r="Y61" i="63"/>
  <c r="AB61" i="63"/>
  <c r="AE61" i="63" s="1"/>
  <c r="AF61" i="63" s="1"/>
  <c r="AC62" i="63" l="1"/>
  <c r="W502" i="63"/>
  <c r="Y501" i="63"/>
  <c r="M62" i="63"/>
  <c r="O62" i="63" s="1"/>
  <c r="K62" i="63"/>
  <c r="Q62" i="63"/>
  <c r="E63" i="63"/>
  <c r="G63" i="63" s="1"/>
  <c r="O56" i="19"/>
  <c r="C46" i="19"/>
  <c r="C56" i="19"/>
  <c r="F56" i="19"/>
  <c r="L62" i="63" l="1"/>
  <c r="S62" i="63"/>
  <c r="T62" i="63" s="1"/>
  <c r="AG62" i="63" s="1"/>
  <c r="AJ62" i="63" s="1"/>
  <c r="I62" i="63"/>
  <c r="W503" i="63"/>
  <c r="Y502" i="63"/>
  <c r="D63" i="63"/>
  <c r="R62" i="63"/>
  <c r="AL62" i="63" l="1"/>
  <c r="V62" i="63"/>
  <c r="AA62" i="63" s="1"/>
  <c r="W504" i="63"/>
  <c r="Y503" i="63"/>
  <c r="N62" i="63"/>
  <c r="P62" i="63"/>
  <c r="F63" i="63"/>
  <c r="H63" i="63"/>
  <c r="AD62" i="63"/>
  <c r="U62" i="63" l="1"/>
  <c r="AB62" i="63" s="1"/>
  <c r="AE62" i="63" s="1"/>
  <c r="J63" i="63"/>
  <c r="AM62" i="63"/>
  <c r="AK62" i="63"/>
  <c r="AH62" i="63"/>
  <c r="AF62" i="63"/>
  <c r="W505" i="63"/>
  <c r="Y504" i="63"/>
  <c r="C64" i="63"/>
  <c r="A63" i="63"/>
  <c r="B64" i="63"/>
  <c r="Z62" i="63"/>
  <c r="Y62" i="63"/>
  <c r="W506" i="63" l="1"/>
  <c r="Y505" i="63"/>
  <c r="E64" i="63"/>
  <c r="G64" i="63" s="1"/>
  <c r="Q63" i="63"/>
  <c r="M63" i="63"/>
  <c r="O63" i="63" s="1"/>
  <c r="K63" i="63"/>
  <c r="AC63" i="63"/>
  <c r="R63" i="63" l="1"/>
  <c r="I63" i="63"/>
  <c r="S63" i="63"/>
  <c r="T63" i="63" s="1"/>
  <c r="AD63" i="63" s="1"/>
  <c r="L63" i="63"/>
  <c r="W507" i="63"/>
  <c r="Y506" i="63"/>
  <c r="D64" i="63"/>
  <c r="F64" i="63" l="1"/>
  <c r="H64" i="63"/>
  <c r="AG63" i="63"/>
  <c r="AJ63" i="63" s="1"/>
  <c r="N63" i="63"/>
  <c r="P63" i="63"/>
  <c r="W508" i="63"/>
  <c r="Y507" i="63"/>
  <c r="AL63" i="63"/>
  <c r="V63" i="63"/>
  <c r="AA63" i="63" s="1"/>
  <c r="W509" i="63" l="1"/>
  <c r="Y508" i="63"/>
  <c r="C65" i="63"/>
  <c r="A64" i="63"/>
  <c r="B65" i="63"/>
  <c r="J64" i="63"/>
  <c r="AM63" i="63"/>
  <c r="AK63" i="63"/>
  <c r="U63" i="63"/>
  <c r="E65" i="63" l="1"/>
  <c r="G65" i="63" s="1"/>
  <c r="K64" i="63"/>
  <c r="Q64" i="63"/>
  <c r="M64" i="63"/>
  <c r="O64" i="63" s="1"/>
  <c r="AC64" i="63"/>
  <c r="Z63" i="63"/>
  <c r="AH63" i="63" s="1"/>
  <c r="Y63" i="63"/>
  <c r="AB63" i="63"/>
  <c r="AE63" i="63" s="1"/>
  <c r="AF63" i="63" s="1"/>
  <c r="W510" i="63"/>
  <c r="Y509" i="63"/>
  <c r="L64" i="63" l="1"/>
  <c r="R64" i="63"/>
  <c r="W511" i="63"/>
  <c r="Y510" i="63"/>
  <c r="D65" i="63"/>
  <c r="S64" i="63"/>
  <c r="T64" i="63" s="1"/>
  <c r="AG64" i="63" s="1"/>
  <c r="AJ64" i="63" s="1"/>
  <c r="I64" i="63"/>
  <c r="W512" i="63" l="1"/>
  <c r="Y511" i="63"/>
  <c r="F65" i="63"/>
  <c r="H65" i="63"/>
  <c r="AD64" i="63"/>
  <c r="AL64" i="63"/>
  <c r="V64" i="63"/>
  <c r="AA64" i="63" s="1"/>
  <c r="N64" i="63"/>
  <c r="P64" i="63"/>
  <c r="U64" i="63" l="1"/>
  <c r="C66" i="63"/>
  <c r="A65" i="63"/>
  <c r="B66" i="63"/>
  <c r="W513" i="63"/>
  <c r="Y512" i="63"/>
  <c r="Z64" i="63"/>
  <c r="AH64" i="63" s="1"/>
  <c r="Y64" i="63"/>
  <c r="AK64" i="63"/>
  <c r="J65" i="63"/>
  <c r="AM64" i="63"/>
  <c r="AB64" i="63"/>
  <c r="AE64" i="63" s="1"/>
  <c r="AF64" i="63" s="1"/>
  <c r="AC65" i="63" l="1"/>
  <c r="W514" i="63"/>
  <c r="Y513" i="63"/>
  <c r="M65" i="63"/>
  <c r="O65" i="63" s="1"/>
  <c r="K65" i="63"/>
  <c r="Q65" i="63"/>
  <c r="E66" i="63"/>
  <c r="G66" i="63" s="1"/>
  <c r="L65" i="63" l="1"/>
  <c r="D66" i="63"/>
  <c r="W515" i="63"/>
  <c r="Y514" i="63"/>
  <c r="R65" i="63"/>
  <c r="S65" i="63"/>
  <c r="T65" i="63" s="1"/>
  <c r="I65" i="63"/>
  <c r="AL65" i="63" l="1"/>
  <c r="V65" i="63"/>
  <c r="AA65" i="63" s="1"/>
  <c r="F66" i="63"/>
  <c r="H66" i="63"/>
  <c r="W516" i="63"/>
  <c r="Y515" i="63"/>
  <c r="U65" i="63"/>
  <c r="N65" i="63"/>
  <c r="P65" i="63"/>
  <c r="AG65" i="63"/>
  <c r="AJ65" i="63" s="1"/>
  <c r="AD65" i="63"/>
  <c r="W517" i="63" l="1"/>
  <c r="Y516" i="63"/>
  <c r="Z65" i="63"/>
  <c r="AH65" i="63" s="1"/>
  <c r="Y65" i="63"/>
  <c r="B67" i="63"/>
  <c r="C67" i="63"/>
  <c r="A66" i="63"/>
  <c r="AM65" i="63"/>
  <c r="AK65" i="63"/>
  <c r="J66" i="63"/>
  <c r="AB65" i="63"/>
  <c r="AE65" i="63" s="1"/>
  <c r="AF65" i="63" s="1"/>
  <c r="E67" i="63" l="1"/>
  <c r="G67" i="63" s="1"/>
  <c r="M66" i="63"/>
  <c r="O66" i="63" s="1"/>
  <c r="K66" i="63"/>
  <c r="Q66" i="63"/>
  <c r="AC66" i="63"/>
  <c r="W518" i="63"/>
  <c r="Y517" i="63"/>
  <c r="W519" i="63" l="1"/>
  <c r="Y518" i="63"/>
  <c r="R66" i="63"/>
  <c r="S66" i="63"/>
  <c r="T66" i="63" s="1"/>
  <c r="AG66" i="63" s="1"/>
  <c r="AJ66" i="63" s="1"/>
  <c r="I66" i="63"/>
  <c r="L66" i="63"/>
  <c r="D67" i="63"/>
  <c r="F67" i="63" l="1"/>
  <c r="H67" i="63"/>
  <c r="N66" i="63"/>
  <c r="P66" i="63"/>
  <c r="AL66" i="63"/>
  <c r="V66" i="63"/>
  <c r="AA66" i="63" s="1"/>
  <c r="AD66" i="63"/>
  <c r="W520" i="63"/>
  <c r="Y519" i="63"/>
  <c r="W521" i="63" l="1"/>
  <c r="Y520" i="63"/>
  <c r="C68" i="63"/>
  <c r="A67" i="63"/>
  <c r="B68" i="63"/>
  <c r="U66" i="63"/>
  <c r="J67" i="63"/>
  <c r="AM66" i="63"/>
  <c r="AK66" i="63"/>
  <c r="Z66" i="63" l="1"/>
  <c r="AH66" i="63" s="1"/>
  <c r="Y66" i="63"/>
  <c r="AB66" i="63"/>
  <c r="AE66" i="63" s="1"/>
  <c r="AF66" i="63" s="1"/>
  <c r="W522" i="63"/>
  <c r="Y521" i="63"/>
  <c r="AC67" i="63"/>
  <c r="E68" i="63"/>
  <c r="G68" i="63" s="1"/>
  <c r="Q67" i="63"/>
  <c r="M67" i="63"/>
  <c r="O67" i="63" s="1"/>
  <c r="K67" i="63"/>
  <c r="D68" i="63" l="1"/>
  <c r="F68" i="63" s="1"/>
  <c r="I67" i="63"/>
  <c r="S67" i="63"/>
  <c r="T67" i="63" s="1"/>
  <c r="AD67" i="63" s="1"/>
  <c r="L67" i="63"/>
  <c r="W523" i="63"/>
  <c r="Y522" i="63"/>
  <c r="R67" i="63"/>
  <c r="AG67" i="63"/>
  <c r="AJ67" i="63" s="1"/>
  <c r="H68" i="63"/>
  <c r="N67" i="63" l="1"/>
  <c r="P67" i="63"/>
  <c r="AL67" i="63"/>
  <c r="V67" i="63"/>
  <c r="AA67" i="63" s="1"/>
  <c r="W524" i="63"/>
  <c r="Y523" i="63"/>
  <c r="C69" i="63"/>
  <c r="A68" i="63"/>
  <c r="B69" i="63"/>
  <c r="W525" i="63" l="1"/>
  <c r="Y524" i="63"/>
  <c r="U67" i="63"/>
  <c r="E69" i="63"/>
  <c r="G69" i="63" s="1"/>
  <c r="J68" i="63"/>
  <c r="M68" i="63" s="1"/>
  <c r="O68" i="63" s="1"/>
  <c r="AM67" i="63"/>
  <c r="AK67" i="63"/>
  <c r="K68" i="63"/>
  <c r="Q68" i="63"/>
  <c r="L68" i="63" l="1"/>
  <c r="N68" i="63" s="1"/>
  <c r="W526" i="63"/>
  <c r="Y525" i="63"/>
  <c r="Z67" i="63"/>
  <c r="AH67" i="63" s="1"/>
  <c r="Y67" i="63"/>
  <c r="AB67" i="63"/>
  <c r="AC68" i="63"/>
  <c r="D69" i="63"/>
  <c r="F69" i="63" l="1"/>
  <c r="H69" i="63"/>
  <c r="P68" i="63"/>
  <c r="AE67" i="63"/>
  <c r="AF67" i="63" s="1"/>
  <c r="T68" i="63"/>
  <c r="R68" i="63"/>
  <c r="W527" i="63"/>
  <c r="Y526" i="63"/>
  <c r="S68" i="63"/>
  <c r="I68" i="63"/>
  <c r="AL68" i="63" l="1"/>
  <c r="AM68" i="63" s="1"/>
  <c r="V68" i="63"/>
  <c r="AA68" i="63" s="1"/>
  <c r="J69" i="63"/>
  <c r="U68" i="63"/>
  <c r="AG68" i="63"/>
  <c r="AJ68" i="63" s="1"/>
  <c r="AK68" i="63" s="1"/>
  <c r="AD68" i="63"/>
  <c r="C70" i="63"/>
  <c r="A69" i="63"/>
  <c r="B70" i="63"/>
  <c r="W528" i="63"/>
  <c r="Y527" i="63"/>
  <c r="AC69" i="63" l="1"/>
  <c r="E70" i="63"/>
  <c r="G70" i="63" s="1"/>
  <c r="Z68" i="63"/>
  <c r="AH68" i="63" s="1"/>
  <c r="Y68" i="63"/>
  <c r="W529" i="63"/>
  <c r="Y528" i="63"/>
  <c r="AB68" i="63"/>
  <c r="AE68" i="63" s="1"/>
  <c r="AF68" i="63" s="1"/>
  <c r="M69" i="63"/>
  <c r="O69" i="63" s="1"/>
  <c r="K69" i="63"/>
  <c r="Q69" i="63"/>
  <c r="L69" i="63" l="1"/>
  <c r="W530" i="63"/>
  <c r="Y529" i="63"/>
  <c r="R69" i="63"/>
  <c r="D70" i="63"/>
  <c r="S69" i="63"/>
  <c r="T69" i="63" s="1"/>
  <c r="AG69" i="63" s="1"/>
  <c r="AJ69" i="63" s="1"/>
  <c r="I69" i="63"/>
  <c r="AL69" i="63" l="1"/>
  <c r="V69" i="63"/>
  <c r="AA69" i="63" s="1"/>
  <c r="W531" i="63"/>
  <c r="Y530" i="63"/>
  <c r="N69" i="63"/>
  <c r="P69" i="63"/>
  <c r="U69" i="63"/>
  <c r="AB69" i="63" s="1"/>
  <c r="AE69" i="63" s="1"/>
  <c r="AD69" i="63"/>
  <c r="F70" i="63"/>
  <c r="H70" i="63"/>
  <c r="AM69" i="63" l="1"/>
  <c r="AK69" i="63"/>
  <c r="J70" i="63"/>
  <c r="Z69" i="63"/>
  <c r="AH69" i="63" s="1"/>
  <c r="Y69" i="63"/>
  <c r="B71" i="63"/>
  <c r="C71" i="63"/>
  <c r="A70" i="63"/>
  <c r="Y531" i="63"/>
  <c r="W532" i="63"/>
  <c r="AF69" i="63"/>
  <c r="E71" i="63" l="1"/>
  <c r="G71" i="63" s="1"/>
  <c r="D71" i="63"/>
  <c r="F71" i="63" s="1"/>
  <c r="AC70" i="63"/>
  <c r="W533" i="63"/>
  <c r="Y532" i="63"/>
  <c r="M70" i="63"/>
  <c r="O70" i="63" s="1"/>
  <c r="K70" i="63"/>
  <c r="Q70" i="63"/>
  <c r="R70" i="63" l="1"/>
  <c r="L70" i="63"/>
  <c r="S70" i="63"/>
  <c r="T70" i="63" s="1"/>
  <c r="I70" i="63"/>
  <c r="W534" i="63"/>
  <c r="Y533" i="63"/>
  <c r="H71" i="63"/>
  <c r="W535" i="63" l="1"/>
  <c r="Y534" i="63"/>
  <c r="N70" i="63"/>
  <c r="P70" i="63"/>
  <c r="AD70" i="63"/>
  <c r="AG70" i="63"/>
  <c r="AJ70" i="63" s="1"/>
  <c r="AL70" i="63"/>
  <c r="V70" i="63"/>
  <c r="AA70" i="63" s="1"/>
  <c r="C72" i="63"/>
  <c r="A71" i="63"/>
  <c r="B72" i="63"/>
  <c r="E72" i="63" l="1"/>
  <c r="G72" i="63" s="1"/>
  <c r="Q71" i="63"/>
  <c r="K71" i="63"/>
  <c r="J71" i="63"/>
  <c r="AM70" i="63"/>
  <c r="AK70" i="63"/>
  <c r="D72" i="63"/>
  <c r="F72" i="63" s="1"/>
  <c r="W536" i="63"/>
  <c r="Y535" i="63"/>
  <c r="U70" i="63"/>
  <c r="W537" i="63" l="1"/>
  <c r="Y536" i="63"/>
  <c r="AC71" i="63"/>
  <c r="M71" i="63"/>
  <c r="O71" i="63" s="1"/>
  <c r="Y70" i="63"/>
  <c r="Z70" i="63"/>
  <c r="AH70" i="63" s="1"/>
  <c r="AB70" i="63"/>
  <c r="R71" i="63" s="1"/>
  <c r="H72" i="63"/>
  <c r="AL71" i="63" l="1"/>
  <c r="I71" i="63"/>
  <c r="S71" i="63"/>
  <c r="T71" i="63" s="1"/>
  <c r="C73" i="63"/>
  <c r="A72" i="63"/>
  <c r="B73" i="63"/>
  <c r="AE70" i="63"/>
  <c r="AF70" i="63" s="1"/>
  <c r="W538" i="63"/>
  <c r="Y537" i="63"/>
  <c r="L71" i="63"/>
  <c r="AG71" i="63" l="1"/>
  <c r="AJ71" i="63" s="1"/>
  <c r="AD71" i="63"/>
  <c r="Q72" i="63"/>
  <c r="N71" i="63"/>
  <c r="P71" i="63"/>
  <c r="K72" i="63" s="1"/>
  <c r="V71" i="63"/>
  <c r="AA71" i="63" s="1"/>
  <c r="E73" i="63"/>
  <c r="G73" i="63" s="1"/>
  <c r="W539" i="63"/>
  <c r="Y538" i="63"/>
  <c r="D73" i="63" l="1"/>
  <c r="F73" i="63" s="1"/>
  <c r="Y539" i="63"/>
  <c r="W540" i="63"/>
  <c r="H73" i="63"/>
  <c r="J72" i="63"/>
  <c r="AM71" i="63"/>
  <c r="AK71" i="63"/>
  <c r="U71" i="63"/>
  <c r="C74" i="63" l="1"/>
  <c r="A73" i="63"/>
  <c r="B74" i="63"/>
  <c r="Z71" i="63"/>
  <c r="AH71" i="63" s="1"/>
  <c r="Y71" i="63"/>
  <c r="AB71" i="63"/>
  <c r="AC72" i="63"/>
  <c r="M72" i="63"/>
  <c r="W541" i="63"/>
  <c r="Y540" i="63"/>
  <c r="E74" i="63" l="1"/>
  <c r="G74" i="63" s="1"/>
  <c r="W542" i="63"/>
  <c r="Y541" i="63"/>
  <c r="Q73" i="63"/>
  <c r="S72" i="63"/>
  <c r="I72" i="63"/>
  <c r="AE71" i="63"/>
  <c r="AF71" i="63" s="1"/>
  <c r="T72" i="63"/>
  <c r="R72" i="63"/>
  <c r="O72" i="63"/>
  <c r="L72" i="63"/>
  <c r="AG72" i="63" l="1"/>
  <c r="AJ72" i="63" s="1"/>
  <c r="AD72" i="63"/>
  <c r="W543" i="63"/>
  <c r="Y543" i="63" s="1"/>
  <c r="Y542" i="63"/>
  <c r="N72" i="63"/>
  <c r="P72" i="63"/>
  <c r="AL72" i="63"/>
  <c r="V72" i="63"/>
  <c r="AA72" i="63" s="1"/>
  <c r="D74" i="63"/>
  <c r="F74" i="63" l="1"/>
  <c r="H74" i="63"/>
  <c r="U72" i="63"/>
  <c r="AK72" i="63"/>
  <c r="J73" i="63"/>
  <c r="AM72" i="63"/>
  <c r="K73" i="63"/>
  <c r="Z72" i="63" l="1"/>
  <c r="AH72" i="63" s="1"/>
  <c r="Y72" i="63"/>
  <c r="AB72" i="63"/>
  <c r="AC73" i="63"/>
  <c r="M73" i="63"/>
  <c r="O73" i="63" s="1"/>
  <c r="B75" i="63"/>
  <c r="A74" i="63"/>
  <c r="C75" i="63"/>
  <c r="E75" i="63" l="1"/>
  <c r="G75" i="63" s="1"/>
  <c r="Q74" i="63"/>
  <c r="S73" i="63"/>
  <c r="I73" i="63"/>
  <c r="L73" i="63"/>
  <c r="AE72" i="63"/>
  <c r="AF72" i="63" s="1"/>
  <c r="T73" i="63"/>
  <c r="R73" i="63"/>
  <c r="D75" i="63"/>
  <c r="F75" i="63" s="1"/>
  <c r="AG73" i="63" l="1"/>
  <c r="AJ73" i="63" s="1"/>
  <c r="AD73" i="63"/>
  <c r="AL73" i="63"/>
  <c r="V73" i="63"/>
  <c r="AA73" i="63" s="1"/>
  <c r="N73" i="63"/>
  <c r="P73" i="63"/>
  <c r="H75" i="63"/>
  <c r="U73" i="63" l="1"/>
  <c r="C76" i="63"/>
  <c r="A75" i="63"/>
  <c r="B76" i="63"/>
  <c r="AM73" i="63"/>
  <c r="AK73" i="63"/>
  <c r="J74" i="63"/>
  <c r="K74" i="63"/>
  <c r="E76" i="63" l="1"/>
  <c r="G76" i="63" s="1"/>
  <c r="Q75" i="63"/>
  <c r="AC74" i="63"/>
  <c r="M74" i="63"/>
  <c r="O74" i="63" s="1"/>
  <c r="Z73" i="63"/>
  <c r="AH73" i="63" s="1"/>
  <c r="Y73" i="63"/>
  <c r="AB73" i="63"/>
  <c r="AE73" i="63" l="1"/>
  <c r="AF73" i="63" s="1"/>
  <c r="R74" i="63"/>
  <c r="S74" i="63"/>
  <c r="T74" i="63" s="1"/>
  <c r="I74" i="63"/>
  <c r="L74" i="63"/>
  <c r="D76" i="63"/>
  <c r="AG74" i="63" l="1"/>
  <c r="AJ74" i="63" s="1"/>
  <c r="AD74" i="63"/>
  <c r="AL74" i="63"/>
  <c r="V74" i="63"/>
  <c r="AA74" i="63" s="1"/>
  <c r="F76" i="63"/>
  <c r="H76" i="63"/>
  <c r="N74" i="63"/>
  <c r="P74" i="63"/>
  <c r="C77" i="63" l="1"/>
  <c r="A76" i="63"/>
  <c r="B77" i="63"/>
  <c r="J75" i="63"/>
  <c r="AM74" i="63"/>
  <c r="AK74" i="63"/>
  <c r="K75" i="63"/>
  <c r="U74" i="63"/>
  <c r="AC75" i="63" l="1"/>
  <c r="M75" i="63"/>
  <c r="O75" i="63" s="1"/>
  <c r="E77" i="63"/>
  <c r="G77" i="63" s="1"/>
  <c r="Z74" i="63"/>
  <c r="AH74" i="63" s="1"/>
  <c r="Y74" i="63"/>
  <c r="AB74" i="63"/>
  <c r="Q76" i="63"/>
  <c r="L75" i="63"/>
  <c r="N75" i="63" s="1"/>
  <c r="D77" i="63" l="1"/>
  <c r="F77" i="63" s="1"/>
  <c r="AE74" i="63"/>
  <c r="AF74" i="63" s="1"/>
  <c r="R75" i="63"/>
  <c r="H77" i="63"/>
  <c r="I75" i="63"/>
  <c r="S75" i="63"/>
  <c r="T75" i="63" s="1"/>
  <c r="P75" i="63"/>
  <c r="AG75" i="63" l="1"/>
  <c r="AJ75" i="63" s="1"/>
  <c r="AD75" i="63"/>
  <c r="J76" i="63"/>
  <c r="AK75" i="63"/>
  <c r="K76" i="63"/>
  <c r="C78" i="63"/>
  <c r="A77" i="63"/>
  <c r="B78" i="63"/>
  <c r="AL75" i="63"/>
  <c r="AM75" i="63" s="1"/>
  <c r="V75" i="63"/>
  <c r="AA75" i="63" s="1"/>
  <c r="U75" i="63" l="1"/>
  <c r="AB75" i="63" s="1"/>
  <c r="AE75" i="63" s="1"/>
  <c r="AF75" i="63" s="1"/>
  <c r="R76" i="63"/>
  <c r="AC76" i="63"/>
  <c r="M76" i="63"/>
  <c r="O76" i="63" s="1"/>
  <c r="E78" i="63"/>
  <c r="G78" i="63" s="1"/>
  <c r="Y75" i="63"/>
  <c r="Q77" i="63"/>
  <c r="L76" i="63" l="1"/>
  <c r="Z75" i="63"/>
  <c r="AH75" i="63" s="1"/>
  <c r="S76" i="63"/>
  <c r="T76" i="63" s="1"/>
  <c r="I76" i="63"/>
  <c r="AL76" i="63"/>
  <c r="D78" i="63"/>
  <c r="V76" i="63" l="1"/>
  <c r="AA76" i="63" s="1"/>
  <c r="N76" i="63"/>
  <c r="P76" i="63"/>
  <c r="F78" i="63"/>
  <c r="H78" i="63"/>
  <c r="U76" i="63"/>
  <c r="AG76" i="63"/>
  <c r="AJ76" i="63" s="1"/>
  <c r="AD76" i="63"/>
  <c r="AK76" i="63" l="1"/>
  <c r="K77" i="63"/>
  <c r="J77" i="63"/>
  <c r="AM76" i="63"/>
  <c r="B79" i="63"/>
  <c r="C79" i="63"/>
  <c r="A78" i="63"/>
  <c r="Z76" i="63"/>
  <c r="AH76" i="63" s="1"/>
  <c r="Y76" i="63"/>
  <c r="AB76" i="63"/>
  <c r="M77" i="63" l="1"/>
  <c r="O77" i="63" s="1"/>
  <c r="AC77" i="63"/>
  <c r="Q78" i="63"/>
  <c r="E79" i="63"/>
  <c r="G79" i="63" s="1"/>
  <c r="AE76" i="63"/>
  <c r="AF76" i="63" s="1"/>
  <c r="R77" i="63"/>
  <c r="L77" i="63" l="1"/>
  <c r="N77" i="63" s="1"/>
  <c r="P77" i="63"/>
  <c r="S77" i="63"/>
  <c r="T77" i="63" s="1"/>
  <c r="AD77" i="63" s="1"/>
  <c r="I77" i="63"/>
  <c r="D79" i="63"/>
  <c r="AL77" i="63"/>
  <c r="AM77" i="63" s="1"/>
  <c r="AG77" i="63"/>
  <c r="AJ77" i="63" s="1"/>
  <c r="AK77" i="63" s="1"/>
  <c r="J78" i="63" l="1"/>
  <c r="K78" i="63"/>
  <c r="V77" i="63"/>
  <c r="F79" i="63"/>
  <c r="H79" i="63"/>
  <c r="AA77" i="63" l="1"/>
  <c r="U77" i="63"/>
  <c r="M78" i="63"/>
  <c r="O78" i="63" s="1"/>
  <c r="AC78" i="63"/>
  <c r="C80" i="63"/>
  <c r="A79" i="63"/>
  <c r="B80" i="63"/>
  <c r="S78" i="63" l="1"/>
  <c r="I78" i="63"/>
  <c r="L78" i="63"/>
  <c r="Y77" i="63"/>
  <c r="AB77" i="63"/>
  <c r="Z77" i="63"/>
  <c r="AH77" i="63" s="1"/>
  <c r="E80" i="63"/>
  <c r="G80" i="63" s="1"/>
  <c r="Q79" i="63"/>
  <c r="T78" i="63" l="1"/>
  <c r="AE77" i="63"/>
  <c r="AF77" i="63" s="1"/>
  <c r="R78" i="63"/>
  <c r="N78" i="63"/>
  <c r="P78" i="63"/>
  <c r="D80" i="63"/>
  <c r="V78" i="63" l="1"/>
  <c r="AL78" i="63"/>
  <c r="AM78" i="63" s="1"/>
  <c r="J79" i="63"/>
  <c r="K79" i="63"/>
  <c r="AG78" i="63"/>
  <c r="AJ78" i="63" s="1"/>
  <c r="AK78" i="63" s="1"/>
  <c r="AD78" i="63"/>
  <c r="F80" i="63"/>
  <c r="H80" i="63"/>
  <c r="M79" i="63" l="1"/>
  <c r="O79" i="63" s="1"/>
  <c r="AC79" i="63"/>
  <c r="AA78" i="63"/>
  <c r="U78" i="63"/>
  <c r="C81" i="63"/>
  <c r="A80" i="63"/>
  <c r="B81" i="63"/>
  <c r="Z78" i="63" l="1"/>
  <c r="AH78" i="63" s="1"/>
  <c r="Y78" i="63"/>
  <c r="AB78" i="63"/>
  <c r="S79" i="63"/>
  <c r="I79" i="63"/>
  <c r="L79" i="63"/>
  <c r="E81" i="63"/>
  <c r="G81" i="63" s="1"/>
  <c r="Q80" i="63"/>
  <c r="P79" i="63" l="1"/>
  <c r="N79" i="63"/>
  <c r="T79" i="63"/>
  <c r="AE78" i="63"/>
  <c r="AF78" i="63" s="1"/>
  <c r="R79" i="63"/>
  <c r="D81" i="63"/>
  <c r="AL79" i="63" l="1"/>
  <c r="AM79" i="63" s="1"/>
  <c r="V79" i="63"/>
  <c r="AA79" i="63" s="1"/>
  <c r="AD79" i="63"/>
  <c r="AG79" i="63"/>
  <c r="AJ79" i="63" s="1"/>
  <c r="AK79" i="63" s="1"/>
  <c r="J80" i="63"/>
  <c r="K80" i="63"/>
  <c r="F81" i="63"/>
  <c r="H81" i="63"/>
  <c r="U79" i="63" l="1"/>
  <c r="M80" i="63"/>
  <c r="O80" i="63" s="1"/>
  <c r="AC80" i="63"/>
  <c r="Y79" i="63"/>
  <c r="Z79" i="63"/>
  <c r="AH79" i="63" s="1"/>
  <c r="AB79" i="63"/>
  <c r="C82" i="63"/>
  <c r="A81" i="63"/>
  <c r="B82" i="63"/>
  <c r="S80" i="63" l="1"/>
  <c r="I80" i="63"/>
  <c r="AE79" i="63"/>
  <c r="AF79" i="63" s="1"/>
  <c r="T80" i="63"/>
  <c r="R80" i="63"/>
  <c r="L80" i="63"/>
  <c r="E82" i="63"/>
  <c r="G82" i="63" s="1"/>
  <c r="Q81" i="63"/>
  <c r="N80" i="63" l="1"/>
  <c r="P80" i="63"/>
  <c r="V80" i="63"/>
  <c r="AA80" i="63" s="1"/>
  <c r="AL80" i="63"/>
  <c r="AG80" i="63"/>
  <c r="AJ80" i="63" s="1"/>
  <c r="AD80" i="63"/>
  <c r="U80" i="63"/>
  <c r="AB80" i="63" s="1"/>
  <c r="D82" i="63"/>
  <c r="AE80" i="63" l="1"/>
  <c r="AF80" i="63" s="1"/>
  <c r="R81" i="63"/>
  <c r="Y80" i="63"/>
  <c r="Z80" i="63"/>
  <c r="AH80" i="63" s="1"/>
  <c r="AK80" i="63"/>
  <c r="J81" i="63"/>
  <c r="AM80" i="63"/>
  <c r="AL81" i="63" s="1"/>
  <c r="K81" i="63"/>
  <c r="F82" i="63"/>
  <c r="H82" i="63"/>
  <c r="AC81" i="63" l="1"/>
  <c r="M81" i="63"/>
  <c r="O81" i="63" s="1"/>
  <c r="B83" i="63"/>
  <c r="C83" i="63"/>
  <c r="A82" i="63"/>
  <c r="L81" i="63" l="1"/>
  <c r="N81" i="63"/>
  <c r="P81" i="63"/>
  <c r="S81" i="63"/>
  <c r="I81" i="63"/>
  <c r="E83" i="63"/>
  <c r="G83" i="63" s="1"/>
  <c r="K82" i="63"/>
  <c r="Q82" i="63"/>
  <c r="D83" i="63" l="1"/>
  <c r="F83" i="63" s="1"/>
  <c r="T81" i="63"/>
  <c r="V81" i="63"/>
  <c r="AA81" i="63" s="1"/>
  <c r="J82" i="63"/>
  <c r="AM81" i="63"/>
  <c r="H83" i="63"/>
  <c r="M82" i="63" l="1"/>
  <c r="AC82" i="63"/>
  <c r="U81" i="63"/>
  <c r="AG81" i="63"/>
  <c r="AJ81" i="63" s="1"/>
  <c r="AK81" i="63" s="1"/>
  <c r="AD81" i="63"/>
  <c r="C84" i="63"/>
  <c r="A83" i="63"/>
  <c r="B84" i="63"/>
  <c r="AB81" i="63" l="1"/>
  <c r="Z81" i="63"/>
  <c r="AH81" i="63" s="1"/>
  <c r="Y81" i="63"/>
  <c r="I82" i="63"/>
  <c r="S82" i="63"/>
  <c r="T82" i="63" s="1"/>
  <c r="O82" i="63"/>
  <c r="L82" i="63"/>
  <c r="E84" i="63"/>
  <c r="G84" i="63" s="1"/>
  <c r="Q83" i="63"/>
  <c r="N82" i="63" l="1"/>
  <c r="P82" i="63"/>
  <c r="AD82" i="63"/>
  <c r="AG82" i="63"/>
  <c r="AJ82" i="63" s="1"/>
  <c r="AE81" i="63"/>
  <c r="AF81" i="63" s="1"/>
  <c r="R82" i="63"/>
  <c r="D84" i="63"/>
  <c r="V82" i="63" l="1"/>
  <c r="AL82" i="63"/>
  <c r="J83" i="63"/>
  <c r="AM82" i="63"/>
  <c r="AK82" i="63"/>
  <c r="K83" i="63"/>
  <c r="F84" i="63"/>
  <c r="H84" i="63"/>
  <c r="M83" i="63" l="1"/>
  <c r="O83" i="63" s="1"/>
  <c r="AC83" i="63"/>
  <c r="AA82" i="63"/>
  <c r="U82" i="63"/>
  <c r="C85" i="63"/>
  <c r="A84" i="63"/>
  <c r="B85" i="63"/>
  <c r="Z82" i="63" l="1"/>
  <c r="AH82" i="63" s="1"/>
  <c r="Y82" i="63"/>
  <c r="AB82" i="63"/>
  <c r="S83" i="63"/>
  <c r="I83" i="63"/>
  <c r="L83" i="63"/>
  <c r="Q84" i="63"/>
  <c r="E85" i="63"/>
  <c r="G85" i="63" s="1"/>
  <c r="N83" i="63" l="1"/>
  <c r="P83" i="63"/>
  <c r="R83" i="63"/>
  <c r="AE82" i="63"/>
  <c r="AF82" i="63" s="1"/>
  <c r="T83" i="63"/>
  <c r="D85" i="63"/>
  <c r="AD83" i="63" l="1"/>
  <c r="AG83" i="63"/>
  <c r="AJ83" i="63" s="1"/>
  <c r="AK83" i="63" s="1"/>
  <c r="AL83" i="63"/>
  <c r="V83" i="63"/>
  <c r="AA83" i="63" s="1"/>
  <c r="J84" i="63"/>
  <c r="AM83" i="63"/>
  <c r="K84" i="63"/>
  <c r="F85" i="63"/>
  <c r="H85" i="63"/>
  <c r="AC84" i="63" l="1"/>
  <c r="M84" i="63"/>
  <c r="O84" i="63" s="1"/>
  <c r="U83" i="63"/>
  <c r="C86" i="63"/>
  <c r="A85" i="63"/>
  <c r="B86" i="63"/>
  <c r="L84" i="63" l="1"/>
  <c r="N84" i="63" s="1"/>
  <c r="Z83" i="63"/>
  <c r="AH83" i="63" s="1"/>
  <c r="Y83" i="63"/>
  <c r="AB83" i="63"/>
  <c r="P84" i="63"/>
  <c r="S84" i="63"/>
  <c r="I84" i="63"/>
  <c r="E86" i="63"/>
  <c r="G86" i="63" s="1"/>
  <c r="Q85" i="63"/>
  <c r="D86" i="63" l="1"/>
  <c r="F86" i="63" s="1"/>
  <c r="J85" i="63"/>
  <c r="AE83" i="63"/>
  <c r="AF83" i="63" s="1"/>
  <c r="T84" i="63"/>
  <c r="R84" i="63"/>
  <c r="K85" i="63"/>
  <c r="H86" i="63"/>
  <c r="AL84" i="63" l="1"/>
  <c r="AM84" i="63" s="1"/>
  <c r="V84" i="63"/>
  <c r="AA84" i="63" s="1"/>
  <c r="AG84" i="63"/>
  <c r="AJ84" i="63" s="1"/>
  <c r="AK84" i="63" s="1"/>
  <c r="AD84" i="63"/>
  <c r="U84" i="63"/>
  <c r="M85" i="63"/>
  <c r="O85" i="63" s="1"/>
  <c r="AC85" i="63"/>
  <c r="B87" i="63"/>
  <c r="C87" i="63"/>
  <c r="A86" i="63"/>
  <c r="Z84" i="63" l="1"/>
  <c r="AH84" i="63" s="1"/>
  <c r="Y84" i="63"/>
  <c r="AB84" i="63"/>
  <c r="I85" i="63"/>
  <c r="S85" i="63"/>
  <c r="T85" i="63" s="1"/>
  <c r="L85" i="63"/>
  <c r="Q86" i="63"/>
  <c r="E87" i="63"/>
  <c r="G87" i="63" s="1"/>
  <c r="AG85" i="63" l="1"/>
  <c r="AJ85" i="63" s="1"/>
  <c r="AD85" i="63"/>
  <c r="AE84" i="63"/>
  <c r="AF84" i="63" s="1"/>
  <c r="R85" i="63"/>
  <c r="N85" i="63"/>
  <c r="P85" i="63"/>
  <c r="D87" i="63"/>
  <c r="AL85" i="63" l="1"/>
  <c r="AM85" i="63" s="1"/>
  <c r="V85" i="63"/>
  <c r="K86" i="63"/>
  <c r="AK85" i="63"/>
  <c r="J86" i="63"/>
  <c r="F87" i="63"/>
  <c r="H87" i="63"/>
  <c r="AC86" i="63" l="1"/>
  <c r="M86" i="63"/>
  <c r="O86" i="63" s="1"/>
  <c r="AA85" i="63"/>
  <c r="U85" i="63"/>
  <c r="C88" i="63"/>
  <c r="A87" i="63"/>
  <c r="B88" i="63"/>
  <c r="AB85" i="63" l="1"/>
  <c r="Y85" i="63"/>
  <c r="Z85" i="63"/>
  <c r="AH85" i="63" s="1"/>
  <c r="L86" i="63"/>
  <c r="I86" i="63"/>
  <c r="S86" i="63"/>
  <c r="T86" i="63" s="1"/>
  <c r="E88" i="63"/>
  <c r="G88" i="63" s="1"/>
  <c r="Q87" i="63"/>
  <c r="AG86" i="63" l="1"/>
  <c r="AJ86" i="63" s="1"/>
  <c r="AD86" i="63"/>
  <c r="N86" i="63"/>
  <c r="P86" i="63"/>
  <c r="AE85" i="63"/>
  <c r="AF85" i="63" s="1"/>
  <c r="R86" i="63"/>
  <c r="D88" i="63"/>
  <c r="AL86" i="63" l="1"/>
  <c r="AM86" i="63" s="1"/>
  <c r="V86" i="63"/>
  <c r="J87" i="63"/>
  <c r="K87" i="63"/>
  <c r="AK86" i="63"/>
  <c r="F88" i="63"/>
  <c r="H88" i="63"/>
  <c r="M87" i="63" l="1"/>
  <c r="O87" i="63" s="1"/>
  <c r="AC87" i="63"/>
  <c r="AA86" i="63"/>
  <c r="U86" i="63"/>
  <c r="C89" i="63"/>
  <c r="A88" i="63"/>
  <c r="B89" i="63"/>
  <c r="Y86" i="63" l="1"/>
  <c r="Z86" i="63"/>
  <c r="AH86" i="63" s="1"/>
  <c r="AB86" i="63"/>
  <c r="S87" i="63"/>
  <c r="I87" i="63"/>
  <c r="L87" i="63"/>
  <c r="E89" i="63"/>
  <c r="G89" i="63" s="1"/>
  <c r="Q88" i="63"/>
  <c r="D89" i="63" l="1"/>
  <c r="N87" i="63"/>
  <c r="P87" i="63"/>
  <c r="R87" i="63"/>
  <c r="AE86" i="63"/>
  <c r="AF86" i="63" s="1"/>
  <c r="T87" i="63"/>
  <c r="F89" i="63" l="1"/>
  <c r="H89" i="63"/>
  <c r="AD87" i="63"/>
  <c r="AG87" i="63"/>
  <c r="AJ87" i="63" s="1"/>
  <c r="AK87" i="63" s="1"/>
  <c r="V87" i="63"/>
  <c r="AA87" i="63" s="1"/>
  <c r="AL87" i="63"/>
  <c r="AM87" i="63" s="1"/>
  <c r="J88" i="63"/>
  <c r="K88" i="63"/>
  <c r="B90" i="63" l="1"/>
  <c r="E90" i="63" s="1"/>
  <c r="G90" i="63" s="1"/>
  <c r="C90" i="63"/>
  <c r="A89" i="63"/>
  <c r="Q89" i="63" s="1"/>
  <c r="AC88" i="63"/>
  <c r="M88" i="63"/>
  <c r="O88" i="63" s="1"/>
  <c r="U87" i="63"/>
  <c r="D90" i="63"/>
  <c r="L88" i="63" l="1"/>
  <c r="Y87" i="63"/>
  <c r="Z87" i="63"/>
  <c r="AH87" i="63" s="1"/>
  <c r="AB87" i="63"/>
  <c r="N88" i="63"/>
  <c r="P88" i="63"/>
  <c r="I88" i="63"/>
  <c r="S88" i="63"/>
  <c r="T88" i="63" s="1"/>
  <c r="F90" i="63"/>
  <c r="H90" i="63"/>
  <c r="J89" i="63" l="1"/>
  <c r="K89" i="63"/>
  <c r="AE87" i="63"/>
  <c r="AF87" i="63" s="1"/>
  <c r="R88" i="63"/>
  <c r="AG88" i="63"/>
  <c r="AJ88" i="63" s="1"/>
  <c r="AK88" i="63" s="1"/>
  <c r="AD88" i="63"/>
  <c r="B91" i="63"/>
  <c r="C91" i="63"/>
  <c r="A90" i="63"/>
  <c r="AL88" i="63" l="1"/>
  <c r="AM88" i="63" s="1"/>
  <c r="V88" i="63"/>
  <c r="AC89" i="63"/>
  <c r="M89" i="63"/>
  <c r="O89" i="63" s="1"/>
  <c r="Q90" i="63"/>
  <c r="E91" i="63"/>
  <c r="G91" i="63" s="1"/>
  <c r="D91" i="63" l="1"/>
  <c r="F91" i="63" s="1"/>
  <c r="S89" i="63"/>
  <c r="I89" i="63"/>
  <c r="AA88" i="63"/>
  <c r="U88" i="63"/>
  <c r="L89" i="63"/>
  <c r="H91" i="63"/>
  <c r="Y88" i="63" l="1"/>
  <c r="Z88" i="63"/>
  <c r="AH88" i="63" s="1"/>
  <c r="AB88" i="63"/>
  <c r="N89" i="63"/>
  <c r="P89" i="63"/>
  <c r="T89" i="63"/>
  <c r="C92" i="63"/>
  <c r="A91" i="63"/>
  <c r="B92" i="63"/>
  <c r="AD89" i="63" l="1"/>
  <c r="AG89" i="63"/>
  <c r="AJ89" i="63" s="1"/>
  <c r="AK89" i="63" s="1"/>
  <c r="J90" i="63"/>
  <c r="K90" i="63"/>
  <c r="AE88" i="63"/>
  <c r="AF88" i="63" s="1"/>
  <c r="R89" i="63"/>
  <c r="E92" i="63"/>
  <c r="G92" i="63" s="1"/>
  <c r="Q91" i="63"/>
  <c r="V89" i="63" l="1"/>
  <c r="AL89" i="63"/>
  <c r="AM89" i="63" s="1"/>
  <c r="M90" i="63"/>
  <c r="O90" i="63" s="1"/>
  <c r="AC90" i="63"/>
  <c r="L90" i="63"/>
  <c r="N90" i="63" s="1"/>
  <c r="D92" i="63"/>
  <c r="P90" i="63" l="1"/>
  <c r="S90" i="63"/>
  <c r="I90" i="63"/>
  <c r="AA89" i="63"/>
  <c r="U89" i="63"/>
  <c r="F92" i="63"/>
  <c r="H92" i="63"/>
  <c r="Y89" i="63" l="1"/>
  <c r="Z89" i="63"/>
  <c r="AH89" i="63" s="1"/>
  <c r="AB89" i="63"/>
  <c r="K91" i="63"/>
  <c r="J91" i="63"/>
  <c r="C93" i="63"/>
  <c r="A92" i="63"/>
  <c r="B93" i="63"/>
  <c r="M91" i="63" l="1"/>
  <c r="O91" i="63" s="1"/>
  <c r="AC91" i="63"/>
  <c r="L91" i="63"/>
  <c r="N91" i="63" s="1"/>
  <c r="R90" i="63"/>
  <c r="T90" i="63"/>
  <c r="AE89" i="63"/>
  <c r="AF89" i="63" s="1"/>
  <c r="E93" i="63"/>
  <c r="G93" i="63" s="1"/>
  <c r="Q92" i="63"/>
  <c r="AD90" i="63" l="1"/>
  <c r="AG90" i="63"/>
  <c r="AJ90" i="63" s="1"/>
  <c r="AK90" i="63" s="1"/>
  <c r="AL90" i="63"/>
  <c r="AM90" i="63" s="1"/>
  <c r="V90" i="63"/>
  <c r="AA90" i="63" s="1"/>
  <c r="I91" i="63"/>
  <c r="S91" i="63"/>
  <c r="P91" i="63"/>
  <c r="D93" i="63"/>
  <c r="U90" i="63" l="1"/>
  <c r="J92" i="63"/>
  <c r="K92" i="63"/>
  <c r="F93" i="63"/>
  <c r="H93" i="63"/>
  <c r="AC92" i="63" l="1"/>
  <c r="M92" i="63"/>
  <c r="O92" i="63" s="1"/>
  <c r="Y90" i="63"/>
  <c r="Z90" i="63"/>
  <c r="AH90" i="63" s="1"/>
  <c r="AB90" i="63"/>
  <c r="C94" i="63"/>
  <c r="A93" i="63"/>
  <c r="B94" i="63"/>
  <c r="R91" i="63" l="1"/>
  <c r="AE90" i="63"/>
  <c r="AF90" i="63" s="1"/>
  <c r="T91" i="63"/>
  <c r="I92" i="63"/>
  <c r="S92" i="63"/>
  <c r="L92" i="63"/>
  <c r="E94" i="63"/>
  <c r="G94" i="63" s="1"/>
  <c r="Q93" i="63"/>
  <c r="D94" i="63" l="1"/>
  <c r="F94" i="63" s="1"/>
  <c r="N92" i="63"/>
  <c r="P92" i="63"/>
  <c r="AD91" i="63"/>
  <c r="AG91" i="63"/>
  <c r="AJ91" i="63" s="1"/>
  <c r="AK91" i="63" s="1"/>
  <c r="AL91" i="63"/>
  <c r="AM91" i="63" s="1"/>
  <c r="V91" i="63"/>
  <c r="AA91" i="63" s="1"/>
  <c r="H94" i="63"/>
  <c r="U91" i="63" l="1"/>
  <c r="J93" i="63"/>
  <c r="K93" i="63"/>
  <c r="B95" i="63"/>
  <c r="C95" i="63"/>
  <c r="A94" i="63"/>
  <c r="AC93" i="63" l="1"/>
  <c r="M93" i="63"/>
  <c r="O93" i="63" s="1"/>
  <c r="Z91" i="63"/>
  <c r="AH91" i="63" s="1"/>
  <c r="Y91" i="63"/>
  <c r="AB91" i="63"/>
  <c r="Q94" i="63"/>
  <c r="E95" i="63"/>
  <c r="G95" i="63" s="1"/>
  <c r="R92" i="63" l="1"/>
  <c r="AE91" i="63"/>
  <c r="AF91" i="63" s="1"/>
  <c r="T92" i="63"/>
  <c r="S93" i="63"/>
  <c r="I93" i="63"/>
  <c r="L93" i="63"/>
  <c r="D95" i="63"/>
  <c r="N93" i="63" l="1"/>
  <c r="P93" i="63"/>
  <c r="AG92" i="63"/>
  <c r="AJ92" i="63" s="1"/>
  <c r="AK92" i="63" s="1"/>
  <c r="AD92" i="63"/>
  <c r="AL92" i="63"/>
  <c r="AM92" i="63" s="1"/>
  <c r="V92" i="63"/>
  <c r="AA92" i="63" s="1"/>
  <c r="F95" i="63"/>
  <c r="H95" i="63"/>
  <c r="U92" i="63" l="1"/>
  <c r="J94" i="63"/>
  <c r="K94" i="63"/>
  <c r="C96" i="63"/>
  <c r="A95" i="63"/>
  <c r="B96" i="63"/>
  <c r="M94" i="63" l="1"/>
  <c r="O94" i="63" s="1"/>
  <c r="AC94" i="63"/>
  <c r="Y92" i="63"/>
  <c r="Z92" i="63"/>
  <c r="AH92" i="63" s="1"/>
  <c r="AB92" i="63"/>
  <c r="Q95" i="63"/>
  <c r="E96" i="63"/>
  <c r="G96" i="63" s="1"/>
  <c r="S94" i="63" l="1"/>
  <c r="I94" i="63"/>
  <c r="AE92" i="63"/>
  <c r="AF92" i="63" s="1"/>
  <c r="R93" i="63"/>
  <c r="T93" i="63"/>
  <c r="L94" i="63"/>
  <c r="D96" i="63"/>
  <c r="N94" i="63" l="1"/>
  <c r="P94" i="63"/>
  <c r="AG93" i="63"/>
  <c r="AJ93" i="63" s="1"/>
  <c r="AK93" i="63" s="1"/>
  <c r="AD93" i="63"/>
  <c r="AL93" i="63"/>
  <c r="AM93" i="63" s="1"/>
  <c r="V93" i="63"/>
  <c r="AA93" i="63" s="1"/>
  <c r="F96" i="63"/>
  <c r="H96" i="63"/>
  <c r="U93" i="63" l="1"/>
  <c r="J95" i="63"/>
  <c r="K95" i="63"/>
  <c r="C97" i="63"/>
  <c r="A96" i="63"/>
  <c r="B97" i="63"/>
  <c r="AC95" i="63" l="1"/>
  <c r="M95" i="63"/>
  <c r="O95" i="63" s="1"/>
  <c r="Y93" i="63"/>
  <c r="Z93" i="63"/>
  <c r="AH93" i="63" s="1"/>
  <c r="AB93" i="63"/>
  <c r="E97" i="63"/>
  <c r="G97" i="63" s="1"/>
  <c r="Q96" i="63"/>
  <c r="R94" i="63" l="1"/>
  <c r="AE93" i="63"/>
  <c r="AF93" i="63" s="1"/>
  <c r="T94" i="63"/>
  <c r="I95" i="63"/>
  <c r="S95" i="63"/>
  <c r="L95" i="63"/>
  <c r="D97" i="63"/>
  <c r="N95" i="63" l="1"/>
  <c r="P95" i="63"/>
  <c r="AG94" i="63"/>
  <c r="AJ94" i="63" s="1"/>
  <c r="AK94" i="63" s="1"/>
  <c r="AD94" i="63"/>
  <c r="V94" i="63"/>
  <c r="AA94" i="63" s="1"/>
  <c r="AL94" i="63"/>
  <c r="AM94" i="63" s="1"/>
  <c r="F97" i="63"/>
  <c r="H97" i="63"/>
  <c r="U94" i="63" l="1"/>
  <c r="AB94" i="63" s="1"/>
  <c r="R95" i="63" s="1"/>
  <c r="T95" i="63"/>
  <c r="Y94" i="63"/>
  <c r="Z94" i="63"/>
  <c r="AH94" i="63" s="1"/>
  <c r="J96" i="63"/>
  <c r="K96" i="63"/>
  <c r="C98" i="63"/>
  <c r="A97" i="63"/>
  <c r="B98" i="63"/>
  <c r="AE94" i="63" l="1"/>
  <c r="AF94" i="63" s="1"/>
  <c r="AC96" i="63"/>
  <c r="M96" i="63"/>
  <c r="O96" i="63" s="1"/>
  <c r="AG95" i="63"/>
  <c r="AJ95" i="63" s="1"/>
  <c r="AK95" i="63" s="1"/>
  <c r="AD95" i="63"/>
  <c r="AL95" i="63"/>
  <c r="AM95" i="63" s="1"/>
  <c r="V95" i="63"/>
  <c r="AA95" i="63" s="1"/>
  <c r="E98" i="63"/>
  <c r="G98" i="63" s="1"/>
  <c r="Q97" i="63"/>
  <c r="U95" i="63" l="1"/>
  <c r="D98" i="63"/>
  <c r="F98" i="63" s="1"/>
  <c r="Z95" i="63"/>
  <c r="AH95" i="63" s="1"/>
  <c r="Y95" i="63"/>
  <c r="AB95" i="63"/>
  <c r="S96" i="63"/>
  <c r="I96" i="63"/>
  <c r="L96" i="63"/>
  <c r="T96" i="63" l="1"/>
  <c r="AG96" i="63" s="1"/>
  <c r="AJ96" i="63" s="1"/>
  <c r="H98" i="63"/>
  <c r="C99" i="63" s="1"/>
  <c r="AD96" i="63"/>
  <c r="AE95" i="63"/>
  <c r="AF95" i="63" s="1"/>
  <c r="R96" i="63"/>
  <c r="N96" i="63"/>
  <c r="P96" i="63"/>
  <c r="B99" i="63"/>
  <c r="A98" i="63"/>
  <c r="AL96" i="63" l="1"/>
  <c r="V96" i="63"/>
  <c r="AK96" i="63"/>
  <c r="J97" i="63"/>
  <c r="AM96" i="63"/>
  <c r="K97" i="63"/>
  <c r="Q98" i="63"/>
  <c r="E99" i="63"/>
  <c r="G99" i="63" s="1"/>
  <c r="AC97" i="63" l="1"/>
  <c r="M97" i="63"/>
  <c r="O97" i="63" s="1"/>
  <c r="AA96" i="63"/>
  <c r="U96" i="63"/>
  <c r="D99" i="63"/>
  <c r="Z96" i="63" l="1"/>
  <c r="AH96" i="63" s="1"/>
  <c r="Y96" i="63"/>
  <c r="AB96" i="63"/>
  <c r="S97" i="63"/>
  <c r="T97" i="63" s="1"/>
  <c r="I97" i="63"/>
  <c r="L97" i="63"/>
  <c r="F99" i="63"/>
  <c r="H99" i="63"/>
  <c r="N97" i="63" l="1"/>
  <c r="P97" i="63"/>
  <c r="AG97" i="63"/>
  <c r="AJ97" i="63" s="1"/>
  <c r="AD97" i="63"/>
  <c r="AE96" i="63"/>
  <c r="AF96" i="63" s="1"/>
  <c r="R97" i="63"/>
  <c r="A99" i="63"/>
  <c r="C100" i="63"/>
  <c r="B100" i="63"/>
  <c r="K98" i="63" l="1"/>
  <c r="AK97" i="63"/>
  <c r="J98" i="63"/>
  <c r="AL97" i="63"/>
  <c r="AM97" i="63" s="1"/>
  <c r="V97" i="63"/>
  <c r="E100" i="63"/>
  <c r="G100" i="63" s="1"/>
  <c r="Q99" i="63"/>
  <c r="AA97" i="63" l="1"/>
  <c r="U97" i="63"/>
  <c r="AC98" i="63"/>
  <c r="M98" i="63"/>
  <c r="O98" i="63" s="1"/>
  <c r="D100" i="63"/>
  <c r="L98" i="63" l="1"/>
  <c r="N98" i="63" s="1"/>
  <c r="P98" i="63"/>
  <c r="S98" i="63"/>
  <c r="I98" i="63"/>
  <c r="Y97" i="63"/>
  <c r="Z97" i="63"/>
  <c r="AH97" i="63" s="1"/>
  <c r="AB97" i="63"/>
  <c r="F100" i="63"/>
  <c r="H100" i="63"/>
  <c r="R98" i="63" l="1"/>
  <c r="AE97" i="63"/>
  <c r="AF97" i="63" s="1"/>
  <c r="T98" i="63"/>
  <c r="V98" i="63"/>
  <c r="AA98" i="63" s="1"/>
  <c r="K99" i="63"/>
  <c r="J99" i="63"/>
  <c r="C101" i="63"/>
  <c r="A100" i="63"/>
  <c r="B101" i="63"/>
  <c r="AG98" i="63" l="1"/>
  <c r="AJ98" i="63" s="1"/>
  <c r="AK98" i="63" s="1"/>
  <c r="AD98" i="63"/>
  <c r="U98" i="63"/>
  <c r="M99" i="63"/>
  <c r="O99" i="63" s="1"/>
  <c r="AC99" i="63"/>
  <c r="AL98" i="63"/>
  <c r="AM98" i="63" s="1"/>
  <c r="E101" i="63"/>
  <c r="G101" i="63" s="1"/>
  <c r="Q100" i="63"/>
  <c r="S99" i="63" l="1"/>
  <c r="I99" i="63"/>
  <c r="Y98" i="63"/>
  <c r="Z98" i="63"/>
  <c r="AH98" i="63" s="1"/>
  <c r="AB98" i="63"/>
  <c r="L99" i="63"/>
  <c r="D101" i="63"/>
  <c r="R99" i="63" l="1"/>
  <c r="AE98" i="63"/>
  <c r="AF98" i="63" s="1"/>
  <c r="N99" i="63"/>
  <c r="P99" i="63"/>
  <c r="T99" i="63"/>
  <c r="F101" i="63"/>
  <c r="H101" i="63"/>
  <c r="AG99" i="63" l="1"/>
  <c r="AJ99" i="63" s="1"/>
  <c r="AD99" i="63"/>
  <c r="J100" i="63"/>
  <c r="AK99" i="63"/>
  <c r="K100" i="63"/>
  <c r="AL99" i="63"/>
  <c r="AM99" i="63" s="1"/>
  <c r="V99" i="63"/>
  <c r="AA99" i="63" s="1"/>
  <c r="C102" i="63"/>
  <c r="B102" i="63"/>
  <c r="A101" i="63"/>
  <c r="U99" i="63" l="1"/>
  <c r="M100" i="63"/>
  <c r="O100" i="63" s="1"/>
  <c r="AC100" i="63"/>
  <c r="Q101" i="63"/>
  <c r="E102" i="63"/>
  <c r="G102" i="63" s="1"/>
  <c r="D102" i="63" l="1"/>
  <c r="F102" i="63" s="1"/>
  <c r="S100" i="63"/>
  <c r="I100" i="63"/>
  <c r="Z99" i="63"/>
  <c r="AH99" i="63" s="1"/>
  <c r="Y99" i="63"/>
  <c r="AB99" i="63"/>
  <c r="L100" i="63"/>
  <c r="H102" i="63"/>
  <c r="R100" i="63" l="1"/>
  <c r="AE99" i="63"/>
  <c r="AF99" i="63" s="1"/>
  <c r="T100" i="63"/>
  <c r="N100" i="63"/>
  <c r="P100" i="63"/>
  <c r="C103" i="63"/>
  <c r="A102" i="63"/>
  <c r="B103" i="63"/>
  <c r="J101" i="63" l="1"/>
  <c r="K101" i="63"/>
  <c r="AG100" i="63"/>
  <c r="AJ100" i="63" s="1"/>
  <c r="AK100" i="63" s="1"/>
  <c r="AD100" i="63"/>
  <c r="AL100" i="63"/>
  <c r="AM100" i="63" s="1"/>
  <c r="V100" i="63"/>
  <c r="AA100" i="63" s="1"/>
  <c r="E103" i="63"/>
  <c r="G103" i="63" s="1"/>
  <c r="Q102" i="63"/>
  <c r="U100" i="63" l="1"/>
  <c r="M101" i="63"/>
  <c r="O101" i="63" s="1"/>
  <c r="AC101" i="63"/>
  <c r="D103" i="63"/>
  <c r="I101" i="63" l="1"/>
  <c r="S101" i="63"/>
  <c r="L101" i="63"/>
  <c r="Y100" i="63"/>
  <c r="Z100" i="63"/>
  <c r="AH100" i="63" s="1"/>
  <c r="AB100" i="63"/>
  <c r="F103" i="63"/>
  <c r="H103" i="63"/>
  <c r="AE100" i="63" l="1"/>
  <c r="AF100" i="63" s="1"/>
  <c r="R101" i="63"/>
  <c r="N101" i="63"/>
  <c r="P101" i="63"/>
  <c r="T101" i="63"/>
  <c r="B104" i="63"/>
  <c r="A103" i="63"/>
  <c r="C104" i="63"/>
  <c r="AG101" i="63" l="1"/>
  <c r="AJ101" i="63" s="1"/>
  <c r="AK101" i="63" s="1"/>
  <c r="AD101" i="63"/>
  <c r="AL101" i="63"/>
  <c r="AM101" i="63" s="1"/>
  <c r="V101" i="63"/>
  <c r="AA101" i="63" s="1"/>
  <c r="J102" i="63"/>
  <c r="K102" i="63"/>
  <c r="Q103" i="63"/>
  <c r="E104" i="63"/>
  <c r="G104" i="63" s="1"/>
  <c r="M102" i="63" l="1"/>
  <c r="O102" i="63" s="1"/>
  <c r="AC102" i="63"/>
  <c r="U101" i="63"/>
  <c r="D104" i="63"/>
  <c r="Z101" i="63" l="1"/>
  <c r="AH101" i="63" s="1"/>
  <c r="Y101" i="63"/>
  <c r="AB101" i="63"/>
  <c r="I102" i="63"/>
  <c r="S102" i="63"/>
  <c r="T102" i="63" s="1"/>
  <c r="L102" i="63"/>
  <c r="F104" i="63"/>
  <c r="H104" i="63"/>
  <c r="N102" i="63" l="1"/>
  <c r="P102" i="63"/>
  <c r="AG102" i="63"/>
  <c r="AJ102" i="63" s="1"/>
  <c r="AK102" i="63" s="1"/>
  <c r="AD102" i="63"/>
  <c r="AE101" i="63"/>
  <c r="AF101" i="63" s="1"/>
  <c r="R102" i="63"/>
  <c r="C105" i="63"/>
  <c r="A104" i="63"/>
  <c r="B105" i="63"/>
  <c r="V102" i="63" l="1"/>
  <c r="AL102" i="63"/>
  <c r="AM102" i="63" s="1"/>
  <c r="J103" i="63"/>
  <c r="K103" i="63"/>
  <c r="Q104" i="63"/>
  <c r="E105" i="63"/>
  <c r="G105" i="63" s="1"/>
  <c r="AC103" i="63" l="1"/>
  <c r="M103" i="63"/>
  <c r="O103" i="63" s="1"/>
  <c r="AA102" i="63"/>
  <c r="U102" i="63"/>
  <c r="D105" i="63"/>
  <c r="L103" i="63" l="1"/>
  <c r="N103" i="63" s="1"/>
  <c r="Y102" i="63"/>
  <c r="Z102" i="63"/>
  <c r="AH102" i="63" s="1"/>
  <c r="AB102" i="63"/>
  <c r="P103" i="63"/>
  <c r="S103" i="63"/>
  <c r="I103" i="63"/>
  <c r="F105" i="63"/>
  <c r="H105" i="63"/>
  <c r="J104" i="63" l="1"/>
  <c r="K104" i="63"/>
  <c r="AE102" i="63"/>
  <c r="AF102" i="63" s="1"/>
  <c r="T103" i="63"/>
  <c r="R103" i="63"/>
  <c r="B106" i="63"/>
  <c r="C106" i="63"/>
  <c r="A105" i="63"/>
  <c r="V103" i="63" l="1"/>
  <c r="AA103" i="63" s="1"/>
  <c r="AL103" i="63"/>
  <c r="AM103" i="63" s="1"/>
  <c r="AG103" i="63"/>
  <c r="AJ103" i="63" s="1"/>
  <c r="AK103" i="63" s="1"/>
  <c r="U103" i="63"/>
  <c r="AB103" i="63" s="1"/>
  <c r="AD103" i="63"/>
  <c r="AC104" i="63"/>
  <c r="M104" i="63"/>
  <c r="O104" i="63" s="1"/>
  <c r="Q105" i="63"/>
  <c r="E106" i="63"/>
  <c r="G106" i="63" s="1"/>
  <c r="D106" i="63" l="1"/>
  <c r="L104" i="63"/>
  <c r="N104" i="63" s="1"/>
  <c r="AE103" i="63"/>
  <c r="AF103" i="63" s="1"/>
  <c r="R104" i="63"/>
  <c r="Z103" i="63"/>
  <c r="AH103" i="63" s="1"/>
  <c r="Y103" i="63"/>
  <c r="P104" i="63"/>
  <c r="S104" i="63"/>
  <c r="T104" i="63" s="1"/>
  <c r="I104" i="63"/>
  <c r="F106" i="63" l="1"/>
  <c r="H106" i="63"/>
  <c r="AG104" i="63"/>
  <c r="AJ104" i="63" s="1"/>
  <c r="AD104" i="63"/>
  <c r="AL104" i="63"/>
  <c r="AM104" i="63" s="1"/>
  <c r="V104" i="63"/>
  <c r="AA104" i="63" s="1"/>
  <c r="AK104" i="63"/>
  <c r="J105" i="63"/>
  <c r="K105" i="63"/>
  <c r="C107" i="63" l="1"/>
  <c r="A106" i="63"/>
  <c r="Q106" i="63" s="1"/>
  <c r="B107" i="63"/>
  <c r="E107" i="63" s="1"/>
  <c r="G107" i="63" s="1"/>
  <c r="AC105" i="63"/>
  <c r="M105" i="63"/>
  <c r="O105" i="63" s="1"/>
  <c r="U104" i="63"/>
  <c r="L105" i="63" l="1"/>
  <c r="D107" i="63"/>
  <c r="H107" i="63" s="1"/>
  <c r="Z104" i="63"/>
  <c r="AH104" i="63" s="1"/>
  <c r="Y104" i="63"/>
  <c r="AB104" i="63"/>
  <c r="S105" i="63"/>
  <c r="I105" i="63"/>
  <c r="F107" i="63"/>
  <c r="N105" i="63" l="1"/>
  <c r="P105" i="63"/>
  <c r="AE104" i="63"/>
  <c r="AF104" i="63" s="1"/>
  <c r="R105" i="63"/>
  <c r="T105" i="63"/>
  <c r="B108" i="63"/>
  <c r="A107" i="63"/>
  <c r="C108" i="63"/>
  <c r="K106" i="63" l="1"/>
  <c r="J106" i="63"/>
  <c r="V105" i="63"/>
  <c r="AA105" i="63" s="1"/>
  <c r="AL105" i="63"/>
  <c r="AM105" i="63" s="1"/>
  <c r="AG105" i="63"/>
  <c r="AJ105" i="63" s="1"/>
  <c r="AK105" i="63" s="1"/>
  <c r="AD105" i="63"/>
  <c r="U105" i="63"/>
  <c r="E108" i="63"/>
  <c r="G108" i="63" s="1"/>
  <c r="Q107" i="63"/>
  <c r="M106" i="63" l="1"/>
  <c r="O106" i="63" s="1"/>
  <c r="AC106" i="63"/>
  <c r="L106" i="63"/>
  <c r="Z105" i="63"/>
  <c r="AH105" i="63" s="1"/>
  <c r="Y105" i="63"/>
  <c r="AB105" i="63"/>
  <c r="D108" i="63"/>
  <c r="N106" i="63" l="1"/>
  <c r="P106" i="63"/>
  <c r="I106" i="63"/>
  <c r="S106" i="63"/>
  <c r="AE105" i="63"/>
  <c r="AF105" i="63" s="1"/>
  <c r="R106" i="63"/>
  <c r="T106" i="63"/>
  <c r="F108" i="63"/>
  <c r="H108" i="63"/>
  <c r="K107" i="63" l="1"/>
  <c r="J107" i="63"/>
  <c r="AG106" i="63"/>
  <c r="AJ106" i="63" s="1"/>
  <c r="AK106" i="63" s="1"/>
  <c r="AD106" i="63"/>
  <c r="AL106" i="63"/>
  <c r="AM106" i="63" s="1"/>
  <c r="V106" i="63"/>
  <c r="AA106" i="63" s="1"/>
  <c r="C109" i="63"/>
  <c r="A108" i="63"/>
  <c r="B109" i="63"/>
  <c r="AC107" i="63" l="1"/>
  <c r="M107" i="63"/>
  <c r="U106" i="63"/>
  <c r="E109" i="63"/>
  <c r="G109" i="63" s="1"/>
  <c r="Q108" i="63"/>
  <c r="O107" i="63" l="1"/>
  <c r="L107" i="63"/>
  <c r="S107" i="63"/>
  <c r="I107" i="63"/>
  <c r="Y106" i="63"/>
  <c r="AB106" i="63"/>
  <c r="Z106" i="63"/>
  <c r="AH106" i="63" s="1"/>
  <c r="D109" i="63"/>
  <c r="P107" i="63" l="1"/>
  <c r="N107" i="63"/>
  <c r="AE106" i="63"/>
  <c r="AF106" i="63" s="1"/>
  <c r="R107" i="63"/>
  <c r="T107" i="63"/>
  <c r="F109" i="63"/>
  <c r="H109" i="63"/>
  <c r="K108" i="63" l="1"/>
  <c r="J108" i="63"/>
  <c r="V107" i="63"/>
  <c r="AA107" i="63" s="1"/>
  <c r="AL107" i="63"/>
  <c r="AM107" i="63" s="1"/>
  <c r="AD107" i="63"/>
  <c r="AG107" i="63"/>
  <c r="AJ107" i="63" s="1"/>
  <c r="AK107" i="63" s="1"/>
  <c r="U107" i="63"/>
  <c r="A109" i="63"/>
  <c r="B110" i="63"/>
  <c r="C110" i="63"/>
  <c r="M108" i="63" l="1"/>
  <c r="AC108" i="63"/>
  <c r="Z107" i="63"/>
  <c r="AH107" i="63" s="1"/>
  <c r="AB107" i="63"/>
  <c r="Y107" i="63"/>
  <c r="E110" i="63"/>
  <c r="G110" i="63" s="1"/>
  <c r="Q109" i="63"/>
  <c r="D110" i="63" l="1"/>
  <c r="F110" i="63" s="1"/>
  <c r="S108" i="63"/>
  <c r="I108" i="63"/>
  <c r="O108" i="63"/>
  <c r="L108" i="63"/>
  <c r="AE107" i="63"/>
  <c r="AF107" i="63" s="1"/>
  <c r="R108" i="63"/>
  <c r="T108" i="63"/>
  <c r="H110" i="63"/>
  <c r="N108" i="63" l="1"/>
  <c r="P108" i="63"/>
  <c r="AL108" i="63"/>
  <c r="AM108" i="63" s="1"/>
  <c r="V108" i="63"/>
  <c r="AD108" i="63"/>
  <c r="AG108" i="63"/>
  <c r="AJ108" i="63" s="1"/>
  <c r="AK108" i="63" s="1"/>
  <c r="C111" i="63"/>
  <c r="A110" i="63"/>
  <c r="B111" i="63"/>
  <c r="K109" i="63" l="1"/>
  <c r="J109" i="63"/>
  <c r="AA108" i="63"/>
  <c r="U108" i="63"/>
  <c r="E111" i="63"/>
  <c r="G111" i="63" s="1"/>
  <c r="Q110" i="63"/>
  <c r="AC109" i="63" l="1"/>
  <c r="M109" i="63"/>
  <c r="Y108" i="63"/>
  <c r="Z108" i="63"/>
  <c r="AH108" i="63" s="1"/>
  <c r="AB108" i="63"/>
  <c r="D111" i="63"/>
  <c r="O109" i="63" l="1"/>
  <c r="L109" i="63"/>
  <c r="S109" i="63"/>
  <c r="I109" i="63"/>
  <c r="AE108" i="63"/>
  <c r="AF108" i="63" s="1"/>
  <c r="R109" i="63"/>
  <c r="T109" i="63"/>
  <c r="F111" i="63"/>
  <c r="H111" i="63"/>
  <c r="N109" i="63" l="1"/>
  <c r="P109" i="63"/>
  <c r="AL109" i="63"/>
  <c r="AM109" i="63" s="1"/>
  <c r="V109" i="63"/>
  <c r="AA109" i="63" s="1"/>
  <c r="AD109" i="63"/>
  <c r="AG109" i="63"/>
  <c r="AJ109" i="63" s="1"/>
  <c r="AK109" i="63" s="1"/>
  <c r="B112" i="63"/>
  <c r="A111" i="63"/>
  <c r="C112" i="63"/>
  <c r="J110" i="63" l="1"/>
  <c r="K110" i="63"/>
  <c r="U109" i="63"/>
  <c r="E112" i="63"/>
  <c r="G112" i="63" s="1"/>
  <c r="Q111" i="63"/>
  <c r="AC110" i="63" l="1"/>
  <c r="M110" i="63"/>
  <c r="Y109" i="63"/>
  <c r="AB109" i="63"/>
  <c r="Z109" i="63"/>
  <c r="AH109" i="63" s="1"/>
  <c r="D112" i="63"/>
  <c r="O110" i="63" l="1"/>
  <c r="L110" i="63"/>
  <c r="I110" i="63"/>
  <c r="S110" i="63"/>
  <c r="AE109" i="63"/>
  <c r="AF109" i="63" s="1"/>
  <c r="R110" i="63"/>
  <c r="T110" i="63"/>
  <c r="F112" i="63"/>
  <c r="H112" i="63"/>
  <c r="N110" i="63" l="1"/>
  <c r="P110" i="63"/>
  <c r="AD110" i="63"/>
  <c r="AG110" i="63"/>
  <c r="AJ110" i="63" s="1"/>
  <c r="AK110" i="63" s="1"/>
  <c r="AL110" i="63"/>
  <c r="AM110" i="63" s="1"/>
  <c r="V110" i="63"/>
  <c r="AA110" i="63" s="1"/>
  <c r="C113" i="63"/>
  <c r="A112" i="63"/>
  <c r="B113" i="63"/>
  <c r="K111" i="63" l="1"/>
  <c r="J111" i="63"/>
  <c r="U110" i="63"/>
  <c r="Q112" i="63"/>
  <c r="E113" i="63"/>
  <c r="G113" i="63" s="1"/>
  <c r="AC111" i="63" l="1"/>
  <c r="M111" i="63"/>
  <c r="Y110" i="63"/>
  <c r="Z110" i="63"/>
  <c r="AH110" i="63" s="1"/>
  <c r="AB110" i="63"/>
  <c r="D113" i="63"/>
  <c r="O111" i="63" l="1"/>
  <c r="L111" i="63"/>
  <c r="I111" i="63"/>
  <c r="S111" i="63"/>
  <c r="AE110" i="63"/>
  <c r="AF110" i="63" s="1"/>
  <c r="R111" i="63"/>
  <c r="T111" i="63"/>
  <c r="F113" i="63"/>
  <c r="H113" i="63"/>
  <c r="N111" i="63" l="1"/>
  <c r="P111" i="63"/>
  <c r="AL111" i="63"/>
  <c r="AM111" i="63" s="1"/>
  <c r="V111" i="63"/>
  <c r="AA111" i="63" s="1"/>
  <c r="AD111" i="63"/>
  <c r="AG111" i="63"/>
  <c r="AJ111" i="63" s="1"/>
  <c r="AK111" i="63" s="1"/>
  <c r="U111" i="63"/>
  <c r="Z111" i="63" s="1"/>
  <c r="AH111" i="63" s="1"/>
  <c r="A113" i="63"/>
  <c r="C114" i="63"/>
  <c r="B114" i="63"/>
  <c r="AB111" i="63" l="1"/>
  <c r="Y111" i="63"/>
  <c r="K112" i="63"/>
  <c r="J112" i="63"/>
  <c r="Q113" i="63"/>
  <c r="E114" i="63"/>
  <c r="G114" i="63" s="1"/>
  <c r="AE111" i="63"/>
  <c r="AF111" i="63" s="1"/>
  <c r="R112" i="63"/>
  <c r="AC112" i="63" l="1"/>
  <c r="M112" i="63"/>
  <c r="AL112" i="63"/>
  <c r="D114" i="63"/>
  <c r="O112" i="63" l="1"/>
  <c r="L112" i="63"/>
  <c r="I112" i="63"/>
  <c r="S112" i="63"/>
  <c r="F114" i="63"/>
  <c r="H114" i="63"/>
  <c r="T112" i="63" l="1"/>
  <c r="V112" i="63"/>
  <c r="AA112" i="63" s="1"/>
  <c r="N112" i="63"/>
  <c r="P112" i="63"/>
  <c r="C115" i="63"/>
  <c r="A114" i="63"/>
  <c r="B115" i="63"/>
  <c r="J113" i="63" l="1"/>
  <c r="AM112" i="63"/>
  <c r="K113" i="63"/>
  <c r="AG112" i="63"/>
  <c r="AJ112" i="63" s="1"/>
  <c r="AK112" i="63" s="1"/>
  <c r="AD112" i="63"/>
  <c r="U112" i="63"/>
  <c r="E115" i="63"/>
  <c r="G115" i="63" s="1"/>
  <c r="Q114" i="63"/>
  <c r="D115" i="63" l="1"/>
  <c r="F115" i="63" s="1"/>
  <c r="Z112" i="63"/>
  <c r="AH112" i="63" s="1"/>
  <c r="Y112" i="63"/>
  <c r="AB112" i="63"/>
  <c r="M113" i="63"/>
  <c r="O113" i="63" s="1"/>
  <c r="AC113" i="63"/>
  <c r="H115" i="63"/>
  <c r="I113" i="63" l="1"/>
  <c r="S113" i="63"/>
  <c r="AE112" i="63"/>
  <c r="AF112" i="63" s="1"/>
  <c r="T113" i="63"/>
  <c r="R113" i="63"/>
  <c r="L113" i="63"/>
  <c r="B116" i="63"/>
  <c r="A115" i="63"/>
  <c r="C116" i="63"/>
  <c r="P113" i="63" l="1"/>
  <c r="N113" i="63"/>
  <c r="AL113" i="63"/>
  <c r="V113" i="63"/>
  <c r="AD113" i="63"/>
  <c r="AG113" i="63"/>
  <c r="AJ113" i="63" s="1"/>
  <c r="Q115" i="63"/>
  <c r="E116" i="63"/>
  <c r="G116" i="63" s="1"/>
  <c r="AA113" i="63" l="1"/>
  <c r="U113" i="63"/>
  <c r="AK113" i="63"/>
  <c r="J114" i="63"/>
  <c r="K114" i="63"/>
  <c r="AM113" i="63"/>
  <c r="D116" i="63"/>
  <c r="AC114" i="63" l="1"/>
  <c r="M114" i="63"/>
  <c r="O114" i="63" s="1"/>
  <c r="Y113" i="63"/>
  <c r="Z113" i="63"/>
  <c r="AH113" i="63" s="1"/>
  <c r="AB113" i="63"/>
  <c r="F116" i="63"/>
  <c r="H116" i="63"/>
  <c r="AE113" i="63" l="1"/>
  <c r="AF113" i="63" s="1"/>
  <c r="R114" i="63"/>
  <c r="I114" i="63"/>
  <c r="S114" i="63"/>
  <c r="T114" i="63" s="1"/>
  <c r="L114" i="63"/>
  <c r="C117" i="63"/>
  <c r="A116" i="63"/>
  <c r="B117" i="63"/>
  <c r="AD114" i="63" l="1"/>
  <c r="AG114" i="63"/>
  <c r="AJ114" i="63" s="1"/>
  <c r="V114" i="63"/>
  <c r="AA114" i="63" s="1"/>
  <c r="AL114" i="63"/>
  <c r="N114" i="63"/>
  <c r="P114" i="63"/>
  <c r="E117" i="63"/>
  <c r="G117" i="63" s="1"/>
  <c r="Q116" i="63"/>
  <c r="AK114" i="63" l="1"/>
  <c r="J115" i="63"/>
  <c r="AM114" i="63"/>
  <c r="K115" i="63"/>
  <c r="U114" i="63"/>
  <c r="D117" i="63"/>
  <c r="Y114" i="63" l="1"/>
  <c r="Z114" i="63"/>
  <c r="AH114" i="63" s="1"/>
  <c r="AB114" i="63"/>
  <c r="M115" i="63"/>
  <c r="O115" i="63" s="1"/>
  <c r="AC115" i="63"/>
  <c r="L115" i="63"/>
  <c r="F117" i="63"/>
  <c r="H117" i="63"/>
  <c r="N115" i="63" l="1"/>
  <c r="P115" i="63"/>
  <c r="I115" i="63"/>
  <c r="S115" i="63"/>
  <c r="T115" i="63"/>
  <c r="AE114" i="63"/>
  <c r="AF114" i="63" s="1"/>
  <c r="R115" i="63"/>
  <c r="A117" i="63"/>
  <c r="C118" i="63"/>
  <c r="B118" i="63"/>
  <c r="AL115" i="63" l="1"/>
  <c r="AM115" i="63" s="1"/>
  <c r="V115" i="63"/>
  <c r="AG115" i="63"/>
  <c r="AJ115" i="63" s="1"/>
  <c r="AK115" i="63" s="1"/>
  <c r="AD115" i="63"/>
  <c r="J116" i="63"/>
  <c r="K116" i="63"/>
  <c r="E118" i="63"/>
  <c r="G118" i="63" s="1"/>
  <c r="Q117" i="63"/>
  <c r="AC116" i="63" l="1"/>
  <c r="M116" i="63"/>
  <c r="O116" i="63" s="1"/>
  <c r="AA115" i="63"/>
  <c r="U115" i="63"/>
  <c r="D118" i="63"/>
  <c r="AB115" i="63" l="1"/>
  <c r="Z115" i="63"/>
  <c r="AH115" i="63" s="1"/>
  <c r="Y115" i="63"/>
  <c r="I116" i="63"/>
  <c r="S116" i="63"/>
  <c r="T116" i="63" s="1"/>
  <c r="L116" i="63"/>
  <c r="F118" i="63"/>
  <c r="H118" i="63"/>
  <c r="P116" i="63" l="1"/>
  <c r="N116" i="63"/>
  <c r="AG116" i="63"/>
  <c r="AJ116" i="63" s="1"/>
  <c r="AD116" i="63"/>
  <c r="AE115" i="63"/>
  <c r="AF115" i="63" s="1"/>
  <c r="R116" i="63"/>
  <c r="C119" i="63"/>
  <c r="A118" i="63"/>
  <c r="B119" i="63"/>
  <c r="AL116" i="63" l="1"/>
  <c r="AM116" i="63" s="1"/>
  <c r="V116" i="63"/>
  <c r="AK116" i="63"/>
  <c r="J117" i="63"/>
  <c r="K117" i="63"/>
  <c r="E119" i="63"/>
  <c r="G119" i="63" s="1"/>
  <c r="Q118" i="63"/>
  <c r="AC117" i="63" l="1"/>
  <c r="M117" i="63"/>
  <c r="O117" i="63" s="1"/>
  <c r="AA116" i="63"/>
  <c r="U116" i="63"/>
  <c r="D119" i="63"/>
  <c r="Z116" i="63" l="1"/>
  <c r="AH116" i="63" s="1"/>
  <c r="Y116" i="63"/>
  <c r="AB116" i="63"/>
  <c r="S117" i="63"/>
  <c r="T117" i="63" s="1"/>
  <c r="I117" i="63"/>
  <c r="L117" i="63"/>
  <c r="F119" i="63"/>
  <c r="H119" i="63"/>
  <c r="AG117" i="63" l="1"/>
  <c r="AJ117" i="63" s="1"/>
  <c r="AD117" i="63"/>
  <c r="P117" i="63"/>
  <c r="N117" i="63"/>
  <c r="AE116" i="63"/>
  <c r="AF116" i="63" s="1"/>
  <c r="R117" i="63"/>
  <c r="B120" i="63"/>
  <c r="C120" i="63"/>
  <c r="A119" i="63"/>
  <c r="AL117" i="63" l="1"/>
  <c r="AM117" i="63" s="1"/>
  <c r="V117" i="63"/>
  <c r="AK117" i="63"/>
  <c r="J118" i="63"/>
  <c r="K118" i="63"/>
  <c r="Q119" i="63"/>
  <c r="E120" i="63"/>
  <c r="G120" i="63" s="1"/>
  <c r="AC118" i="63" l="1"/>
  <c r="M118" i="63"/>
  <c r="O118" i="63" s="1"/>
  <c r="AA117" i="63"/>
  <c r="U117" i="63"/>
  <c r="D120" i="63"/>
  <c r="Z117" i="63" l="1"/>
  <c r="AH117" i="63" s="1"/>
  <c r="Y117" i="63"/>
  <c r="AB117" i="63"/>
  <c r="I118" i="63"/>
  <c r="S118" i="63"/>
  <c r="T118" i="63" s="1"/>
  <c r="L118" i="63"/>
  <c r="F120" i="63"/>
  <c r="H120" i="63"/>
  <c r="N118" i="63" l="1"/>
  <c r="P118" i="63"/>
  <c r="AD118" i="63"/>
  <c r="AG118" i="63"/>
  <c r="AJ118" i="63" s="1"/>
  <c r="AE117" i="63"/>
  <c r="AF117" i="63" s="1"/>
  <c r="R118" i="63"/>
  <c r="C121" i="63"/>
  <c r="A120" i="63"/>
  <c r="B121" i="63"/>
  <c r="AL118" i="63" l="1"/>
  <c r="AM118" i="63" s="1"/>
  <c r="V118" i="63"/>
  <c r="J119" i="63"/>
  <c r="AK118" i="63"/>
  <c r="K119" i="63"/>
  <c r="E121" i="63"/>
  <c r="G121" i="63" s="1"/>
  <c r="Q120" i="63"/>
  <c r="AC119" i="63" l="1"/>
  <c r="M119" i="63"/>
  <c r="O119" i="63" s="1"/>
  <c r="AA118" i="63"/>
  <c r="U118" i="63"/>
  <c r="D121" i="63"/>
  <c r="Y118" i="63" l="1"/>
  <c r="Z118" i="63"/>
  <c r="AH118" i="63" s="1"/>
  <c r="AB118" i="63"/>
  <c r="S119" i="63"/>
  <c r="T119" i="63" s="1"/>
  <c r="I119" i="63"/>
  <c r="L119" i="63"/>
  <c r="F121" i="63"/>
  <c r="H121" i="63"/>
  <c r="P119" i="63" l="1"/>
  <c r="N119" i="63"/>
  <c r="AG119" i="63"/>
  <c r="AJ119" i="63" s="1"/>
  <c r="AD119" i="63"/>
  <c r="R119" i="63"/>
  <c r="AE118" i="63"/>
  <c r="AF118" i="63" s="1"/>
  <c r="A121" i="63"/>
  <c r="C122" i="63"/>
  <c r="B122" i="63"/>
  <c r="AL119" i="63" l="1"/>
  <c r="AM119" i="63" s="1"/>
  <c r="V119" i="63"/>
  <c r="K120" i="63"/>
  <c r="J120" i="63"/>
  <c r="AK119" i="63"/>
  <c r="E122" i="63"/>
  <c r="G122" i="63" s="1"/>
  <c r="Q121" i="63"/>
  <c r="AC120" i="63" l="1"/>
  <c r="M120" i="63"/>
  <c r="AA119" i="63"/>
  <c r="U119" i="63"/>
  <c r="D122" i="63"/>
  <c r="Y119" i="63" l="1"/>
  <c r="Z119" i="63"/>
  <c r="AH119" i="63" s="1"/>
  <c r="AB119" i="63"/>
  <c r="O120" i="63"/>
  <c r="L120" i="63"/>
  <c r="I120" i="63"/>
  <c r="S120" i="63"/>
  <c r="T120" i="63" s="1"/>
  <c r="F122" i="63"/>
  <c r="H122" i="63"/>
  <c r="P120" i="63" l="1"/>
  <c r="N120" i="63"/>
  <c r="AD120" i="63"/>
  <c r="AG120" i="63"/>
  <c r="AJ120" i="63" s="1"/>
  <c r="R120" i="63"/>
  <c r="AE119" i="63"/>
  <c r="AF119" i="63" s="1"/>
  <c r="C123" i="63"/>
  <c r="A122" i="63"/>
  <c r="B123" i="63"/>
  <c r="AL120" i="63" l="1"/>
  <c r="AM120" i="63" s="1"/>
  <c r="V120" i="63"/>
  <c r="J121" i="63"/>
  <c r="AK120" i="63"/>
  <c r="K121" i="63"/>
  <c r="Q122" i="63"/>
  <c r="E123" i="63"/>
  <c r="G123" i="63" s="1"/>
  <c r="M121" i="63" l="1"/>
  <c r="O121" i="63" s="1"/>
  <c r="AC121" i="63"/>
  <c r="AA120" i="63"/>
  <c r="U120" i="63"/>
  <c r="D123" i="63"/>
  <c r="Y120" i="63" l="1"/>
  <c r="Z120" i="63"/>
  <c r="AH120" i="63" s="1"/>
  <c r="AB120" i="63"/>
  <c r="S121" i="63"/>
  <c r="T121" i="63" s="1"/>
  <c r="I121" i="63"/>
  <c r="L121" i="63"/>
  <c r="F123" i="63"/>
  <c r="H123" i="63"/>
  <c r="AE120" i="63" l="1"/>
  <c r="AF120" i="63" s="1"/>
  <c r="R121" i="63"/>
  <c r="N121" i="63"/>
  <c r="P121" i="63"/>
  <c r="AG121" i="63"/>
  <c r="AJ121" i="63" s="1"/>
  <c r="AD121" i="63"/>
  <c r="B124" i="63"/>
  <c r="C124" i="63"/>
  <c r="A123" i="63"/>
  <c r="J122" i="63" l="1"/>
  <c r="K122" i="63"/>
  <c r="AK121" i="63"/>
  <c r="AL121" i="63"/>
  <c r="AM121" i="63" s="1"/>
  <c r="V121" i="63"/>
  <c r="Q123" i="63"/>
  <c r="E124" i="63"/>
  <c r="G124" i="63" s="1"/>
  <c r="AA121" i="63" l="1"/>
  <c r="U121" i="63"/>
  <c r="M122" i="63"/>
  <c r="AC122" i="63"/>
  <c r="D124" i="63"/>
  <c r="S122" i="63" l="1"/>
  <c r="I122" i="63"/>
  <c r="O122" i="63"/>
  <c r="L122" i="63"/>
  <c r="Z121" i="63"/>
  <c r="AH121" i="63" s="1"/>
  <c r="Y121" i="63"/>
  <c r="AB121" i="63"/>
  <c r="F124" i="63"/>
  <c r="H124" i="63"/>
  <c r="AE121" i="63" l="1"/>
  <c r="AF121" i="63" s="1"/>
  <c r="R122" i="63"/>
  <c r="N122" i="63"/>
  <c r="P122" i="63"/>
  <c r="T122" i="63"/>
  <c r="C125" i="63"/>
  <c r="A124" i="63"/>
  <c r="B125" i="63"/>
  <c r="AD122" i="63" l="1"/>
  <c r="AG122" i="63"/>
  <c r="AJ122" i="63" s="1"/>
  <c r="AK122" i="63" s="1"/>
  <c r="AL122" i="63"/>
  <c r="AM122" i="63" s="1"/>
  <c r="V122" i="63"/>
  <c r="AA122" i="63" s="1"/>
  <c r="K123" i="63"/>
  <c r="J123" i="63"/>
  <c r="E125" i="63"/>
  <c r="G125" i="63" s="1"/>
  <c r="Q124" i="63"/>
  <c r="AC123" i="63" l="1"/>
  <c r="M123" i="63"/>
  <c r="O123" i="63" s="1"/>
  <c r="U122" i="63"/>
  <c r="D125" i="63"/>
  <c r="L123" i="63" l="1"/>
  <c r="Y122" i="63"/>
  <c r="Z122" i="63"/>
  <c r="AH122" i="63" s="1"/>
  <c r="AB122" i="63"/>
  <c r="P123" i="63"/>
  <c r="N123" i="63"/>
  <c r="S123" i="63"/>
  <c r="T123" i="63" s="1"/>
  <c r="I123" i="63"/>
  <c r="F125" i="63"/>
  <c r="H125" i="63"/>
  <c r="AG123" i="63" l="1"/>
  <c r="AJ123" i="63" s="1"/>
  <c r="AD123" i="63"/>
  <c r="K124" i="63"/>
  <c r="J124" i="63"/>
  <c r="AK123" i="63"/>
  <c r="AE122" i="63"/>
  <c r="AF122" i="63" s="1"/>
  <c r="R123" i="63"/>
  <c r="B126" i="63"/>
  <c r="C126" i="63"/>
  <c r="A125" i="63"/>
  <c r="AC124" i="63" l="1"/>
  <c r="M124" i="63"/>
  <c r="V123" i="63"/>
  <c r="AL123" i="63"/>
  <c r="AM123" i="63" s="1"/>
  <c r="Q125" i="63"/>
  <c r="E126" i="63"/>
  <c r="G126" i="63" s="1"/>
  <c r="D126" i="63" l="1"/>
  <c r="AA123" i="63"/>
  <c r="U123" i="63"/>
  <c r="O124" i="63"/>
  <c r="L124" i="63"/>
  <c r="I124" i="63"/>
  <c r="S124" i="63"/>
  <c r="Z123" i="63" l="1"/>
  <c r="AH123" i="63" s="1"/>
  <c r="Y123" i="63"/>
  <c r="AB123" i="63"/>
  <c r="P124" i="63"/>
  <c r="N124" i="63"/>
  <c r="F126" i="63"/>
  <c r="H126" i="63"/>
  <c r="AE123" i="63" l="1"/>
  <c r="AF123" i="63" s="1"/>
  <c r="T124" i="63"/>
  <c r="R124" i="63"/>
  <c r="C127" i="63"/>
  <c r="A126" i="63"/>
  <c r="Q126" i="63" s="1"/>
  <c r="B127" i="63"/>
  <c r="E127" i="63" s="1"/>
  <c r="G127" i="63" s="1"/>
  <c r="K125" i="63"/>
  <c r="J125" i="63"/>
  <c r="D127" i="63" l="1"/>
  <c r="AL124" i="63"/>
  <c r="AM124" i="63" s="1"/>
  <c r="V124" i="63"/>
  <c r="AA124" i="63" s="1"/>
  <c r="AD124" i="63"/>
  <c r="AG124" i="63"/>
  <c r="AJ124" i="63" s="1"/>
  <c r="AK124" i="63" s="1"/>
  <c r="AC125" i="63"/>
  <c r="M125" i="63"/>
  <c r="F127" i="63"/>
  <c r="H127" i="63"/>
  <c r="U124" i="63" l="1"/>
  <c r="AB124" i="63" s="1"/>
  <c r="R125" i="63" s="1"/>
  <c r="AE124" i="63"/>
  <c r="AF124" i="63" s="1"/>
  <c r="L125" i="63"/>
  <c r="O125" i="63"/>
  <c r="S125" i="63"/>
  <c r="T125" i="63" s="1"/>
  <c r="I125" i="63"/>
  <c r="Y124" i="63"/>
  <c r="Z124" i="63"/>
  <c r="AH124" i="63" s="1"/>
  <c r="C128" i="63"/>
  <c r="A127" i="63"/>
  <c r="B128" i="63"/>
  <c r="AG125" i="63" l="1"/>
  <c r="AJ125" i="63" s="1"/>
  <c r="AD125" i="63"/>
  <c r="N125" i="63"/>
  <c r="P125" i="63"/>
  <c r="AL125" i="63"/>
  <c r="V125" i="63"/>
  <c r="AA125" i="63" s="1"/>
  <c r="E128" i="63"/>
  <c r="G128" i="63" s="1"/>
  <c r="Q127" i="63"/>
  <c r="U125" i="63" l="1"/>
  <c r="AM125" i="63"/>
  <c r="K126" i="63"/>
  <c r="J126" i="63"/>
  <c r="AK125" i="63"/>
  <c r="D128" i="63"/>
  <c r="AC126" i="63" l="1"/>
  <c r="M126" i="63"/>
  <c r="O126" i="63" s="1"/>
  <c r="Y125" i="63"/>
  <c r="AB125" i="63"/>
  <c r="Z125" i="63"/>
  <c r="AH125" i="63" s="1"/>
  <c r="F128" i="63"/>
  <c r="H128" i="63"/>
  <c r="AE125" i="63" l="1"/>
  <c r="AF125" i="63" s="1"/>
  <c r="R126" i="63"/>
  <c r="S126" i="63"/>
  <c r="T126" i="63" s="1"/>
  <c r="I126" i="63"/>
  <c r="L126" i="63"/>
  <c r="C129" i="63"/>
  <c r="A128" i="63"/>
  <c r="B129" i="63"/>
  <c r="N126" i="63" l="1"/>
  <c r="P126" i="63"/>
  <c r="AG126" i="63"/>
  <c r="AJ126" i="63" s="1"/>
  <c r="AD126" i="63"/>
  <c r="AL126" i="63"/>
  <c r="V126" i="63"/>
  <c r="Q128" i="63"/>
  <c r="E129" i="63"/>
  <c r="G129" i="63" s="1"/>
  <c r="K127" i="63" l="1"/>
  <c r="J127" i="63"/>
  <c r="AM126" i="63"/>
  <c r="AK126" i="63"/>
  <c r="AA126" i="63"/>
  <c r="U126" i="63"/>
  <c r="D129" i="63"/>
  <c r="Z126" i="63" l="1"/>
  <c r="AH126" i="63" s="1"/>
  <c r="Y126" i="63"/>
  <c r="AB126" i="63"/>
  <c r="AC127" i="63"/>
  <c r="M127" i="63"/>
  <c r="F129" i="63"/>
  <c r="H129" i="63"/>
  <c r="O127" i="63" l="1"/>
  <c r="L127" i="63"/>
  <c r="I127" i="63"/>
  <c r="S127" i="63"/>
  <c r="AE126" i="63"/>
  <c r="AF126" i="63" s="1"/>
  <c r="T127" i="63"/>
  <c r="R127" i="63"/>
  <c r="B130" i="63"/>
  <c r="A129" i="63"/>
  <c r="C130" i="63"/>
  <c r="AL127" i="63" l="1"/>
  <c r="V127" i="63"/>
  <c r="AD127" i="63"/>
  <c r="AG127" i="63"/>
  <c r="AJ127" i="63" s="1"/>
  <c r="N127" i="63"/>
  <c r="P127" i="63"/>
  <c r="Q129" i="63"/>
  <c r="E130" i="63"/>
  <c r="G130" i="63" s="1"/>
  <c r="D130" i="63" l="1"/>
  <c r="F130" i="63" s="1"/>
  <c r="AM127" i="63"/>
  <c r="K128" i="63"/>
  <c r="AK127" i="63"/>
  <c r="J128" i="63"/>
  <c r="AA127" i="63"/>
  <c r="U127" i="63"/>
  <c r="H130" i="63"/>
  <c r="Z127" i="63" l="1"/>
  <c r="AH127" i="63" s="1"/>
  <c r="Y127" i="63"/>
  <c r="AB127" i="63"/>
  <c r="AC128" i="63"/>
  <c r="M128" i="63"/>
  <c r="C131" i="63"/>
  <c r="A130" i="63"/>
  <c r="B131" i="63"/>
  <c r="I128" i="63" l="1"/>
  <c r="S128" i="63"/>
  <c r="T128" i="63" s="1"/>
  <c r="O128" i="63"/>
  <c r="L128" i="63"/>
  <c r="AE127" i="63"/>
  <c r="AF127" i="63" s="1"/>
  <c r="R128" i="63"/>
  <c r="Q130" i="63"/>
  <c r="E131" i="63"/>
  <c r="G131" i="63" s="1"/>
  <c r="AL128" i="63" l="1"/>
  <c r="V128" i="63"/>
  <c r="N128" i="63"/>
  <c r="P128" i="63"/>
  <c r="AD128" i="63"/>
  <c r="AG128" i="63"/>
  <c r="AJ128" i="63" s="1"/>
  <c r="D131" i="63"/>
  <c r="AA128" i="63" l="1"/>
  <c r="U128" i="63"/>
  <c r="AM128" i="63"/>
  <c r="J129" i="63"/>
  <c r="K129" i="63"/>
  <c r="AK128" i="63"/>
  <c r="F131" i="63"/>
  <c r="H131" i="63"/>
  <c r="AC129" i="63" l="1"/>
  <c r="M129" i="63"/>
  <c r="O129" i="63" s="1"/>
  <c r="AB128" i="63"/>
  <c r="Z128" i="63"/>
  <c r="AH128" i="63" s="1"/>
  <c r="Y128" i="63"/>
  <c r="C132" i="63"/>
  <c r="A131" i="63"/>
  <c r="B132" i="63"/>
  <c r="AE128" i="63" l="1"/>
  <c r="AF128" i="63" s="1"/>
  <c r="R129" i="63"/>
  <c r="S129" i="63"/>
  <c r="T129" i="63" s="1"/>
  <c r="I129" i="63"/>
  <c r="L129" i="63"/>
  <c r="E132" i="63"/>
  <c r="G132" i="63" s="1"/>
  <c r="Q131" i="63"/>
  <c r="D132" i="63" l="1"/>
  <c r="F132" i="63" s="1"/>
  <c r="H132" i="63"/>
  <c r="C133" i="63" s="1"/>
  <c r="N129" i="63"/>
  <c r="P129" i="63"/>
  <c r="AG129" i="63"/>
  <c r="AJ129" i="63" s="1"/>
  <c r="AD129" i="63"/>
  <c r="AL129" i="63"/>
  <c r="AM129" i="63" s="1"/>
  <c r="V129" i="63"/>
  <c r="A132" i="63"/>
  <c r="B133" i="63"/>
  <c r="AA129" i="63" l="1"/>
  <c r="U129" i="63"/>
  <c r="J130" i="63"/>
  <c r="AK129" i="63"/>
  <c r="K130" i="63"/>
  <c r="E133" i="63"/>
  <c r="G133" i="63" s="1"/>
  <c r="Q132" i="63"/>
  <c r="AC130" i="63" l="1"/>
  <c r="M130" i="63"/>
  <c r="O130" i="63" s="1"/>
  <c r="Z129" i="63"/>
  <c r="AH129" i="63" s="1"/>
  <c r="AB129" i="63"/>
  <c r="Y129" i="63"/>
  <c r="D133" i="63"/>
  <c r="F133" i="63" s="1"/>
  <c r="AE129" i="63" l="1"/>
  <c r="AF129" i="63" s="1"/>
  <c r="R130" i="63"/>
  <c r="H133" i="63"/>
  <c r="A133" i="63" s="1"/>
  <c r="I130" i="63"/>
  <c r="S130" i="63"/>
  <c r="T130" i="63" s="1"/>
  <c r="L130" i="63"/>
  <c r="B134" i="63"/>
  <c r="AG130" i="63" l="1"/>
  <c r="AJ130" i="63" s="1"/>
  <c r="AD130" i="63"/>
  <c r="N130" i="63"/>
  <c r="P130" i="63"/>
  <c r="AL130" i="63"/>
  <c r="AM130" i="63" s="1"/>
  <c r="V130" i="63"/>
  <c r="AA130" i="63" s="1"/>
  <c r="C134" i="63"/>
  <c r="Q133" i="63"/>
  <c r="E134" i="63"/>
  <c r="G134" i="63" s="1"/>
  <c r="J131" i="63" l="1"/>
  <c r="K131" i="63"/>
  <c r="U130" i="63"/>
  <c r="AK130" i="63"/>
  <c r="D134" i="63"/>
  <c r="Z130" i="63" l="1"/>
  <c r="AH130" i="63" s="1"/>
  <c r="Y130" i="63"/>
  <c r="AB130" i="63"/>
  <c r="AC131" i="63"/>
  <c r="M131" i="63"/>
  <c r="O131" i="63" s="1"/>
  <c r="F134" i="63"/>
  <c r="H134" i="63"/>
  <c r="S131" i="63" l="1"/>
  <c r="I131" i="63"/>
  <c r="L131" i="63"/>
  <c r="R131" i="63"/>
  <c r="AE130" i="63"/>
  <c r="AF130" i="63" s="1"/>
  <c r="T131" i="63"/>
  <c r="C135" i="63"/>
  <c r="A134" i="63"/>
  <c r="B135" i="63"/>
  <c r="AG131" i="63" l="1"/>
  <c r="AJ131" i="63" s="1"/>
  <c r="AD131" i="63"/>
  <c r="AL131" i="63"/>
  <c r="V131" i="63"/>
  <c r="AA131" i="63" s="1"/>
  <c r="N131" i="63"/>
  <c r="P131" i="63"/>
  <c r="E135" i="63"/>
  <c r="G135" i="63" s="1"/>
  <c r="Q134" i="63"/>
  <c r="J132" i="63" l="1"/>
  <c r="K132" i="63"/>
  <c r="AM131" i="63"/>
  <c r="U131" i="63"/>
  <c r="AK131" i="63"/>
  <c r="D135" i="63"/>
  <c r="Y131" i="63" l="1"/>
  <c r="AB131" i="63"/>
  <c r="Z131" i="63"/>
  <c r="AH131" i="63" s="1"/>
  <c r="M132" i="63"/>
  <c r="O132" i="63" s="1"/>
  <c r="AC132" i="63"/>
  <c r="F135" i="63"/>
  <c r="H135" i="63"/>
  <c r="S132" i="63" l="1"/>
  <c r="I132" i="63"/>
  <c r="L132" i="63"/>
  <c r="T132" i="63"/>
  <c r="AE131" i="63"/>
  <c r="AF131" i="63" s="1"/>
  <c r="R132" i="63"/>
  <c r="C136" i="63"/>
  <c r="A135" i="63"/>
  <c r="B136" i="63"/>
  <c r="AL132" i="63" l="1"/>
  <c r="V132" i="63"/>
  <c r="AD132" i="63"/>
  <c r="AG132" i="63"/>
  <c r="AJ132" i="63" s="1"/>
  <c r="N132" i="63"/>
  <c r="P132" i="63"/>
  <c r="Q135" i="63"/>
  <c r="E136" i="63"/>
  <c r="G136" i="63" s="1"/>
  <c r="K133" i="63" l="1"/>
  <c r="J133" i="63"/>
  <c r="AA132" i="63"/>
  <c r="U132" i="63"/>
  <c r="AK132" i="63"/>
  <c r="D136" i="63"/>
  <c r="F136" i="63" s="1"/>
  <c r="AM132" i="63"/>
  <c r="Z132" i="63" l="1"/>
  <c r="AH132" i="63" s="1"/>
  <c r="AB132" i="63"/>
  <c r="Y132" i="63"/>
  <c r="H136" i="63"/>
  <c r="B137" i="63" s="1"/>
  <c r="M133" i="63"/>
  <c r="O133" i="63" s="1"/>
  <c r="AC133" i="63"/>
  <c r="C137" i="63"/>
  <c r="L133" i="63" l="1"/>
  <c r="N133" i="63" s="1"/>
  <c r="A136" i="63"/>
  <c r="Q136" i="63" s="1"/>
  <c r="I133" i="63"/>
  <c r="S133" i="63"/>
  <c r="T133" i="63" s="1"/>
  <c r="AE132" i="63"/>
  <c r="AF132" i="63" s="1"/>
  <c r="R133" i="63"/>
  <c r="P133" i="63"/>
  <c r="E137" i="63"/>
  <c r="G137" i="63" s="1"/>
  <c r="AG133" i="63" l="1"/>
  <c r="AJ133" i="63" s="1"/>
  <c r="AK133" i="63" s="1"/>
  <c r="AD133" i="63"/>
  <c r="D137" i="63"/>
  <c r="F137" i="63" s="1"/>
  <c r="J134" i="63"/>
  <c r="K134" i="63"/>
  <c r="AL133" i="63"/>
  <c r="AM133" i="63" s="1"/>
  <c r="V133" i="63"/>
  <c r="AA133" i="63" s="1"/>
  <c r="H137" i="63"/>
  <c r="AC134" i="63" l="1"/>
  <c r="M134" i="63"/>
  <c r="O134" i="63" s="1"/>
  <c r="U133" i="63"/>
  <c r="B138" i="63"/>
  <c r="C138" i="63"/>
  <c r="A137" i="63"/>
  <c r="Z133" i="63" l="1"/>
  <c r="AH133" i="63" s="1"/>
  <c r="Y133" i="63"/>
  <c r="AB133" i="63"/>
  <c r="I134" i="63"/>
  <c r="S134" i="63"/>
  <c r="L134" i="63"/>
  <c r="Q137" i="63"/>
  <c r="E138" i="63"/>
  <c r="G138" i="63" s="1"/>
  <c r="N134" i="63" l="1"/>
  <c r="P134" i="63"/>
  <c r="AE133" i="63"/>
  <c r="AF133" i="63" s="1"/>
  <c r="T134" i="63"/>
  <c r="R134" i="63"/>
  <c r="D138" i="63"/>
  <c r="AL134" i="63" l="1"/>
  <c r="AM134" i="63" s="1"/>
  <c r="V134" i="63"/>
  <c r="AA134" i="63" s="1"/>
  <c r="AD134" i="63"/>
  <c r="AG134" i="63"/>
  <c r="AJ134" i="63" s="1"/>
  <c r="AK134" i="63" s="1"/>
  <c r="K135" i="63"/>
  <c r="J135" i="63"/>
  <c r="F138" i="63"/>
  <c r="H138" i="63"/>
  <c r="U134" i="63" l="1"/>
  <c r="AC135" i="63"/>
  <c r="M135" i="63"/>
  <c r="O135" i="63" s="1"/>
  <c r="Y134" i="63"/>
  <c r="Z134" i="63"/>
  <c r="AH134" i="63" s="1"/>
  <c r="AB134" i="63"/>
  <c r="C139" i="63"/>
  <c r="A138" i="63"/>
  <c r="B139" i="63"/>
  <c r="AE134" i="63" l="1"/>
  <c r="AF134" i="63" s="1"/>
  <c r="R135" i="63"/>
  <c r="S135" i="63"/>
  <c r="T135" i="63" s="1"/>
  <c r="I135" i="63"/>
  <c r="L135" i="63"/>
  <c r="Q138" i="63"/>
  <c r="E139" i="63"/>
  <c r="G139" i="63" s="1"/>
  <c r="AG135" i="63" l="1"/>
  <c r="AJ135" i="63" s="1"/>
  <c r="AD135" i="63"/>
  <c r="N135" i="63"/>
  <c r="P135" i="63"/>
  <c r="AL135" i="63"/>
  <c r="AM135" i="63" s="1"/>
  <c r="V135" i="63"/>
  <c r="AA135" i="63" s="1"/>
  <c r="D139" i="63"/>
  <c r="F139" i="63" s="1"/>
  <c r="H139" i="63" l="1"/>
  <c r="J136" i="63"/>
  <c r="K136" i="63"/>
  <c r="U135" i="63"/>
  <c r="AK135" i="63"/>
  <c r="C140" i="63"/>
  <c r="A139" i="63"/>
  <c r="B140" i="63"/>
  <c r="AB135" i="63" l="1"/>
  <c r="Z135" i="63"/>
  <c r="AH135" i="63" s="1"/>
  <c r="Y135" i="63"/>
  <c r="M136" i="63"/>
  <c r="O136" i="63" s="1"/>
  <c r="AC136" i="63"/>
  <c r="Q139" i="63"/>
  <c r="E140" i="63"/>
  <c r="G140" i="63" s="1"/>
  <c r="S136" i="63" l="1"/>
  <c r="T136" i="63" s="1"/>
  <c r="I136" i="63"/>
  <c r="L136" i="63"/>
  <c r="AE135" i="63"/>
  <c r="AF135" i="63" s="1"/>
  <c r="R136" i="63"/>
  <c r="D140" i="63"/>
  <c r="AL136" i="63" l="1"/>
  <c r="V136" i="63"/>
  <c r="AA136" i="63" s="1"/>
  <c r="N136" i="63"/>
  <c r="P136" i="63"/>
  <c r="AG136" i="63"/>
  <c r="AJ136" i="63" s="1"/>
  <c r="AD136" i="63"/>
  <c r="F140" i="63"/>
  <c r="H140" i="63"/>
  <c r="U136" i="63" l="1"/>
  <c r="AB136" i="63" s="1"/>
  <c r="AE136" i="63" s="1"/>
  <c r="AF136" i="63" s="1"/>
  <c r="R137" i="63"/>
  <c r="K137" i="63"/>
  <c r="AM136" i="63"/>
  <c r="J137" i="63"/>
  <c r="AK136" i="63"/>
  <c r="Z136" i="63"/>
  <c r="AH136" i="63" s="1"/>
  <c r="Y136" i="63"/>
  <c r="C141" i="63"/>
  <c r="A140" i="63"/>
  <c r="B141" i="63"/>
  <c r="AC137" i="63" l="1"/>
  <c r="M137" i="63"/>
  <c r="O137" i="63" s="1"/>
  <c r="AL137" i="63"/>
  <c r="E141" i="63"/>
  <c r="G141" i="63" s="1"/>
  <c r="Q140" i="63"/>
  <c r="L137" i="63" l="1"/>
  <c r="N137" i="63" s="1"/>
  <c r="P137" i="63"/>
  <c r="S137" i="63"/>
  <c r="I137" i="63"/>
  <c r="D141" i="63"/>
  <c r="T137" i="63" l="1"/>
  <c r="V137" i="63"/>
  <c r="AA137" i="63" s="1"/>
  <c r="J138" i="63"/>
  <c r="K138" i="63"/>
  <c r="AM137" i="63"/>
  <c r="F141" i="63"/>
  <c r="H141" i="63"/>
  <c r="M138" i="63" l="1"/>
  <c r="O138" i="63" s="1"/>
  <c r="AC138" i="63"/>
  <c r="L138" i="63"/>
  <c r="N138" i="63" s="1"/>
  <c r="AG137" i="63"/>
  <c r="AJ137" i="63" s="1"/>
  <c r="AK137" i="63" s="1"/>
  <c r="U137" i="63"/>
  <c r="AD137" i="63"/>
  <c r="B142" i="63"/>
  <c r="A141" i="63"/>
  <c r="C142" i="63"/>
  <c r="S138" i="63" l="1"/>
  <c r="I138" i="63"/>
  <c r="Y137" i="63"/>
  <c r="Z137" i="63"/>
  <c r="AH137" i="63" s="1"/>
  <c r="AB137" i="63"/>
  <c r="P138" i="63"/>
  <c r="Q141" i="63"/>
  <c r="E142" i="63"/>
  <c r="G142" i="63" s="1"/>
  <c r="T138" i="63" l="1"/>
  <c r="AE137" i="63"/>
  <c r="AF137" i="63" s="1"/>
  <c r="R138" i="63"/>
  <c r="K139" i="63"/>
  <c r="J139" i="63"/>
  <c r="D142" i="63"/>
  <c r="AC139" i="63" l="1"/>
  <c r="M139" i="63"/>
  <c r="O139" i="63" s="1"/>
  <c r="L139" i="63"/>
  <c r="N139" i="63" s="1"/>
  <c r="AL138" i="63"/>
  <c r="AM138" i="63" s="1"/>
  <c r="V138" i="63"/>
  <c r="AA138" i="63" s="1"/>
  <c r="AD138" i="63"/>
  <c r="AG138" i="63"/>
  <c r="AJ138" i="63" s="1"/>
  <c r="AK138" i="63" s="1"/>
  <c r="F142" i="63"/>
  <c r="H142" i="63"/>
  <c r="P139" i="63" l="1"/>
  <c r="U138" i="63"/>
  <c r="S139" i="63"/>
  <c r="I139" i="63"/>
  <c r="C143" i="63"/>
  <c r="A142" i="63"/>
  <c r="B143" i="63"/>
  <c r="Z138" i="63" l="1"/>
  <c r="AH138" i="63" s="1"/>
  <c r="Y138" i="63"/>
  <c r="AB138" i="63"/>
  <c r="K140" i="63"/>
  <c r="J140" i="63"/>
  <c r="Q142" i="63"/>
  <c r="E143" i="63"/>
  <c r="G143" i="63" s="1"/>
  <c r="AC140" i="63" l="1"/>
  <c r="M140" i="63"/>
  <c r="O140" i="63" s="1"/>
  <c r="AE138" i="63"/>
  <c r="AF138" i="63" s="1"/>
  <c r="T139" i="63"/>
  <c r="R139" i="63"/>
  <c r="D143" i="63"/>
  <c r="L140" i="63" l="1"/>
  <c r="N140" i="63" s="1"/>
  <c r="AL139" i="63"/>
  <c r="AM139" i="63" s="1"/>
  <c r="V139" i="63"/>
  <c r="AA139" i="63" s="1"/>
  <c r="AG139" i="63"/>
  <c r="AJ139" i="63" s="1"/>
  <c r="AK139" i="63" s="1"/>
  <c r="AD139" i="63"/>
  <c r="U139" i="63"/>
  <c r="P140" i="63"/>
  <c r="S140" i="63"/>
  <c r="I140" i="63"/>
  <c r="F143" i="63"/>
  <c r="H143" i="63"/>
  <c r="J141" i="63" l="1"/>
  <c r="K141" i="63"/>
  <c r="AB139" i="63"/>
  <c r="Z139" i="63"/>
  <c r="AH139" i="63" s="1"/>
  <c r="Y139" i="63"/>
  <c r="C144" i="63"/>
  <c r="A143" i="63"/>
  <c r="B144" i="63"/>
  <c r="T140" i="63" l="1"/>
  <c r="R140" i="63"/>
  <c r="AE139" i="63"/>
  <c r="AF139" i="63" s="1"/>
  <c r="M141" i="63"/>
  <c r="O141" i="63" s="1"/>
  <c r="AC141" i="63"/>
  <c r="Q143" i="63"/>
  <c r="E144" i="63"/>
  <c r="G144" i="63" s="1"/>
  <c r="I141" i="63" l="1"/>
  <c r="S141" i="63"/>
  <c r="L141" i="63"/>
  <c r="AL140" i="63"/>
  <c r="AM140" i="63" s="1"/>
  <c r="V140" i="63"/>
  <c r="AA140" i="63" s="1"/>
  <c r="D144" i="63"/>
  <c r="F144" i="63" s="1"/>
  <c r="AG140" i="63"/>
  <c r="AJ140" i="63" s="1"/>
  <c r="AK140" i="63" s="1"/>
  <c r="AD140" i="63"/>
  <c r="N141" i="63" l="1"/>
  <c r="P141" i="63"/>
  <c r="H144" i="63"/>
  <c r="C145" i="63" s="1"/>
  <c r="U140" i="63"/>
  <c r="A144" i="63"/>
  <c r="B145" i="63"/>
  <c r="Z140" i="63" l="1"/>
  <c r="AH140" i="63" s="1"/>
  <c r="Y140" i="63"/>
  <c r="AB140" i="63"/>
  <c r="J142" i="63"/>
  <c r="K142" i="63"/>
  <c r="E145" i="63"/>
  <c r="G145" i="63" s="1"/>
  <c r="Q144" i="63"/>
  <c r="D145" i="63" l="1"/>
  <c r="F145" i="63" s="1"/>
  <c r="M142" i="63"/>
  <c r="O142" i="63" s="1"/>
  <c r="AC142" i="63"/>
  <c r="T141" i="63"/>
  <c r="R141" i="63"/>
  <c r="AE140" i="63"/>
  <c r="AF140" i="63" s="1"/>
  <c r="H145" i="63"/>
  <c r="AL141" i="63" l="1"/>
  <c r="AM141" i="63" s="1"/>
  <c r="V141" i="63"/>
  <c r="AA141" i="63" s="1"/>
  <c r="AD141" i="63"/>
  <c r="AG141" i="63"/>
  <c r="AJ141" i="63" s="1"/>
  <c r="AK141" i="63" s="1"/>
  <c r="U141" i="63"/>
  <c r="I142" i="63"/>
  <c r="S142" i="63"/>
  <c r="L142" i="63"/>
  <c r="B146" i="63"/>
  <c r="C146" i="63"/>
  <c r="A145" i="63"/>
  <c r="Z141" i="63" l="1"/>
  <c r="AH141" i="63" s="1"/>
  <c r="Y141" i="63"/>
  <c r="AB141" i="63"/>
  <c r="N142" i="63"/>
  <c r="P142" i="63"/>
  <c r="Q145" i="63"/>
  <c r="E146" i="63"/>
  <c r="G146" i="63" s="1"/>
  <c r="K143" i="63" l="1"/>
  <c r="J143" i="63"/>
  <c r="T142" i="63"/>
  <c r="R142" i="63"/>
  <c r="AE141" i="63"/>
  <c r="AF141" i="63" s="1"/>
  <c r="D146" i="63"/>
  <c r="AC143" i="63" l="1"/>
  <c r="M143" i="63"/>
  <c r="O143" i="63" s="1"/>
  <c r="AL142" i="63"/>
  <c r="AM142" i="63" s="1"/>
  <c r="V142" i="63"/>
  <c r="AA142" i="63" s="1"/>
  <c r="AD142" i="63"/>
  <c r="AG142" i="63"/>
  <c r="AJ142" i="63" s="1"/>
  <c r="AK142" i="63" s="1"/>
  <c r="L143" i="63"/>
  <c r="N143" i="63" s="1"/>
  <c r="F146" i="63"/>
  <c r="H146" i="63"/>
  <c r="P143" i="63" l="1"/>
  <c r="U142" i="63"/>
  <c r="S143" i="63"/>
  <c r="I143" i="63"/>
  <c r="C147" i="63"/>
  <c r="A146" i="63"/>
  <c r="B147" i="63"/>
  <c r="Z142" i="63" l="1"/>
  <c r="AH142" i="63" s="1"/>
  <c r="Y142" i="63"/>
  <c r="AB142" i="63"/>
  <c r="J144" i="63"/>
  <c r="K144" i="63"/>
  <c r="E147" i="63"/>
  <c r="G147" i="63" s="1"/>
  <c r="Q146" i="63"/>
  <c r="AC144" i="63" l="1"/>
  <c r="M144" i="63"/>
  <c r="O144" i="63" s="1"/>
  <c r="AE142" i="63"/>
  <c r="AF142" i="63" s="1"/>
  <c r="T143" i="63"/>
  <c r="R143" i="63"/>
  <c r="D147" i="63"/>
  <c r="AL143" i="63" l="1"/>
  <c r="AM143" i="63" s="1"/>
  <c r="V143" i="63"/>
  <c r="AA143" i="63" s="1"/>
  <c r="AD143" i="63"/>
  <c r="AG143" i="63"/>
  <c r="AJ143" i="63" s="1"/>
  <c r="AK143" i="63" s="1"/>
  <c r="U143" i="63"/>
  <c r="S144" i="63"/>
  <c r="I144" i="63"/>
  <c r="L144" i="63"/>
  <c r="F147" i="63"/>
  <c r="H147" i="63"/>
  <c r="Y143" i="63" l="1"/>
  <c r="Z143" i="63"/>
  <c r="AH143" i="63" s="1"/>
  <c r="AB143" i="63"/>
  <c r="N144" i="63"/>
  <c r="P144" i="63"/>
  <c r="C148" i="63"/>
  <c r="A147" i="63"/>
  <c r="B148" i="63"/>
  <c r="K145" i="63" l="1"/>
  <c r="J145" i="63"/>
  <c r="AE143" i="63"/>
  <c r="AF143" i="63" s="1"/>
  <c r="R144" i="63"/>
  <c r="T144" i="63"/>
  <c r="Q147" i="63"/>
  <c r="E148" i="63"/>
  <c r="G148" i="63" s="1"/>
  <c r="AD144" i="63" l="1"/>
  <c r="AG144" i="63"/>
  <c r="AJ144" i="63" s="1"/>
  <c r="AK144" i="63" s="1"/>
  <c r="AL144" i="63"/>
  <c r="AM144" i="63" s="1"/>
  <c r="V144" i="63"/>
  <c r="AA144" i="63" s="1"/>
  <c r="M145" i="63"/>
  <c r="O145" i="63" s="1"/>
  <c r="AC145" i="63"/>
  <c r="D148" i="63"/>
  <c r="I145" i="63" l="1"/>
  <c r="S145" i="63"/>
  <c r="U144" i="63"/>
  <c r="L145" i="63"/>
  <c r="F148" i="63"/>
  <c r="H148" i="63"/>
  <c r="N145" i="63" l="1"/>
  <c r="P145" i="63"/>
  <c r="Y144" i="63"/>
  <c r="Z144" i="63"/>
  <c r="AH144" i="63" s="1"/>
  <c r="AB144" i="63"/>
  <c r="C149" i="63"/>
  <c r="A148" i="63"/>
  <c r="B149" i="63"/>
  <c r="T145" i="63" l="1"/>
  <c r="R145" i="63"/>
  <c r="AE144" i="63"/>
  <c r="AF144" i="63" s="1"/>
  <c r="K146" i="63"/>
  <c r="J146" i="63"/>
  <c r="E149" i="63"/>
  <c r="G149" i="63" s="1"/>
  <c r="Q148" i="63"/>
  <c r="AC146" i="63" l="1"/>
  <c r="M146" i="63"/>
  <c r="O146" i="63" s="1"/>
  <c r="AL145" i="63"/>
  <c r="AM145" i="63" s="1"/>
  <c r="V145" i="63"/>
  <c r="AA145" i="63" s="1"/>
  <c r="AG145" i="63"/>
  <c r="AJ145" i="63" s="1"/>
  <c r="AK145" i="63" s="1"/>
  <c r="AD145" i="63"/>
  <c r="D149" i="63"/>
  <c r="I146" i="63" l="1"/>
  <c r="S146" i="63"/>
  <c r="U145" i="63"/>
  <c r="L146" i="63"/>
  <c r="F149" i="63"/>
  <c r="H149" i="63"/>
  <c r="N146" i="63" l="1"/>
  <c r="P146" i="63"/>
  <c r="Z145" i="63"/>
  <c r="AH145" i="63" s="1"/>
  <c r="AB145" i="63"/>
  <c r="Y145" i="63"/>
  <c r="B150" i="63"/>
  <c r="A149" i="63"/>
  <c r="C150" i="63"/>
  <c r="R146" i="63" l="1"/>
  <c r="AE145" i="63"/>
  <c r="AF145" i="63" s="1"/>
  <c r="T146" i="63"/>
  <c r="J147" i="63"/>
  <c r="K147" i="63"/>
  <c r="Q149" i="63"/>
  <c r="E150" i="63"/>
  <c r="G150" i="63" s="1"/>
  <c r="AC147" i="63" l="1"/>
  <c r="M147" i="63"/>
  <c r="O147" i="63" s="1"/>
  <c r="AG146" i="63"/>
  <c r="AJ146" i="63" s="1"/>
  <c r="AK146" i="63" s="1"/>
  <c r="AD146" i="63"/>
  <c r="AL146" i="63"/>
  <c r="AM146" i="63" s="1"/>
  <c r="V146" i="63"/>
  <c r="AA146" i="63" s="1"/>
  <c r="D150" i="63"/>
  <c r="L147" i="63" l="1"/>
  <c r="N147" i="63" s="1"/>
  <c r="U146" i="63"/>
  <c r="Z146" i="63"/>
  <c r="AH146" i="63" s="1"/>
  <c r="AB146" i="63"/>
  <c r="Y146" i="63"/>
  <c r="P147" i="63"/>
  <c r="S147" i="63"/>
  <c r="I147" i="63"/>
  <c r="F150" i="63"/>
  <c r="H150" i="63"/>
  <c r="J148" i="63" l="1"/>
  <c r="K148" i="63"/>
  <c r="R147" i="63"/>
  <c r="AE146" i="63"/>
  <c r="AF146" i="63" s="1"/>
  <c r="T147" i="63"/>
  <c r="C151" i="63"/>
  <c r="A150" i="63"/>
  <c r="B151" i="63"/>
  <c r="AL147" i="63" l="1"/>
  <c r="AM147" i="63" s="1"/>
  <c r="V147" i="63"/>
  <c r="AA147" i="63" s="1"/>
  <c r="AG147" i="63"/>
  <c r="AJ147" i="63" s="1"/>
  <c r="AK147" i="63" s="1"/>
  <c r="AD147" i="63"/>
  <c r="AC148" i="63"/>
  <c r="M148" i="63"/>
  <c r="O148" i="63" s="1"/>
  <c r="E151" i="63"/>
  <c r="G151" i="63" s="1"/>
  <c r="Q150" i="63"/>
  <c r="D151" i="63" l="1"/>
  <c r="F151" i="63" s="1"/>
  <c r="S148" i="63"/>
  <c r="I148" i="63"/>
  <c r="L148" i="63"/>
  <c r="U147" i="63"/>
  <c r="H151" i="63"/>
  <c r="Z147" i="63" l="1"/>
  <c r="AH147" i="63" s="1"/>
  <c r="Y147" i="63"/>
  <c r="AB147" i="63"/>
  <c r="N148" i="63"/>
  <c r="P148" i="63"/>
  <c r="C152" i="63"/>
  <c r="A151" i="63"/>
  <c r="B152" i="63"/>
  <c r="T148" i="63" l="1"/>
  <c r="R148" i="63"/>
  <c r="AE147" i="63"/>
  <c r="AF147" i="63" s="1"/>
  <c r="J149" i="63"/>
  <c r="K149" i="63"/>
  <c r="E152" i="63"/>
  <c r="G152" i="63" s="1"/>
  <c r="Q151" i="63"/>
  <c r="D152" i="63" l="1"/>
  <c r="F152" i="63" s="1"/>
  <c r="AC149" i="63"/>
  <c r="M149" i="63"/>
  <c r="O149" i="63" s="1"/>
  <c r="AL148" i="63"/>
  <c r="AM148" i="63" s="1"/>
  <c r="V148" i="63"/>
  <c r="AG148" i="63"/>
  <c r="AJ148" i="63" s="1"/>
  <c r="AK148" i="63" s="1"/>
  <c r="AD148" i="63"/>
  <c r="H152" i="63"/>
  <c r="AA148" i="63" l="1"/>
  <c r="U148" i="63"/>
  <c r="I149" i="63"/>
  <c r="S149" i="63"/>
  <c r="L149" i="63"/>
  <c r="C153" i="63"/>
  <c r="A152" i="63"/>
  <c r="B153" i="63"/>
  <c r="N149" i="63" l="1"/>
  <c r="P149" i="63"/>
  <c r="Z148" i="63"/>
  <c r="AH148" i="63" s="1"/>
  <c r="Y148" i="63"/>
  <c r="AB148" i="63"/>
  <c r="Q152" i="63"/>
  <c r="E153" i="63"/>
  <c r="G153" i="63" s="1"/>
  <c r="AE148" i="63" l="1"/>
  <c r="AF148" i="63" s="1"/>
  <c r="T149" i="63"/>
  <c r="R149" i="63"/>
  <c r="J150" i="63"/>
  <c r="K150" i="63"/>
  <c r="D153" i="63"/>
  <c r="AD149" i="63" l="1"/>
  <c r="AG149" i="63"/>
  <c r="AJ149" i="63" s="1"/>
  <c r="AK149" i="63" s="1"/>
  <c r="AC150" i="63"/>
  <c r="M150" i="63"/>
  <c r="O150" i="63" s="1"/>
  <c r="V149" i="63"/>
  <c r="AL149" i="63"/>
  <c r="AM149" i="63" s="1"/>
  <c r="F153" i="63"/>
  <c r="H153" i="63"/>
  <c r="AA149" i="63" l="1"/>
  <c r="U149" i="63"/>
  <c r="I150" i="63"/>
  <c r="S150" i="63"/>
  <c r="L150" i="63"/>
  <c r="B154" i="63"/>
  <c r="A153" i="63"/>
  <c r="C154" i="63"/>
  <c r="N150" i="63" l="1"/>
  <c r="P150" i="63"/>
  <c r="Z149" i="63"/>
  <c r="AH149" i="63" s="1"/>
  <c r="Y149" i="63"/>
  <c r="AB149" i="63"/>
  <c r="Q153" i="63"/>
  <c r="E154" i="63"/>
  <c r="G154" i="63" s="1"/>
  <c r="AE149" i="63" l="1"/>
  <c r="AF149" i="63" s="1"/>
  <c r="T150" i="63"/>
  <c r="R150" i="63"/>
  <c r="K151" i="63"/>
  <c r="J151" i="63"/>
  <c r="D154" i="63"/>
  <c r="AC151" i="63" l="1"/>
  <c r="M151" i="63"/>
  <c r="O151" i="63" s="1"/>
  <c r="V150" i="63"/>
  <c r="AL150" i="63"/>
  <c r="AM150" i="63" s="1"/>
  <c r="AG150" i="63"/>
  <c r="AJ150" i="63" s="1"/>
  <c r="AK150" i="63" s="1"/>
  <c r="AD150" i="63"/>
  <c r="F154" i="63"/>
  <c r="H154" i="63"/>
  <c r="AA150" i="63" l="1"/>
  <c r="U150" i="63"/>
  <c r="L151" i="63"/>
  <c r="S151" i="63"/>
  <c r="I151" i="63"/>
  <c r="C155" i="63"/>
  <c r="A154" i="63"/>
  <c r="B155" i="63"/>
  <c r="N151" i="63" l="1"/>
  <c r="P151" i="63"/>
  <c r="Z150" i="63"/>
  <c r="AH150" i="63" s="1"/>
  <c r="AB150" i="63"/>
  <c r="Y150" i="63"/>
  <c r="E155" i="63"/>
  <c r="G155" i="63" s="1"/>
  <c r="Q154" i="63"/>
  <c r="R151" i="63" l="1"/>
  <c r="T151" i="63"/>
  <c r="AE150" i="63"/>
  <c r="AF150" i="63" s="1"/>
  <c r="J152" i="63"/>
  <c r="K152" i="63"/>
  <c r="D155" i="63"/>
  <c r="M152" i="63" l="1"/>
  <c r="O152" i="63" s="1"/>
  <c r="AC152" i="63"/>
  <c r="AG151" i="63"/>
  <c r="AJ151" i="63" s="1"/>
  <c r="AK151" i="63" s="1"/>
  <c r="AD151" i="63"/>
  <c r="V151" i="63"/>
  <c r="AL151" i="63"/>
  <c r="AM151" i="63" s="1"/>
  <c r="F155" i="63"/>
  <c r="H155" i="63"/>
  <c r="AA151" i="63" l="1"/>
  <c r="U151" i="63"/>
  <c r="I152" i="63"/>
  <c r="S152" i="63"/>
  <c r="L152" i="63"/>
  <c r="C156" i="63"/>
  <c r="A155" i="63"/>
  <c r="B156" i="63"/>
  <c r="N152" i="63" l="1"/>
  <c r="P152" i="63"/>
  <c r="AB151" i="63"/>
  <c r="Z151" i="63"/>
  <c r="AH151" i="63" s="1"/>
  <c r="Y151" i="63"/>
  <c r="E156" i="63"/>
  <c r="G156" i="63" s="1"/>
  <c r="Q155" i="63"/>
  <c r="AE151" i="63" l="1"/>
  <c r="AF151" i="63" s="1"/>
  <c r="T152" i="63"/>
  <c r="R152" i="63"/>
  <c r="J153" i="63"/>
  <c r="K153" i="63"/>
  <c r="D156" i="63"/>
  <c r="AL152" i="63" l="1"/>
  <c r="AM152" i="63" s="1"/>
  <c r="V152" i="63"/>
  <c r="AA152" i="63" s="1"/>
  <c r="AC153" i="63"/>
  <c r="M153" i="63"/>
  <c r="O153" i="63" s="1"/>
  <c r="AG152" i="63"/>
  <c r="AJ152" i="63" s="1"/>
  <c r="AK152" i="63" s="1"/>
  <c r="AD152" i="63"/>
  <c r="F156" i="63"/>
  <c r="H156" i="63"/>
  <c r="S153" i="63" l="1"/>
  <c r="I153" i="63"/>
  <c r="L153" i="63"/>
  <c r="U152" i="63"/>
  <c r="C157" i="63"/>
  <c r="A156" i="63"/>
  <c r="B157" i="63"/>
  <c r="AB152" i="63" l="1"/>
  <c r="Z152" i="63"/>
  <c r="AH152" i="63" s="1"/>
  <c r="Y152" i="63"/>
  <c r="N153" i="63"/>
  <c r="P153" i="63"/>
  <c r="E157" i="63"/>
  <c r="G157" i="63" s="1"/>
  <c r="Q156" i="63"/>
  <c r="J154" i="63" l="1"/>
  <c r="K154" i="63"/>
  <c r="AE152" i="63"/>
  <c r="AF152" i="63" s="1"/>
  <c r="R153" i="63"/>
  <c r="T153" i="63"/>
  <c r="D157" i="63"/>
  <c r="AG153" i="63" l="1"/>
  <c r="AJ153" i="63" s="1"/>
  <c r="AK153" i="63" s="1"/>
  <c r="AD153" i="63"/>
  <c r="AL153" i="63"/>
  <c r="AM153" i="63" s="1"/>
  <c r="V153" i="63"/>
  <c r="AA153" i="63" s="1"/>
  <c r="M154" i="63"/>
  <c r="O154" i="63" s="1"/>
  <c r="AC154" i="63"/>
  <c r="F157" i="63"/>
  <c r="H157" i="63"/>
  <c r="L154" i="63" l="1"/>
  <c r="I154" i="63"/>
  <c r="S154" i="63"/>
  <c r="U153" i="63"/>
  <c r="B158" i="63"/>
  <c r="C158" i="63"/>
  <c r="A157" i="63"/>
  <c r="Y153" i="63" l="1"/>
  <c r="Z153" i="63"/>
  <c r="AH153" i="63" s="1"/>
  <c r="AB153" i="63"/>
  <c r="N154" i="63"/>
  <c r="P154" i="63"/>
  <c r="E158" i="63"/>
  <c r="G158" i="63" s="1"/>
  <c r="Q157" i="63"/>
  <c r="K155" i="63" l="1"/>
  <c r="J155" i="63"/>
  <c r="R154" i="63"/>
  <c r="AE153" i="63"/>
  <c r="AF153" i="63" s="1"/>
  <c r="T154" i="63"/>
  <c r="D158" i="63"/>
  <c r="AG154" i="63" l="1"/>
  <c r="AJ154" i="63" s="1"/>
  <c r="AK154" i="63" s="1"/>
  <c r="AD154" i="63"/>
  <c r="AL154" i="63"/>
  <c r="AM154" i="63" s="1"/>
  <c r="V154" i="63"/>
  <c r="AA154" i="63" s="1"/>
  <c r="AC155" i="63"/>
  <c r="M155" i="63"/>
  <c r="O155" i="63" s="1"/>
  <c r="F158" i="63"/>
  <c r="H158" i="63"/>
  <c r="S155" i="63" l="1"/>
  <c r="I155" i="63"/>
  <c r="U154" i="63"/>
  <c r="L155" i="63"/>
  <c r="C159" i="63"/>
  <c r="A158" i="63"/>
  <c r="B159" i="63"/>
  <c r="N155" i="63" l="1"/>
  <c r="P155" i="63"/>
  <c r="Z154" i="63"/>
  <c r="AH154" i="63" s="1"/>
  <c r="Y154" i="63"/>
  <c r="AB154" i="63"/>
  <c r="Q158" i="63"/>
  <c r="E159" i="63"/>
  <c r="G159" i="63" s="1"/>
  <c r="T155" i="63" l="1"/>
  <c r="AE154" i="63"/>
  <c r="AF154" i="63" s="1"/>
  <c r="R155" i="63"/>
  <c r="J156" i="63"/>
  <c r="K156" i="63"/>
  <c r="D159" i="63"/>
  <c r="AC156" i="63" l="1"/>
  <c r="M156" i="63"/>
  <c r="O156" i="63" s="1"/>
  <c r="AL155" i="63"/>
  <c r="AM155" i="63" s="1"/>
  <c r="V155" i="63"/>
  <c r="AA155" i="63" s="1"/>
  <c r="AG155" i="63"/>
  <c r="AJ155" i="63" s="1"/>
  <c r="AK155" i="63" s="1"/>
  <c r="AD155" i="63"/>
  <c r="F159" i="63"/>
  <c r="H159" i="63"/>
  <c r="U155" i="63" l="1"/>
  <c r="S156" i="63"/>
  <c r="I156" i="63"/>
  <c r="L156" i="63"/>
  <c r="C160" i="63"/>
  <c r="A159" i="63"/>
  <c r="B160" i="63"/>
  <c r="N156" i="63" l="1"/>
  <c r="P156" i="63"/>
  <c r="AB155" i="63"/>
  <c r="Z155" i="63"/>
  <c r="AH155" i="63" s="1"/>
  <c r="Y155" i="63"/>
  <c r="E160" i="63"/>
  <c r="G160" i="63" s="1"/>
  <c r="Q159" i="63"/>
  <c r="D160" i="63" l="1"/>
  <c r="F160" i="63" s="1"/>
  <c r="AE155" i="63"/>
  <c r="AF155" i="63" s="1"/>
  <c r="T156" i="63"/>
  <c r="R156" i="63"/>
  <c r="K157" i="63"/>
  <c r="J157" i="63"/>
  <c r="H160" i="63"/>
  <c r="AC157" i="63" l="1"/>
  <c r="M157" i="63"/>
  <c r="O157" i="63" s="1"/>
  <c r="AL156" i="63"/>
  <c r="AM156" i="63" s="1"/>
  <c r="V156" i="63"/>
  <c r="AA156" i="63" s="1"/>
  <c r="L157" i="63"/>
  <c r="N157" i="63" s="1"/>
  <c r="AG156" i="63"/>
  <c r="AJ156" i="63" s="1"/>
  <c r="AK156" i="63" s="1"/>
  <c r="AD156" i="63"/>
  <c r="C161" i="63"/>
  <c r="A160" i="63"/>
  <c r="B161" i="63"/>
  <c r="P157" i="63" l="1"/>
  <c r="U156" i="63"/>
  <c r="S157" i="63"/>
  <c r="I157" i="63"/>
  <c r="Q160" i="63"/>
  <c r="E161" i="63"/>
  <c r="G161" i="63" s="1"/>
  <c r="Z156" i="63" l="1"/>
  <c r="AH156" i="63" s="1"/>
  <c r="Y156" i="63"/>
  <c r="AB156" i="63"/>
  <c r="K158" i="63"/>
  <c r="J158" i="63"/>
  <c r="D161" i="63"/>
  <c r="M158" i="63" l="1"/>
  <c r="O158" i="63" s="1"/>
  <c r="AC158" i="63"/>
  <c r="L158" i="63"/>
  <c r="N158" i="63" s="1"/>
  <c r="AE156" i="63"/>
  <c r="AF156" i="63" s="1"/>
  <c r="T157" i="63"/>
  <c r="R157" i="63"/>
  <c r="F161" i="63"/>
  <c r="H161" i="63"/>
  <c r="P158" i="63" l="1"/>
  <c r="AG157" i="63"/>
  <c r="AJ157" i="63" s="1"/>
  <c r="AK157" i="63" s="1"/>
  <c r="AD157" i="63"/>
  <c r="I158" i="63"/>
  <c r="S158" i="63"/>
  <c r="AL157" i="63"/>
  <c r="AM157" i="63" s="1"/>
  <c r="V157" i="63"/>
  <c r="AA157" i="63" s="1"/>
  <c r="B162" i="63"/>
  <c r="C162" i="63"/>
  <c r="A161" i="63"/>
  <c r="U157" i="63" l="1"/>
  <c r="J159" i="63"/>
  <c r="K159" i="63"/>
  <c r="Q161" i="63"/>
  <c r="E162" i="63"/>
  <c r="G162" i="63" s="1"/>
  <c r="AC159" i="63" l="1"/>
  <c r="M159" i="63"/>
  <c r="O159" i="63" s="1"/>
  <c r="Z157" i="63"/>
  <c r="AH157" i="63" s="1"/>
  <c r="Y157" i="63"/>
  <c r="AB157" i="63"/>
  <c r="D162" i="63"/>
  <c r="AE157" i="63" l="1"/>
  <c r="AF157" i="63" s="1"/>
  <c r="R158" i="63"/>
  <c r="T158" i="63"/>
  <c r="S159" i="63"/>
  <c r="I159" i="63"/>
  <c r="L159" i="63"/>
  <c r="F162" i="63"/>
  <c r="H162" i="63"/>
  <c r="P159" i="63" l="1"/>
  <c r="N159" i="63"/>
  <c r="AG158" i="63"/>
  <c r="AJ158" i="63" s="1"/>
  <c r="AK158" i="63" s="1"/>
  <c r="AD158" i="63"/>
  <c r="AL158" i="63"/>
  <c r="AM158" i="63" s="1"/>
  <c r="V158" i="63"/>
  <c r="AA158" i="63" s="1"/>
  <c r="B163" i="63"/>
  <c r="C163" i="63"/>
  <c r="A162" i="63"/>
  <c r="U158" i="63" l="1"/>
  <c r="K160" i="63"/>
  <c r="J160" i="63"/>
  <c r="E163" i="63"/>
  <c r="G163" i="63" s="1"/>
  <c r="Q162" i="63"/>
  <c r="M160" i="63" l="1"/>
  <c r="O160" i="63" s="1"/>
  <c r="AC160" i="63"/>
  <c r="Z158" i="63"/>
  <c r="AH158" i="63" s="1"/>
  <c r="Y158" i="63"/>
  <c r="AB158" i="63"/>
  <c r="D163" i="63"/>
  <c r="L160" i="63" l="1"/>
  <c r="S160" i="63"/>
  <c r="I160" i="63"/>
  <c r="T159" i="63"/>
  <c r="AE158" i="63"/>
  <c r="AF158" i="63" s="1"/>
  <c r="R159" i="63"/>
  <c r="P160" i="63"/>
  <c r="N160" i="63"/>
  <c r="F163" i="63"/>
  <c r="H163" i="63"/>
  <c r="J161" i="63" l="1"/>
  <c r="K161" i="63"/>
  <c r="AL159" i="63"/>
  <c r="AM159" i="63" s="1"/>
  <c r="V159" i="63"/>
  <c r="AA159" i="63" s="1"/>
  <c r="AG159" i="63"/>
  <c r="AJ159" i="63" s="1"/>
  <c r="AK159" i="63" s="1"/>
  <c r="AD159" i="63"/>
  <c r="C164" i="63"/>
  <c r="B164" i="63"/>
  <c r="A163" i="63"/>
  <c r="U159" i="63" l="1"/>
  <c r="Y159" i="63"/>
  <c r="Z159" i="63"/>
  <c r="AH159" i="63" s="1"/>
  <c r="AB159" i="63"/>
  <c r="M161" i="63"/>
  <c r="AC161" i="63"/>
  <c r="Q163" i="63"/>
  <c r="E164" i="63"/>
  <c r="G164" i="63" s="1"/>
  <c r="I161" i="63" l="1"/>
  <c r="S161" i="63"/>
  <c r="O161" i="63"/>
  <c r="L161" i="63"/>
  <c r="R160" i="63"/>
  <c r="AE159" i="63"/>
  <c r="AF159" i="63" s="1"/>
  <c r="T160" i="63"/>
  <c r="D164" i="63"/>
  <c r="AG160" i="63" l="1"/>
  <c r="AJ160" i="63" s="1"/>
  <c r="AK160" i="63" s="1"/>
  <c r="AD160" i="63"/>
  <c r="AL160" i="63"/>
  <c r="AM160" i="63" s="1"/>
  <c r="V160" i="63"/>
  <c r="AA160" i="63" s="1"/>
  <c r="P161" i="63"/>
  <c r="N161" i="63"/>
  <c r="F164" i="63"/>
  <c r="H164" i="63"/>
  <c r="K162" i="63" l="1"/>
  <c r="J162" i="63"/>
  <c r="U160" i="63"/>
  <c r="C165" i="63"/>
  <c r="A164" i="63"/>
  <c r="B165" i="63"/>
  <c r="Z160" i="63" l="1"/>
  <c r="AH160" i="63" s="1"/>
  <c r="Y160" i="63"/>
  <c r="AB160" i="63"/>
  <c r="AC162" i="63"/>
  <c r="M162" i="63"/>
  <c r="E165" i="63"/>
  <c r="G165" i="63" s="1"/>
  <c r="Q164" i="63"/>
  <c r="O162" i="63" l="1"/>
  <c r="L162" i="63"/>
  <c r="I162" i="63"/>
  <c r="S162" i="63"/>
  <c r="AE160" i="63"/>
  <c r="AF160" i="63" s="1"/>
  <c r="T161" i="63"/>
  <c r="R161" i="63"/>
  <c r="D165" i="63"/>
  <c r="AL161" i="63" l="1"/>
  <c r="AM161" i="63" s="1"/>
  <c r="V161" i="63"/>
  <c r="AA161" i="63" s="1"/>
  <c r="AG161" i="63"/>
  <c r="AJ161" i="63" s="1"/>
  <c r="AK161" i="63" s="1"/>
  <c r="AD161" i="63"/>
  <c r="U161" i="63"/>
  <c r="AB161" i="63" s="1"/>
  <c r="P162" i="63"/>
  <c r="N162" i="63"/>
  <c r="F165" i="63"/>
  <c r="H165" i="63"/>
  <c r="AE161" i="63" l="1"/>
  <c r="AF161" i="63" s="1"/>
  <c r="R162" i="63"/>
  <c r="T162" i="63"/>
  <c r="K163" i="63"/>
  <c r="J163" i="63"/>
  <c r="Z161" i="63"/>
  <c r="AH161" i="63" s="1"/>
  <c r="Y161" i="63"/>
  <c r="B166" i="63"/>
  <c r="A165" i="63"/>
  <c r="C166" i="63"/>
  <c r="AC163" i="63" l="1"/>
  <c r="M163" i="63"/>
  <c r="O163" i="63" s="1"/>
  <c r="AD162" i="63"/>
  <c r="AG162" i="63"/>
  <c r="AJ162" i="63" s="1"/>
  <c r="AK162" i="63" s="1"/>
  <c r="V162" i="63"/>
  <c r="AA162" i="63" s="1"/>
  <c r="AL162" i="63"/>
  <c r="AM162" i="63" s="1"/>
  <c r="Q165" i="63"/>
  <c r="E166" i="63"/>
  <c r="G166" i="63" s="1"/>
  <c r="U162" i="63" l="1"/>
  <c r="S163" i="63"/>
  <c r="I163" i="63"/>
  <c r="L163" i="63"/>
  <c r="D166" i="63"/>
  <c r="N163" i="63" l="1"/>
  <c r="P163" i="63"/>
  <c r="AB162" i="63"/>
  <c r="Z162" i="63"/>
  <c r="AH162" i="63" s="1"/>
  <c r="Y162" i="63"/>
  <c r="F166" i="63"/>
  <c r="H166" i="63"/>
  <c r="AE162" i="63" l="1"/>
  <c r="AF162" i="63" s="1"/>
  <c r="R163" i="63"/>
  <c r="T163" i="63"/>
  <c r="K164" i="63"/>
  <c r="J164" i="63"/>
  <c r="B167" i="63"/>
  <c r="A166" i="63"/>
  <c r="C167" i="63"/>
  <c r="M164" i="63" l="1"/>
  <c r="AC164" i="63"/>
  <c r="AG163" i="63"/>
  <c r="AJ163" i="63" s="1"/>
  <c r="AK163" i="63" s="1"/>
  <c r="AD163" i="63"/>
  <c r="AL163" i="63"/>
  <c r="AM163" i="63" s="1"/>
  <c r="V163" i="63"/>
  <c r="AA163" i="63" s="1"/>
  <c r="Q166" i="63"/>
  <c r="E167" i="63"/>
  <c r="G167" i="63" s="1"/>
  <c r="U163" i="63" l="1"/>
  <c r="I164" i="63"/>
  <c r="S164" i="63"/>
  <c r="O164" i="63"/>
  <c r="L164" i="63"/>
  <c r="D167" i="63"/>
  <c r="N164" i="63" l="1"/>
  <c r="P164" i="63"/>
  <c r="Y163" i="63"/>
  <c r="Z163" i="63"/>
  <c r="AH163" i="63" s="1"/>
  <c r="AB163" i="63"/>
  <c r="F167" i="63"/>
  <c r="H167" i="63"/>
  <c r="R164" i="63" l="1"/>
  <c r="T164" i="63"/>
  <c r="AE163" i="63"/>
  <c r="AF163" i="63" s="1"/>
  <c r="K165" i="63"/>
  <c r="J165" i="63"/>
  <c r="C168" i="63"/>
  <c r="A167" i="63"/>
  <c r="B168" i="63"/>
  <c r="AC165" i="63" l="1"/>
  <c r="M165" i="63"/>
  <c r="O165" i="63" s="1"/>
  <c r="AD164" i="63"/>
  <c r="AG164" i="63"/>
  <c r="AJ164" i="63" s="1"/>
  <c r="AK164" i="63" s="1"/>
  <c r="V164" i="63"/>
  <c r="AA164" i="63" s="1"/>
  <c r="AL164" i="63"/>
  <c r="AM164" i="63" s="1"/>
  <c r="E168" i="63"/>
  <c r="G168" i="63" s="1"/>
  <c r="Q167" i="63"/>
  <c r="L165" i="63" l="1"/>
  <c r="N165" i="63"/>
  <c r="P165" i="63"/>
  <c r="D168" i="63"/>
  <c r="U164" i="63"/>
  <c r="S165" i="63"/>
  <c r="I165" i="63"/>
  <c r="F168" i="63" l="1"/>
  <c r="H168" i="63"/>
  <c r="Y164" i="63"/>
  <c r="Z164" i="63"/>
  <c r="AH164" i="63" s="1"/>
  <c r="AB164" i="63"/>
  <c r="J166" i="63"/>
  <c r="K166" i="63"/>
  <c r="R165" i="63" l="1"/>
  <c r="AE164" i="63"/>
  <c r="AF164" i="63" s="1"/>
  <c r="M166" i="63"/>
  <c r="AC166" i="63"/>
  <c r="T165" i="63"/>
  <c r="C169" i="63"/>
  <c r="A168" i="63"/>
  <c r="Q168" i="63" s="1"/>
  <c r="B169" i="63"/>
  <c r="E169" i="63" s="1"/>
  <c r="G169" i="63" s="1"/>
  <c r="D169" i="63" l="1"/>
  <c r="AD165" i="63"/>
  <c r="AG165" i="63"/>
  <c r="AJ165" i="63" s="1"/>
  <c r="AK165" i="63" s="1"/>
  <c r="O166" i="63"/>
  <c r="L166" i="63"/>
  <c r="I166" i="63"/>
  <c r="S166" i="63"/>
  <c r="V165" i="63"/>
  <c r="AA165" i="63" s="1"/>
  <c r="AL165" i="63"/>
  <c r="AM165" i="63" s="1"/>
  <c r="F169" i="63"/>
  <c r="H169" i="63"/>
  <c r="U165" i="63" l="1"/>
  <c r="P166" i="63"/>
  <c r="N166" i="63"/>
  <c r="B170" i="63"/>
  <c r="A169" i="63"/>
  <c r="C170" i="63"/>
  <c r="K167" i="63" l="1"/>
  <c r="J167" i="63"/>
  <c r="Z165" i="63"/>
  <c r="AH165" i="63" s="1"/>
  <c r="Y165" i="63"/>
  <c r="AB165" i="63"/>
  <c r="Q169" i="63"/>
  <c r="E170" i="63"/>
  <c r="G170" i="63" s="1"/>
  <c r="R166" i="63" l="1"/>
  <c r="AE165" i="63"/>
  <c r="AF165" i="63" s="1"/>
  <c r="T166" i="63"/>
  <c r="M167" i="63"/>
  <c r="O167" i="63" s="1"/>
  <c r="AC167" i="63"/>
  <c r="D170" i="63"/>
  <c r="L167" i="63" l="1"/>
  <c r="S167" i="63"/>
  <c r="I167" i="63"/>
  <c r="AD166" i="63"/>
  <c r="AG166" i="63"/>
  <c r="AJ166" i="63" s="1"/>
  <c r="AK166" i="63" s="1"/>
  <c r="V166" i="63"/>
  <c r="AA166" i="63" s="1"/>
  <c r="AL166" i="63"/>
  <c r="AM166" i="63" s="1"/>
  <c r="F170" i="63"/>
  <c r="H170" i="63"/>
  <c r="U166" i="63" l="1"/>
  <c r="N167" i="63"/>
  <c r="P167" i="63"/>
  <c r="C171" i="63"/>
  <c r="A170" i="63"/>
  <c r="B171" i="63"/>
  <c r="J168" i="63" l="1"/>
  <c r="K168" i="63"/>
  <c r="Z166" i="63"/>
  <c r="AH166" i="63" s="1"/>
  <c r="Y166" i="63"/>
  <c r="AB166" i="63"/>
  <c r="E171" i="63"/>
  <c r="G171" i="63" s="1"/>
  <c r="Q170" i="63"/>
  <c r="R167" i="63" l="1"/>
  <c r="T167" i="63"/>
  <c r="AE166" i="63"/>
  <c r="AF166" i="63" s="1"/>
  <c r="M168" i="63"/>
  <c r="O168" i="63" s="1"/>
  <c r="AC168" i="63"/>
  <c r="D171" i="63"/>
  <c r="S168" i="63" l="1"/>
  <c r="I168" i="63"/>
  <c r="L168" i="63"/>
  <c r="AG167" i="63"/>
  <c r="AJ167" i="63" s="1"/>
  <c r="AK167" i="63" s="1"/>
  <c r="AD167" i="63"/>
  <c r="AL167" i="63"/>
  <c r="AM167" i="63" s="1"/>
  <c r="V167" i="63"/>
  <c r="AA167" i="63" s="1"/>
  <c r="F171" i="63"/>
  <c r="H171" i="63"/>
  <c r="P168" i="63" l="1"/>
  <c r="N168" i="63"/>
  <c r="U167" i="63"/>
  <c r="C172" i="63"/>
  <c r="A171" i="63"/>
  <c r="B172" i="63"/>
  <c r="Z167" i="63" l="1"/>
  <c r="AH167" i="63" s="1"/>
  <c r="Y167" i="63"/>
  <c r="AB167" i="63"/>
  <c r="J169" i="63"/>
  <c r="K169" i="63"/>
  <c r="E172" i="63"/>
  <c r="G172" i="63" s="1"/>
  <c r="Q171" i="63"/>
  <c r="M169" i="63" l="1"/>
  <c r="O169" i="63" s="1"/>
  <c r="AC169" i="63"/>
  <c r="T168" i="63"/>
  <c r="R168" i="63"/>
  <c r="AE167" i="63"/>
  <c r="AF167" i="63" s="1"/>
  <c r="D172" i="63"/>
  <c r="AD168" i="63" l="1"/>
  <c r="AG168" i="63"/>
  <c r="AJ168" i="63" s="1"/>
  <c r="AK168" i="63" s="1"/>
  <c r="S169" i="63"/>
  <c r="I169" i="63"/>
  <c r="AL168" i="63"/>
  <c r="AM168" i="63" s="1"/>
  <c r="V168" i="63"/>
  <c r="AA168" i="63" s="1"/>
  <c r="L169" i="63"/>
  <c r="F172" i="63"/>
  <c r="H172" i="63"/>
  <c r="U168" i="63" l="1"/>
  <c r="N169" i="63"/>
  <c r="P169" i="63"/>
  <c r="C173" i="63"/>
  <c r="A172" i="63"/>
  <c r="B173" i="63"/>
  <c r="K170" i="63" l="1"/>
  <c r="J170" i="63"/>
  <c r="Z168" i="63"/>
  <c r="AH168" i="63" s="1"/>
  <c r="Y168" i="63"/>
  <c r="AB168" i="63"/>
  <c r="E173" i="63"/>
  <c r="G173" i="63" s="1"/>
  <c r="Q172" i="63"/>
  <c r="AE168" i="63" l="1"/>
  <c r="AF168" i="63" s="1"/>
  <c r="R169" i="63"/>
  <c r="T169" i="63"/>
  <c r="AC170" i="63"/>
  <c r="M170" i="63"/>
  <c r="O170" i="63" s="1"/>
  <c r="D173" i="63"/>
  <c r="L170" i="63" l="1"/>
  <c r="S170" i="63"/>
  <c r="I170" i="63"/>
  <c r="AD169" i="63"/>
  <c r="AG169" i="63"/>
  <c r="AJ169" i="63" s="1"/>
  <c r="AK169" i="63" s="1"/>
  <c r="AL169" i="63"/>
  <c r="AM169" i="63" s="1"/>
  <c r="V169" i="63"/>
  <c r="AA169" i="63" s="1"/>
  <c r="F173" i="63"/>
  <c r="H173" i="63"/>
  <c r="U169" i="63" l="1"/>
  <c r="N170" i="63"/>
  <c r="P170" i="63"/>
  <c r="B174" i="63"/>
  <c r="C174" i="63"/>
  <c r="A173" i="63"/>
  <c r="J171" i="63" l="1"/>
  <c r="K171" i="63"/>
  <c r="Y169" i="63"/>
  <c r="Z169" i="63"/>
  <c r="AH169" i="63" s="1"/>
  <c r="AB169" i="63"/>
  <c r="Q173" i="63"/>
  <c r="E174" i="63"/>
  <c r="G174" i="63" s="1"/>
  <c r="AE169" i="63" l="1"/>
  <c r="AF169" i="63" s="1"/>
  <c r="R170" i="63"/>
  <c r="T170" i="63"/>
  <c r="M171" i="63"/>
  <c r="O171" i="63" s="1"/>
  <c r="AC171" i="63"/>
  <c r="D174" i="63"/>
  <c r="I171" i="63" l="1"/>
  <c r="S171" i="63"/>
  <c r="L171" i="63"/>
  <c r="AG170" i="63"/>
  <c r="AJ170" i="63" s="1"/>
  <c r="AK170" i="63" s="1"/>
  <c r="AD170" i="63"/>
  <c r="V170" i="63"/>
  <c r="AA170" i="63" s="1"/>
  <c r="AL170" i="63"/>
  <c r="AM170" i="63" s="1"/>
  <c r="F174" i="63"/>
  <c r="H174" i="63"/>
  <c r="U170" i="63" l="1"/>
  <c r="N171" i="63"/>
  <c r="P171" i="63"/>
  <c r="C175" i="63"/>
  <c r="A174" i="63"/>
  <c r="B175" i="63"/>
  <c r="K172" i="63" l="1"/>
  <c r="J172" i="63"/>
  <c r="Y170" i="63"/>
  <c r="Z170" i="63"/>
  <c r="AH170" i="63" s="1"/>
  <c r="AB170" i="63"/>
  <c r="Q174" i="63"/>
  <c r="E175" i="63"/>
  <c r="G175" i="63" s="1"/>
  <c r="AE170" i="63" l="1"/>
  <c r="AF170" i="63" s="1"/>
  <c r="R171" i="63"/>
  <c r="T171" i="63"/>
  <c r="M172" i="63"/>
  <c r="O172" i="63" s="1"/>
  <c r="AC172" i="63"/>
  <c r="D175" i="63"/>
  <c r="L172" i="63" l="1"/>
  <c r="N172" i="63" s="1"/>
  <c r="P172" i="63"/>
  <c r="S172" i="63"/>
  <c r="I172" i="63"/>
  <c r="AG171" i="63"/>
  <c r="AJ171" i="63" s="1"/>
  <c r="AK171" i="63" s="1"/>
  <c r="AD171" i="63"/>
  <c r="AL171" i="63"/>
  <c r="AM171" i="63" s="1"/>
  <c r="V171" i="63"/>
  <c r="AA171" i="63" s="1"/>
  <c r="F175" i="63"/>
  <c r="H175" i="63"/>
  <c r="U171" i="63" l="1"/>
  <c r="K173" i="63"/>
  <c r="J173" i="63"/>
  <c r="C176" i="63"/>
  <c r="A175" i="63"/>
  <c r="B176" i="63"/>
  <c r="M173" i="63" l="1"/>
  <c r="O173" i="63" s="1"/>
  <c r="AC173" i="63"/>
  <c r="AB171" i="63"/>
  <c r="Y171" i="63"/>
  <c r="Z171" i="63"/>
  <c r="AH171" i="63" s="1"/>
  <c r="E176" i="63"/>
  <c r="G176" i="63" s="1"/>
  <c r="Q175" i="63"/>
  <c r="L173" i="63" l="1"/>
  <c r="D176" i="63"/>
  <c r="F176" i="63" s="1"/>
  <c r="S173" i="63"/>
  <c r="I173" i="63"/>
  <c r="AE171" i="63"/>
  <c r="AF171" i="63" s="1"/>
  <c r="R172" i="63"/>
  <c r="T172" i="63"/>
  <c r="H176" i="63" l="1"/>
  <c r="N173" i="63"/>
  <c r="P173" i="63"/>
  <c r="AG172" i="63"/>
  <c r="AJ172" i="63" s="1"/>
  <c r="AK172" i="63" s="1"/>
  <c r="AD172" i="63"/>
  <c r="AL172" i="63"/>
  <c r="AM172" i="63" s="1"/>
  <c r="V172" i="63"/>
  <c r="AA172" i="63" s="1"/>
  <c r="C177" i="63"/>
  <c r="A176" i="63"/>
  <c r="B177" i="63"/>
  <c r="K174" i="63" l="1"/>
  <c r="J174" i="63"/>
  <c r="U172" i="63"/>
  <c r="E177" i="63"/>
  <c r="G177" i="63" s="1"/>
  <c r="Q176" i="63"/>
  <c r="M174" i="63" l="1"/>
  <c r="O174" i="63" s="1"/>
  <c r="AC174" i="63"/>
  <c r="L174" i="63"/>
  <c r="Y172" i="63"/>
  <c r="Z172" i="63"/>
  <c r="AH172" i="63" s="1"/>
  <c r="AB172" i="63"/>
  <c r="D177" i="63"/>
  <c r="F177" i="63" s="1"/>
  <c r="I174" i="63" l="1"/>
  <c r="S174" i="63"/>
  <c r="N174" i="63"/>
  <c r="P174" i="63"/>
  <c r="AE172" i="63"/>
  <c r="AF172" i="63" s="1"/>
  <c r="T173" i="63"/>
  <c r="R173" i="63"/>
  <c r="H177" i="63"/>
  <c r="B178" i="63" s="1"/>
  <c r="C178" i="63" l="1"/>
  <c r="A177" i="63"/>
  <c r="Q177" i="63" s="1"/>
  <c r="J175" i="63"/>
  <c r="K175" i="63"/>
  <c r="AG173" i="63"/>
  <c r="AJ173" i="63" s="1"/>
  <c r="AK173" i="63" s="1"/>
  <c r="AD173" i="63"/>
  <c r="V173" i="63"/>
  <c r="AA173" i="63" s="1"/>
  <c r="AL173" i="63"/>
  <c r="AM173" i="63" s="1"/>
  <c r="E178" i="63"/>
  <c r="G178" i="63" s="1"/>
  <c r="AC175" i="63" l="1"/>
  <c r="M175" i="63"/>
  <c r="O175" i="63" s="1"/>
  <c r="U173" i="63"/>
  <c r="D178" i="63"/>
  <c r="I175" i="63" l="1"/>
  <c r="S175" i="63"/>
  <c r="L175" i="63"/>
  <c r="Z173" i="63"/>
  <c r="AH173" i="63" s="1"/>
  <c r="Y173" i="63"/>
  <c r="AB173" i="63"/>
  <c r="F178" i="63"/>
  <c r="H178" i="63"/>
  <c r="P175" i="63" l="1"/>
  <c r="N175" i="63"/>
  <c r="R174" i="63"/>
  <c r="AE173" i="63"/>
  <c r="AF173" i="63" s="1"/>
  <c r="T174" i="63"/>
  <c r="C179" i="63"/>
  <c r="A178" i="63"/>
  <c r="B179" i="63"/>
  <c r="K176" i="63" l="1"/>
  <c r="J176" i="63"/>
  <c r="AG174" i="63"/>
  <c r="AJ174" i="63" s="1"/>
  <c r="AK174" i="63" s="1"/>
  <c r="AD174" i="63"/>
  <c r="AL174" i="63"/>
  <c r="AM174" i="63" s="1"/>
  <c r="V174" i="63"/>
  <c r="AA174" i="63" s="1"/>
  <c r="E179" i="63"/>
  <c r="G179" i="63" s="1"/>
  <c r="Q178" i="63"/>
  <c r="M176" i="63" l="1"/>
  <c r="O176" i="63" s="1"/>
  <c r="AC176" i="63"/>
  <c r="L176" i="63"/>
  <c r="U174" i="63"/>
  <c r="D179" i="63"/>
  <c r="P176" i="63" l="1"/>
  <c r="N176" i="63"/>
  <c r="I176" i="63"/>
  <c r="S176" i="63"/>
  <c r="Z174" i="63"/>
  <c r="AH174" i="63" s="1"/>
  <c r="Y174" i="63"/>
  <c r="AB174" i="63"/>
  <c r="F179" i="63"/>
  <c r="H179" i="63"/>
  <c r="J177" i="63" l="1"/>
  <c r="K177" i="63"/>
  <c r="T175" i="63"/>
  <c r="R175" i="63"/>
  <c r="AE174" i="63"/>
  <c r="AF174" i="63" s="1"/>
  <c r="C180" i="63"/>
  <c r="A179" i="63"/>
  <c r="B180" i="63"/>
  <c r="AC177" i="63" l="1"/>
  <c r="M177" i="63"/>
  <c r="AL175" i="63"/>
  <c r="AM175" i="63" s="1"/>
  <c r="V175" i="63"/>
  <c r="AA175" i="63" s="1"/>
  <c r="AD175" i="63"/>
  <c r="AG175" i="63"/>
  <c r="AJ175" i="63" s="1"/>
  <c r="AK175" i="63" s="1"/>
  <c r="Q179" i="63"/>
  <c r="E180" i="63"/>
  <c r="G180" i="63" s="1"/>
  <c r="O177" i="63" l="1"/>
  <c r="L177" i="63"/>
  <c r="U175" i="63"/>
  <c r="S177" i="63"/>
  <c r="I177" i="63"/>
  <c r="Y175" i="63"/>
  <c r="Z175" i="63"/>
  <c r="AH175" i="63" s="1"/>
  <c r="AB175" i="63"/>
  <c r="D180" i="63"/>
  <c r="P177" i="63" l="1"/>
  <c r="N177" i="63"/>
  <c r="AE175" i="63"/>
  <c r="AF175" i="63" s="1"/>
  <c r="R176" i="63"/>
  <c r="T176" i="63"/>
  <c r="F180" i="63"/>
  <c r="H180" i="63"/>
  <c r="K178" i="63" l="1"/>
  <c r="J178" i="63"/>
  <c r="AG176" i="63"/>
  <c r="AJ176" i="63" s="1"/>
  <c r="AK176" i="63" s="1"/>
  <c r="AD176" i="63"/>
  <c r="AL176" i="63"/>
  <c r="AM176" i="63" s="1"/>
  <c r="V176" i="63"/>
  <c r="AA176" i="63" s="1"/>
  <c r="C181" i="63"/>
  <c r="A180" i="63"/>
  <c r="B181" i="63"/>
  <c r="AC178" i="63" l="1"/>
  <c r="M178" i="63"/>
  <c r="U176" i="63"/>
  <c r="Q180" i="63"/>
  <c r="E181" i="63"/>
  <c r="G181" i="63" s="1"/>
  <c r="O178" i="63" l="1"/>
  <c r="L178" i="63"/>
  <c r="I178" i="63"/>
  <c r="S178" i="63"/>
  <c r="Z176" i="63"/>
  <c r="AH176" i="63" s="1"/>
  <c r="Y176" i="63"/>
  <c r="AB176" i="63"/>
  <c r="D181" i="63"/>
  <c r="N178" i="63" l="1"/>
  <c r="P178" i="63"/>
  <c r="R177" i="63"/>
  <c r="AE176" i="63"/>
  <c r="AF176" i="63" s="1"/>
  <c r="T177" i="63"/>
  <c r="F181" i="63"/>
  <c r="H181" i="63"/>
  <c r="K179" i="63" l="1"/>
  <c r="J179" i="63"/>
  <c r="AG177" i="63"/>
  <c r="AJ177" i="63" s="1"/>
  <c r="AK177" i="63" s="1"/>
  <c r="AD177" i="63"/>
  <c r="AL177" i="63"/>
  <c r="AM177" i="63" s="1"/>
  <c r="V177" i="63"/>
  <c r="AA177" i="63" s="1"/>
  <c r="B182" i="63"/>
  <c r="C182" i="63"/>
  <c r="A181" i="63"/>
  <c r="AC179" i="63" l="1"/>
  <c r="M179" i="63"/>
  <c r="O179" i="63" s="1"/>
  <c r="U177" i="63"/>
  <c r="E182" i="63"/>
  <c r="G182" i="63" s="1"/>
  <c r="Q181" i="63"/>
  <c r="L179" i="63" l="1"/>
  <c r="N179" i="63" s="1"/>
  <c r="P179" i="63"/>
  <c r="D182" i="63"/>
  <c r="F182" i="63" s="1"/>
  <c r="I179" i="63"/>
  <c r="S179" i="63"/>
  <c r="Z177" i="63"/>
  <c r="AH177" i="63" s="1"/>
  <c r="Y177" i="63"/>
  <c r="AB177" i="63"/>
  <c r="H182" i="63" l="1"/>
  <c r="K180" i="63"/>
  <c r="J180" i="63"/>
  <c r="R178" i="63"/>
  <c r="AE177" i="63"/>
  <c r="AF177" i="63" s="1"/>
  <c r="T178" i="63"/>
  <c r="C183" i="63"/>
  <c r="A182" i="63"/>
  <c r="B183" i="63"/>
  <c r="AC180" i="63" l="1"/>
  <c r="M180" i="63"/>
  <c r="O180" i="63" s="1"/>
  <c r="L180" i="63"/>
  <c r="AD178" i="63"/>
  <c r="AG178" i="63"/>
  <c r="AJ178" i="63" s="1"/>
  <c r="AK178" i="63" s="1"/>
  <c r="V178" i="63"/>
  <c r="AA178" i="63" s="1"/>
  <c r="AL178" i="63"/>
  <c r="AM178" i="63" s="1"/>
  <c r="E183" i="63"/>
  <c r="G183" i="63" s="1"/>
  <c r="Q182" i="63"/>
  <c r="D183" i="63" l="1"/>
  <c r="F183" i="63" s="1"/>
  <c r="N180" i="63"/>
  <c r="P180" i="63"/>
  <c r="I180" i="63"/>
  <c r="S180" i="63"/>
  <c r="U178" i="63"/>
  <c r="K181" i="63" l="1"/>
  <c r="J181" i="63"/>
  <c r="H183" i="63"/>
  <c r="C184" i="63" s="1"/>
  <c r="Y178" i="63"/>
  <c r="Z178" i="63"/>
  <c r="AH178" i="63" s="1"/>
  <c r="AB178" i="63"/>
  <c r="B184" i="63"/>
  <c r="A183" i="63" l="1"/>
  <c r="M181" i="63"/>
  <c r="O181" i="63" s="1"/>
  <c r="AC181" i="63"/>
  <c r="L181" i="63"/>
  <c r="T179" i="63"/>
  <c r="AE178" i="63"/>
  <c r="AF178" i="63" s="1"/>
  <c r="R179" i="63"/>
  <c r="E184" i="63"/>
  <c r="G184" i="63" s="1"/>
  <c r="Q183" i="63"/>
  <c r="D184" i="63" l="1"/>
  <c r="F184" i="63" s="1"/>
  <c r="I181" i="63"/>
  <c r="S181" i="63"/>
  <c r="N181" i="63"/>
  <c r="P181" i="63"/>
  <c r="AL179" i="63"/>
  <c r="AM179" i="63" s="1"/>
  <c r="V179" i="63"/>
  <c r="AA179" i="63" s="1"/>
  <c r="AG179" i="63"/>
  <c r="AJ179" i="63" s="1"/>
  <c r="AK179" i="63" s="1"/>
  <c r="AD179" i="63"/>
  <c r="H184" i="63"/>
  <c r="K182" i="63" l="1"/>
  <c r="J182" i="63"/>
  <c r="U179" i="63"/>
  <c r="Z179" i="63"/>
  <c r="AH179" i="63" s="1"/>
  <c r="Y179" i="63"/>
  <c r="AB179" i="63"/>
  <c r="C185" i="63"/>
  <c r="A184" i="63"/>
  <c r="B185" i="63"/>
  <c r="M182" i="63" l="1"/>
  <c r="AC182" i="63"/>
  <c r="R180" i="63"/>
  <c r="T180" i="63"/>
  <c r="AE179" i="63"/>
  <c r="AF179" i="63" s="1"/>
  <c r="E185" i="63"/>
  <c r="G185" i="63" s="1"/>
  <c r="Q184" i="63"/>
  <c r="D185" i="63" l="1"/>
  <c r="F185" i="63" s="1"/>
  <c r="S182" i="63"/>
  <c r="I182" i="63"/>
  <c r="O182" i="63"/>
  <c r="L182" i="63"/>
  <c r="AG180" i="63"/>
  <c r="AJ180" i="63" s="1"/>
  <c r="AK180" i="63" s="1"/>
  <c r="AD180" i="63"/>
  <c r="AL180" i="63"/>
  <c r="AM180" i="63" s="1"/>
  <c r="V180" i="63"/>
  <c r="AA180" i="63" s="1"/>
  <c r="H185" i="63" l="1"/>
  <c r="B186" i="63" s="1"/>
  <c r="N182" i="63"/>
  <c r="P182" i="63"/>
  <c r="U180" i="63"/>
  <c r="A185" i="63" l="1"/>
  <c r="C186" i="63"/>
  <c r="J183" i="63"/>
  <c r="K183" i="63"/>
  <c r="Y180" i="63"/>
  <c r="Z180" i="63"/>
  <c r="AH180" i="63" s="1"/>
  <c r="AB180" i="63"/>
  <c r="E186" i="63"/>
  <c r="G186" i="63" s="1"/>
  <c r="Q185" i="63"/>
  <c r="AC183" i="63" l="1"/>
  <c r="M183" i="63"/>
  <c r="R181" i="63"/>
  <c r="T181" i="63"/>
  <c r="AE180" i="63"/>
  <c r="AF180" i="63" s="1"/>
  <c r="D186" i="63"/>
  <c r="F186" i="63" s="1"/>
  <c r="O183" i="63" l="1"/>
  <c r="L183" i="63"/>
  <c r="S183" i="63"/>
  <c r="I183" i="63"/>
  <c r="H186" i="63"/>
  <c r="C187" i="63" s="1"/>
  <c r="AD181" i="63"/>
  <c r="AG181" i="63"/>
  <c r="AJ181" i="63" s="1"/>
  <c r="AK181" i="63" s="1"/>
  <c r="AL181" i="63"/>
  <c r="AM181" i="63" s="1"/>
  <c r="V181" i="63"/>
  <c r="AA181" i="63" s="1"/>
  <c r="B187" i="63"/>
  <c r="A186" i="63" l="1"/>
  <c r="N183" i="63"/>
  <c r="P183" i="63"/>
  <c r="U181" i="63"/>
  <c r="Q186" i="63"/>
  <c r="E187" i="63"/>
  <c r="G187" i="63" s="1"/>
  <c r="D187" i="63" l="1"/>
  <c r="F187" i="63" s="1"/>
  <c r="J184" i="63"/>
  <c r="K184" i="63"/>
  <c r="Z181" i="63"/>
  <c r="AH181" i="63" s="1"/>
  <c r="Y181" i="63"/>
  <c r="AB181" i="63"/>
  <c r="H187" i="63"/>
  <c r="M184" i="63" l="1"/>
  <c r="AC184" i="63"/>
  <c r="T182" i="63"/>
  <c r="AE181" i="63"/>
  <c r="AF181" i="63" s="1"/>
  <c r="R182" i="63"/>
  <c r="C188" i="63"/>
  <c r="A187" i="63"/>
  <c r="B188" i="63"/>
  <c r="I184" i="63" l="1"/>
  <c r="S184" i="63"/>
  <c r="O184" i="63"/>
  <c r="L184" i="63"/>
  <c r="AL182" i="63"/>
  <c r="AM182" i="63" s="1"/>
  <c r="V182" i="63"/>
  <c r="AA182" i="63" s="1"/>
  <c r="AD182" i="63"/>
  <c r="AG182" i="63"/>
  <c r="AJ182" i="63" s="1"/>
  <c r="AK182" i="63" s="1"/>
  <c r="E188" i="63"/>
  <c r="G188" i="63" s="1"/>
  <c r="Q187" i="63"/>
  <c r="P184" i="63" l="1"/>
  <c r="N184" i="63"/>
  <c r="U182" i="63"/>
  <c r="Y182" i="63"/>
  <c r="Z182" i="63"/>
  <c r="AH182" i="63" s="1"/>
  <c r="AB182" i="63"/>
  <c r="D188" i="63"/>
  <c r="J185" i="63" l="1"/>
  <c r="K185" i="63"/>
  <c r="AE182" i="63"/>
  <c r="AF182" i="63" s="1"/>
  <c r="R183" i="63"/>
  <c r="T183" i="63"/>
  <c r="F188" i="63"/>
  <c r="H188" i="63"/>
  <c r="M185" i="63" l="1"/>
  <c r="AC185" i="63"/>
  <c r="AD183" i="63"/>
  <c r="AG183" i="63"/>
  <c r="AJ183" i="63" s="1"/>
  <c r="AK183" i="63" s="1"/>
  <c r="AL183" i="63"/>
  <c r="AM183" i="63" s="1"/>
  <c r="V183" i="63"/>
  <c r="AA183" i="63" s="1"/>
  <c r="C189" i="63"/>
  <c r="A188" i="63"/>
  <c r="B189" i="63"/>
  <c r="S185" i="63" l="1"/>
  <c r="I185" i="63"/>
  <c r="O185" i="63"/>
  <c r="L185" i="63"/>
  <c r="U183" i="63"/>
  <c r="E189" i="63"/>
  <c r="G189" i="63" s="1"/>
  <c r="Q188" i="63"/>
  <c r="P185" i="63" l="1"/>
  <c r="N185" i="63"/>
  <c r="AB183" i="63"/>
  <c r="Y183" i="63"/>
  <c r="Z183" i="63"/>
  <c r="AH183" i="63" s="1"/>
  <c r="D189" i="63"/>
  <c r="J186" i="63" l="1"/>
  <c r="K186" i="63"/>
  <c r="AE183" i="63"/>
  <c r="AF183" i="63" s="1"/>
  <c r="R184" i="63"/>
  <c r="T184" i="63"/>
  <c r="F189" i="63"/>
  <c r="H189" i="63"/>
  <c r="AC186" i="63" l="1"/>
  <c r="M186" i="63"/>
  <c r="AG184" i="63"/>
  <c r="AJ184" i="63" s="1"/>
  <c r="AK184" i="63" s="1"/>
  <c r="AD184" i="63"/>
  <c r="AL184" i="63"/>
  <c r="AM184" i="63" s="1"/>
  <c r="V184" i="63"/>
  <c r="AA184" i="63" s="1"/>
  <c r="B190" i="63"/>
  <c r="A189" i="63"/>
  <c r="C190" i="63"/>
  <c r="O186" i="63" l="1"/>
  <c r="L186" i="63"/>
  <c r="S186" i="63"/>
  <c r="I186" i="63"/>
  <c r="U184" i="63"/>
  <c r="Q189" i="63"/>
  <c r="E190" i="63"/>
  <c r="G190" i="63" s="1"/>
  <c r="N186" i="63" l="1"/>
  <c r="P186" i="63"/>
  <c r="Y184" i="63"/>
  <c r="Z184" i="63"/>
  <c r="AH184" i="63" s="1"/>
  <c r="AB184" i="63"/>
  <c r="D190" i="63"/>
  <c r="J187" i="63" l="1"/>
  <c r="K187" i="63"/>
  <c r="R185" i="63"/>
  <c r="AE184" i="63"/>
  <c r="AF184" i="63" s="1"/>
  <c r="T185" i="63"/>
  <c r="F190" i="63"/>
  <c r="H190" i="63"/>
  <c r="AC187" i="63" l="1"/>
  <c r="M187" i="63"/>
  <c r="AG185" i="63"/>
  <c r="AJ185" i="63" s="1"/>
  <c r="AK185" i="63" s="1"/>
  <c r="AD185" i="63"/>
  <c r="AL185" i="63"/>
  <c r="AM185" i="63" s="1"/>
  <c r="V185" i="63"/>
  <c r="AA185" i="63" s="1"/>
  <c r="C191" i="63"/>
  <c r="A190" i="63"/>
  <c r="B191" i="63"/>
  <c r="O187" i="63" l="1"/>
  <c r="L187" i="63"/>
  <c r="I187" i="63"/>
  <c r="S187" i="63"/>
  <c r="U185" i="63"/>
  <c r="E191" i="63"/>
  <c r="G191" i="63" s="1"/>
  <c r="Q190" i="63"/>
  <c r="P187" i="63" l="1"/>
  <c r="N187" i="63"/>
  <c r="Z185" i="63"/>
  <c r="AH185" i="63" s="1"/>
  <c r="Y185" i="63"/>
  <c r="AB185" i="63"/>
  <c r="D191" i="63"/>
  <c r="J188" i="63" l="1"/>
  <c r="K188" i="63"/>
  <c r="R186" i="63"/>
  <c r="AE185" i="63"/>
  <c r="AF185" i="63" s="1"/>
  <c r="T186" i="63"/>
  <c r="F191" i="63"/>
  <c r="H191" i="63"/>
  <c r="M188" i="63" l="1"/>
  <c r="AC188" i="63"/>
  <c r="AD186" i="63"/>
  <c r="AG186" i="63"/>
  <c r="AJ186" i="63" s="1"/>
  <c r="AK186" i="63" s="1"/>
  <c r="V186" i="63"/>
  <c r="AA186" i="63" s="1"/>
  <c r="AL186" i="63"/>
  <c r="AM186" i="63" s="1"/>
  <c r="C192" i="63"/>
  <c r="A191" i="63"/>
  <c r="B192" i="63"/>
  <c r="I188" i="63" l="1"/>
  <c r="S188" i="63"/>
  <c r="O188" i="63"/>
  <c r="L188" i="63"/>
  <c r="U186" i="63"/>
  <c r="E192" i="63"/>
  <c r="G192" i="63" s="1"/>
  <c r="Q191" i="63"/>
  <c r="D192" i="63" l="1"/>
  <c r="F192" i="63" s="1"/>
  <c r="N188" i="63"/>
  <c r="P188" i="63"/>
  <c r="Y186" i="63"/>
  <c r="Z186" i="63"/>
  <c r="AH186" i="63" s="1"/>
  <c r="AB186" i="63"/>
  <c r="H192" i="63"/>
  <c r="J189" i="63" l="1"/>
  <c r="K189" i="63"/>
  <c r="AE186" i="63"/>
  <c r="AF186" i="63" s="1"/>
  <c r="T187" i="63"/>
  <c r="R187" i="63"/>
  <c r="C193" i="63"/>
  <c r="A192" i="63"/>
  <c r="B193" i="63"/>
  <c r="M189" i="63" l="1"/>
  <c r="AC189" i="63"/>
  <c r="V187" i="63"/>
  <c r="AA187" i="63" s="1"/>
  <c r="AL187" i="63"/>
  <c r="AM187" i="63" s="1"/>
  <c r="AD187" i="63"/>
  <c r="AG187" i="63"/>
  <c r="AJ187" i="63" s="1"/>
  <c r="AK187" i="63" s="1"/>
  <c r="U187" i="63"/>
  <c r="E193" i="63"/>
  <c r="G193" i="63" s="1"/>
  <c r="Q192" i="63"/>
  <c r="S189" i="63" l="1"/>
  <c r="I189" i="63"/>
  <c r="O189" i="63"/>
  <c r="L189" i="63"/>
  <c r="Y187" i="63"/>
  <c r="Z187" i="63"/>
  <c r="AH187" i="63" s="1"/>
  <c r="AB187" i="63"/>
  <c r="D193" i="63"/>
  <c r="P189" i="63" l="1"/>
  <c r="N189" i="63"/>
  <c r="AE187" i="63"/>
  <c r="AF187" i="63" s="1"/>
  <c r="R188" i="63"/>
  <c r="T188" i="63"/>
  <c r="F193" i="63"/>
  <c r="H193" i="63"/>
  <c r="K190" i="63" l="1"/>
  <c r="J190" i="63"/>
  <c r="AG188" i="63"/>
  <c r="AJ188" i="63" s="1"/>
  <c r="AK188" i="63" s="1"/>
  <c r="AD188" i="63"/>
  <c r="AL188" i="63"/>
  <c r="AM188" i="63" s="1"/>
  <c r="V188" i="63"/>
  <c r="AA188" i="63" s="1"/>
  <c r="B194" i="63"/>
  <c r="C194" i="63"/>
  <c r="A193" i="63"/>
  <c r="AC190" i="63" l="1"/>
  <c r="M190" i="63"/>
  <c r="U188" i="63"/>
  <c r="Q193" i="63"/>
  <c r="E194" i="63"/>
  <c r="G194" i="63" s="1"/>
  <c r="O190" i="63" l="1"/>
  <c r="L190" i="63"/>
  <c r="S190" i="63"/>
  <c r="I190" i="63"/>
  <c r="Y188" i="63"/>
  <c r="Z188" i="63"/>
  <c r="AH188" i="63" s="1"/>
  <c r="AB188" i="63"/>
  <c r="D194" i="63"/>
  <c r="N190" i="63" l="1"/>
  <c r="P190" i="63"/>
  <c r="R189" i="63"/>
  <c r="AE188" i="63"/>
  <c r="AF188" i="63" s="1"/>
  <c r="T189" i="63"/>
  <c r="F194" i="63"/>
  <c r="H194" i="63"/>
  <c r="K191" i="63" l="1"/>
  <c r="J191" i="63"/>
  <c r="AD189" i="63"/>
  <c r="AG189" i="63"/>
  <c r="AJ189" i="63" s="1"/>
  <c r="AK189" i="63" s="1"/>
  <c r="V189" i="63"/>
  <c r="AA189" i="63" s="1"/>
  <c r="AL189" i="63"/>
  <c r="AM189" i="63" s="1"/>
  <c r="C195" i="63"/>
  <c r="A194" i="63"/>
  <c r="B195" i="63"/>
  <c r="AC191" i="63" l="1"/>
  <c r="M191" i="63"/>
  <c r="U189" i="63"/>
  <c r="Q194" i="63"/>
  <c r="E195" i="63"/>
  <c r="G195" i="63" s="1"/>
  <c r="O191" i="63" l="1"/>
  <c r="L191" i="63"/>
  <c r="I191" i="63"/>
  <c r="S191" i="63"/>
  <c r="Y189" i="63"/>
  <c r="Z189" i="63"/>
  <c r="AH189" i="63" s="1"/>
  <c r="AB189" i="63"/>
  <c r="D195" i="63"/>
  <c r="N191" i="63" l="1"/>
  <c r="P191" i="63"/>
  <c r="R190" i="63"/>
  <c r="T190" i="63"/>
  <c r="AE189" i="63"/>
  <c r="AF189" i="63" s="1"/>
  <c r="F195" i="63"/>
  <c r="H195" i="63"/>
  <c r="J192" i="63" l="1"/>
  <c r="K192" i="63"/>
  <c r="AD190" i="63"/>
  <c r="AG190" i="63"/>
  <c r="AJ190" i="63" s="1"/>
  <c r="AK190" i="63" s="1"/>
  <c r="AL190" i="63"/>
  <c r="AM190" i="63" s="1"/>
  <c r="V190" i="63"/>
  <c r="AA190" i="63" s="1"/>
  <c r="C196" i="63"/>
  <c r="A195" i="63"/>
  <c r="B196" i="63"/>
  <c r="M192" i="63" l="1"/>
  <c r="AC192" i="63"/>
  <c r="U190" i="63"/>
  <c r="Q195" i="63"/>
  <c r="E196" i="63"/>
  <c r="G196" i="63" s="1"/>
  <c r="S192" i="63" l="1"/>
  <c r="I192" i="63"/>
  <c r="O192" i="63"/>
  <c r="L192" i="63"/>
  <c r="Y190" i="63"/>
  <c r="Z190" i="63"/>
  <c r="AH190" i="63" s="1"/>
  <c r="AB190" i="63"/>
  <c r="D196" i="63"/>
  <c r="N192" i="63" l="1"/>
  <c r="P192" i="63"/>
  <c r="R191" i="63"/>
  <c r="AE190" i="63"/>
  <c r="AF190" i="63" s="1"/>
  <c r="T191" i="63"/>
  <c r="F196" i="63"/>
  <c r="H196" i="63"/>
  <c r="J193" i="63" l="1"/>
  <c r="K193" i="63"/>
  <c r="AD191" i="63"/>
  <c r="AG191" i="63"/>
  <c r="AJ191" i="63" s="1"/>
  <c r="AK191" i="63" s="1"/>
  <c r="V191" i="63"/>
  <c r="AA191" i="63" s="1"/>
  <c r="AL191" i="63"/>
  <c r="AM191" i="63" s="1"/>
  <c r="C197" i="63"/>
  <c r="A196" i="63"/>
  <c r="B197" i="63"/>
  <c r="AC193" i="63" l="1"/>
  <c r="M193" i="63"/>
  <c r="O193" i="63" s="1"/>
  <c r="U191" i="63"/>
  <c r="Q196" i="63"/>
  <c r="E197" i="63"/>
  <c r="G197" i="63" s="1"/>
  <c r="S193" i="63" l="1"/>
  <c r="I193" i="63"/>
  <c r="L193" i="63"/>
  <c r="Z191" i="63"/>
  <c r="AH191" i="63" s="1"/>
  <c r="Y191" i="63"/>
  <c r="AB191" i="63"/>
  <c r="D197" i="63"/>
  <c r="N193" i="63" l="1"/>
  <c r="P193" i="63"/>
  <c r="AE191" i="63"/>
  <c r="AF191" i="63" s="1"/>
  <c r="T192" i="63"/>
  <c r="R192" i="63"/>
  <c r="F197" i="63"/>
  <c r="H197" i="63"/>
  <c r="J194" i="63" l="1"/>
  <c r="K194" i="63"/>
  <c r="AL192" i="63"/>
  <c r="AM192" i="63" s="1"/>
  <c r="V192" i="63"/>
  <c r="AA192" i="63" s="1"/>
  <c r="AD192" i="63"/>
  <c r="AG192" i="63"/>
  <c r="AJ192" i="63" s="1"/>
  <c r="AK192" i="63" s="1"/>
  <c r="B198" i="63"/>
  <c r="A197" i="63"/>
  <c r="C198" i="63"/>
  <c r="AC194" i="63" l="1"/>
  <c r="M194" i="63"/>
  <c r="O194" i="63" s="1"/>
  <c r="U192" i="63"/>
  <c r="Q197" i="63"/>
  <c r="E198" i="63"/>
  <c r="G198" i="63" s="1"/>
  <c r="I194" i="63" l="1"/>
  <c r="S194" i="63"/>
  <c r="D198" i="63"/>
  <c r="F198" i="63" s="1"/>
  <c r="L194" i="63"/>
  <c r="AB192" i="63"/>
  <c r="Y192" i="63"/>
  <c r="Z192" i="63"/>
  <c r="AH192" i="63" s="1"/>
  <c r="N194" i="63" l="1"/>
  <c r="P194" i="63"/>
  <c r="H198" i="63"/>
  <c r="C199" i="63" s="1"/>
  <c r="R193" i="63"/>
  <c r="AE192" i="63"/>
  <c r="AF192" i="63" s="1"/>
  <c r="T193" i="63"/>
  <c r="B199" i="63"/>
  <c r="J195" i="63" l="1"/>
  <c r="K195" i="63"/>
  <c r="A198" i="63"/>
  <c r="Q198" i="63" s="1"/>
  <c r="AD193" i="63"/>
  <c r="AG193" i="63"/>
  <c r="AJ193" i="63" s="1"/>
  <c r="AK193" i="63" s="1"/>
  <c r="AL193" i="63"/>
  <c r="AM193" i="63" s="1"/>
  <c r="V193" i="63"/>
  <c r="AA193" i="63" s="1"/>
  <c r="E199" i="63"/>
  <c r="G199" i="63" s="1"/>
  <c r="AC195" i="63" l="1"/>
  <c r="M195" i="63"/>
  <c r="O195" i="63" s="1"/>
  <c r="U193" i="63"/>
  <c r="D199" i="63"/>
  <c r="I195" i="63" l="1"/>
  <c r="S195" i="63"/>
  <c r="L195" i="63"/>
  <c r="Y193" i="63"/>
  <c r="Z193" i="63"/>
  <c r="AH193" i="63" s="1"/>
  <c r="AB193" i="63"/>
  <c r="F199" i="63"/>
  <c r="H199" i="63"/>
  <c r="N195" i="63" l="1"/>
  <c r="P195" i="63"/>
  <c r="R194" i="63"/>
  <c r="AE193" i="63"/>
  <c r="AF193" i="63" s="1"/>
  <c r="T194" i="63"/>
  <c r="C200" i="63"/>
  <c r="A199" i="63"/>
  <c r="B200" i="63"/>
  <c r="K196" i="63" l="1"/>
  <c r="J196" i="63"/>
  <c r="AD194" i="63"/>
  <c r="AG194" i="63"/>
  <c r="AJ194" i="63" s="1"/>
  <c r="AK194" i="63" s="1"/>
  <c r="AL194" i="63"/>
  <c r="AM194" i="63" s="1"/>
  <c r="V194" i="63"/>
  <c r="AA194" i="63" s="1"/>
  <c r="E200" i="63"/>
  <c r="G200" i="63" s="1"/>
  <c r="Q199" i="63"/>
  <c r="D200" i="63" l="1"/>
  <c r="F200" i="63" s="1"/>
  <c r="AC196" i="63"/>
  <c r="M196" i="63"/>
  <c r="O196" i="63" s="1"/>
  <c r="U194" i="63"/>
  <c r="H200" i="63"/>
  <c r="L196" i="63" l="1"/>
  <c r="S196" i="63"/>
  <c r="I196" i="63"/>
  <c r="Y194" i="63"/>
  <c r="Z194" i="63"/>
  <c r="AH194" i="63" s="1"/>
  <c r="AB194" i="63"/>
  <c r="C201" i="63"/>
  <c r="A200" i="63"/>
  <c r="B201" i="63"/>
  <c r="N196" i="63" l="1"/>
  <c r="P196" i="63"/>
  <c r="T195" i="63"/>
  <c r="AE194" i="63"/>
  <c r="AF194" i="63" s="1"/>
  <c r="R195" i="63"/>
  <c r="E201" i="63"/>
  <c r="G201" i="63" s="1"/>
  <c r="Q200" i="63"/>
  <c r="J197" i="63" l="1"/>
  <c r="K197" i="63"/>
  <c r="D201" i="63"/>
  <c r="F201" i="63" s="1"/>
  <c r="V195" i="63"/>
  <c r="AA195" i="63" s="1"/>
  <c r="AL195" i="63"/>
  <c r="AM195" i="63" s="1"/>
  <c r="AG195" i="63"/>
  <c r="AJ195" i="63" s="1"/>
  <c r="AK195" i="63" s="1"/>
  <c r="AD195" i="63"/>
  <c r="U195" i="63"/>
  <c r="H201" i="63" l="1"/>
  <c r="AC197" i="63"/>
  <c r="M197" i="63"/>
  <c r="O197" i="63" s="1"/>
  <c r="Z195" i="63"/>
  <c r="AH195" i="63" s="1"/>
  <c r="Y195" i="63"/>
  <c r="AB195" i="63"/>
  <c r="B202" i="63"/>
  <c r="A201" i="63"/>
  <c r="C202" i="63"/>
  <c r="S197" i="63" l="1"/>
  <c r="I197" i="63"/>
  <c r="L197" i="63"/>
  <c r="R196" i="63"/>
  <c r="AE195" i="63"/>
  <c r="AF195" i="63" s="1"/>
  <c r="T196" i="63"/>
  <c r="Q201" i="63"/>
  <c r="E202" i="63"/>
  <c r="G202" i="63" s="1"/>
  <c r="N197" i="63" l="1"/>
  <c r="P197" i="63"/>
  <c r="AD196" i="63"/>
  <c r="AG196" i="63"/>
  <c r="AJ196" i="63" s="1"/>
  <c r="AK196" i="63" s="1"/>
  <c r="V196" i="63"/>
  <c r="AA196" i="63" s="1"/>
  <c r="AL196" i="63"/>
  <c r="AM196" i="63" s="1"/>
  <c r="D202" i="63"/>
  <c r="J198" i="63" l="1"/>
  <c r="K198" i="63"/>
  <c r="U196" i="63"/>
  <c r="F202" i="63"/>
  <c r="H202" i="63"/>
  <c r="M198" i="63" l="1"/>
  <c r="O198" i="63" s="1"/>
  <c r="AC198" i="63"/>
  <c r="Y196" i="63"/>
  <c r="Z196" i="63"/>
  <c r="AH196" i="63" s="1"/>
  <c r="AB196" i="63"/>
  <c r="C203" i="63"/>
  <c r="A202" i="63"/>
  <c r="B203" i="63"/>
  <c r="I198" i="63" l="1"/>
  <c r="S198" i="63"/>
  <c r="L198" i="63"/>
  <c r="T197" i="63"/>
  <c r="R197" i="63"/>
  <c r="AE196" i="63"/>
  <c r="AF196" i="63" s="1"/>
  <c r="E203" i="63"/>
  <c r="G203" i="63" s="1"/>
  <c r="Q202" i="63"/>
  <c r="N198" i="63" l="1"/>
  <c r="P198" i="63"/>
  <c r="V197" i="63"/>
  <c r="AA197" i="63" s="1"/>
  <c r="AL197" i="63"/>
  <c r="AM197" i="63" s="1"/>
  <c r="D203" i="63"/>
  <c r="F203" i="63" s="1"/>
  <c r="AG197" i="63"/>
  <c r="AJ197" i="63" s="1"/>
  <c r="AK197" i="63" s="1"/>
  <c r="AD197" i="63"/>
  <c r="U197" i="63"/>
  <c r="J199" i="63" l="1"/>
  <c r="K199" i="63"/>
  <c r="Y197" i="63"/>
  <c r="Z197" i="63"/>
  <c r="AH197" i="63" s="1"/>
  <c r="H203" i="63"/>
  <c r="C204" i="63" s="1"/>
  <c r="AB197" i="63"/>
  <c r="B204" i="63" l="1"/>
  <c r="A203" i="63"/>
  <c r="Q203" i="63" s="1"/>
  <c r="AC199" i="63"/>
  <c r="M199" i="63"/>
  <c r="O199" i="63" s="1"/>
  <c r="R198" i="63"/>
  <c r="AE197" i="63"/>
  <c r="AF197" i="63" s="1"/>
  <c r="T198" i="63"/>
  <c r="E204" i="63"/>
  <c r="G204" i="63" s="1"/>
  <c r="D204" i="63" l="1"/>
  <c r="F204" i="63" s="1"/>
  <c r="L199" i="63"/>
  <c r="I199" i="63"/>
  <c r="S199" i="63"/>
  <c r="AG198" i="63"/>
  <c r="AJ198" i="63" s="1"/>
  <c r="AK198" i="63" s="1"/>
  <c r="AD198" i="63"/>
  <c r="V198" i="63"/>
  <c r="AA198" i="63" s="1"/>
  <c r="AL198" i="63"/>
  <c r="AM198" i="63" s="1"/>
  <c r="H204" i="63"/>
  <c r="N199" i="63" l="1"/>
  <c r="P199" i="63"/>
  <c r="U198" i="63"/>
  <c r="C205" i="63"/>
  <c r="A204" i="63"/>
  <c r="B205" i="63"/>
  <c r="K200" i="63" l="1"/>
  <c r="J200" i="63"/>
  <c r="AB198" i="63"/>
  <c r="Y198" i="63"/>
  <c r="Z198" i="63"/>
  <c r="AH198" i="63" s="1"/>
  <c r="Q204" i="63"/>
  <c r="E205" i="63"/>
  <c r="G205" i="63" s="1"/>
  <c r="M200" i="63" l="1"/>
  <c r="O200" i="63" s="1"/>
  <c r="AC200" i="63"/>
  <c r="AE198" i="63"/>
  <c r="AF198" i="63" s="1"/>
  <c r="R199" i="63"/>
  <c r="T199" i="63"/>
  <c r="D205" i="63"/>
  <c r="L200" i="63" l="1"/>
  <c r="S200" i="63"/>
  <c r="I200" i="63"/>
  <c r="AG199" i="63"/>
  <c r="AJ199" i="63" s="1"/>
  <c r="AK199" i="63" s="1"/>
  <c r="AD199" i="63"/>
  <c r="AL199" i="63"/>
  <c r="AM199" i="63" s="1"/>
  <c r="V199" i="63"/>
  <c r="AA199" i="63" s="1"/>
  <c r="F205" i="63"/>
  <c r="H205" i="63"/>
  <c r="N200" i="63" l="1"/>
  <c r="P200" i="63"/>
  <c r="U199" i="63"/>
  <c r="B206" i="63"/>
  <c r="C206" i="63"/>
  <c r="A205" i="63"/>
  <c r="J201" i="63" l="1"/>
  <c r="K201" i="63"/>
  <c r="Z199" i="63"/>
  <c r="AH199" i="63" s="1"/>
  <c r="Y199" i="63"/>
  <c r="AB199" i="63"/>
  <c r="Q205" i="63"/>
  <c r="E206" i="63"/>
  <c r="G206" i="63" s="1"/>
  <c r="M201" i="63" l="1"/>
  <c r="O201" i="63" s="1"/>
  <c r="AC201" i="63"/>
  <c r="R200" i="63"/>
  <c r="AE199" i="63"/>
  <c r="AF199" i="63" s="1"/>
  <c r="T200" i="63"/>
  <c r="D206" i="63"/>
  <c r="I201" i="63" l="1"/>
  <c r="S201" i="63"/>
  <c r="L201" i="63"/>
  <c r="AD200" i="63"/>
  <c r="AG200" i="63"/>
  <c r="AJ200" i="63" s="1"/>
  <c r="AK200" i="63" s="1"/>
  <c r="V200" i="63"/>
  <c r="AA200" i="63" s="1"/>
  <c r="AL200" i="63"/>
  <c r="AM200" i="63" s="1"/>
  <c r="F206" i="63"/>
  <c r="H206" i="63"/>
  <c r="N201" i="63" l="1"/>
  <c r="P201" i="63"/>
  <c r="U200" i="63"/>
  <c r="C207" i="63"/>
  <c r="A206" i="63"/>
  <c r="B207" i="63"/>
  <c r="J202" i="63" l="1"/>
  <c r="K202" i="63"/>
  <c r="Y200" i="63"/>
  <c r="Z200" i="63"/>
  <c r="AH200" i="63" s="1"/>
  <c r="AB200" i="63"/>
  <c r="E207" i="63"/>
  <c r="G207" i="63" s="1"/>
  <c r="Q206" i="63"/>
  <c r="AC202" i="63" l="1"/>
  <c r="M202" i="63"/>
  <c r="O202" i="63" s="1"/>
  <c r="D207" i="63"/>
  <c r="AE200" i="63"/>
  <c r="AF200" i="63" s="1"/>
  <c r="R201" i="63"/>
  <c r="T201" i="63"/>
  <c r="I202" i="63" l="1"/>
  <c r="S202" i="63"/>
  <c r="L202" i="63"/>
  <c r="AG201" i="63"/>
  <c r="AJ201" i="63" s="1"/>
  <c r="AK201" i="63" s="1"/>
  <c r="AD201" i="63"/>
  <c r="AL201" i="63"/>
  <c r="AM201" i="63" s="1"/>
  <c r="V201" i="63"/>
  <c r="AA201" i="63" s="1"/>
  <c r="F207" i="63"/>
  <c r="H207" i="63"/>
  <c r="N202" i="63" l="1"/>
  <c r="P202" i="63"/>
  <c r="C208" i="63"/>
  <c r="A207" i="63"/>
  <c r="Q207" i="63" s="1"/>
  <c r="B208" i="63"/>
  <c r="E208" i="63" s="1"/>
  <c r="G208" i="63" s="1"/>
  <c r="U201" i="63"/>
  <c r="J203" i="63" l="1"/>
  <c r="K203" i="63"/>
  <c r="Y201" i="63"/>
  <c r="Z201" i="63"/>
  <c r="AH201" i="63" s="1"/>
  <c r="AB201" i="63"/>
  <c r="D208" i="63"/>
  <c r="M203" i="63" l="1"/>
  <c r="O203" i="63" s="1"/>
  <c r="AC203" i="63"/>
  <c r="T202" i="63"/>
  <c r="R202" i="63"/>
  <c r="AE201" i="63"/>
  <c r="AF201" i="63" s="1"/>
  <c r="F208" i="63"/>
  <c r="H208" i="63"/>
  <c r="S203" i="63" l="1"/>
  <c r="I203" i="63"/>
  <c r="L203" i="63"/>
  <c r="C209" i="63"/>
  <c r="A208" i="63"/>
  <c r="Q208" i="63" s="1"/>
  <c r="B209" i="63"/>
  <c r="E209" i="63" s="1"/>
  <c r="G209" i="63" s="1"/>
  <c r="AL202" i="63"/>
  <c r="AM202" i="63" s="1"/>
  <c r="V202" i="63"/>
  <c r="AA202" i="63" s="1"/>
  <c r="AG202" i="63"/>
  <c r="AJ202" i="63" s="1"/>
  <c r="AK202" i="63" s="1"/>
  <c r="AD202" i="63"/>
  <c r="N203" i="63" l="1"/>
  <c r="P203" i="63"/>
  <c r="D209" i="63"/>
  <c r="H209" i="63" s="1"/>
  <c r="U202" i="63"/>
  <c r="F209" i="63"/>
  <c r="K204" i="63" l="1"/>
  <c r="J204" i="63"/>
  <c r="AB202" i="63"/>
  <c r="Y202" i="63"/>
  <c r="Z202" i="63"/>
  <c r="AH202" i="63" s="1"/>
  <c r="B210" i="63"/>
  <c r="A209" i="63"/>
  <c r="C210" i="63"/>
  <c r="M204" i="63" l="1"/>
  <c r="O204" i="63" s="1"/>
  <c r="AC204" i="63"/>
  <c r="L204" i="63"/>
  <c r="N204" i="63" s="1"/>
  <c r="AE202" i="63"/>
  <c r="AF202" i="63" s="1"/>
  <c r="R203" i="63"/>
  <c r="T203" i="63"/>
  <c r="Q209" i="63"/>
  <c r="E210" i="63"/>
  <c r="G210" i="63" s="1"/>
  <c r="D210" i="63" l="1"/>
  <c r="F210" i="63" s="1"/>
  <c r="P204" i="63"/>
  <c r="I204" i="63"/>
  <c r="S204" i="63"/>
  <c r="AD203" i="63"/>
  <c r="AG203" i="63"/>
  <c r="AJ203" i="63" s="1"/>
  <c r="AK203" i="63" s="1"/>
  <c r="AL203" i="63"/>
  <c r="AM203" i="63" s="1"/>
  <c r="V203" i="63"/>
  <c r="AA203" i="63" s="1"/>
  <c r="H210" i="63"/>
  <c r="K205" i="63" l="1"/>
  <c r="J205" i="63"/>
  <c r="U203" i="63"/>
  <c r="C211" i="63"/>
  <c r="A210" i="63"/>
  <c r="B211" i="63"/>
  <c r="M205" i="63" l="1"/>
  <c r="O205" i="63" s="1"/>
  <c r="AC205" i="63"/>
  <c r="L205" i="63"/>
  <c r="N205" i="63" s="1"/>
  <c r="Y203" i="63"/>
  <c r="Z203" i="63"/>
  <c r="AH203" i="63" s="1"/>
  <c r="AB203" i="63"/>
  <c r="E211" i="63"/>
  <c r="G211" i="63" s="1"/>
  <c r="Q210" i="63"/>
  <c r="I205" i="63" l="1"/>
  <c r="S205" i="63"/>
  <c r="P205" i="63"/>
  <c r="AE203" i="63"/>
  <c r="AF203" i="63" s="1"/>
  <c r="R204" i="63"/>
  <c r="T204" i="63"/>
  <c r="D211" i="63"/>
  <c r="K206" i="63" l="1"/>
  <c r="J206" i="63"/>
  <c r="AD204" i="63"/>
  <c r="AG204" i="63"/>
  <c r="AJ204" i="63" s="1"/>
  <c r="AK204" i="63" s="1"/>
  <c r="AL204" i="63"/>
  <c r="AM204" i="63" s="1"/>
  <c r="V204" i="63"/>
  <c r="AA204" i="63" s="1"/>
  <c r="F211" i="63"/>
  <c r="H211" i="63"/>
  <c r="M206" i="63" l="1"/>
  <c r="O206" i="63" s="1"/>
  <c r="AC206" i="63"/>
  <c r="U204" i="63"/>
  <c r="B212" i="63"/>
  <c r="A211" i="63"/>
  <c r="C212" i="63"/>
  <c r="I206" i="63" l="1"/>
  <c r="S206" i="63"/>
  <c r="L206" i="63"/>
  <c r="Z204" i="63"/>
  <c r="AH204" i="63" s="1"/>
  <c r="Y204" i="63"/>
  <c r="AB204" i="63"/>
  <c r="E212" i="63"/>
  <c r="G212" i="63" s="1"/>
  <c r="Q211" i="63"/>
  <c r="N206" i="63" l="1"/>
  <c r="P206" i="63"/>
  <c r="AE204" i="63"/>
  <c r="AF204" i="63" s="1"/>
  <c r="R205" i="63"/>
  <c r="T205" i="63"/>
  <c r="D212" i="63"/>
  <c r="J207" i="63" l="1"/>
  <c r="K207" i="63"/>
  <c r="V205" i="63"/>
  <c r="AA205" i="63" s="1"/>
  <c r="AL205" i="63"/>
  <c r="AM205" i="63" s="1"/>
  <c r="AG205" i="63"/>
  <c r="AJ205" i="63" s="1"/>
  <c r="AK205" i="63" s="1"/>
  <c r="AD205" i="63"/>
  <c r="F212" i="63"/>
  <c r="H212" i="63"/>
  <c r="U205" i="63" l="1"/>
  <c r="AC207" i="63"/>
  <c r="M207" i="63"/>
  <c r="O207" i="63" s="1"/>
  <c r="Y205" i="63"/>
  <c r="Z205" i="63"/>
  <c r="AH205" i="63" s="1"/>
  <c r="AB205" i="63"/>
  <c r="B213" i="63"/>
  <c r="A212" i="63"/>
  <c r="C213" i="63"/>
  <c r="S207" i="63" l="1"/>
  <c r="I207" i="63"/>
  <c r="L207" i="63"/>
  <c r="AE205" i="63"/>
  <c r="AF205" i="63" s="1"/>
  <c r="R206" i="63"/>
  <c r="T206" i="63"/>
  <c r="Q212" i="63"/>
  <c r="E213" i="63"/>
  <c r="G213" i="63" s="1"/>
  <c r="N207" i="63" l="1"/>
  <c r="P207" i="63"/>
  <c r="AG206" i="63"/>
  <c r="AJ206" i="63" s="1"/>
  <c r="AK206" i="63" s="1"/>
  <c r="AD206" i="63"/>
  <c r="AL206" i="63"/>
  <c r="AM206" i="63" s="1"/>
  <c r="V206" i="63"/>
  <c r="AA206" i="63" s="1"/>
  <c r="D213" i="63"/>
  <c r="K208" i="63" l="1"/>
  <c r="J208" i="63"/>
  <c r="U206" i="63"/>
  <c r="F213" i="63"/>
  <c r="H213" i="63"/>
  <c r="M208" i="63" l="1"/>
  <c r="O208" i="63" s="1"/>
  <c r="AC208" i="63"/>
  <c r="L208" i="63"/>
  <c r="N208" i="63" s="1"/>
  <c r="Y206" i="63"/>
  <c r="Z206" i="63"/>
  <c r="AH206" i="63" s="1"/>
  <c r="AB206" i="63"/>
  <c r="B214" i="63"/>
  <c r="C214" i="63"/>
  <c r="A213" i="63"/>
  <c r="P208" i="63" l="1"/>
  <c r="S208" i="63"/>
  <c r="I208" i="63"/>
  <c r="AE206" i="63"/>
  <c r="AF206" i="63" s="1"/>
  <c r="R207" i="63"/>
  <c r="T207" i="63"/>
  <c r="Q213" i="63"/>
  <c r="E214" i="63"/>
  <c r="G214" i="63" s="1"/>
  <c r="K209" i="63" l="1"/>
  <c r="J209" i="63"/>
  <c r="AG207" i="63"/>
  <c r="AJ207" i="63" s="1"/>
  <c r="AK207" i="63" s="1"/>
  <c r="AD207" i="63"/>
  <c r="V207" i="63"/>
  <c r="AA207" i="63" s="1"/>
  <c r="AL207" i="63"/>
  <c r="AM207" i="63" s="1"/>
  <c r="D214" i="63"/>
  <c r="M209" i="63" l="1"/>
  <c r="O209" i="63" s="1"/>
  <c r="AC209" i="63"/>
  <c r="U207" i="63"/>
  <c r="F214" i="63"/>
  <c r="H214" i="63"/>
  <c r="L209" i="63" l="1"/>
  <c r="I209" i="63"/>
  <c r="S209" i="63"/>
  <c r="AB207" i="63"/>
  <c r="Z207" i="63"/>
  <c r="AH207" i="63" s="1"/>
  <c r="Y207" i="63"/>
  <c r="C215" i="63"/>
  <c r="A214" i="63"/>
  <c r="B215" i="63"/>
  <c r="N209" i="63" l="1"/>
  <c r="P209" i="63"/>
  <c r="T208" i="63"/>
  <c r="AE207" i="63"/>
  <c r="AF207" i="63" s="1"/>
  <c r="R208" i="63"/>
  <c r="E215" i="63"/>
  <c r="G215" i="63" s="1"/>
  <c r="Q214" i="63"/>
  <c r="K210" i="63" l="1"/>
  <c r="J210" i="63"/>
  <c r="AL208" i="63"/>
  <c r="AM208" i="63" s="1"/>
  <c r="V208" i="63"/>
  <c r="AA208" i="63" s="1"/>
  <c r="AD208" i="63"/>
  <c r="AG208" i="63"/>
  <c r="AJ208" i="63" s="1"/>
  <c r="AK208" i="63" s="1"/>
  <c r="D215" i="63"/>
  <c r="M210" i="63" l="1"/>
  <c r="O210" i="63" s="1"/>
  <c r="AC210" i="63"/>
  <c r="U208" i="63"/>
  <c r="AB208" i="63" s="1"/>
  <c r="L210" i="63"/>
  <c r="N210" i="63" s="1"/>
  <c r="AE208" i="63"/>
  <c r="AF208" i="63" s="1"/>
  <c r="T209" i="63"/>
  <c r="R209" i="63"/>
  <c r="F215" i="63"/>
  <c r="H215" i="63"/>
  <c r="P210" i="63" l="1"/>
  <c r="Z208" i="63"/>
  <c r="AH208" i="63" s="1"/>
  <c r="S210" i="63"/>
  <c r="I210" i="63"/>
  <c r="Y208" i="63"/>
  <c r="AL209" i="63"/>
  <c r="AM209" i="63" s="1"/>
  <c r="V209" i="63"/>
  <c r="AA209" i="63" s="1"/>
  <c r="AG209" i="63"/>
  <c r="AJ209" i="63" s="1"/>
  <c r="AK209" i="63" s="1"/>
  <c r="AD209" i="63"/>
  <c r="C216" i="63"/>
  <c r="B216" i="63"/>
  <c r="A215" i="63"/>
  <c r="U209" i="63" l="1"/>
  <c r="K211" i="63"/>
  <c r="J211" i="63"/>
  <c r="Y209" i="63"/>
  <c r="Z209" i="63"/>
  <c r="AH209" i="63" s="1"/>
  <c r="AB209" i="63"/>
  <c r="Q215" i="63"/>
  <c r="E216" i="63"/>
  <c r="G216" i="63" s="1"/>
  <c r="D216" i="63" l="1"/>
  <c r="F216" i="63" s="1"/>
  <c r="M211" i="63"/>
  <c r="O211" i="63" s="1"/>
  <c r="AC211" i="63"/>
  <c r="L211" i="63"/>
  <c r="N211" i="63" s="1"/>
  <c r="AE209" i="63"/>
  <c r="AF209" i="63" s="1"/>
  <c r="R210" i="63"/>
  <c r="T210" i="63"/>
  <c r="H216" i="63"/>
  <c r="S211" i="63" l="1"/>
  <c r="I211" i="63"/>
  <c r="P211" i="63"/>
  <c r="AD210" i="63"/>
  <c r="AG210" i="63"/>
  <c r="AJ210" i="63" s="1"/>
  <c r="AK210" i="63" s="1"/>
  <c r="V210" i="63"/>
  <c r="AA210" i="63" s="1"/>
  <c r="AL210" i="63"/>
  <c r="AM210" i="63" s="1"/>
  <c r="B217" i="63"/>
  <c r="A216" i="63"/>
  <c r="C217" i="63"/>
  <c r="J212" i="63" l="1"/>
  <c r="K212" i="63"/>
  <c r="U210" i="63"/>
  <c r="Q216" i="63"/>
  <c r="E217" i="63"/>
  <c r="G217" i="63" s="1"/>
  <c r="AC212" i="63" l="1"/>
  <c r="M212" i="63"/>
  <c r="O212" i="63" s="1"/>
  <c r="Y210" i="63"/>
  <c r="Z210" i="63"/>
  <c r="AH210" i="63" s="1"/>
  <c r="AB210" i="63"/>
  <c r="D217" i="63"/>
  <c r="I212" i="63" l="1"/>
  <c r="S212" i="63"/>
  <c r="L212" i="63"/>
  <c r="AE210" i="63"/>
  <c r="AF210" i="63" s="1"/>
  <c r="R211" i="63"/>
  <c r="T211" i="63"/>
  <c r="F217" i="63"/>
  <c r="H217" i="63"/>
  <c r="N212" i="63" l="1"/>
  <c r="P212" i="63"/>
  <c r="AG211" i="63"/>
  <c r="AJ211" i="63" s="1"/>
  <c r="AK211" i="63" s="1"/>
  <c r="AD211" i="63"/>
  <c r="AL211" i="63"/>
  <c r="AM211" i="63" s="1"/>
  <c r="V211" i="63"/>
  <c r="AA211" i="63" s="1"/>
  <c r="B218" i="63"/>
  <c r="A217" i="63"/>
  <c r="C218" i="63"/>
  <c r="K213" i="63" l="1"/>
  <c r="J213" i="63"/>
  <c r="U211" i="63"/>
  <c r="Q217" i="63"/>
  <c r="E218" i="63"/>
  <c r="G218" i="63" s="1"/>
  <c r="M213" i="63" l="1"/>
  <c r="O213" i="63" s="1"/>
  <c r="AC213" i="63"/>
  <c r="L213" i="63"/>
  <c r="N213" i="63" s="1"/>
  <c r="Y211" i="63"/>
  <c r="Z211" i="63"/>
  <c r="AH211" i="63" s="1"/>
  <c r="AB211" i="63"/>
  <c r="D218" i="63"/>
  <c r="I213" i="63" l="1"/>
  <c r="S213" i="63"/>
  <c r="P213" i="63"/>
  <c r="R212" i="63"/>
  <c r="AE211" i="63"/>
  <c r="AF211" i="63" s="1"/>
  <c r="T212" i="63"/>
  <c r="F218" i="63"/>
  <c r="H218" i="63"/>
  <c r="J214" i="63" l="1"/>
  <c r="K214" i="63"/>
  <c r="AD212" i="63"/>
  <c r="AG212" i="63"/>
  <c r="AJ212" i="63" s="1"/>
  <c r="AK212" i="63" s="1"/>
  <c r="AL212" i="63"/>
  <c r="AM212" i="63" s="1"/>
  <c r="V212" i="63"/>
  <c r="AA212" i="63" s="1"/>
  <c r="C219" i="63"/>
  <c r="A218" i="63"/>
  <c r="B219" i="63"/>
  <c r="M214" i="63" l="1"/>
  <c r="O214" i="63" s="1"/>
  <c r="AC214" i="63"/>
  <c r="U212" i="63"/>
  <c r="E219" i="63"/>
  <c r="G219" i="63" s="1"/>
  <c r="Q218" i="63"/>
  <c r="I214" i="63" l="1"/>
  <c r="S214" i="63"/>
  <c r="L214" i="63"/>
  <c r="D219" i="63"/>
  <c r="F219" i="63" s="1"/>
  <c r="Z212" i="63"/>
  <c r="AH212" i="63" s="1"/>
  <c r="Y212" i="63"/>
  <c r="AB212" i="63"/>
  <c r="P214" i="63" l="1"/>
  <c r="N214" i="63"/>
  <c r="H219" i="63"/>
  <c r="B220" i="63" s="1"/>
  <c r="AE212" i="63"/>
  <c r="AF212" i="63" s="1"/>
  <c r="R213" i="63"/>
  <c r="T213" i="63"/>
  <c r="A219" i="63"/>
  <c r="C220" i="63"/>
  <c r="J215" i="63" l="1"/>
  <c r="K215" i="63"/>
  <c r="V213" i="63"/>
  <c r="AA213" i="63" s="1"/>
  <c r="AL213" i="63"/>
  <c r="AM213" i="63" s="1"/>
  <c r="AD213" i="63"/>
  <c r="AG213" i="63"/>
  <c r="AJ213" i="63" s="1"/>
  <c r="AK213" i="63" s="1"/>
  <c r="Q219" i="63"/>
  <c r="E220" i="63"/>
  <c r="G220" i="63" s="1"/>
  <c r="U213" i="63" l="1"/>
  <c r="AC215" i="63"/>
  <c r="M215" i="63"/>
  <c r="O215" i="63" s="1"/>
  <c r="Z213" i="63"/>
  <c r="AH213" i="63" s="1"/>
  <c r="Y213" i="63"/>
  <c r="AB213" i="63"/>
  <c r="D220" i="63"/>
  <c r="I215" i="63" l="1"/>
  <c r="S215" i="63"/>
  <c r="L215" i="63"/>
  <c r="T214" i="63"/>
  <c r="AE213" i="63"/>
  <c r="AF213" i="63" s="1"/>
  <c r="R214" i="63"/>
  <c r="F220" i="63"/>
  <c r="H220" i="63"/>
  <c r="N215" i="63" l="1"/>
  <c r="P215" i="63"/>
  <c r="AL214" i="63"/>
  <c r="AM214" i="63" s="1"/>
  <c r="V214" i="63"/>
  <c r="AA214" i="63" s="1"/>
  <c r="AD214" i="63"/>
  <c r="AG214" i="63"/>
  <c r="AJ214" i="63" s="1"/>
  <c r="AK214" i="63" s="1"/>
  <c r="B221" i="63"/>
  <c r="A220" i="63"/>
  <c r="C221" i="63"/>
  <c r="J216" i="63" l="1"/>
  <c r="K216" i="63"/>
  <c r="U214" i="63"/>
  <c r="Q220" i="63"/>
  <c r="E221" i="63"/>
  <c r="G221" i="63" s="1"/>
  <c r="AC216" i="63" l="1"/>
  <c r="M216" i="63"/>
  <c r="O216" i="63" s="1"/>
  <c r="D221" i="63"/>
  <c r="F221" i="63" s="1"/>
  <c r="Z214" i="63"/>
  <c r="AH214" i="63" s="1"/>
  <c r="Y214" i="63"/>
  <c r="AB214" i="63"/>
  <c r="S216" i="63" l="1"/>
  <c r="I216" i="63"/>
  <c r="L216" i="63"/>
  <c r="R215" i="63"/>
  <c r="T215" i="63"/>
  <c r="AE214" i="63"/>
  <c r="AF214" i="63" s="1"/>
  <c r="H221" i="63"/>
  <c r="B222" i="63" s="1"/>
  <c r="A221" i="63" l="1"/>
  <c r="C222" i="63"/>
  <c r="N216" i="63"/>
  <c r="P216" i="63"/>
  <c r="AD215" i="63"/>
  <c r="AG215" i="63"/>
  <c r="AJ215" i="63" s="1"/>
  <c r="AK215" i="63" s="1"/>
  <c r="AL215" i="63"/>
  <c r="AM215" i="63" s="1"/>
  <c r="V215" i="63"/>
  <c r="AA215" i="63" s="1"/>
  <c r="Q221" i="63"/>
  <c r="E222" i="63"/>
  <c r="G222" i="63" s="1"/>
  <c r="D222" i="63" l="1"/>
  <c r="F222" i="63" s="1"/>
  <c r="K217" i="63"/>
  <c r="J217" i="63"/>
  <c r="U215" i="63"/>
  <c r="H222" i="63"/>
  <c r="M217" i="63" l="1"/>
  <c r="O217" i="63" s="1"/>
  <c r="AC217" i="63"/>
  <c r="Y215" i="63"/>
  <c r="Z215" i="63"/>
  <c r="AH215" i="63" s="1"/>
  <c r="AB215" i="63"/>
  <c r="C223" i="63"/>
  <c r="A222" i="63"/>
  <c r="B223" i="63"/>
  <c r="I217" i="63" l="1"/>
  <c r="S217" i="63"/>
  <c r="L217" i="63"/>
  <c r="T216" i="63"/>
  <c r="AE215" i="63"/>
  <c r="AF215" i="63" s="1"/>
  <c r="R216" i="63"/>
  <c r="Q222" i="63"/>
  <c r="E223" i="63"/>
  <c r="G223" i="63" s="1"/>
  <c r="N217" i="63" l="1"/>
  <c r="P217" i="63"/>
  <c r="AL216" i="63"/>
  <c r="AM216" i="63" s="1"/>
  <c r="V216" i="63"/>
  <c r="AA216" i="63" s="1"/>
  <c r="AG216" i="63"/>
  <c r="AJ216" i="63" s="1"/>
  <c r="AK216" i="63" s="1"/>
  <c r="AD216" i="63"/>
  <c r="D223" i="63"/>
  <c r="U216" i="63" l="1"/>
  <c r="K218" i="63"/>
  <c r="J218" i="63"/>
  <c r="Z216" i="63"/>
  <c r="AH216" i="63" s="1"/>
  <c r="Y216" i="63"/>
  <c r="AB216" i="63"/>
  <c r="F223" i="63"/>
  <c r="H223" i="63"/>
  <c r="M218" i="63" l="1"/>
  <c r="O218" i="63" s="1"/>
  <c r="AC218" i="63"/>
  <c r="R217" i="63"/>
  <c r="AE216" i="63"/>
  <c r="AF216" i="63" s="1"/>
  <c r="T217" i="63"/>
  <c r="B224" i="63"/>
  <c r="C224" i="63"/>
  <c r="A223" i="63"/>
  <c r="L218" i="63" l="1"/>
  <c r="N218" i="63" s="1"/>
  <c r="P218" i="63"/>
  <c r="S218" i="63"/>
  <c r="I218" i="63"/>
  <c r="AG217" i="63"/>
  <c r="AJ217" i="63" s="1"/>
  <c r="AK217" i="63" s="1"/>
  <c r="AD217" i="63"/>
  <c r="AL217" i="63"/>
  <c r="AM217" i="63" s="1"/>
  <c r="V217" i="63"/>
  <c r="AA217" i="63" s="1"/>
  <c r="E224" i="63"/>
  <c r="G224" i="63" s="1"/>
  <c r="Q223" i="63"/>
  <c r="K219" i="63" l="1"/>
  <c r="J219" i="63"/>
  <c r="U217" i="63"/>
  <c r="D224" i="63"/>
  <c r="M219" i="63" l="1"/>
  <c r="O219" i="63" s="1"/>
  <c r="AC219" i="63"/>
  <c r="L219" i="63"/>
  <c r="N219" i="63" s="1"/>
  <c r="Z217" i="63"/>
  <c r="AH217" i="63" s="1"/>
  <c r="Y217" i="63"/>
  <c r="AB217" i="63"/>
  <c r="F224" i="63"/>
  <c r="H224" i="63"/>
  <c r="P219" i="63" l="1"/>
  <c r="I219" i="63"/>
  <c r="S219" i="63"/>
  <c r="T218" i="63"/>
  <c r="AE217" i="63"/>
  <c r="AF217" i="63" s="1"/>
  <c r="R218" i="63"/>
  <c r="B225" i="63"/>
  <c r="C225" i="63"/>
  <c r="A224" i="63"/>
  <c r="K220" i="63" l="1"/>
  <c r="J220" i="63"/>
  <c r="AL218" i="63"/>
  <c r="AM218" i="63" s="1"/>
  <c r="V218" i="63"/>
  <c r="AA218" i="63" s="1"/>
  <c r="AG218" i="63"/>
  <c r="AJ218" i="63" s="1"/>
  <c r="AK218" i="63" s="1"/>
  <c r="AD218" i="63"/>
  <c r="Q224" i="63"/>
  <c r="E225" i="63"/>
  <c r="G225" i="63" s="1"/>
  <c r="M220" i="63" l="1"/>
  <c r="O220" i="63" s="1"/>
  <c r="AC220" i="63"/>
  <c r="U218" i="63"/>
  <c r="L220" i="63"/>
  <c r="N220" i="63" s="1"/>
  <c r="Z218" i="63"/>
  <c r="AH218" i="63" s="1"/>
  <c r="Y218" i="63"/>
  <c r="AB218" i="63"/>
  <c r="D225" i="63"/>
  <c r="P220" i="63" l="1"/>
  <c r="I220" i="63"/>
  <c r="S220" i="63"/>
  <c r="AE218" i="63"/>
  <c r="AF218" i="63" s="1"/>
  <c r="T219" i="63"/>
  <c r="R219" i="63"/>
  <c r="F225" i="63"/>
  <c r="H225" i="63"/>
  <c r="K221" i="63" l="1"/>
  <c r="J221" i="63"/>
  <c r="V219" i="63"/>
  <c r="AA219" i="63" s="1"/>
  <c r="AL219" i="63"/>
  <c r="AM219" i="63" s="1"/>
  <c r="AD219" i="63"/>
  <c r="AG219" i="63"/>
  <c r="AJ219" i="63" s="1"/>
  <c r="AK219" i="63" s="1"/>
  <c r="U219" i="63"/>
  <c r="C226" i="63"/>
  <c r="A225" i="63"/>
  <c r="B226" i="63"/>
  <c r="M221" i="63" l="1"/>
  <c r="O221" i="63" s="1"/>
  <c r="AC221" i="63"/>
  <c r="L221" i="63"/>
  <c r="N221" i="63" s="1"/>
  <c r="AB219" i="63"/>
  <c r="Y219" i="63"/>
  <c r="Z219" i="63"/>
  <c r="AH219" i="63" s="1"/>
  <c r="E226" i="63"/>
  <c r="G226" i="63" s="1"/>
  <c r="Q225" i="63"/>
  <c r="D226" i="63" l="1"/>
  <c r="F226" i="63" s="1"/>
  <c r="P221" i="63"/>
  <c r="I221" i="63"/>
  <c r="S221" i="63"/>
  <c r="R220" i="63"/>
  <c r="AE219" i="63"/>
  <c r="AF219" i="63" s="1"/>
  <c r="T220" i="63"/>
  <c r="H226" i="63"/>
  <c r="K222" i="63" l="1"/>
  <c r="J222" i="63"/>
  <c r="AG220" i="63"/>
  <c r="AJ220" i="63" s="1"/>
  <c r="AK220" i="63" s="1"/>
  <c r="AD220" i="63"/>
  <c r="AL220" i="63"/>
  <c r="AM220" i="63" s="1"/>
  <c r="V220" i="63"/>
  <c r="AA220" i="63" s="1"/>
  <c r="C227" i="63"/>
  <c r="A226" i="63"/>
  <c r="B227" i="63"/>
  <c r="M222" i="63" l="1"/>
  <c r="AC222" i="63"/>
  <c r="U220" i="63"/>
  <c r="E227" i="63"/>
  <c r="G227" i="63" s="1"/>
  <c r="Q226" i="63"/>
  <c r="I222" i="63" l="1"/>
  <c r="S222" i="63"/>
  <c r="O222" i="63"/>
  <c r="L222" i="63"/>
  <c r="Z220" i="63"/>
  <c r="AH220" i="63" s="1"/>
  <c r="Y220" i="63"/>
  <c r="AB220" i="63"/>
  <c r="D227" i="63"/>
  <c r="N222" i="63" l="1"/>
  <c r="P222" i="63"/>
  <c r="T221" i="63"/>
  <c r="R221" i="63"/>
  <c r="AE220" i="63"/>
  <c r="AF220" i="63" s="1"/>
  <c r="F227" i="63"/>
  <c r="H227" i="63"/>
  <c r="K223" i="63" l="1"/>
  <c r="J223" i="63"/>
  <c r="AL221" i="63"/>
  <c r="AM221" i="63" s="1"/>
  <c r="V221" i="63"/>
  <c r="AA221" i="63" s="1"/>
  <c r="AG221" i="63"/>
  <c r="AJ221" i="63" s="1"/>
  <c r="AK221" i="63" s="1"/>
  <c r="AD221" i="63"/>
  <c r="U221" i="63"/>
  <c r="B228" i="63"/>
  <c r="C228" i="63"/>
  <c r="A227" i="63"/>
  <c r="M223" i="63" l="1"/>
  <c r="AC223" i="63"/>
  <c r="Y221" i="63"/>
  <c r="Z221" i="63"/>
  <c r="AH221" i="63" s="1"/>
  <c r="AB221" i="63"/>
  <c r="Q227" i="63"/>
  <c r="E228" i="63"/>
  <c r="G228" i="63" s="1"/>
  <c r="I223" i="63" l="1"/>
  <c r="S223" i="63"/>
  <c r="O223" i="63"/>
  <c r="L223" i="63"/>
  <c r="AE221" i="63"/>
  <c r="AF221" i="63" s="1"/>
  <c r="T222" i="63"/>
  <c r="R222" i="63"/>
  <c r="D228" i="63"/>
  <c r="P223" i="63" l="1"/>
  <c r="N223" i="63"/>
  <c r="AL222" i="63"/>
  <c r="AM222" i="63" s="1"/>
  <c r="V222" i="63"/>
  <c r="AA222" i="63" s="1"/>
  <c r="AG222" i="63"/>
  <c r="AJ222" i="63" s="1"/>
  <c r="AK222" i="63" s="1"/>
  <c r="AD222" i="63"/>
  <c r="U222" i="63"/>
  <c r="F228" i="63"/>
  <c r="H228" i="63"/>
  <c r="K224" i="63" l="1"/>
  <c r="J224" i="63"/>
  <c r="Y222" i="63"/>
  <c r="Z222" i="63"/>
  <c r="AH222" i="63" s="1"/>
  <c r="AB222" i="63"/>
  <c r="C229" i="63"/>
  <c r="A228" i="63"/>
  <c r="B229" i="63"/>
  <c r="AC224" i="63" l="1"/>
  <c r="M224" i="63"/>
  <c r="AE222" i="63"/>
  <c r="AF222" i="63" s="1"/>
  <c r="R223" i="63"/>
  <c r="T223" i="63"/>
  <c r="E229" i="63"/>
  <c r="G229" i="63" s="1"/>
  <c r="Q228" i="63"/>
  <c r="D229" i="63" l="1"/>
  <c r="F229" i="63" s="1"/>
  <c r="O224" i="63"/>
  <c r="L224" i="63"/>
  <c r="S224" i="63"/>
  <c r="I224" i="63"/>
  <c r="V223" i="63"/>
  <c r="AA223" i="63" s="1"/>
  <c r="AL223" i="63"/>
  <c r="AM223" i="63" s="1"/>
  <c r="H229" i="63"/>
  <c r="B230" i="63" s="1"/>
  <c r="AG223" i="63"/>
  <c r="AJ223" i="63" s="1"/>
  <c r="AK223" i="63" s="1"/>
  <c r="AD223" i="63"/>
  <c r="U223" i="63" l="1"/>
  <c r="P224" i="63"/>
  <c r="N224" i="63"/>
  <c r="A229" i="63"/>
  <c r="Q229" i="63" s="1"/>
  <c r="C230" i="63"/>
  <c r="Y223" i="63"/>
  <c r="Z223" i="63"/>
  <c r="AH223" i="63" s="1"/>
  <c r="AB223" i="63"/>
  <c r="E230" i="63"/>
  <c r="G230" i="63" s="1"/>
  <c r="D230" i="63" l="1"/>
  <c r="F230" i="63" s="1"/>
  <c r="K225" i="63"/>
  <c r="J225" i="63"/>
  <c r="R224" i="63"/>
  <c r="AE223" i="63"/>
  <c r="AF223" i="63" s="1"/>
  <c r="T224" i="63"/>
  <c r="H230" i="63"/>
  <c r="AC225" i="63" l="1"/>
  <c r="M225" i="63"/>
  <c r="O225" i="63" s="1"/>
  <c r="AD224" i="63"/>
  <c r="AG224" i="63"/>
  <c r="AJ224" i="63" s="1"/>
  <c r="AK224" i="63" s="1"/>
  <c r="AL224" i="63"/>
  <c r="AM224" i="63" s="1"/>
  <c r="V224" i="63"/>
  <c r="AA224" i="63" s="1"/>
  <c r="C231" i="63"/>
  <c r="A230" i="63"/>
  <c r="B231" i="63"/>
  <c r="S225" i="63" l="1"/>
  <c r="I225" i="63"/>
  <c r="L225" i="63"/>
  <c r="U224" i="63"/>
  <c r="E231" i="63"/>
  <c r="G231" i="63" s="1"/>
  <c r="Q230" i="63"/>
  <c r="P225" i="63" l="1"/>
  <c r="N225" i="63"/>
  <c r="Y224" i="63"/>
  <c r="Z224" i="63"/>
  <c r="AH224" i="63" s="1"/>
  <c r="AB224" i="63"/>
  <c r="D231" i="63"/>
  <c r="J226" i="63" l="1"/>
  <c r="K226" i="63"/>
  <c r="AE224" i="63"/>
  <c r="AF224" i="63" s="1"/>
  <c r="T225" i="63"/>
  <c r="R225" i="63"/>
  <c r="F231" i="63"/>
  <c r="H231" i="63"/>
  <c r="AC226" i="63" l="1"/>
  <c r="M226" i="63"/>
  <c r="AD225" i="63"/>
  <c r="AG225" i="63"/>
  <c r="AJ225" i="63" s="1"/>
  <c r="AK225" i="63" s="1"/>
  <c r="AL225" i="63"/>
  <c r="AM225" i="63" s="1"/>
  <c r="V225" i="63"/>
  <c r="AA225" i="63" s="1"/>
  <c r="B232" i="63"/>
  <c r="C232" i="63"/>
  <c r="A231" i="63"/>
  <c r="O226" i="63" l="1"/>
  <c r="L226" i="63"/>
  <c r="S226" i="63"/>
  <c r="I226" i="63"/>
  <c r="U225" i="63"/>
  <c r="E232" i="63"/>
  <c r="G232" i="63" s="1"/>
  <c r="Q231" i="63"/>
  <c r="D232" i="63" l="1"/>
  <c r="F232" i="63" s="1"/>
  <c r="P226" i="63"/>
  <c r="N226" i="63"/>
  <c r="AB225" i="63"/>
  <c r="Z225" i="63"/>
  <c r="AH225" i="63" s="1"/>
  <c r="Y225" i="63"/>
  <c r="H232" i="63"/>
  <c r="J227" i="63" l="1"/>
  <c r="K227" i="63"/>
  <c r="R226" i="63"/>
  <c r="AE225" i="63"/>
  <c r="AF225" i="63" s="1"/>
  <c r="T226" i="63"/>
  <c r="C233" i="63"/>
  <c r="A232" i="63"/>
  <c r="B233" i="63"/>
  <c r="M227" i="63" l="1"/>
  <c r="AC227" i="63"/>
  <c r="AG226" i="63"/>
  <c r="AJ226" i="63" s="1"/>
  <c r="AK226" i="63" s="1"/>
  <c r="AD226" i="63"/>
  <c r="AL226" i="63"/>
  <c r="AM226" i="63" s="1"/>
  <c r="V226" i="63"/>
  <c r="AA226" i="63" s="1"/>
  <c r="Q232" i="63"/>
  <c r="E233" i="63"/>
  <c r="G233" i="63" s="1"/>
  <c r="I227" i="63" l="1"/>
  <c r="S227" i="63"/>
  <c r="O227" i="63"/>
  <c r="L227" i="63"/>
  <c r="U226" i="63"/>
  <c r="D233" i="63"/>
  <c r="P227" i="63" l="1"/>
  <c r="N227" i="63"/>
  <c r="Z226" i="63"/>
  <c r="AH226" i="63" s="1"/>
  <c r="Y226" i="63"/>
  <c r="AB226" i="63"/>
  <c r="F233" i="63"/>
  <c r="H233" i="63"/>
  <c r="K228" i="63" l="1"/>
  <c r="J228" i="63"/>
  <c r="T227" i="63"/>
  <c r="R227" i="63"/>
  <c r="AE226" i="63"/>
  <c r="AF226" i="63" s="1"/>
  <c r="C234" i="63"/>
  <c r="A233" i="63"/>
  <c r="B234" i="63"/>
  <c r="AC228" i="63" l="1"/>
  <c r="M228" i="63"/>
  <c r="AL227" i="63"/>
  <c r="AM227" i="63" s="1"/>
  <c r="V227" i="63"/>
  <c r="AA227" i="63" s="1"/>
  <c r="AG227" i="63"/>
  <c r="AJ227" i="63" s="1"/>
  <c r="AK227" i="63" s="1"/>
  <c r="AD227" i="63"/>
  <c r="U227" i="63"/>
  <c r="AB227" i="63" s="1"/>
  <c r="E234" i="63"/>
  <c r="G234" i="63" s="1"/>
  <c r="Q233" i="63"/>
  <c r="O228" i="63" l="1"/>
  <c r="L228" i="63"/>
  <c r="I228" i="63"/>
  <c r="S228" i="63"/>
  <c r="AE227" i="63"/>
  <c r="AF227" i="63" s="1"/>
  <c r="R228" i="63"/>
  <c r="T228" i="63"/>
  <c r="Z227" i="63"/>
  <c r="AH227" i="63" s="1"/>
  <c r="Y227" i="63"/>
  <c r="D234" i="63"/>
  <c r="P228" i="63" l="1"/>
  <c r="N228" i="63"/>
  <c r="AD228" i="63"/>
  <c r="AG228" i="63"/>
  <c r="AJ228" i="63" s="1"/>
  <c r="AK228" i="63" s="1"/>
  <c r="AL228" i="63"/>
  <c r="AM228" i="63" s="1"/>
  <c r="V228" i="63"/>
  <c r="AA228" i="63" s="1"/>
  <c r="F234" i="63"/>
  <c r="H234" i="63"/>
  <c r="K229" i="63" l="1"/>
  <c r="J229" i="63"/>
  <c r="U228" i="63"/>
  <c r="C235" i="63"/>
  <c r="A234" i="63"/>
  <c r="B235" i="63"/>
  <c r="M229" i="63" l="1"/>
  <c r="AC229" i="63"/>
  <c r="Y228" i="63"/>
  <c r="Z228" i="63"/>
  <c r="AH228" i="63" s="1"/>
  <c r="AB228" i="63"/>
  <c r="E235" i="63"/>
  <c r="G235" i="63" s="1"/>
  <c r="Q234" i="63"/>
  <c r="I229" i="63" l="1"/>
  <c r="S229" i="63"/>
  <c r="O229" i="63"/>
  <c r="L229" i="63"/>
  <c r="AE228" i="63"/>
  <c r="AF228" i="63" s="1"/>
  <c r="T229" i="63"/>
  <c r="R229" i="63"/>
  <c r="D235" i="63"/>
  <c r="N229" i="63" l="1"/>
  <c r="P229" i="63"/>
  <c r="AD229" i="63"/>
  <c r="AG229" i="63"/>
  <c r="AJ229" i="63" s="1"/>
  <c r="AK229" i="63" s="1"/>
  <c r="AL229" i="63"/>
  <c r="AM229" i="63" s="1"/>
  <c r="V229" i="63"/>
  <c r="AA229" i="63" s="1"/>
  <c r="F235" i="63"/>
  <c r="H235" i="63"/>
  <c r="K230" i="63" l="1"/>
  <c r="J230" i="63"/>
  <c r="U229" i="63"/>
  <c r="B236" i="63"/>
  <c r="A235" i="63"/>
  <c r="C236" i="63"/>
  <c r="AC230" i="63" l="1"/>
  <c r="M230" i="63"/>
  <c r="Z229" i="63"/>
  <c r="AH229" i="63" s="1"/>
  <c r="Y229" i="63"/>
  <c r="AB229" i="63"/>
  <c r="Q235" i="63"/>
  <c r="E236" i="63"/>
  <c r="G236" i="63" s="1"/>
  <c r="O230" i="63" l="1"/>
  <c r="L230" i="63"/>
  <c r="I230" i="63"/>
  <c r="S230" i="63"/>
  <c r="T230" i="63"/>
  <c r="AE229" i="63"/>
  <c r="AF229" i="63" s="1"/>
  <c r="R230" i="63"/>
  <c r="D236" i="63"/>
  <c r="N230" i="63" l="1"/>
  <c r="P230" i="63"/>
  <c r="AD230" i="63"/>
  <c r="AG230" i="63"/>
  <c r="AJ230" i="63" s="1"/>
  <c r="AK230" i="63" s="1"/>
  <c r="AL230" i="63"/>
  <c r="AM230" i="63" s="1"/>
  <c r="V230" i="63"/>
  <c r="AA230" i="63" s="1"/>
  <c r="F236" i="63"/>
  <c r="H236" i="63"/>
  <c r="J231" i="63" l="1"/>
  <c r="K231" i="63"/>
  <c r="U230" i="63"/>
  <c r="C237" i="63"/>
  <c r="A236" i="63"/>
  <c r="B237" i="63"/>
  <c r="M231" i="63" l="1"/>
  <c r="O231" i="63" s="1"/>
  <c r="AC231" i="63"/>
  <c r="Y230" i="63"/>
  <c r="Z230" i="63"/>
  <c r="AH230" i="63" s="1"/>
  <c r="AB230" i="63"/>
  <c r="Q236" i="63"/>
  <c r="E237" i="63"/>
  <c r="G237" i="63" s="1"/>
  <c r="I231" i="63" l="1"/>
  <c r="S231" i="63"/>
  <c r="L231" i="63"/>
  <c r="AE230" i="63"/>
  <c r="AF230" i="63" s="1"/>
  <c r="R231" i="63"/>
  <c r="T231" i="63"/>
  <c r="D237" i="63"/>
  <c r="F237" i="63" s="1"/>
  <c r="P231" i="63" l="1"/>
  <c r="N231" i="63"/>
  <c r="AL231" i="63"/>
  <c r="AM231" i="63" s="1"/>
  <c r="V231" i="63"/>
  <c r="AA231" i="63" s="1"/>
  <c r="H237" i="63"/>
  <c r="B238" i="63" s="1"/>
  <c r="AD231" i="63"/>
  <c r="AG231" i="63"/>
  <c r="AJ231" i="63" s="1"/>
  <c r="AK231" i="63" s="1"/>
  <c r="U231" i="63"/>
  <c r="AB231" i="63" s="1"/>
  <c r="AE231" i="63" s="1"/>
  <c r="AF231" i="63" s="1"/>
  <c r="A237" i="63" l="1"/>
  <c r="C238" i="63"/>
  <c r="J232" i="63"/>
  <c r="K232" i="63"/>
  <c r="Z231" i="63"/>
  <c r="AH231" i="63" s="1"/>
  <c r="Y231" i="63"/>
  <c r="R232" i="63"/>
  <c r="Q237" i="63"/>
  <c r="E238" i="63"/>
  <c r="G238" i="63" s="1"/>
  <c r="AL232" i="63" l="1"/>
  <c r="M232" i="63"/>
  <c r="O232" i="63" s="1"/>
  <c r="AC232" i="63"/>
  <c r="D238" i="63"/>
  <c r="I232" i="63" l="1"/>
  <c r="S232" i="63"/>
  <c r="L232" i="63"/>
  <c r="F238" i="63"/>
  <c r="H238" i="63"/>
  <c r="V232" i="63" l="1"/>
  <c r="T232" i="63"/>
  <c r="AA232" i="63"/>
  <c r="U232" i="63"/>
  <c r="N232" i="63"/>
  <c r="P232" i="63"/>
  <c r="C239" i="63"/>
  <c r="A238" i="63"/>
  <c r="B239" i="63"/>
  <c r="AG232" i="63" l="1"/>
  <c r="AJ232" i="63" s="1"/>
  <c r="AD232" i="63"/>
  <c r="K233" i="63"/>
  <c r="AK232" i="63"/>
  <c r="J233" i="63"/>
  <c r="AM232" i="63"/>
  <c r="Z232" i="63"/>
  <c r="AH232" i="63" s="1"/>
  <c r="Y232" i="63"/>
  <c r="AB232" i="63"/>
  <c r="E239" i="63"/>
  <c r="G239" i="63" s="1"/>
  <c r="Q238" i="63"/>
  <c r="AC233" i="63" l="1"/>
  <c r="M233" i="63"/>
  <c r="O233" i="63" s="1"/>
  <c r="AE232" i="63"/>
  <c r="AF232" i="63" s="1"/>
  <c r="R233" i="63"/>
  <c r="D239" i="63"/>
  <c r="AL233" i="63" l="1"/>
  <c r="L233" i="63"/>
  <c r="S233" i="63"/>
  <c r="I233" i="63"/>
  <c r="F239" i="63"/>
  <c r="H239" i="63"/>
  <c r="V233" i="63" l="1"/>
  <c r="T233" i="63"/>
  <c r="AA233" i="63"/>
  <c r="N233" i="63"/>
  <c r="P233" i="63"/>
  <c r="B240" i="63"/>
  <c r="C240" i="63"/>
  <c r="A239" i="63"/>
  <c r="AG233" i="63" l="1"/>
  <c r="AJ233" i="63" s="1"/>
  <c r="AD233" i="63"/>
  <c r="U233" i="63"/>
  <c r="AB233" i="63" s="1"/>
  <c r="AM233" i="63"/>
  <c r="J234" i="63"/>
  <c r="K234" i="63"/>
  <c r="AK233" i="63"/>
  <c r="Z233" i="63"/>
  <c r="AH233" i="63" s="1"/>
  <c r="E240" i="63"/>
  <c r="G240" i="63" s="1"/>
  <c r="Q239" i="63"/>
  <c r="Y233" i="63" l="1"/>
  <c r="R234" i="63"/>
  <c r="AE233" i="63"/>
  <c r="AF233" i="63" s="1"/>
  <c r="AC234" i="63"/>
  <c r="M234" i="63"/>
  <c r="O234" i="63" s="1"/>
  <c r="D240" i="63"/>
  <c r="S234" i="63" l="1"/>
  <c r="T234" i="63" s="1"/>
  <c r="I234" i="63"/>
  <c r="L234" i="63"/>
  <c r="AL234" i="63"/>
  <c r="V234" i="63"/>
  <c r="F240" i="63"/>
  <c r="H240" i="63"/>
  <c r="AG234" i="63" l="1"/>
  <c r="AJ234" i="63" s="1"/>
  <c r="AD234" i="63"/>
  <c r="AA234" i="63"/>
  <c r="U234" i="63"/>
  <c r="N234" i="63"/>
  <c r="P234" i="63"/>
  <c r="C241" i="63"/>
  <c r="A240" i="63"/>
  <c r="B241" i="63"/>
  <c r="J235" i="63" l="1"/>
  <c r="K235" i="63"/>
  <c r="AK234" i="63"/>
  <c r="AB234" i="63"/>
  <c r="Z234" i="63"/>
  <c r="AH234" i="63" s="1"/>
  <c r="Y234" i="63"/>
  <c r="AM234" i="63"/>
  <c r="E241" i="63"/>
  <c r="G241" i="63" s="1"/>
  <c r="Q240" i="63"/>
  <c r="R235" i="63" l="1"/>
  <c r="AE234" i="63"/>
  <c r="AF234" i="63" s="1"/>
  <c r="M235" i="63"/>
  <c r="O235" i="63" s="1"/>
  <c r="AC235" i="63"/>
  <c r="D241" i="63"/>
  <c r="S235" i="63" l="1"/>
  <c r="T235" i="63" s="1"/>
  <c r="AG235" i="63" s="1"/>
  <c r="AJ235" i="63" s="1"/>
  <c r="I235" i="63"/>
  <c r="AL235" i="63"/>
  <c r="V235" i="63"/>
  <c r="AA235" i="63" s="1"/>
  <c r="L235" i="63"/>
  <c r="F241" i="63"/>
  <c r="H241" i="63"/>
  <c r="AD235" i="63" l="1"/>
  <c r="N235" i="63"/>
  <c r="P235" i="63"/>
  <c r="AM235" i="63"/>
  <c r="U235" i="63"/>
  <c r="C242" i="63"/>
  <c r="A241" i="63"/>
  <c r="B242" i="63"/>
  <c r="Z235" i="63" l="1"/>
  <c r="AH235" i="63" s="1"/>
  <c r="AB235" i="63"/>
  <c r="Y235" i="63"/>
  <c r="K236" i="63"/>
  <c r="J236" i="63"/>
  <c r="AK235" i="63"/>
  <c r="E242" i="63"/>
  <c r="G242" i="63" s="1"/>
  <c r="Q241" i="63"/>
  <c r="M236" i="63" l="1"/>
  <c r="O236" i="63" s="1"/>
  <c r="AC236" i="63"/>
  <c r="AE235" i="63"/>
  <c r="AF235" i="63" s="1"/>
  <c r="R236" i="63"/>
  <c r="L236" i="63"/>
  <c r="N236" i="63" s="1"/>
  <c r="D242" i="63"/>
  <c r="P236" i="63" l="1"/>
  <c r="AL236" i="63"/>
  <c r="S236" i="63"/>
  <c r="I236" i="63"/>
  <c r="F242" i="63"/>
  <c r="H242" i="63"/>
  <c r="V236" i="63" l="1"/>
  <c r="T236" i="63"/>
  <c r="AM236" i="63"/>
  <c r="AA236" i="63"/>
  <c r="U236" i="63"/>
  <c r="J237" i="63"/>
  <c r="K237" i="63"/>
  <c r="C243" i="63"/>
  <c r="A242" i="63"/>
  <c r="B243" i="63"/>
  <c r="AG236" i="63" l="1"/>
  <c r="AJ236" i="63" s="1"/>
  <c r="AK236" i="63" s="1"/>
  <c r="AD236" i="63"/>
  <c r="AC237" i="63"/>
  <c r="M237" i="63"/>
  <c r="O237" i="63" s="1"/>
  <c r="AB236" i="63"/>
  <c r="Z236" i="63"/>
  <c r="AH236" i="63" s="1"/>
  <c r="Y236" i="63"/>
  <c r="E243" i="63"/>
  <c r="G243" i="63" s="1"/>
  <c r="Q242" i="63"/>
  <c r="L237" i="63" l="1"/>
  <c r="N237" i="63" s="1"/>
  <c r="AE236" i="63"/>
  <c r="AF236" i="63" s="1"/>
  <c r="R237" i="63"/>
  <c r="P237" i="63"/>
  <c r="S237" i="63"/>
  <c r="T237" i="63" s="1"/>
  <c r="I237" i="63"/>
  <c r="D243" i="63"/>
  <c r="F243" i="63" s="1"/>
  <c r="V237" i="63" l="1"/>
  <c r="AA237" i="63" s="1"/>
  <c r="AL237" i="63"/>
  <c r="AM237" i="63" s="1"/>
  <c r="AG237" i="63"/>
  <c r="AJ237" i="63" s="1"/>
  <c r="AK237" i="63" s="1"/>
  <c r="U237" i="63"/>
  <c r="AD237" i="63"/>
  <c r="H243" i="63"/>
  <c r="B244" i="63" s="1"/>
  <c r="J238" i="63"/>
  <c r="K238" i="63"/>
  <c r="AC238" i="63" l="1"/>
  <c r="M238" i="63"/>
  <c r="O238" i="63" s="1"/>
  <c r="Y237" i="63"/>
  <c r="Z237" i="63"/>
  <c r="AH237" i="63" s="1"/>
  <c r="A243" i="63"/>
  <c r="Q243" i="63" s="1"/>
  <c r="AB237" i="63"/>
  <c r="C244" i="63"/>
  <c r="E244" i="63"/>
  <c r="G244" i="63" s="1"/>
  <c r="R238" i="63" l="1"/>
  <c r="AE237" i="63"/>
  <c r="AF237" i="63" s="1"/>
  <c r="L238" i="63"/>
  <c r="I238" i="63"/>
  <c r="S238" i="63"/>
  <c r="T238" i="63" s="1"/>
  <c r="D244" i="63"/>
  <c r="N238" i="63" l="1"/>
  <c r="P238" i="63"/>
  <c r="V238" i="63"/>
  <c r="AA238" i="63" s="1"/>
  <c r="AL238" i="63"/>
  <c r="AM238" i="63" s="1"/>
  <c r="U238" i="63"/>
  <c r="AG238" i="63"/>
  <c r="AJ238" i="63" s="1"/>
  <c r="AK238" i="63" s="1"/>
  <c r="AD238" i="63"/>
  <c r="F244" i="63"/>
  <c r="H244" i="63"/>
  <c r="AB238" i="63" l="1"/>
  <c r="Y238" i="63"/>
  <c r="Z238" i="63"/>
  <c r="AH238" i="63" s="1"/>
  <c r="K239" i="63"/>
  <c r="J239" i="63"/>
  <c r="C245" i="63"/>
  <c r="A244" i="63"/>
  <c r="B245" i="63"/>
  <c r="M239" i="63" l="1"/>
  <c r="O239" i="63" s="1"/>
  <c r="AC239" i="63"/>
  <c r="L239" i="63"/>
  <c r="N239" i="63" s="1"/>
  <c r="R239" i="63"/>
  <c r="AE238" i="63"/>
  <c r="AF238" i="63" s="1"/>
  <c r="E245" i="63"/>
  <c r="G245" i="63" s="1"/>
  <c r="Q244" i="63"/>
  <c r="AL239" i="63" l="1"/>
  <c r="D245" i="63"/>
  <c r="P239" i="63"/>
  <c r="S239" i="63"/>
  <c r="T239" i="63" s="1"/>
  <c r="I239" i="63"/>
  <c r="AG239" i="63" l="1"/>
  <c r="AJ239" i="63" s="1"/>
  <c r="AK239" i="63" s="1"/>
  <c r="AD239" i="63"/>
  <c r="AM239" i="63"/>
  <c r="J240" i="63"/>
  <c r="K240" i="63"/>
  <c r="F245" i="63"/>
  <c r="H245" i="63"/>
  <c r="V239" i="63"/>
  <c r="AA239" i="63" s="1"/>
  <c r="AC240" i="63" l="1"/>
  <c r="M240" i="63"/>
  <c r="O240" i="63" s="1"/>
  <c r="U239" i="63"/>
  <c r="L240" i="63"/>
  <c r="N240" i="63" s="1"/>
  <c r="A245" i="63"/>
  <c r="Q245" i="63" s="1"/>
  <c r="C246" i="63"/>
  <c r="B246" i="63"/>
  <c r="E246" i="63" s="1"/>
  <c r="G246" i="63" s="1"/>
  <c r="P240" i="63" l="1"/>
  <c r="Y239" i="63"/>
  <c r="Z239" i="63"/>
  <c r="AH239" i="63" s="1"/>
  <c r="AB239" i="63"/>
  <c r="D246" i="63"/>
  <c r="H246" i="63" s="1"/>
  <c r="S240" i="63"/>
  <c r="I240" i="63"/>
  <c r="F246" i="63"/>
  <c r="R240" i="63" l="1"/>
  <c r="T240" i="63"/>
  <c r="AE239" i="63"/>
  <c r="AF239" i="63" s="1"/>
  <c r="V240" i="63"/>
  <c r="AA240" i="63" s="1"/>
  <c r="J241" i="63"/>
  <c r="K241" i="63"/>
  <c r="C247" i="63"/>
  <c r="A246" i="63"/>
  <c r="B247" i="63"/>
  <c r="M241" i="63" l="1"/>
  <c r="O241" i="63" s="1"/>
  <c r="AC241" i="63"/>
  <c r="AG240" i="63"/>
  <c r="AJ240" i="63" s="1"/>
  <c r="AK240" i="63" s="1"/>
  <c r="U240" i="63"/>
  <c r="AD240" i="63"/>
  <c r="L241" i="63"/>
  <c r="N241" i="63" s="1"/>
  <c r="AL240" i="63"/>
  <c r="AM240" i="63" s="1"/>
  <c r="E247" i="63"/>
  <c r="G247" i="63" s="1"/>
  <c r="Q246" i="63"/>
  <c r="P241" i="63" l="1"/>
  <c r="Y240" i="63"/>
  <c r="Z240" i="63"/>
  <c r="AH240" i="63" s="1"/>
  <c r="AB240" i="63"/>
  <c r="S241" i="63"/>
  <c r="I241" i="63"/>
  <c r="D247" i="63"/>
  <c r="R241" i="63" l="1"/>
  <c r="AE240" i="63"/>
  <c r="AF240" i="63" s="1"/>
  <c r="T241" i="63"/>
  <c r="K242" i="63"/>
  <c r="J242" i="63"/>
  <c r="F247" i="63"/>
  <c r="H247" i="63"/>
  <c r="AC242" i="63" l="1"/>
  <c r="M242" i="63"/>
  <c r="AG241" i="63"/>
  <c r="AJ241" i="63" s="1"/>
  <c r="AK241" i="63" s="1"/>
  <c r="AD241" i="63"/>
  <c r="AL241" i="63"/>
  <c r="AM241" i="63" s="1"/>
  <c r="V241" i="63"/>
  <c r="AA241" i="63" s="1"/>
  <c r="B248" i="63"/>
  <c r="C248" i="63"/>
  <c r="A247" i="63"/>
  <c r="U241" i="63" l="1"/>
  <c r="O242" i="63"/>
  <c r="L242" i="63"/>
  <c r="S242" i="63"/>
  <c r="I242" i="63"/>
  <c r="Q247" i="63"/>
  <c r="E248" i="63"/>
  <c r="G248" i="63" s="1"/>
  <c r="N242" i="63" l="1"/>
  <c r="P242" i="63"/>
  <c r="Z241" i="63"/>
  <c r="AH241" i="63" s="1"/>
  <c r="Y241" i="63"/>
  <c r="AB241" i="63"/>
  <c r="D248" i="63"/>
  <c r="AE241" i="63" l="1"/>
  <c r="AF241" i="63" s="1"/>
  <c r="R242" i="63"/>
  <c r="K243" i="63"/>
  <c r="J243" i="63"/>
  <c r="T242" i="63"/>
  <c r="F248" i="63"/>
  <c r="H248" i="63"/>
  <c r="AC243" i="63" l="1"/>
  <c r="M243" i="63"/>
  <c r="O243" i="63" s="1"/>
  <c r="AL242" i="63"/>
  <c r="AM242" i="63" s="1"/>
  <c r="V242" i="63"/>
  <c r="AA242" i="63" s="1"/>
  <c r="AG242" i="63"/>
  <c r="AJ242" i="63" s="1"/>
  <c r="AK242" i="63" s="1"/>
  <c r="U242" i="63"/>
  <c r="AD242" i="63"/>
  <c r="C249" i="63"/>
  <c r="A248" i="63"/>
  <c r="B249" i="63"/>
  <c r="Z242" i="63" l="1"/>
  <c r="AH242" i="63" s="1"/>
  <c r="Y242" i="63"/>
  <c r="AB242" i="63"/>
  <c r="L243" i="63"/>
  <c r="I243" i="63"/>
  <c r="S243" i="63"/>
  <c r="E249" i="63"/>
  <c r="G249" i="63" s="1"/>
  <c r="Q248" i="63"/>
  <c r="P243" i="63" l="1"/>
  <c r="N243" i="63"/>
  <c r="T243" i="63"/>
  <c r="AE242" i="63"/>
  <c r="AF242" i="63" s="1"/>
  <c r="R243" i="63"/>
  <c r="D249" i="63"/>
  <c r="AG243" i="63" l="1"/>
  <c r="AJ243" i="63" s="1"/>
  <c r="AD243" i="63"/>
  <c r="V243" i="63"/>
  <c r="AA243" i="63" s="1"/>
  <c r="AL243" i="63"/>
  <c r="AM243" i="63" s="1"/>
  <c r="AK243" i="63"/>
  <c r="J244" i="63"/>
  <c r="K244" i="63"/>
  <c r="F249" i="63"/>
  <c r="H249" i="63"/>
  <c r="U243" i="63" l="1"/>
  <c r="M244" i="63"/>
  <c r="AC244" i="63"/>
  <c r="C250" i="63"/>
  <c r="A249" i="63"/>
  <c r="B250" i="63"/>
  <c r="O244" i="63" l="1"/>
  <c r="L244" i="63"/>
  <c r="S244" i="63"/>
  <c r="I244" i="63"/>
  <c r="Z243" i="63"/>
  <c r="AH243" i="63" s="1"/>
  <c r="Y243" i="63"/>
  <c r="AB243" i="63"/>
  <c r="E250" i="63"/>
  <c r="G250" i="63" s="1"/>
  <c r="Q249" i="63"/>
  <c r="R244" i="63" l="1"/>
  <c r="AE243" i="63"/>
  <c r="AF243" i="63" s="1"/>
  <c r="T244" i="63"/>
  <c r="P244" i="63"/>
  <c r="N244" i="63"/>
  <c r="D250" i="63"/>
  <c r="K245" i="63" l="1"/>
  <c r="J245" i="63"/>
  <c r="AG244" i="63"/>
  <c r="AJ244" i="63" s="1"/>
  <c r="AK244" i="63" s="1"/>
  <c r="AD244" i="63"/>
  <c r="V244" i="63"/>
  <c r="AA244" i="63" s="1"/>
  <c r="AL244" i="63"/>
  <c r="AM244" i="63" s="1"/>
  <c r="F250" i="63"/>
  <c r="H250" i="63"/>
  <c r="U244" i="63" l="1"/>
  <c r="Z244" i="63"/>
  <c r="AH244" i="63" s="1"/>
  <c r="Y244" i="63"/>
  <c r="AC245" i="63"/>
  <c r="M245" i="63"/>
  <c r="AB244" i="63"/>
  <c r="C251" i="63"/>
  <c r="A250" i="63"/>
  <c r="B251" i="63"/>
  <c r="R245" i="63" l="1"/>
  <c r="AL245" i="63" s="1"/>
  <c r="AE244" i="63"/>
  <c r="AF244" i="63" s="1"/>
  <c r="O245" i="63"/>
  <c r="L245" i="63"/>
  <c r="S245" i="63"/>
  <c r="V245" i="63" s="1"/>
  <c r="AA245" i="63" s="1"/>
  <c r="I245" i="63"/>
  <c r="E251" i="63"/>
  <c r="G251" i="63" s="1"/>
  <c r="Q250" i="63"/>
  <c r="T245" i="63" l="1"/>
  <c r="N245" i="63"/>
  <c r="P245" i="63"/>
  <c r="AG245" i="63"/>
  <c r="AJ245" i="63" s="1"/>
  <c r="U245" i="63"/>
  <c r="AD245" i="63"/>
  <c r="D251" i="63"/>
  <c r="AB245" i="63" l="1"/>
  <c r="Y245" i="63"/>
  <c r="Z245" i="63"/>
  <c r="AH245" i="63" s="1"/>
  <c r="K246" i="63"/>
  <c r="AM245" i="63"/>
  <c r="AK245" i="63"/>
  <c r="J246" i="63"/>
  <c r="F251" i="63"/>
  <c r="H251" i="63"/>
  <c r="M246" i="63" l="1"/>
  <c r="O246" i="63" s="1"/>
  <c r="AC246" i="63"/>
  <c r="AE245" i="63"/>
  <c r="AF245" i="63" s="1"/>
  <c r="R246" i="63"/>
  <c r="B252" i="63"/>
  <c r="A251" i="63"/>
  <c r="C252" i="63"/>
  <c r="I246" i="63" l="1"/>
  <c r="S246" i="63"/>
  <c r="T246" i="63" s="1"/>
  <c r="AL246" i="63"/>
  <c r="L246" i="63"/>
  <c r="Q251" i="63"/>
  <c r="E252" i="63"/>
  <c r="G252" i="63" s="1"/>
  <c r="V246" i="63" l="1"/>
  <c r="AA246" i="63" s="1"/>
  <c r="P246" i="63"/>
  <c r="N246" i="63"/>
  <c r="U246" i="63"/>
  <c r="AD246" i="63"/>
  <c r="AG246" i="63"/>
  <c r="AJ246" i="63" s="1"/>
  <c r="AK246" i="63" s="1"/>
  <c r="D252" i="63"/>
  <c r="Y246" i="63" l="1"/>
  <c r="AB246" i="63"/>
  <c r="Z246" i="63"/>
  <c r="AH246" i="63" s="1"/>
  <c r="J247" i="63"/>
  <c r="K247" i="63"/>
  <c r="AM246" i="63"/>
  <c r="F252" i="63"/>
  <c r="H252" i="63"/>
  <c r="R247" i="63" l="1"/>
  <c r="AL247" i="63" s="1"/>
  <c r="AE246" i="63"/>
  <c r="AF246" i="63" s="1"/>
  <c r="AC247" i="63"/>
  <c r="M247" i="63"/>
  <c r="O247" i="63" s="1"/>
  <c r="C253" i="63"/>
  <c r="A252" i="63"/>
  <c r="B253" i="63"/>
  <c r="I247" i="63" l="1"/>
  <c r="S247" i="63"/>
  <c r="L247" i="63"/>
  <c r="E253" i="63"/>
  <c r="G253" i="63" s="1"/>
  <c r="Q252" i="63"/>
  <c r="V247" i="63" l="1"/>
  <c r="AA247" i="63" s="1"/>
  <c r="T247" i="63"/>
  <c r="U247" i="63"/>
  <c r="P247" i="63"/>
  <c r="N247" i="63"/>
  <c r="D253" i="63"/>
  <c r="AG247" i="63" l="1"/>
  <c r="AJ247" i="63" s="1"/>
  <c r="AK247" i="63" s="1"/>
  <c r="AD247" i="63"/>
  <c r="AM247" i="63"/>
  <c r="K248" i="63"/>
  <c r="J248" i="63"/>
  <c r="Z247" i="63"/>
  <c r="AH247" i="63" s="1"/>
  <c r="Y247" i="63"/>
  <c r="AB247" i="63"/>
  <c r="F253" i="63"/>
  <c r="H253" i="63"/>
  <c r="M248" i="63" l="1"/>
  <c r="O248" i="63" s="1"/>
  <c r="AC248" i="63"/>
  <c r="AE247" i="63"/>
  <c r="AF247" i="63" s="1"/>
  <c r="R248" i="63"/>
  <c r="AL248" i="63" s="1"/>
  <c r="L248" i="63"/>
  <c r="N248" i="63" s="1"/>
  <c r="C254" i="63"/>
  <c r="A253" i="63"/>
  <c r="B254" i="63"/>
  <c r="P248" i="63" l="1"/>
  <c r="I248" i="63"/>
  <c r="S248" i="63"/>
  <c r="E254" i="63"/>
  <c r="G254" i="63" s="1"/>
  <c r="Q253" i="63"/>
  <c r="V248" i="63" l="1"/>
  <c r="T248" i="63"/>
  <c r="D254" i="63"/>
  <c r="F254" i="63" s="1"/>
  <c r="AA248" i="63"/>
  <c r="U248" i="63"/>
  <c r="J249" i="63"/>
  <c r="K249" i="63"/>
  <c r="AM248" i="63"/>
  <c r="H254" i="63"/>
  <c r="AG248" i="63" l="1"/>
  <c r="AJ248" i="63" s="1"/>
  <c r="AK248" i="63" s="1"/>
  <c r="AD248" i="63"/>
  <c r="AC249" i="63"/>
  <c r="M249" i="63"/>
  <c r="O249" i="63" s="1"/>
  <c r="AB248" i="63"/>
  <c r="Z248" i="63"/>
  <c r="AH248" i="63" s="1"/>
  <c r="Y248" i="63"/>
  <c r="C255" i="63"/>
  <c r="A254" i="63"/>
  <c r="B255" i="63"/>
  <c r="R249" i="63" l="1"/>
  <c r="AE248" i="63"/>
  <c r="AF248" i="63" s="1"/>
  <c r="S249" i="63"/>
  <c r="T249" i="63" s="1"/>
  <c r="I249" i="63"/>
  <c r="L249" i="63"/>
  <c r="E255" i="63"/>
  <c r="G255" i="63" s="1"/>
  <c r="Q254" i="63"/>
  <c r="N249" i="63" l="1"/>
  <c r="P249" i="63"/>
  <c r="AG249" i="63"/>
  <c r="AJ249" i="63" s="1"/>
  <c r="AK249" i="63" s="1"/>
  <c r="AD249" i="63"/>
  <c r="AL249" i="63"/>
  <c r="AM249" i="63" s="1"/>
  <c r="V249" i="63"/>
  <c r="AA249" i="63" s="1"/>
  <c r="D255" i="63"/>
  <c r="F255" i="63" s="1"/>
  <c r="H255" i="63" l="1"/>
  <c r="U249" i="63"/>
  <c r="J250" i="63"/>
  <c r="K250" i="63"/>
  <c r="B256" i="63"/>
  <c r="C256" i="63"/>
  <c r="A255" i="63"/>
  <c r="AC250" i="63" l="1"/>
  <c r="M250" i="63"/>
  <c r="O250" i="63" s="1"/>
  <c r="AB249" i="63"/>
  <c r="Z249" i="63"/>
  <c r="AH249" i="63" s="1"/>
  <c r="Y249" i="63"/>
  <c r="Q255" i="63"/>
  <c r="E256" i="63"/>
  <c r="G256" i="63" s="1"/>
  <c r="AE249" i="63" l="1"/>
  <c r="AF249" i="63" s="1"/>
  <c r="R250" i="63"/>
  <c r="L250" i="63"/>
  <c r="S250" i="63"/>
  <c r="T250" i="63" s="1"/>
  <c r="I250" i="63"/>
  <c r="D256" i="63"/>
  <c r="V250" i="63" l="1"/>
  <c r="AA250" i="63" s="1"/>
  <c r="AL250" i="63"/>
  <c r="N250" i="63"/>
  <c r="P250" i="63"/>
  <c r="AG250" i="63"/>
  <c r="AJ250" i="63" s="1"/>
  <c r="U250" i="63"/>
  <c r="AD250" i="63"/>
  <c r="F256" i="63"/>
  <c r="H256" i="63"/>
  <c r="AK250" i="63" l="1"/>
  <c r="AM250" i="63"/>
  <c r="K251" i="63"/>
  <c r="J251" i="63"/>
  <c r="AB250" i="63"/>
  <c r="Y250" i="63"/>
  <c r="Z250" i="63"/>
  <c r="AH250" i="63" s="1"/>
  <c r="C257" i="63"/>
  <c r="A256" i="63"/>
  <c r="B257" i="63"/>
  <c r="M251" i="63" l="1"/>
  <c r="O251" i="63" s="1"/>
  <c r="AC251" i="63"/>
  <c r="R251" i="63"/>
  <c r="AL251" i="63" s="1"/>
  <c r="AE250" i="63"/>
  <c r="AF250" i="63" s="1"/>
  <c r="E257" i="63"/>
  <c r="G257" i="63" s="1"/>
  <c r="Q256" i="63"/>
  <c r="D257" i="63" l="1"/>
  <c r="F257" i="63" s="1"/>
  <c r="L251" i="63"/>
  <c r="I251" i="63"/>
  <c r="S251" i="63"/>
  <c r="H257" i="63"/>
  <c r="V251" i="63" l="1"/>
  <c r="AA251" i="63" s="1"/>
  <c r="T251" i="63"/>
  <c r="U251" i="63"/>
  <c r="N251" i="63"/>
  <c r="P251" i="63"/>
  <c r="C258" i="63"/>
  <c r="A257" i="63"/>
  <c r="B258" i="63"/>
  <c r="AG251" i="63" l="1"/>
  <c r="AJ251" i="63" s="1"/>
  <c r="AK251" i="63" s="1"/>
  <c r="AD251" i="63"/>
  <c r="K252" i="63"/>
  <c r="AM251" i="63"/>
  <c r="J252" i="63"/>
  <c r="AB251" i="63"/>
  <c r="Z251" i="63"/>
  <c r="AH251" i="63" s="1"/>
  <c r="Y251" i="63"/>
  <c r="E258" i="63"/>
  <c r="G258" i="63" s="1"/>
  <c r="Q257" i="63"/>
  <c r="R252" i="63" l="1"/>
  <c r="AL252" i="63" s="1"/>
  <c r="AE251" i="63"/>
  <c r="AF251" i="63" s="1"/>
  <c r="AC252" i="63"/>
  <c r="M252" i="63"/>
  <c r="D258" i="63"/>
  <c r="F258" i="63" s="1"/>
  <c r="O252" i="63" l="1"/>
  <c r="L252" i="63"/>
  <c r="H258" i="63"/>
  <c r="I252" i="63"/>
  <c r="S252" i="63"/>
  <c r="C259" i="63"/>
  <c r="A258" i="63"/>
  <c r="B259" i="63"/>
  <c r="N252" i="63" l="1"/>
  <c r="P252" i="63"/>
  <c r="T252" i="63"/>
  <c r="V252" i="63"/>
  <c r="AA252" i="63" s="1"/>
  <c r="Q258" i="63"/>
  <c r="E259" i="63"/>
  <c r="G259" i="63" s="1"/>
  <c r="AD252" i="63" l="1"/>
  <c r="AG252" i="63"/>
  <c r="AJ252" i="63" s="1"/>
  <c r="AK252" i="63" s="1"/>
  <c r="U252" i="63"/>
  <c r="K253" i="63"/>
  <c r="AM252" i="63"/>
  <c r="J253" i="63"/>
  <c r="D259" i="63"/>
  <c r="AC253" i="63" l="1"/>
  <c r="M253" i="63"/>
  <c r="O253" i="63" s="1"/>
  <c r="AB252" i="63"/>
  <c r="Z252" i="63"/>
  <c r="AH252" i="63" s="1"/>
  <c r="Y252" i="63"/>
  <c r="F259" i="63"/>
  <c r="H259" i="63"/>
  <c r="R253" i="63" l="1"/>
  <c r="AE252" i="63"/>
  <c r="AF252" i="63" s="1"/>
  <c r="I253" i="63"/>
  <c r="S253" i="63"/>
  <c r="T253" i="63" s="1"/>
  <c r="L253" i="63"/>
  <c r="B260" i="63"/>
  <c r="C260" i="63"/>
  <c r="A259" i="63"/>
  <c r="AG253" i="63" l="1"/>
  <c r="AJ253" i="63" s="1"/>
  <c r="AD253" i="63"/>
  <c r="N253" i="63"/>
  <c r="P253" i="63"/>
  <c r="AL253" i="63"/>
  <c r="V253" i="63"/>
  <c r="AA253" i="63" s="1"/>
  <c r="Q259" i="63"/>
  <c r="E260" i="63"/>
  <c r="G260" i="63" s="1"/>
  <c r="AK253" i="63" l="1"/>
  <c r="J254" i="63"/>
  <c r="K254" i="63"/>
  <c r="AM253" i="63"/>
  <c r="U253" i="63"/>
  <c r="D260" i="63"/>
  <c r="AC254" i="63" l="1"/>
  <c r="M254" i="63"/>
  <c r="O254" i="63" s="1"/>
  <c r="AB253" i="63"/>
  <c r="Z253" i="63"/>
  <c r="AH253" i="63" s="1"/>
  <c r="Y253" i="63"/>
  <c r="L254" i="63"/>
  <c r="N254" i="63" s="1"/>
  <c r="P254" i="63"/>
  <c r="J255" i="63" s="1"/>
  <c r="F260" i="63"/>
  <c r="H260" i="63"/>
  <c r="K255" i="63" l="1"/>
  <c r="R254" i="63"/>
  <c r="AL254" i="63" s="1"/>
  <c r="AM254" i="63" s="1"/>
  <c r="AE253" i="63"/>
  <c r="AF253" i="63" s="1"/>
  <c r="I254" i="63"/>
  <c r="S254" i="63"/>
  <c r="V254" i="63" s="1"/>
  <c r="AA254" i="63" s="1"/>
  <c r="B261" i="63"/>
  <c r="E261" i="63" s="1"/>
  <c r="G261" i="63" s="1"/>
  <c r="A260" i="63"/>
  <c r="Q260" i="63" s="1"/>
  <c r="C261" i="63"/>
  <c r="AC255" i="63"/>
  <c r="M255" i="63"/>
  <c r="O255" i="63" s="1"/>
  <c r="T254" i="63" l="1"/>
  <c r="AG254" i="63"/>
  <c r="AJ254" i="63" s="1"/>
  <c r="AK254" i="63" s="1"/>
  <c r="AD254" i="63"/>
  <c r="U254" i="63"/>
  <c r="D261" i="63"/>
  <c r="F261" i="63" s="1"/>
  <c r="L255" i="63"/>
  <c r="S255" i="63"/>
  <c r="I255" i="63"/>
  <c r="H261" i="63"/>
  <c r="Y254" i="63" l="1"/>
  <c r="Z254" i="63"/>
  <c r="AH254" i="63" s="1"/>
  <c r="AB254" i="63"/>
  <c r="N255" i="63"/>
  <c r="P255" i="63"/>
  <c r="C262" i="63"/>
  <c r="A261" i="63"/>
  <c r="B262" i="63"/>
  <c r="T255" i="63" l="1"/>
  <c r="AE254" i="63"/>
  <c r="AF254" i="63" s="1"/>
  <c r="R255" i="63"/>
  <c r="J256" i="63"/>
  <c r="K256" i="63"/>
  <c r="E262" i="63"/>
  <c r="G262" i="63" s="1"/>
  <c r="Q261" i="63"/>
  <c r="V255" i="63" l="1"/>
  <c r="AA255" i="63" s="1"/>
  <c r="AL255" i="63"/>
  <c r="AM255" i="63" s="1"/>
  <c r="AG255" i="63"/>
  <c r="AJ255" i="63" s="1"/>
  <c r="AK255" i="63" s="1"/>
  <c r="U255" i="63"/>
  <c r="AD255" i="63"/>
  <c r="AC256" i="63"/>
  <c r="M256" i="63"/>
  <c r="O256" i="63" s="1"/>
  <c r="D262" i="63"/>
  <c r="Z255" i="63" l="1"/>
  <c r="AH255" i="63" s="1"/>
  <c r="Y255" i="63"/>
  <c r="AB255" i="63"/>
  <c r="S256" i="63"/>
  <c r="I256" i="63"/>
  <c r="L256" i="63"/>
  <c r="F262" i="63"/>
  <c r="H262" i="63"/>
  <c r="AE255" i="63" l="1"/>
  <c r="AF255" i="63" s="1"/>
  <c r="T256" i="63"/>
  <c r="R256" i="63"/>
  <c r="N256" i="63"/>
  <c r="P256" i="63"/>
  <c r="C263" i="63"/>
  <c r="A262" i="63"/>
  <c r="B263" i="63"/>
  <c r="AD256" i="63" l="1"/>
  <c r="AG256" i="63"/>
  <c r="AJ256" i="63" s="1"/>
  <c r="AL256" i="63"/>
  <c r="AM256" i="63" s="1"/>
  <c r="V256" i="63"/>
  <c r="AA256" i="63" s="1"/>
  <c r="K257" i="63"/>
  <c r="J257" i="63"/>
  <c r="AK256" i="63"/>
  <c r="Q262" i="63"/>
  <c r="E263" i="63"/>
  <c r="G263" i="63" s="1"/>
  <c r="U256" i="63" l="1"/>
  <c r="M257" i="63"/>
  <c r="O257" i="63" s="1"/>
  <c r="AC257" i="63"/>
  <c r="D263" i="63"/>
  <c r="Z256" i="63" l="1"/>
  <c r="AH256" i="63" s="1"/>
  <c r="Y256" i="63"/>
  <c r="AB256" i="63"/>
  <c r="L257" i="63"/>
  <c r="N257" i="63" s="1"/>
  <c r="P257" i="63"/>
  <c r="S257" i="63"/>
  <c r="T257" i="63" s="1"/>
  <c r="I257" i="63"/>
  <c r="F263" i="63"/>
  <c r="H263" i="63"/>
  <c r="R257" i="63" l="1"/>
  <c r="AE256" i="63"/>
  <c r="AF256" i="63" s="1"/>
  <c r="AG257" i="63"/>
  <c r="AJ257" i="63" s="1"/>
  <c r="AK257" i="63" s="1"/>
  <c r="AD257" i="63"/>
  <c r="K258" i="63"/>
  <c r="J258" i="63"/>
  <c r="B264" i="63"/>
  <c r="C264" i="63"/>
  <c r="A263" i="63"/>
  <c r="V257" i="63" l="1"/>
  <c r="AL257" i="63"/>
  <c r="AM257" i="63" s="1"/>
  <c r="AC258" i="63"/>
  <c r="M258" i="63"/>
  <c r="O258" i="63" s="1"/>
  <c r="Q263" i="63"/>
  <c r="E264" i="63"/>
  <c r="G264" i="63" s="1"/>
  <c r="AA257" i="63" l="1"/>
  <c r="U257" i="63"/>
  <c r="I258" i="63"/>
  <c r="S258" i="63"/>
  <c r="L258" i="63"/>
  <c r="D264" i="63"/>
  <c r="Y257" i="63" l="1"/>
  <c r="Z257" i="63"/>
  <c r="AH257" i="63" s="1"/>
  <c r="AB257" i="63"/>
  <c r="N258" i="63"/>
  <c r="P258" i="63"/>
  <c r="F264" i="63"/>
  <c r="H264" i="63"/>
  <c r="R258" i="63" l="1"/>
  <c r="AE257" i="63"/>
  <c r="AF257" i="63" s="1"/>
  <c r="T258" i="63"/>
  <c r="K259" i="63"/>
  <c r="J259" i="63"/>
  <c r="C265" i="63"/>
  <c r="A264" i="63"/>
  <c r="B265" i="63"/>
  <c r="AG258" i="63" l="1"/>
  <c r="AJ258" i="63" s="1"/>
  <c r="AK258" i="63" s="1"/>
  <c r="AD258" i="63"/>
  <c r="AL258" i="63"/>
  <c r="AM258" i="63" s="1"/>
  <c r="V258" i="63"/>
  <c r="AA258" i="63" s="1"/>
  <c r="M259" i="63"/>
  <c r="O259" i="63" s="1"/>
  <c r="AC259" i="63"/>
  <c r="E265" i="63"/>
  <c r="G265" i="63" s="1"/>
  <c r="Q264" i="63"/>
  <c r="U258" i="63" l="1"/>
  <c r="L259" i="63"/>
  <c r="N259" i="63" s="1"/>
  <c r="D265" i="63"/>
  <c r="F265" i="63" s="1"/>
  <c r="I259" i="63"/>
  <c r="S259" i="63"/>
  <c r="P259" i="63"/>
  <c r="AB258" i="63" l="1"/>
  <c r="Z258" i="63"/>
  <c r="AH258" i="63" s="1"/>
  <c r="Y258" i="63"/>
  <c r="H265" i="63"/>
  <c r="B266" i="63" s="1"/>
  <c r="K260" i="63"/>
  <c r="J260" i="63"/>
  <c r="A265" i="63" l="1"/>
  <c r="C266" i="63"/>
  <c r="AE258" i="63"/>
  <c r="AF258" i="63" s="1"/>
  <c r="R259" i="63"/>
  <c r="T259" i="63"/>
  <c r="M260" i="63"/>
  <c r="O260" i="63" s="1"/>
  <c r="AC260" i="63"/>
  <c r="Q265" i="63"/>
  <c r="E266" i="63"/>
  <c r="G266" i="63" s="1"/>
  <c r="AD259" i="63" l="1"/>
  <c r="AG259" i="63"/>
  <c r="AJ259" i="63" s="1"/>
  <c r="AK259" i="63" s="1"/>
  <c r="V259" i="63"/>
  <c r="AA259" i="63" s="1"/>
  <c r="AL259" i="63"/>
  <c r="AM259" i="63" s="1"/>
  <c r="L260" i="63"/>
  <c r="N260" i="63" s="1"/>
  <c r="D266" i="63"/>
  <c r="F266" i="63" s="1"/>
  <c r="I260" i="63"/>
  <c r="S260" i="63"/>
  <c r="U259" i="63" l="1"/>
  <c r="P260" i="63"/>
  <c r="K261" i="63" s="1"/>
  <c r="H266" i="63"/>
  <c r="C267" i="63" s="1"/>
  <c r="J261" i="63"/>
  <c r="A266" i="63"/>
  <c r="B267" i="63"/>
  <c r="Z259" i="63" l="1"/>
  <c r="AH259" i="63" s="1"/>
  <c r="Y259" i="63"/>
  <c r="AB259" i="63"/>
  <c r="M261" i="63"/>
  <c r="O261" i="63" s="1"/>
  <c r="AC261" i="63"/>
  <c r="Q266" i="63"/>
  <c r="E267" i="63"/>
  <c r="G267" i="63" s="1"/>
  <c r="AE259" i="63" l="1"/>
  <c r="AF259" i="63" s="1"/>
  <c r="T260" i="63"/>
  <c r="R260" i="63"/>
  <c r="L261" i="63"/>
  <c r="N261" i="63" s="1"/>
  <c r="P261" i="63"/>
  <c r="I261" i="63"/>
  <c r="S261" i="63"/>
  <c r="D267" i="63"/>
  <c r="AG260" i="63" l="1"/>
  <c r="AJ260" i="63" s="1"/>
  <c r="AK260" i="63" s="1"/>
  <c r="AD260" i="63"/>
  <c r="AL260" i="63"/>
  <c r="AM260" i="63" s="1"/>
  <c r="V260" i="63"/>
  <c r="AA260" i="63" s="1"/>
  <c r="J262" i="63"/>
  <c r="K262" i="63"/>
  <c r="F267" i="63"/>
  <c r="H267" i="63"/>
  <c r="U260" i="63" l="1"/>
  <c r="AC262" i="63"/>
  <c r="M262" i="63"/>
  <c r="O262" i="63" s="1"/>
  <c r="B268" i="63"/>
  <c r="A267" i="63"/>
  <c r="C268" i="63"/>
  <c r="Y260" i="63" l="1"/>
  <c r="Z260" i="63"/>
  <c r="AH260" i="63" s="1"/>
  <c r="AB260" i="63"/>
  <c r="L262" i="63"/>
  <c r="N262" i="63" s="1"/>
  <c r="P262" i="63"/>
  <c r="S262" i="63"/>
  <c r="I262" i="63"/>
  <c r="Q267" i="63"/>
  <c r="E268" i="63"/>
  <c r="G268" i="63" s="1"/>
  <c r="R261" i="63" l="1"/>
  <c r="T261" i="63"/>
  <c r="AE260" i="63"/>
  <c r="AF260" i="63" s="1"/>
  <c r="J263" i="63"/>
  <c r="K263" i="63"/>
  <c r="D268" i="63"/>
  <c r="AD261" i="63" l="1"/>
  <c r="AG261" i="63"/>
  <c r="AJ261" i="63" s="1"/>
  <c r="AK261" i="63" s="1"/>
  <c r="V261" i="63"/>
  <c r="AA261" i="63" s="1"/>
  <c r="AL261" i="63"/>
  <c r="AM261" i="63" s="1"/>
  <c r="AC263" i="63"/>
  <c r="M263" i="63"/>
  <c r="O263" i="63" s="1"/>
  <c r="F268" i="63"/>
  <c r="H268" i="63"/>
  <c r="U261" i="63" l="1"/>
  <c r="L263" i="63"/>
  <c r="S263" i="63"/>
  <c r="I263" i="63"/>
  <c r="C269" i="63"/>
  <c r="A268" i="63"/>
  <c r="B269" i="63"/>
  <c r="Y261" i="63" l="1"/>
  <c r="Z261" i="63"/>
  <c r="AH261" i="63" s="1"/>
  <c r="AB261" i="63"/>
  <c r="N263" i="63"/>
  <c r="P263" i="63"/>
  <c r="Q268" i="63"/>
  <c r="E269" i="63"/>
  <c r="G269" i="63" s="1"/>
  <c r="R262" i="63" l="1"/>
  <c r="AE261" i="63"/>
  <c r="AF261" i="63" s="1"/>
  <c r="T262" i="63"/>
  <c r="K264" i="63"/>
  <c r="J264" i="63"/>
  <c r="D269" i="63"/>
  <c r="AG262" i="63" l="1"/>
  <c r="AJ262" i="63" s="1"/>
  <c r="AK262" i="63" s="1"/>
  <c r="AD262" i="63"/>
  <c r="V262" i="63"/>
  <c r="AA262" i="63" s="1"/>
  <c r="AL262" i="63"/>
  <c r="AM262" i="63" s="1"/>
  <c r="AC264" i="63"/>
  <c r="M264" i="63"/>
  <c r="O264" i="63" s="1"/>
  <c r="F269" i="63"/>
  <c r="H269" i="63"/>
  <c r="L264" i="63" l="1"/>
  <c r="N264" i="63" s="1"/>
  <c r="U262" i="63"/>
  <c r="P264" i="63"/>
  <c r="I264" i="63"/>
  <c r="S264" i="63"/>
  <c r="C270" i="63"/>
  <c r="A269" i="63"/>
  <c r="B270" i="63"/>
  <c r="Z262" i="63" l="1"/>
  <c r="AH262" i="63" s="1"/>
  <c r="Y262" i="63"/>
  <c r="AB262" i="63"/>
  <c r="J265" i="63"/>
  <c r="K265" i="63"/>
  <c r="E270" i="63"/>
  <c r="G270" i="63" s="1"/>
  <c r="Q269" i="63"/>
  <c r="T263" i="63" l="1"/>
  <c r="R263" i="63"/>
  <c r="AE262" i="63"/>
  <c r="AF262" i="63" s="1"/>
  <c r="M265" i="63"/>
  <c r="O265" i="63" s="1"/>
  <c r="AC265" i="63"/>
  <c r="D270" i="63"/>
  <c r="AL263" i="63" l="1"/>
  <c r="AM263" i="63" s="1"/>
  <c r="V263" i="63"/>
  <c r="AA263" i="63" s="1"/>
  <c r="AG263" i="63"/>
  <c r="AJ263" i="63" s="1"/>
  <c r="AK263" i="63" s="1"/>
  <c r="AD263" i="63"/>
  <c r="U263" i="63"/>
  <c r="AB263" i="63" s="1"/>
  <c r="I265" i="63"/>
  <c r="S265" i="63"/>
  <c r="L265" i="63"/>
  <c r="F270" i="63"/>
  <c r="H270" i="63"/>
  <c r="AE263" i="63" l="1"/>
  <c r="AF263" i="63" s="1"/>
  <c r="R264" i="63"/>
  <c r="T264" i="63"/>
  <c r="Z263" i="63"/>
  <c r="AH263" i="63" s="1"/>
  <c r="Y263" i="63"/>
  <c r="N265" i="63"/>
  <c r="P265" i="63"/>
  <c r="C271" i="63"/>
  <c r="A270" i="63"/>
  <c r="B271" i="63"/>
  <c r="AD264" i="63" l="1"/>
  <c r="AG264" i="63"/>
  <c r="AJ264" i="63" s="1"/>
  <c r="AK264" i="63" s="1"/>
  <c r="V264" i="63"/>
  <c r="AA264" i="63" s="1"/>
  <c r="AL264" i="63"/>
  <c r="AM264" i="63" s="1"/>
  <c r="K266" i="63"/>
  <c r="J266" i="63"/>
  <c r="E271" i="63"/>
  <c r="G271" i="63" s="1"/>
  <c r="Q270" i="63"/>
  <c r="U264" i="63" l="1"/>
  <c r="AC266" i="63"/>
  <c r="M266" i="63"/>
  <c r="O266" i="63" s="1"/>
  <c r="D271" i="63"/>
  <c r="Z264" i="63" l="1"/>
  <c r="AH264" i="63" s="1"/>
  <c r="Y264" i="63"/>
  <c r="AB264" i="63"/>
  <c r="S266" i="63"/>
  <c r="I266" i="63"/>
  <c r="L266" i="63"/>
  <c r="F271" i="63"/>
  <c r="H271" i="63"/>
  <c r="T265" i="63" l="1"/>
  <c r="R265" i="63"/>
  <c r="AE264" i="63"/>
  <c r="AF264" i="63" s="1"/>
  <c r="N266" i="63"/>
  <c r="P266" i="63"/>
  <c r="B272" i="63"/>
  <c r="C272" i="63"/>
  <c r="A271" i="63"/>
  <c r="AL265" i="63" l="1"/>
  <c r="AM265" i="63" s="1"/>
  <c r="V265" i="63"/>
  <c r="AA265" i="63" s="1"/>
  <c r="AG265" i="63"/>
  <c r="AJ265" i="63" s="1"/>
  <c r="AK265" i="63" s="1"/>
  <c r="U265" i="63"/>
  <c r="AD265" i="63"/>
  <c r="J267" i="63"/>
  <c r="K267" i="63"/>
  <c r="Q271" i="63"/>
  <c r="E272" i="63"/>
  <c r="G272" i="63" s="1"/>
  <c r="Y265" i="63" l="1"/>
  <c r="Z265" i="63"/>
  <c r="AH265" i="63" s="1"/>
  <c r="AB265" i="63"/>
  <c r="AC267" i="63"/>
  <c r="M267" i="63"/>
  <c r="O267" i="63" s="1"/>
  <c r="D272" i="63"/>
  <c r="T266" i="63" l="1"/>
  <c r="AE265" i="63"/>
  <c r="AF265" i="63" s="1"/>
  <c r="R266" i="63"/>
  <c r="L267" i="63"/>
  <c r="N267" i="63" s="1"/>
  <c r="I267" i="63"/>
  <c r="S267" i="63"/>
  <c r="F272" i="63"/>
  <c r="H272" i="63"/>
  <c r="P267" i="63" l="1"/>
  <c r="V266" i="63"/>
  <c r="AA266" i="63" s="1"/>
  <c r="AL266" i="63"/>
  <c r="AM266" i="63" s="1"/>
  <c r="AG266" i="63"/>
  <c r="AJ266" i="63" s="1"/>
  <c r="AK266" i="63" s="1"/>
  <c r="U266" i="63"/>
  <c r="AD266" i="63"/>
  <c r="J268" i="63"/>
  <c r="K268" i="63"/>
  <c r="C273" i="63"/>
  <c r="A272" i="63"/>
  <c r="B273" i="63"/>
  <c r="Z266" i="63" l="1"/>
  <c r="AH266" i="63" s="1"/>
  <c r="Y266" i="63"/>
  <c r="AB266" i="63"/>
  <c r="AC268" i="63"/>
  <c r="M268" i="63"/>
  <c r="O268" i="63" s="1"/>
  <c r="E273" i="63"/>
  <c r="G273" i="63" s="1"/>
  <c r="Q272" i="63"/>
  <c r="R267" i="63" l="1"/>
  <c r="AE266" i="63"/>
  <c r="AF266" i="63" s="1"/>
  <c r="T267" i="63"/>
  <c r="L268" i="63"/>
  <c r="N268" i="63" s="1"/>
  <c r="D273" i="63"/>
  <c r="I268" i="63"/>
  <c r="S268" i="63"/>
  <c r="AG267" i="63" l="1"/>
  <c r="AJ267" i="63" s="1"/>
  <c r="AK267" i="63" s="1"/>
  <c r="AD267" i="63"/>
  <c r="P268" i="63"/>
  <c r="J269" i="63" s="1"/>
  <c r="V267" i="63"/>
  <c r="AA267" i="63" s="1"/>
  <c r="AL267" i="63"/>
  <c r="AM267" i="63" s="1"/>
  <c r="F273" i="63"/>
  <c r="H273" i="63"/>
  <c r="K269" i="63" l="1"/>
  <c r="U267" i="63"/>
  <c r="C274" i="63"/>
  <c r="A273" i="63"/>
  <c r="Q273" i="63" s="1"/>
  <c r="B274" i="63"/>
  <c r="E274" i="63" s="1"/>
  <c r="G274" i="63" s="1"/>
  <c r="M269" i="63"/>
  <c r="O269" i="63" s="1"/>
  <c r="AC269" i="63"/>
  <c r="AB267" i="63" l="1"/>
  <c r="Y267" i="63"/>
  <c r="Z267" i="63"/>
  <c r="AH267" i="63" s="1"/>
  <c r="D274" i="63"/>
  <c r="F274" i="63" s="1"/>
  <c r="I269" i="63"/>
  <c r="S269" i="63"/>
  <c r="L269" i="63"/>
  <c r="H274" i="63" l="1"/>
  <c r="T268" i="63"/>
  <c r="R268" i="63"/>
  <c r="AE267" i="63"/>
  <c r="AF267" i="63" s="1"/>
  <c r="N269" i="63"/>
  <c r="P269" i="63"/>
  <c r="C275" i="63"/>
  <c r="A274" i="63"/>
  <c r="B275" i="63"/>
  <c r="AD268" i="63" l="1"/>
  <c r="AG268" i="63"/>
  <c r="AJ268" i="63" s="1"/>
  <c r="AK268" i="63" s="1"/>
  <c r="V268" i="63"/>
  <c r="AA268" i="63" s="1"/>
  <c r="AL268" i="63"/>
  <c r="AM268" i="63" s="1"/>
  <c r="J270" i="63"/>
  <c r="K270" i="63"/>
  <c r="E275" i="63"/>
  <c r="G275" i="63" s="1"/>
  <c r="Q274" i="63"/>
  <c r="U268" i="63" l="1"/>
  <c r="D275" i="63"/>
  <c r="F275" i="63" s="1"/>
  <c r="AC270" i="63"/>
  <c r="M270" i="63"/>
  <c r="O270" i="63" s="1"/>
  <c r="Z268" i="63" l="1"/>
  <c r="AH268" i="63" s="1"/>
  <c r="Y268" i="63"/>
  <c r="AB268" i="63"/>
  <c r="H275" i="63"/>
  <c r="C276" i="63" s="1"/>
  <c r="S270" i="63"/>
  <c r="I270" i="63"/>
  <c r="L270" i="63"/>
  <c r="B276" i="63"/>
  <c r="A275" i="63" l="1"/>
  <c r="AE268" i="63"/>
  <c r="AF268" i="63" s="1"/>
  <c r="T269" i="63"/>
  <c r="R269" i="63"/>
  <c r="N270" i="63"/>
  <c r="P270" i="63"/>
  <c r="E276" i="63"/>
  <c r="G276" i="63" s="1"/>
  <c r="Q275" i="63"/>
  <c r="AD269" i="63" l="1"/>
  <c r="AG269" i="63"/>
  <c r="AJ269" i="63" s="1"/>
  <c r="AK269" i="63" s="1"/>
  <c r="V269" i="63"/>
  <c r="AA269" i="63" s="1"/>
  <c r="AL269" i="63"/>
  <c r="AM269" i="63" s="1"/>
  <c r="D276" i="63"/>
  <c r="F276" i="63" s="1"/>
  <c r="K271" i="63"/>
  <c r="J271" i="63"/>
  <c r="U269" i="63" l="1"/>
  <c r="H276" i="63"/>
  <c r="C277" i="63" s="1"/>
  <c r="AC271" i="63"/>
  <c r="M271" i="63"/>
  <c r="O271" i="63" s="1"/>
  <c r="B277" i="63"/>
  <c r="Y269" i="63" l="1"/>
  <c r="Z269" i="63"/>
  <c r="AH269" i="63" s="1"/>
  <c r="AB269" i="63"/>
  <c r="A276" i="63"/>
  <c r="Q276" i="63" s="1"/>
  <c r="L271" i="63"/>
  <c r="S271" i="63"/>
  <c r="I271" i="63"/>
  <c r="E277" i="63"/>
  <c r="G277" i="63" s="1"/>
  <c r="R270" i="63" l="1"/>
  <c r="AE269" i="63"/>
  <c r="AF269" i="63" s="1"/>
  <c r="T270" i="63"/>
  <c r="D277" i="63"/>
  <c r="F277" i="63" s="1"/>
  <c r="N271" i="63"/>
  <c r="P271" i="63"/>
  <c r="H277" i="63"/>
  <c r="AD270" i="63" l="1"/>
  <c r="AG270" i="63"/>
  <c r="AJ270" i="63" s="1"/>
  <c r="AK270" i="63" s="1"/>
  <c r="V270" i="63"/>
  <c r="AA270" i="63" s="1"/>
  <c r="AL270" i="63"/>
  <c r="AM270" i="63" s="1"/>
  <c r="K272" i="63"/>
  <c r="J272" i="63"/>
  <c r="B278" i="63"/>
  <c r="A277" i="63"/>
  <c r="C278" i="63"/>
  <c r="U270" i="63" l="1"/>
  <c r="M272" i="63"/>
  <c r="O272" i="63" s="1"/>
  <c r="AC272" i="63"/>
  <c r="Q277" i="63"/>
  <c r="E278" i="63"/>
  <c r="G278" i="63" s="1"/>
  <c r="Z270" i="63" l="1"/>
  <c r="AH270" i="63" s="1"/>
  <c r="Y270" i="63"/>
  <c r="AB270" i="63"/>
  <c r="D278" i="63"/>
  <c r="F278" i="63" s="1"/>
  <c r="I272" i="63"/>
  <c r="S272" i="63"/>
  <c r="L272" i="63"/>
  <c r="R271" i="63" l="1"/>
  <c r="T271" i="63"/>
  <c r="AE270" i="63"/>
  <c r="AF270" i="63" s="1"/>
  <c r="H278" i="63"/>
  <c r="B279" i="63" s="1"/>
  <c r="N272" i="63"/>
  <c r="P272" i="63"/>
  <c r="A278" i="63" l="1"/>
  <c r="C279" i="63"/>
  <c r="AD271" i="63"/>
  <c r="AG271" i="63"/>
  <c r="AJ271" i="63" s="1"/>
  <c r="AK271" i="63" s="1"/>
  <c r="V271" i="63"/>
  <c r="AA271" i="63" s="1"/>
  <c r="AL271" i="63"/>
  <c r="AM271" i="63" s="1"/>
  <c r="J273" i="63"/>
  <c r="K273" i="63"/>
  <c r="E279" i="63"/>
  <c r="G279" i="63" s="1"/>
  <c r="Q278" i="63"/>
  <c r="U271" i="63" l="1"/>
  <c r="M273" i="63"/>
  <c r="O273" i="63" s="1"/>
  <c r="AC273" i="63"/>
  <c r="D279" i="63"/>
  <c r="Y271" i="63" l="1"/>
  <c r="Z271" i="63"/>
  <c r="AH271" i="63" s="1"/>
  <c r="AB271" i="63"/>
  <c r="S273" i="63"/>
  <c r="I273" i="63"/>
  <c r="L273" i="63"/>
  <c r="F279" i="63"/>
  <c r="H279" i="63"/>
  <c r="T272" i="63" l="1"/>
  <c r="AE271" i="63"/>
  <c r="AF271" i="63" s="1"/>
  <c r="R272" i="63"/>
  <c r="N273" i="63"/>
  <c r="P273" i="63"/>
  <c r="C280" i="63"/>
  <c r="A279" i="63"/>
  <c r="B280" i="63"/>
  <c r="AL272" i="63" l="1"/>
  <c r="AM272" i="63" s="1"/>
  <c r="V272" i="63"/>
  <c r="AA272" i="63" s="1"/>
  <c r="AD272" i="63"/>
  <c r="AG272" i="63"/>
  <c r="AJ272" i="63" s="1"/>
  <c r="AK272" i="63" s="1"/>
  <c r="J274" i="63"/>
  <c r="K274" i="63"/>
  <c r="E280" i="63"/>
  <c r="G280" i="63" s="1"/>
  <c r="Q279" i="63"/>
  <c r="U272" i="63" l="1"/>
  <c r="AB272" i="63" s="1"/>
  <c r="AE272" i="63"/>
  <c r="AF272" i="63" s="1"/>
  <c r="T273" i="63"/>
  <c r="R273" i="63"/>
  <c r="Z272" i="63"/>
  <c r="AH272" i="63" s="1"/>
  <c r="Y272" i="63"/>
  <c r="AC274" i="63"/>
  <c r="M274" i="63"/>
  <c r="O274" i="63" s="1"/>
  <c r="D280" i="63"/>
  <c r="V273" i="63" l="1"/>
  <c r="AA273" i="63" s="1"/>
  <c r="AL273" i="63"/>
  <c r="AM273" i="63" s="1"/>
  <c r="AD273" i="63"/>
  <c r="AG273" i="63"/>
  <c r="AJ273" i="63" s="1"/>
  <c r="AK273" i="63" s="1"/>
  <c r="U273" i="63"/>
  <c r="S274" i="63"/>
  <c r="I274" i="63"/>
  <c r="L274" i="63"/>
  <c r="F280" i="63"/>
  <c r="H280" i="63"/>
  <c r="Y273" i="63" l="1"/>
  <c r="Z273" i="63"/>
  <c r="AH273" i="63" s="1"/>
  <c r="AB273" i="63"/>
  <c r="N274" i="63"/>
  <c r="P274" i="63"/>
  <c r="C281" i="63"/>
  <c r="A280" i="63"/>
  <c r="B281" i="63"/>
  <c r="AE273" i="63" l="1"/>
  <c r="AF273" i="63" s="1"/>
  <c r="T274" i="63"/>
  <c r="R274" i="63"/>
  <c r="K275" i="63"/>
  <c r="J275" i="63"/>
  <c r="E281" i="63"/>
  <c r="G281" i="63" s="1"/>
  <c r="Q280" i="63"/>
  <c r="AL274" i="63" l="1"/>
  <c r="AM274" i="63" s="1"/>
  <c r="V274" i="63"/>
  <c r="AA274" i="63" s="1"/>
  <c r="AD274" i="63"/>
  <c r="AG274" i="63"/>
  <c r="AJ274" i="63" s="1"/>
  <c r="AK274" i="63" s="1"/>
  <c r="U274" i="63"/>
  <c r="D281" i="63"/>
  <c r="F281" i="63" s="1"/>
  <c r="AC275" i="63"/>
  <c r="M275" i="63"/>
  <c r="O275" i="63" s="1"/>
  <c r="L275" i="63" l="1"/>
  <c r="N275" i="63" s="1"/>
  <c r="H281" i="63"/>
  <c r="B282" i="63" s="1"/>
  <c r="Y274" i="63"/>
  <c r="AB274" i="63"/>
  <c r="Z274" i="63"/>
  <c r="AH274" i="63" s="1"/>
  <c r="P275" i="63"/>
  <c r="I275" i="63"/>
  <c r="S275" i="63"/>
  <c r="C282" i="63" l="1"/>
  <c r="A281" i="63"/>
  <c r="Q281" i="63" s="1"/>
  <c r="R275" i="63"/>
  <c r="T275" i="63"/>
  <c r="AE274" i="63"/>
  <c r="AF274" i="63" s="1"/>
  <c r="J276" i="63"/>
  <c r="K276" i="63"/>
  <c r="E282" i="63"/>
  <c r="G282" i="63" s="1"/>
  <c r="AD275" i="63" l="1"/>
  <c r="AG275" i="63"/>
  <c r="AJ275" i="63" s="1"/>
  <c r="AK275" i="63" s="1"/>
  <c r="AL275" i="63"/>
  <c r="AM275" i="63" s="1"/>
  <c r="V275" i="63"/>
  <c r="M276" i="63"/>
  <c r="O276" i="63" s="1"/>
  <c r="AC276" i="63"/>
  <c r="D282" i="63"/>
  <c r="AA275" i="63" l="1"/>
  <c r="U275" i="63"/>
  <c r="S276" i="63"/>
  <c r="I276" i="63"/>
  <c r="L276" i="63"/>
  <c r="F282" i="63"/>
  <c r="H282" i="63"/>
  <c r="AB275" i="63" l="1"/>
  <c r="Z275" i="63"/>
  <c r="AH275" i="63" s="1"/>
  <c r="Y275" i="63"/>
  <c r="N276" i="63"/>
  <c r="P276" i="63"/>
  <c r="A282" i="63"/>
  <c r="C283" i="63"/>
  <c r="B283" i="63"/>
  <c r="AE275" i="63" l="1"/>
  <c r="AF275" i="63" s="1"/>
  <c r="T276" i="63"/>
  <c r="R276" i="63"/>
  <c r="J277" i="63"/>
  <c r="K277" i="63"/>
  <c r="E283" i="63"/>
  <c r="G283" i="63" s="1"/>
  <c r="Q282" i="63"/>
  <c r="V276" i="63" l="1"/>
  <c r="AL276" i="63"/>
  <c r="AM276" i="63" s="1"/>
  <c r="AG276" i="63"/>
  <c r="AJ276" i="63" s="1"/>
  <c r="AK276" i="63" s="1"/>
  <c r="AD276" i="63"/>
  <c r="D283" i="63"/>
  <c r="F283" i="63" s="1"/>
  <c r="AC277" i="63"/>
  <c r="M277" i="63"/>
  <c r="O277" i="63" s="1"/>
  <c r="H283" i="63"/>
  <c r="AA276" i="63" l="1"/>
  <c r="U276" i="63"/>
  <c r="I277" i="63"/>
  <c r="S277" i="63"/>
  <c r="L277" i="63"/>
  <c r="C284" i="63"/>
  <c r="A283" i="63"/>
  <c r="B284" i="63"/>
  <c r="Y276" i="63" l="1"/>
  <c r="AB276" i="63"/>
  <c r="Z276" i="63"/>
  <c r="AH276" i="63" s="1"/>
  <c r="N277" i="63"/>
  <c r="P277" i="63"/>
  <c r="E284" i="63"/>
  <c r="G284" i="63" s="1"/>
  <c r="Q283" i="63"/>
  <c r="AE276" i="63" l="1"/>
  <c r="AF276" i="63" s="1"/>
  <c r="T277" i="63"/>
  <c r="R277" i="63"/>
  <c r="D284" i="63"/>
  <c r="F284" i="63" s="1"/>
  <c r="K278" i="63"/>
  <c r="J278" i="63"/>
  <c r="H284" i="63"/>
  <c r="V277" i="63" l="1"/>
  <c r="AA277" i="63" s="1"/>
  <c r="AL277" i="63"/>
  <c r="AM277" i="63" s="1"/>
  <c r="AG277" i="63"/>
  <c r="AJ277" i="63" s="1"/>
  <c r="AK277" i="63" s="1"/>
  <c r="AD277" i="63"/>
  <c r="U277" i="63"/>
  <c r="AC278" i="63"/>
  <c r="M278" i="63"/>
  <c r="O278" i="63" s="1"/>
  <c r="C285" i="63"/>
  <c r="A284" i="63"/>
  <c r="B285" i="63"/>
  <c r="AB277" i="63" l="1"/>
  <c r="Y277" i="63"/>
  <c r="Z277" i="63"/>
  <c r="AH277" i="63" s="1"/>
  <c r="L278" i="63"/>
  <c r="N278" i="63" s="1"/>
  <c r="I278" i="63"/>
  <c r="S278" i="63"/>
  <c r="E285" i="63"/>
  <c r="G285" i="63" s="1"/>
  <c r="Q284" i="63"/>
  <c r="P278" i="63" l="1"/>
  <c r="T278" i="63"/>
  <c r="R278" i="63"/>
  <c r="AL278" i="63" s="1"/>
  <c r="AE277" i="63"/>
  <c r="AF277" i="63" s="1"/>
  <c r="D285" i="63"/>
  <c r="F285" i="63" s="1"/>
  <c r="AM278" i="63"/>
  <c r="J279" i="63"/>
  <c r="K279" i="63"/>
  <c r="H285" i="63" l="1"/>
  <c r="AD278" i="63"/>
  <c r="AG278" i="63"/>
  <c r="AJ278" i="63" s="1"/>
  <c r="AK278" i="63" s="1"/>
  <c r="V278" i="63"/>
  <c r="AC279" i="63"/>
  <c r="M279" i="63"/>
  <c r="O279" i="63" s="1"/>
  <c r="B286" i="63"/>
  <c r="A285" i="63"/>
  <c r="C286" i="63"/>
  <c r="AA278" i="63" l="1"/>
  <c r="U278" i="63"/>
  <c r="I279" i="63"/>
  <c r="S279" i="63"/>
  <c r="L279" i="63"/>
  <c r="Q285" i="63"/>
  <c r="E286" i="63"/>
  <c r="G286" i="63" s="1"/>
  <c r="AB278" i="63" l="1"/>
  <c r="Y278" i="63"/>
  <c r="Z278" i="63"/>
  <c r="AH278" i="63" s="1"/>
  <c r="N279" i="63"/>
  <c r="P279" i="63"/>
  <c r="D286" i="63"/>
  <c r="AE278" i="63" l="1"/>
  <c r="AF278" i="63" s="1"/>
  <c r="R279" i="63"/>
  <c r="T279" i="63"/>
  <c r="K280" i="63"/>
  <c r="J280" i="63"/>
  <c r="F286" i="63"/>
  <c r="H286" i="63"/>
  <c r="AD279" i="63" l="1"/>
  <c r="AG279" i="63"/>
  <c r="AJ279" i="63" s="1"/>
  <c r="AK279" i="63" s="1"/>
  <c r="V279" i="63"/>
  <c r="AA279" i="63" s="1"/>
  <c r="AL279" i="63"/>
  <c r="AM279" i="63" s="1"/>
  <c r="AC280" i="63"/>
  <c r="M280" i="63"/>
  <c r="O280" i="63" s="1"/>
  <c r="A286" i="63"/>
  <c r="C287" i="63"/>
  <c r="B287" i="63"/>
  <c r="L280" i="63" l="1"/>
  <c r="N280" i="63" s="1"/>
  <c r="U279" i="63"/>
  <c r="S280" i="63"/>
  <c r="I280" i="63"/>
  <c r="E287" i="63"/>
  <c r="G287" i="63" s="1"/>
  <c r="Q286" i="63"/>
  <c r="P280" i="63" l="1"/>
  <c r="Y279" i="63"/>
  <c r="Z279" i="63"/>
  <c r="AH279" i="63" s="1"/>
  <c r="AB279" i="63"/>
  <c r="D287" i="63"/>
  <c r="F287" i="63" s="1"/>
  <c r="K281" i="63"/>
  <c r="J281" i="63"/>
  <c r="H287" i="63" l="1"/>
  <c r="AE279" i="63"/>
  <c r="AF279" i="63" s="1"/>
  <c r="T280" i="63"/>
  <c r="R280" i="63"/>
  <c r="AC281" i="63"/>
  <c r="M281" i="63"/>
  <c r="O281" i="63" s="1"/>
  <c r="C288" i="63"/>
  <c r="A287" i="63"/>
  <c r="B288" i="63"/>
  <c r="AD280" i="63" l="1"/>
  <c r="AG280" i="63"/>
  <c r="AJ280" i="63" s="1"/>
  <c r="AK280" i="63" s="1"/>
  <c r="AL280" i="63"/>
  <c r="AM280" i="63" s="1"/>
  <c r="V280" i="63"/>
  <c r="AA280" i="63" s="1"/>
  <c r="L281" i="63"/>
  <c r="N281" i="63" s="1"/>
  <c r="P281" i="63"/>
  <c r="S281" i="63"/>
  <c r="I281" i="63"/>
  <c r="E288" i="63"/>
  <c r="G288" i="63" s="1"/>
  <c r="Q287" i="63"/>
  <c r="U280" i="63" l="1"/>
  <c r="K282" i="63"/>
  <c r="J282" i="63"/>
  <c r="D288" i="63"/>
  <c r="AB280" i="63" l="1"/>
  <c r="Z280" i="63"/>
  <c r="AH280" i="63" s="1"/>
  <c r="Y280" i="63"/>
  <c r="AC282" i="63"/>
  <c r="M282" i="63"/>
  <c r="O282" i="63" s="1"/>
  <c r="F288" i="63"/>
  <c r="H288" i="63"/>
  <c r="T281" i="63" l="1"/>
  <c r="AE280" i="63"/>
  <c r="AF280" i="63" s="1"/>
  <c r="R281" i="63"/>
  <c r="L282" i="63"/>
  <c r="N282" i="63" s="1"/>
  <c r="P282" i="63"/>
  <c r="I282" i="63"/>
  <c r="S282" i="63"/>
  <c r="C289" i="63"/>
  <c r="A288" i="63"/>
  <c r="B289" i="63"/>
  <c r="AL281" i="63" l="1"/>
  <c r="AM281" i="63" s="1"/>
  <c r="V281" i="63"/>
  <c r="AA281" i="63" s="1"/>
  <c r="AG281" i="63"/>
  <c r="AJ281" i="63" s="1"/>
  <c r="AK281" i="63" s="1"/>
  <c r="AD281" i="63"/>
  <c r="U281" i="63"/>
  <c r="J283" i="63"/>
  <c r="K283" i="63"/>
  <c r="E289" i="63"/>
  <c r="G289" i="63" s="1"/>
  <c r="Q288" i="63"/>
  <c r="Y281" i="63" l="1"/>
  <c r="Z281" i="63"/>
  <c r="AH281" i="63" s="1"/>
  <c r="AB281" i="63"/>
  <c r="AC283" i="63"/>
  <c r="M283" i="63"/>
  <c r="O283" i="63" s="1"/>
  <c r="D289" i="63"/>
  <c r="R282" i="63" l="1"/>
  <c r="T282" i="63"/>
  <c r="AE281" i="63"/>
  <c r="AF281" i="63" s="1"/>
  <c r="I283" i="63"/>
  <c r="S283" i="63"/>
  <c r="L283" i="63"/>
  <c r="F289" i="63"/>
  <c r="H289" i="63"/>
  <c r="AD282" i="63" l="1"/>
  <c r="AG282" i="63"/>
  <c r="AJ282" i="63" s="1"/>
  <c r="AK282" i="63" s="1"/>
  <c r="AL282" i="63"/>
  <c r="AM282" i="63" s="1"/>
  <c r="V282" i="63"/>
  <c r="AA282" i="63" s="1"/>
  <c r="N283" i="63"/>
  <c r="P283" i="63"/>
  <c r="C290" i="63"/>
  <c r="A289" i="63"/>
  <c r="B290" i="63"/>
  <c r="U282" i="63" l="1"/>
  <c r="J284" i="63"/>
  <c r="K284" i="63"/>
  <c r="E290" i="63"/>
  <c r="G290" i="63" s="1"/>
  <c r="Q289" i="63"/>
  <c r="Y282" i="63" l="1"/>
  <c r="Z282" i="63"/>
  <c r="AH282" i="63" s="1"/>
  <c r="AB282" i="63"/>
  <c r="AC284" i="63"/>
  <c r="M284" i="63"/>
  <c r="O284" i="63" s="1"/>
  <c r="D290" i="63"/>
  <c r="R283" i="63" l="1"/>
  <c r="T283" i="63"/>
  <c r="AE282" i="63"/>
  <c r="AF282" i="63" s="1"/>
  <c r="S284" i="63"/>
  <c r="I284" i="63"/>
  <c r="L284" i="63"/>
  <c r="F290" i="63"/>
  <c r="H290" i="63"/>
  <c r="AG283" i="63" l="1"/>
  <c r="AJ283" i="63" s="1"/>
  <c r="AK283" i="63" s="1"/>
  <c r="AD283" i="63"/>
  <c r="AL283" i="63"/>
  <c r="AM283" i="63" s="1"/>
  <c r="V283" i="63"/>
  <c r="AA283" i="63" s="1"/>
  <c r="N284" i="63"/>
  <c r="P284" i="63"/>
  <c r="B291" i="63"/>
  <c r="A290" i="63"/>
  <c r="C291" i="63"/>
  <c r="U283" i="63" l="1"/>
  <c r="J285" i="63"/>
  <c r="K285" i="63"/>
  <c r="E291" i="63"/>
  <c r="G291" i="63" s="1"/>
  <c r="Q290" i="63"/>
  <c r="Z283" i="63" l="1"/>
  <c r="AH283" i="63" s="1"/>
  <c r="Y283" i="63"/>
  <c r="AB283" i="63"/>
  <c r="D291" i="63"/>
  <c r="F291" i="63" s="1"/>
  <c r="AC285" i="63"/>
  <c r="M285" i="63"/>
  <c r="O285" i="63" s="1"/>
  <c r="T284" i="63" l="1"/>
  <c r="AE283" i="63"/>
  <c r="AF283" i="63" s="1"/>
  <c r="R284" i="63"/>
  <c r="H291" i="63"/>
  <c r="A291" i="63" s="1"/>
  <c r="S285" i="63"/>
  <c r="I285" i="63"/>
  <c r="L285" i="63"/>
  <c r="C292" i="63"/>
  <c r="B292" i="63" l="1"/>
  <c r="V284" i="63"/>
  <c r="AA284" i="63" s="1"/>
  <c r="AL284" i="63"/>
  <c r="AM284" i="63" s="1"/>
  <c r="AD284" i="63"/>
  <c r="AG284" i="63"/>
  <c r="AJ284" i="63" s="1"/>
  <c r="AK284" i="63" s="1"/>
  <c r="U284" i="63"/>
  <c r="AB284" i="63" s="1"/>
  <c r="N285" i="63"/>
  <c r="P285" i="63"/>
  <c r="Q291" i="63"/>
  <c r="E292" i="63"/>
  <c r="G292" i="63" s="1"/>
  <c r="R285" i="63" l="1"/>
  <c r="AE284" i="63"/>
  <c r="AF284" i="63" s="1"/>
  <c r="T285" i="63"/>
  <c r="Z284" i="63"/>
  <c r="AH284" i="63" s="1"/>
  <c r="Y284" i="63"/>
  <c r="K286" i="63"/>
  <c r="J286" i="63"/>
  <c r="D292" i="63"/>
  <c r="AD285" i="63" l="1"/>
  <c r="AG285" i="63"/>
  <c r="AJ285" i="63" s="1"/>
  <c r="AK285" i="63" s="1"/>
  <c r="V285" i="63"/>
  <c r="AA285" i="63" s="1"/>
  <c r="AL285" i="63"/>
  <c r="AM285" i="63" s="1"/>
  <c r="AC286" i="63"/>
  <c r="M286" i="63"/>
  <c r="O286" i="63" s="1"/>
  <c r="F292" i="63"/>
  <c r="H292" i="63"/>
  <c r="L286" i="63" l="1"/>
  <c r="N286" i="63" s="1"/>
  <c r="U285" i="63"/>
  <c r="P286" i="63"/>
  <c r="S286" i="63"/>
  <c r="I286" i="63"/>
  <c r="C293" i="63"/>
  <c r="A292" i="63"/>
  <c r="B293" i="63"/>
  <c r="Z285" i="63" l="1"/>
  <c r="AH285" i="63" s="1"/>
  <c r="Y285" i="63"/>
  <c r="AB285" i="63"/>
  <c r="K287" i="63"/>
  <c r="J287" i="63"/>
  <c r="Q292" i="63"/>
  <c r="E293" i="63"/>
  <c r="G293" i="63" s="1"/>
  <c r="T286" i="63" l="1"/>
  <c r="R286" i="63"/>
  <c r="AE285" i="63"/>
  <c r="AF285" i="63" s="1"/>
  <c r="AC287" i="63"/>
  <c r="M287" i="63"/>
  <c r="O287" i="63" s="1"/>
  <c r="D293" i="63"/>
  <c r="AL286" i="63" l="1"/>
  <c r="AM286" i="63" s="1"/>
  <c r="V286" i="63"/>
  <c r="AA286" i="63" s="1"/>
  <c r="L287" i="63"/>
  <c r="N287" i="63" s="1"/>
  <c r="AD286" i="63"/>
  <c r="AG286" i="63"/>
  <c r="AJ286" i="63" s="1"/>
  <c r="AK286" i="63" s="1"/>
  <c r="U286" i="63"/>
  <c r="I287" i="63"/>
  <c r="S287" i="63"/>
  <c r="F293" i="63"/>
  <c r="H293" i="63"/>
  <c r="Z286" i="63" l="1"/>
  <c r="AH286" i="63" s="1"/>
  <c r="Y286" i="63"/>
  <c r="AB286" i="63"/>
  <c r="P287" i="63"/>
  <c r="J288" i="63"/>
  <c r="K288" i="63"/>
  <c r="C294" i="63"/>
  <c r="A293" i="63"/>
  <c r="B294" i="63"/>
  <c r="T287" i="63" l="1"/>
  <c r="AE286" i="63"/>
  <c r="AF286" i="63" s="1"/>
  <c r="R287" i="63"/>
  <c r="M288" i="63"/>
  <c r="O288" i="63" s="1"/>
  <c r="AC288" i="63"/>
  <c r="E294" i="63"/>
  <c r="G294" i="63" s="1"/>
  <c r="Q293" i="63"/>
  <c r="AL287" i="63" l="1"/>
  <c r="AM287" i="63" s="1"/>
  <c r="V287" i="63"/>
  <c r="AG287" i="63"/>
  <c r="AJ287" i="63" s="1"/>
  <c r="AK287" i="63" s="1"/>
  <c r="AD287" i="63"/>
  <c r="S288" i="63"/>
  <c r="I288" i="63"/>
  <c r="L288" i="63"/>
  <c r="D294" i="63"/>
  <c r="AA287" i="63" l="1"/>
  <c r="U287" i="63"/>
  <c r="N288" i="63"/>
  <c r="P288" i="63"/>
  <c r="F294" i="63"/>
  <c r="H294" i="63"/>
  <c r="Z287" i="63" l="1"/>
  <c r="AH287" i="63" s="1"/>
  <c r="AB287" i="63"/>
  <c r="Y287" i="63"/>
  <c r="J289" i="63"/>
  <c r="K289" i="63"/>
  <c r="B295" i="63"/>
  <c r="A294" i="63"/>
  <c r="C295" i="63"/>
  <c r="T288" i="63" l="1"/>
  <c r="AE287" i="63"/>
  <c r="AF287" i="63" s="1"/>
  <c r="R288" i="63"/>
  <c r="M289" i="63"/>
  <c r="O289" i="63" s="1"/>
  <c r="AC289" i="63"/>
  <c r="Q294" i="63"/>
  <c r="E295" i="63"/>
  <c r="G295" i="63" s="1"/>
  <c r="AL288" i="63" l="1"/>
  <c r="AM288" i="63" s="1"/>
  <c r="V288" i="63"/>
  <c r="AG288" i="63"/>
  <c r="AJ288" i="63" s="1"/>
  <c r="AK288" i="63" s="1"/>
  <c r="AD288" i="63"/>
  <c r="L289" i="63"/>
  <c r="N289" i="63" s="1"/>
  <c r="D295" i="63"/>
  <c r="S289" i="63"/>
  <c r="I289" i="63"/>
  <c r="P289" i="63" l="1"/>
  <c r="AA288" i="63"/>
  <c r="U288" i="63"/>
  <c r="F295" i="63"/>
  <c r="H295" i="63"/>
  <c r="J290" i="63"/>
  <c r="K290" i="63"/>
  <c r="Z288" i="63" l="1"/>
  <c r="AH288" i="63" s="1"/>
  <c r="Y288" i="63"/>
  <c r="AB288" i="63"/>
  <c r="C296" i="63"/>
  <c r="B296" i="63"/>
  <c r="E296" i="63" s="1"/>
  <c r="G296" i="63" s="1"/>
  <c r="A295" i="63"/>
  <c r="Q295" i="63" s="1"/>
  <c r="AC290" i="63"/>
  <c r="M290" i="63"/>
  <c r="O290" i="63" s="1"/>
  <c r="T289" i="63" l="1"/>
  <c r="R289" i="63"/>
  <c r="AE288" i="63"/>
  <c r="AF288" i="63" s="1"/>
  <c r="L290" i="63"/>
  <c r="N290" i="63" s="1"/>
  <c r="D296" i="63"/>
  <c r="S290" i="63"/>
  <c r="I290" i="63"/>
  <c r="AL289" i="63" l="1"/>
  <c r="AM289" i="63" s="1"/>
  <c r="V289" i="63"/>
  <c r="AA289" i="63" s="1"/>
  <c r="P290" i="63"/>
  <c r="J291" i="63" s="1"/>
  <c r="AG289" i="63"/>
  <c r="AJ289" i="63" s="1"/>
  <c r="AK289" i="63" s="1"/>
  <c r="AD289" i="63"/>
  <c r="U289" i="63"/>
  <c r="F296" i="63"/>
  <c r="H296" i="63"/>
  <c r="K291" i="63" l="1"/>
  <c r="Z289" i="63"/>
  <c r="AH289" i="63" s="1"/>
  <c r="Y289" i="63"/>
  <c r="AB289" i="63"/>
  <c r="C297" i="63"/>
  <c r="A296" i="63"/>
  <c r="Q296" i="63" s="1"/>
  <c r="B297" i="63"/>
  <c r="E297" i="63" s="1"/>
  <c r="G297" i="63" s="1"/>
  <c r="AC291" i="63"/>
  <c r="M291" i="63"/>
  <c r="O291" i="63" s="1"/>
  <c r="D297" i="63" l="1"/>
  <c r="AE289" i="63"/>
  <c r="AF289" i="63" s="1"/>
  <c r="R290" i="63"/>
  <c r="T290" i="63"/>
  <c r="L291" i="63"/>
  <c r="N291" i="63" s="1"/>
  <c r="I291" i="63"/>
  <c r="S291" i="63"/>
  <c r="F297" i="63"/>
  <c r="H297" i="63"/>
  <c r="AG290" i="63" l="1"/>
  <c r="AJ290" i="63" s="1"/>
  <c r="AK290" i="63" s="1"/>
  <c r="AD290" i="63"/>
  <c r="V290" i="63"/>
  <c r="AL290" i="63"/>
  <c r="AM290" i="63" s="1"/>
  <c r="P291" i="63"/>
  <c r="J292" i="63" s="1"/>
  <c r="C298" i="63"/>
  <c r="A297" i="63"/>
  <c r="B298" i="63"/>
  <c r="K292" i="63" l="1"/>
  <c r="AA290" i="63"/>
  <c r="U290" i="63"/>
  <c r="AC292" i="63"/>
  <c r="M292" i="63"/>
  <c r="O292" i="63" s="1"/>
  <c r="Q297" i="63"/>
  <c r="E298" i="63"/>
  <c r="G298" i="63" s="1"/>
  <c r="L292" i="63" l="1"/>
  <c r="N292" i="63" s="1"/>
  <c r="Z290" i="63"/>
  <c r="AH290" i="63" s="1"/>
  <c r="Y290" i="63"/>
  <c r="AB290" i="63"/>
  <c r="D298" i="63"/>
  <c r="F298" i="63" s="1"/>
  <c r="P292" i="63"/>
  <c r="S292" i="63"/>
  <c r="I292" i="63"/>
  <c r="R291" i="63" l="1"/>
  <c r="AE290" i="63"/>
  <c r="AF290" i="63" s="1"/>
  <c r="T291" i="63"/>
  <c r="H298" i="63"/>
  <c r="C299" i="63" s="1"/>
  <c r="K293" i="63"/>
  <c r="J293" i="63"/>
  <c r="A298" i="63"/>
  <c r="B299" i="63" l="1"/>
  <c r="AG291" i="63"/>
  <c r="AJ291" i="63" s="1"/>
  <c r="AK291" i="63" s="1"/>
  <c r="AD291" i="63"/>
  <c r="AL291" i="63"/>
  <c r="AM291" i="63" s="1"/>
  <c r="V291" i="63"/>
  <c r="AA291" i="63" s="1"/>
  <c r="AC293" i="63"/>
  <c r="M293" i="63"/>
  <c r="O293" i="63" s="1"/>
  <c r="Q298" i="63"/>
  <c r="E299" i="63"/>
  <c r="G299" i="63" s="1"/>
  <c r="U291" i="63" l="1"/>
  <c r="S293" i="63"/>
  <c r="I293" i="63"/>
  <c r="L293" i="63"/>
  <c r="D299" i="63"/>
  <c r="Z291" i="63" l="1"/>
  <c r="AH291" i="63" s="1"/>
  <c r="Y291" i="63"/>
  <c r="AB291" i="63"/>
  <c r="N293" i="63"/>
  <c r="P293" i="63"/>
  <c r="F299" i="63"/>
  <c r="H299" i="63"/>
  <c r="AE291" i="63" l="1"/>
  <c r="AF291" i="63" s="1"/>
  <c r="T292" i="63"/>
  <c r="R292" i="63"/>
  <c r="K294" i="63"/>
  <c r="J294" i="63"/>
  <c r="B300" i="63"/>
  <c r="A299" i="63"/>
  <c r="C300" i="63"/>
  <c r="AD292" i="63" l="1"/>
  <c r="AG292" i="63"/>
  <c r="AJ292" i="63" s="1"/>
  <c r="AK292" i="63" s="1"/>
  <c r="V292" i="63"/>
  <c r="AA292" i="63" s="1"/>
  <c r="AL292" i="63"/>
  <c r="AM292" i="63" s="1"/>
  <c r="AC294" i="63"/>
  <c r="M294" i="63"/>
  <c r="O294" i="63" s="1"/>
  <c r="Q299" i="63"/>
  <c r="E300" i="63"/>
  <c r="G300" i="63" s="1"/>
  <c r="U292" i="63" l="1"/>
  <c r="I294" i="63"/>
  <c r="S294" i="63"/>
  <c r="L294" i="63"/>
  <c r="D300" i="63"/>
  <c r="Z292" i="63" l="1"/>
  <c r="AH292" i="63" s="1"/>
  <c r="Y292" i="63"/>
  <c r="AB292" i="63"/>
  <c r="N294" i="63"/>
  <c r="P294" i="63"/>
  <c r="F300" i="63"/>
  <c r="H300" i="63"/>
  <c r="AE292" i="63" l="1"/>
  <c r="AF292" i="63" s="1"/>
  <c r="T293" i="63"/>
  <c r="R293" i="63"/>
  <c r="K295" i="63"/>
  <c r="J295" i="63"/>
  <c r="C301" i="63"/>
  <c r="B301" i="63"/>
  <c r="A300" i="63"/>
  <c r="AG293" i="63" l="1"/>
  <c r="AJ293" i="63" s="1"/>
  <c r="AK293" i="63" s="1"/>
  <c r="AD293" i="63"/>
  <c r="AL293" i="63"/>
  <c r="AM293" i="63" s="1"/>
  <c r="V293" i="63"/>
  <c r="AA293" i="63" s="1"/>
  <c r="M295" i="63"/>
  <c r="O295" i="63" s="1"/>
  <c r="AC295" i="63"/>
  <c r="E301" i="63"/>
  <c r="G301" i="63" s="1"/>
  <c r="Q300" i="63"/>
  <c r="U293" i="63" l="1"/>
  <c r="D301" i="63"/>
  <c r="F301" i="63" s="1"/>
  <c r="S295" i="63"/>
  <c r="I295" i="63"/>
  <c r="L295" i="63"/>
  <c r="H301" i="63" l="1"/>
  <c r="AB293" i="63"/>
  <c r="Y293" i="63"/>
  <c r="Z293" i="63"/>
  <c r="AH293" i="63" s="1"/>
  <c r="N295" i="63"/>
  <c r="P295" i="63"/>
  <c r="B302" i="63"/>
  <c r="A301" i="63"/>
  <c r="C302" i="63"/>
  <c r="T294" i="63" l="1"/>
  <c r="AE293" i="63"/>
  <c r="AF293" i="63" s="1"/>
  <c r="R294" i="63"/>
  <c r="K296" i="63"/>
  <c r="J296" i="63"/>
  <c r="Q301" i="63"/>
  <c r="E302" i="63"/>
  <c r="G302" i="63" s="1"/>
  <c r="AL294" i="63" l="1"/>
  <c r="AM294" i="63" s="1"/>
  <c r="V294" i="63"/>
  <c r="AA294" i="63" s="1"/>
  <c r="AD294" i="63"/>
  <c r="AG294" i="63"/>
  <c r="AJ294" i="63" s="1"/>
  <c r="AK294" i="63" s="1"/>
  <c r="AC296" i="63"/>
  <c r="M296" i="63"/>
  <c r="O296" i="63" s="1"/>
  <c r="D302" i="63"/>
  <c r="U294" i="63" l="1"/>
  <c r="AB294" i="63" s="1"/>
  <c r="AE294" i="63"/>
  <c r="AF294" i="63" s="1"/>
  <c r="R295" i="63"/>
  <c r="T295" i="63"/>
  <c r="Z294" i="63"/>
  <c r="AH294" i="63" s="1"/>
  <c r="Y294" i="63"/>
  <c r="L296" i="63"/>
  <c r="I296" i="63"/>
  <c r="S296" i="63"/>
  <c r="F302" i="63"/>
  <c r="H302" i="63"/>
  <c r="AG295" i="63" l="1"/>
  <c r="AJ295" i="63" s="1"/>
  <c r="AK295" i="63" s="1"/>
  <c r="AD295" i="63"/>
  <c r="AL295" i="63"/>
  <c r="AM295" i="63" s="1"/>
  <c r="V295" i="63"/>
  <c r="AA295" i="63" s="1"/>
  <c r="N296" i="63"/>
  <c r="P296" i="63"/>
  <c r="B303" i="63"/>
  <c r="A302" i="63"/>
  <c r="C303" i="63"/>
  <c r="U295" i="63" l="1"/>
  <c r="K297" i="63"/>
  <c r="J297" i="63"/>
  <c r="E303" i="63"/>
  <c r="G303" i="63" s="1"/>
  <c r="Q302" i="63"/>
  <c r="Y295" i="63" l="1"/>
  <c r="Z295" i="63"/>
  <c r="AH295" i="63" s="1"/>
  <c r="AB295" i="63"/>
  <c r="D303" i="63"/>
  <c r="F303" i="63" s="1"/>
  <c r="AC297" i="63"/>
  <c r="M297" i="63"/>
  <c r="O297" i="63" s="1"/>
  <c r="R296" i="63" l="1"/>
  <c r="AE295" i="63"/>
  <c r="AF295" i="63" s="1"/>
  <c r="T296" i="63"/>
  <c r="H303" i="63"/>
  <c r="C304" i="63" s="1"/>
  <c r="L297" i="63"/>
  <c r="N297" i="63" s="1"/>
  <c r="P297" i="63"/>
  <c r="I297" i="63"/>
  <c r="S297" i="63"/>
  <c r="B304" i="63" l="1"/>
  <c r="A303" i="63"/>
  <c r="AD296" i="63"/>
  <c r="AG296" i="63"/>
  <c r="AJ296" i="63" s="1"/>
  <c r="AK296" i="63" s="1"/>
  <c r="AL296" i="63"/>
  <c r="AM296" i="63" s="1"/>
  <c r="V296" i="63"/>
  <c r="AA296" i="63" s="1"/>
  <c r="J298" i="63"/>
  <c r="K298" i="63"/>
  <c r="E304" i="63"/>
  <c r="G304" i="63" s="1"/>
  <c r="Q303" i="63"/>
  <c r="U296" i="63" l="1"/>
  <c r="D304" i="63"/>
  <c r="F304" i="63" s="1"/>
  <c r="AC298" i="63"/>
  <c r="M298" i="63"/>
  <c r="O298" i="63" s="1"/>
  <c r="Z296" i="63" l="1"/>
  <c r="AH296" i="63" s="1"/>
  <c r="Y296" i="63"/>
  <c r="AB296" i="63"/>
  <c r="H304" i="63"/>
  <c r="A304" i="63" s="1"/>
  <c r="S298" i="63"/>
  <c r="I298" i="63"/>
  <c r="L298" i="63"/>
  <c r="C305" i="63"/>
  <c r="B305" i="63" l="1"/>
  <c r="AE296" i="63"/>
  <c r="AF296" i="63" s="1"/>
  <c r="T297" i="63"/>
  <c r="R297" i="63"/>
  <c r="N298" i="63"/>
  <c r="P298" i="63"/>
  <c r="E305" i="63"/>
  <c r="G305" i="63" s="1"/>
  <c r="Q304" i="63"/>
  <c r="AD297" i="63" l="1"/>
  <c r="AG297" i="63"/>
  <c r="AJ297" i="63" s="1"/>
  <c r="AK297" i="63" s="1"/>
  <c r="AL297" i="63"/>
  <c r="AM297" i="63" s="1"/>
  <c r="V297" i="63"/>
  <c r="AA297" i="63" s="1"/>
  <c r="J299" i="63"/>
  <c r="K299" i="63"/>
  <c r="D305" i="63"/>
  <c r="U297" i="63" l="1"/>
  <c r="AC299" i="63"/>
  <c r="M299" i="63"/>
  <c r="O299" i="63" s="1"/>
  <c r="F305" i="63"/>
  <c r="H305" i="63"/>
  <c r="Y297" i="63" l="1"/>
  <c r="Z297" i="63"/>
  <c r="AH297" i="63" s="1"/>
  <c r="AB297" i="63"/>
  <c r="L299" i="63"/>
  <c r="I299" i="63"/>
  <c r="S299" i="63"/>
  <c r="B306" i="63"/>
  <c r="C306" i="63"/>
  <c r="A305" i="63"/>
  <c r="AE297" i="63" l="1"/>
  <c r="AF297" i="63" s="1"/>
  <c r="T298" i="63"/>
  <c r="R298" i="63"/>
  <c r="N299" i="63"/>
  <c r="P299" i="63"/>
  <c r="E306" i="63"/>
  <c r="G306" i="63" s="1"/>
  <c r="Q305" i="63"/>
  <c r="AL298" i="63" l="1"/>
  <c r="AM298" i="63" s="1"/>
  <c r="V298" i="63"/>
  <c r="AA298" i="63" s="1"/>
  <c r="AD298" i="63"/>
  <c r="AG298" i="63"/>
  <c r="AJ298" i="63" s="1"/>
  <c r="AK298" i="63" s="1"/>
  <c r="U298" i="63"/>
  <c r="K300" i="63"/>
  <c r="J300" i="63"/>
  <c r="D306" i="63"/>
  <c r="Z298" i="63" l="1"/>
  <c r="AH298" i="63" s="1"/>
  <c r="Y298" i="63"/>
  <c r="AB298" i="63"/>
  <c r="AC300" i="63"/>
  <c r="M300" i="63"/>
  <c r="O300" i="63" s="1"/>
  <c r="F306" i="63"/>
  <c r="H306" i="63"/>
  <c r="AE298" i="63" l="1"/>
  <c r="AF298" i="63" s="1"/>
  <c r="R299" i="63"/>
  <c r="T299" i="63"/>
  <c r="L300" i="63"/>
  <c r="I300" i="63"/>
  <c r="S300" i="63"/>
  <c r="B307" i="63"/>
  <c r="C307" i="63"/>
  <c r="A306" i="63"/>
  <c r="AD299" i="63" l="1"/>
  <c r="AG299" i="63"/>
  <c r="AJ299" i="63" s="1"/>
  <c r="AK299" i="63" s="1"/>
  <c r="AL299" i="63"/>
  <c r="AM299" i="63" s="1"/>
  <c r="V299" i="63"/>
  <c r="AA299" i="63" s="1"/>
  <c r="N300" i="63"/>
  <c r="P300" i="63"/>
  <c r="Q306" i="63"/>
  <c r="E307" i="63"/>
  <c r="G307" i="63" s="1"/>
  <c r="U299" i="63" l="1"/>
  <c r="J301" i="63"/>
  <c r="K301" i="63"/>
  <c r="D307" i="63"/>
  <c r="Y299" i="63" l="1"/>
  <c r="Z299" i="63"/>
  <c r="AH299" i="63" s="1"/>
  <c r="AB299" i="63"/>
  <c r="AC301" i="63"/>
  <c r="M301" i="63"/>
  <c r="O301" i="63" s="1"/>
  <c r="F307" i="63"/>
  <c r="H307" i="63"/>
  <c r="T300" i="63" l="1"/>
  <c r="AE299" i="63"/>
  <c r="AF299" i="63" s="1"/>
  <c r="R300" i="63"/>
  <c r="S301" i="63"/>
  <c r="I301" i="63"/>
  <c r="L301" i="63"/>
  <c r="C308" i="63"/>
  <c r="A307" i="63"/>
  <c r="B308" i="63"/>
  <c r="AL300" i="63" l="1"/>
  <c r="AM300" i="63" s="1"/>
  <c r="V300" i="63"/>
  <c r="AA300" i="63" s="1"/>
  <c r="AD300" i="63"/>
  <c r="AG300" i="63"/>
  <c r="AJ300" i="63" s="1"/>
  <c r="AK300" i="63" s="1"/>
  <c r="U300" i="63"/>
  <c r="N301" i="63"/>
  <c r="P301" i="63"/>
  <c r="E308" i="63"/>
  <c r="G308" i="63" s="1"/>
  <c r="Q307" i="63"/>
  <c r="Z300" i="63" l="1"/>
  <c r="AH300" i="63" s="1"/>
  <c r="Y300" i="63"/>
  <c r="AB300" i="63"/>
  <c r="J302" i="63"/>
  <c r="K302" i="63"/>
  <c r="D308" i="63"/>
  <c r="AE300" i="63" l="1"/>
  <c r="AF300" i="63" s="1"/>
  <c r="T301" i="63"/>
  <c r="R301" i="63"/>
  <c r="AC302" i="63"/>
  <c r="M302" i="63"/>
  <c r="O302" i="63" s="1"/>
  <c r="F308" i="63"/>
  <c r="H308" i="63"/>
  <c r="V301" i="63" l="1"/>
  <c r="AA301" i="63" s="1"/>
  <c r="AL301" i="63"/>
  <c r="AM301" i="63" s="1"/>
  <c r="AD301" i="63"/>
  <c r="AG301" i="63"/>
  <c r="AJ301" i="63" s="1"/>
  <c r="AK301" i="63" s="1"/>
  <c r="U301" i="63"/>
  <c r="AB301" i="63" s="1"/>
  <c r="L302" i="63"/>
  <c r="N302" i="63" s="1"/>
  <c r="I302" i="63"/>
  <c r="S302" i="63"/>
  <c r="C309" i="63"/>
  <c r="A308" i="63"/>
  <c r="B309" i="63"/>
  <c r="AE301" i="63" l="1"/>
  <c r="AF301" i="63" s="1"/>
  <c r="R302" i="63"/>
  <c r="AL302" i="63" s="1"/>
  <c r="AM302" i="63" s="1"/>
  <c r="T302" i="63"/>
  <c r="P302" i="63"/>
  <c r="K303" i="63" s="1"/>
  <c r="Y301" i="63"/>
  <c r="Z301" i="63"/>
  <c r="AH301" i="63" s="1"/>
  <c r="V302" i="63"/>
  <c r="U302" i="63" s="1"/>
  <c r="E309" i="63"/>
  <c r="G309" i="63" s="1"/>
  <c r="Q308" i="63"/>
  <c r="AA302" i="63" l="1"/>
  <c r="AG302" i="63"/>
  <c r="AJ302" i="63" s="1"/>
  <c r="AK302" i="63" s="1"/>
  <c r="AD302" i="63"/>
  <c r="J303" i="63"/>
  <c r="M303" i="63" s="1"/>
  <c r="D309" i="63"/>
  <c r="F309" i="63" s="1"/>
  <c r="Z302" i="63"/>
  <c r="AH302" i="63" s="1"/>
  <c r="Y302" i="63"/>
  <c r="AB302" i="63"/>
  <c r="O303" i="63" l="1"/>
  <c r="L303" i="63"/>
  <c r="N303" i="63" s="1"/>
  <c r="AC303" i="63"/>
  <c r="H309" i="63"/>
  <c r="B310" i="63" s="1"/>
  <c r="P303" i="63"/>
  <c r="I303" i="63"/>
  <c r="S303" i="63"/>
  <c r="AE302" i="63"/>
  <c r="AF302" i="63" s="1"/>
  <c r="T303" i="63"/>
  <c r="R303" i="63"/>
  <c r="C310" i="63"/>
  <c r="A309" i="63" l="1"/>
  <c r="AL303" i="63"/>
  <c r="AM303" i="63" s="1"/>
  <c r="V303" i="63"/>
  <c r="AA303" i="63" s="1"/>
  <c r="AG303" i="63"/>
  <c r="AJ303" i="63" s="1"/>
  <c r="AK303" i="63" s="1"/>
  <c r="AD303" i="63"/>
  <c r="J304" i="63"/>
  <c r="K304" i="63"/>
  <c r="Q309" i="63"/>
  <c r="E310" i="63"/>
  <c r="G310" i="63" s="1"/>
  <c r="U303" i="63" l="1"/>
  <c r="AC304" i="63"/>
  <c r="M304" i="63"/>
  <c r="O304" i="63" s="1"/>
  <c r="Y303" i="63"/>
  <c r="Z303" i="63"/>
  <c r="AH303" i="63" s="1"/>
  <c r="AB303" i="63"/>
  <c r="D310" i="63"/>
  <c r="S304" i="63" l="1"/>
  <c r="I304" i="63"/>
  <c r="AE303" i="63"/>
  <c r="AF303" i="63" s="1"/>
  <c r="T304" i="63"/>
  <c r="R304" i="63"/>
  <c r="L304" i="63"/>
  <c r="F310" i="63"/>
  <c r="H310" i="63"/>
  <c r="N304" i="63" l="1"/>
  <c r="P304" i="63"/>
  <c r="AL304" i="63"/>
  <c r="AM304" i="63" s="1"/>
  <c r="V304" i="63"/>
  <c r="AA304" i="63" s="1"/>
  <c r="AG304" i="63"/>
  <c r="AJ304" i="63" s="1"/>
  <c r="AK304" i="63" s="1"/>
  <c r="U304" i="63"/>
  <c r="AD304" i="63"/>
  <c r="B311" i="63"/>
  <c r="A310" i="63"/>
  <c r="C311" i="63"/>
  <c r="Y304" i="63" l="1"/>
  <c r="Z304" i="63"/>
  <c r="AH304" i="63" s="1"/>
  <c r="AB304" i="63"/>
  <c r="J305" i="63"/>
  <c r="K305" i="63"/>
  <c r="Q310" i="63"/>
  <c r="E311" i="63"/>
  <c r="G311" i="63" s="1"/>
  <c r="D311" i="63" l="1"/>
  <c r="F311" i="63" s="1"/>
  <c r="M305" i="63"/>
  <c r="O305" i="63" s="1"/>
  <c r="AC305" i="63"/>
  <c r="T305" i="63"/>
  <c r="R305" i="63"/>
  <c r="AE304" i="63"/>
  <c r="AF304" i="63" s="1"/>
  <c r="H311" i="63"/>
  <c r="AG305" i="63" l="1"/>
  <c r="AJ305" i="63" s="1"/>
  <c r="I305" i="63"/>
  <c r="S305" i="63"/>
  <c r="V305" i="63" s="1"/>
  <c r="AA305" i="63" s="1"/>
  <c r="AL305" i="63"/>
  <c r="AD305" i="63"/>
  <c r="L305" i="63"/>
  <c r="C312" i="63"/>
  <c r="A311" i="63"/>
  <c r="B312" i="63"/>
  <c r="U305" i="63" l="1"/>
  <c r="N305" i="63"/>
  <c r="P305" i="63"/>
  <c r="E312" i="63"/>
  <c r="G312" i="63" s="1"/>
  <c r="Q311" i="63"/>
  <c r="K306" i="63" l="1"/>
  <c r="AK305" i="63"/>
  <c r="J306" i="63"/>
  <c r="Z305" i="63"/>
  <c r="AH305" i="63" s="1"/>
  <c r="Y305" i="63"/>
  <c r="AB305" i="63"/>
  <c r="AM305" i="63"/>
  <c r="D312" i="63"/>
  <c r="AE305" i="63" l="1"/>
  <c r="AF305" i="63" s="1"/>
  <c r="T306" i="63"/>
  <c r="R306" i="63"/>
  <c r="AC306" i="63"/>
  <c r="M306" i="63"/>
  <c r="O306" i="63" s="1"/>
  <c r="AD306" i="63"/>
  <c r="F312" i="63"/>
  <c r="H312" i="63"/>
  <c r="L306" i="63" l="1"/>
  <c r="N306" i="63" s="1"/>
  <c r="P306" i="63"/>
  <c r="AG306" i="63"/>
  <c r="AJ306" i="63" s="1"/>
  <c r="AK306" i="63" s="1"/>
  <c r="S306" i="63"/>
  <c r="I306" i="63"/>
  <c r="AL306" i="63"/>
  <c r="AM306" i="63" s="1"/>
  <c r="V306" i="63"/>
  <c r="AA306" i="63" s="1"/>
  <c r="B313" i="63"/>
  <c r="C313" i="63"/>
  <c r="A312" i="63"/>
  <c r="U306" i="63" l="1"/>
  <c r="J307" i="63"/>
  <c r="K307" i="63"/>
  <c r="Q312" i="63"/>
  <c r="E313" i="63"/>
  <c r="G313" i="63" s="1"/>
  <c r="M307" i="63" l="1"/>
  <c r="O307" i="63" s="1"/>
  <c r="AC307" i="63"/>
  <c r="Z306" i="63"/>
  <c r="AH306" i="63" s="1"/>
  <c r="Y306" i="63"/>
  <c r="AB306" i="63"/>
  <c r="D313" i="63"/>
  <c r="R307" i="63" l="1"/>
  <c r="AE306" i="63"/>
  <c r="AF306" i="63" s="1"/>
  <c r="T307" i="63"/>
  <c r="I307" i="63"/>
  <c r="S307" i="63"/>
  <c r="L307" i="63"/>
  <c r="F313" i="63"/>
  <c r="H313" i="63"/>
  <c r="AG307" i="63" l="1"/>
  <c r="AJ307" i="63" s="1"/>
  <c r="AD307" i="63"/>
  <c r="N307" i="63"/>
  <c r="P307" i="63"/>
  <c r="AL307" i="63"/>
  <c r="AM307" i="63" s="1"/>
  <c r="V307" i="63"/>
  <c r="AA307" i="63" s="1"/>
  <c r="A313" i="63"/>
  <c r="C314" i="63"/>
  <c r="B314" i="63"/>
  <c r="J308" i="63" l="1"/>
  <c r="K308" i="63"/>
  <c r="AK307" i="63"/>
  <c r="U307" i="63"/>
  <c r="Q313" i="63"/>
  <c r="E314" i="63"/>
  <c r="G314" i="63" s="1"/>
  <c r="Z307" i="63" l="1"/>
  <c r="AH307" i="63" s="1"/>
  <c r="Y307" i="63"/>
  <c r="AB307" i="63"/>
  <c r="M308" i="63"/>
  <c r="O308" i="63" s="1"/>
  <c r="AC308" i="63"/>
  <c r="D314" i="63"/>
  <c r="S308" i="63" l="1"/>
  <c r="I308" i="63"/>
  <c r="R308" i="63"/>
  <c r="AE307" i="63"/>
  <c r="AF307" i="63" s="1"/>
  <c r="T308" i="63"/>
  <c r="L308" i="63"/>
  <c r="F314" i="63"/>
  <c r="H314" i="63"/>
  <c r="AG308" i="63" l="1"/>
  <c r="AJ308" i="63" s="1"/>
  <c r="AD308" i="63"/>
  <c r="N308" i="63"/>
  <c r="P308" i="63"/>
  <c r="V308" i="63"/>
  <c r="AA308" i="63" s="1"/>
  <c r="AL308" i="63"/>
  <c r="AM308" i="63" s="1"/>
  <c r="B315" i="63"/>
  <c r="C315" i="63"/>
  <c r="A314" i="63"/>
  <c r="J309" i="63" l="1"/>
  <c r="K309" i="63"/>
  <c r="U308" i="63"/>
  <c r="AK308" i="63"/>
  <c r="Q314" i="63"/>
  <c r="E315" i="63"/>
  <c r="G315" i="63" s="1"/>
  <c r="AB308" i="63" l="1"/>
  <c r="Z308" i="63"/>
  <c r="AH308" i="63" s="1"/>
  <c r="Y308" i="63"/>
  <c r="AC309" i="63"/>
  <c r="M309" i="63"/>
  <c r="O309" i="63" s="1"/>
  <c r="D315" i="63"/>
  <c r="I309" i="63" l="1"/>
  <c r="S309" i="63"/>
  <c r="L309" i="63"/>
  <c r="T309" i="63"/>
  <c r="R309" i="63"/>
  <c r="AE308" i="63"/>
  <c r="AF308" i="63" s="1"/>
  <c r="F315" i="63"/>
  <c r="H315" i="63"/>
  <c r="V309" i="63" l="1"/>
  <c r="AA309" i="63" s="1"/>
  <c r="AL309" i="63"/>
  <c r="U309" i="63"/>
  <c r="AG309" i="63"/>
  <c r="AJ309" i="63" s="1"/>
  <c r="AD309" i="63"/>
  <c r="N309" i="63"/>
  <c r="P309" i="63"/>
  <c r="A315" i="63"/>
  <c r="C316" i="63"/>
  <c r="B316" i="63"/>
  <c r="AM309" i="63" l="1"/>
  <c r="K310" i="63"/>
  <c r="AK309" i="63"/>
  <c r="J310" i="63"/>
  <c r="Z309" i="63"/>
  <c r="AH309" i="63" s="1"/>
  <c r="Y309" i="63"/>
  <c r="AB309" i="63"/>
  <c r="E316" i="63"/>
  <c r="G316" i="63" s="1"/>
  <c r="Q315" i="63"/>
  <c r="AE309" i="63" l="1"/>
  <c r="AF309" i="63" s="1"/>
  <c r="T310" i="63"/>
  <c r="R310" i="63"/>
  <c r="M310" i="63"/>
  <c r="O310" i="63" s="1"/>
  <c r="AC310" i="63"/>
  <c r="AD310" i="63"/>
  <c r="L310" i="63"/>
  <c r="N310" i="63" s="1"/>
  <c r="D316" i="63"/>
  <c r="P310" i="63" l="1"/>
  <c r="S310" i="63"/>
  <c r="V310" i="63" s="1"/>
  <c r="AA310" i="63" s="1"/>
  <c r="I310" i="63"/>
  <c r="AL310" i="63"/>
  <c r="AG310" i="63"/>
  <c r="AJ310" i="63" s="1"/>
  <c r="U310" i="63"/>
  <c r="AB310" i="63" s="1"/>
  <c r="F316" i="63"/>
  <c r="H316" i="63"/>
  <c r="AE310" i="63" l="1"/>
  <c r="AF310" i="63" s="1"/>
  <c r="T311" i="63"/>
  <c r="R311" i="63"/>
  <c r="Z310" i="63"/>
  <c r="AH310" i="63" s="1"/>
  <c r="Y310" i="63"/>
  <c r="J311" i="63"/>
  <c r="AM310" i="63"/>
  <c r="AK310" i="63"/>
  <c r="K311" i="63"/>
  <c r="B317" i="63"/>
  <c r="C317" i="63"/>
  <c r="A316" i="63"/>
  <c r="AC311" i="63" l="1"/>
  <c r="M311" i="63"/>
  <c r="O311" i="63" s="1"/>
  <c r="AG311" i="63"/>
  <c r="AJ311" i="63" s="1"/>
  <c r="AL311" i="63"/>
  <c r="AD311" i="63"/>
  <c r="Q316" i="63"/>
  <c r="E317" i="63"/>
  <c r="G317" i="63" s="1"/>
  <c r="L311" i="63" l="1"/>
  <c r="I311" i="63"/>
  <c r="S311" i="63"/>
  <c r="V311" i="63" s="1"/>
  <c r="D317" i="63"/>
  <c r="AA311" i="63" l="1"/>
  <c r="U311" i="63"/>
  <c r="N311" i="63"/>
  <c r="P311" i="63"/>
  <c r="F317" i="63"/>
  <c r="H317" i="63"/>
  <c r="AM311" i="63" l="1"/>
  <c r="K312" i="63"/>
  <c r="AK311" i="63"/>
  <c r="J312" i="63"/>
  <c r="Z311" i="63"/>
  <c r="AH311" i="63" s="1"/>
  <c r="Y311" i="63"/>
  <c r="AB311" i="63"/>
  <c r="C318" i="63"/>
  <c r="B318" i="63"/>
  <c r="A317" i="63"/>
  <c r="R312" i="63" l="1"/>
  <c r="AE311" i="63"/>
  <c r="AF311" i="63" s="1"/>
  <c r="T312" i="63"/>
  <c r="AD312" i="63"/>
  <c r="M312" i="63"/>
  <c r="O312" i="63" s="1"/>
  <c r="AC312" i="63"/>
  <c r="Q317" i="63"/>
  <c r="E318" i="63"/>
  <c r="G318" i="63" s="1"/>
  <c r="I312" i="63" l="1"/>
  <c r="S312" i="63"/>
  <c r="L312" i="63"/>
  <c r="AG312" i="63"/>
  <c r="AJ312" i="63" s="1"/>
  <c r="AL312" i="63"/>
  <c r="V312" i="63"/>
  <c r="AA312" i="63" s="1"/>
  <c r="D318" i="63"/>
  <c r="U312" i="63" l="1"/>
  <c r="N312" i="63"/>
  <c r="P312" i="63"/>
  <c r="F318" i="63"/>
  <c r="H318" i="63"/>
  <c r="AK312" i="63" l="1"/>
  <c r="J313" i="63"/>
  <c r="AM312" i="63"/>
  <c r="K313" i="63"/>
  <c r="Z312" i="63"/>
  <c r="AH312" i="63" s="1"/>
  <c r="Y312" i="63"/>
  <c r="AB312" i="63"/>
  <c r="B319" i="63"/>
  <c r="A318" i="63"/>
  <c r="C319" i="63"/>
  <c r="AE312" i="63" l="1"/>
  <c r="AF312" i="63" s="1"/>
  <c r="T313" i="63"/>
  <c r="R313" i="63"/>
  <c r="AD313" i="63"/>
  <c r="AC313" i="63"/>
  <c r="M313" i="63"/>
  <c r="O313" i="63" s="1"/>
  <c r="D319" i="63"/>
  <c r="F319" i="63" s="1"/>
  <c r="Q318" i="63"/>
  <c r="E319" i="63"/>
  <c r="G319" i="63" s="1"/>
  <c r="I313" i="63" l="1"/>
  <c r="S313" i="63"/>
  <c r="L313" i="63"/>
  <c r="AL313" i="63"/>
  <c r="V313" i="63"/>
  <c r="AA313" i="63" s="1"/>
  <c r="AG313" i="63"/>
  <c r="AJ313" i="63" s="1"/>
  <c r="H319" i="63"/>
  <c r="U313" i="63" l="1"/>
  <c r="N313" i="63"/>
  <c r="P313" i="63"/>
  <c r="C320" i="63"/>
  <c r="B320" i="63"/>
  <c r="A319" i="63"/>
  <c r="J314" i="63" l="1"/>
  <c r="AK313" i="63"/>
  <c r="K314" i="63"/>
  <c r="AM313" i="63"/>
  <c r="Y313" i="63"/>
  <c r="Z313" i="63"/>
  <c r="AH313" i="63" s="1"/>
  <c r="AB313" i="63"/>
  <c r="Q319" i="63"/>
  <c r="E320" i="63"/>
  <c r="G320" i="63" s="1"/>
  <c r="D320" i="63"/>
  <c r="F320" i="63" s="1"/>
  <c r="T314" i="63" l="1"/>
  <c r="R314" i="63"/>
  <c r="AE313" i="63"/>
  <c r="AF313" i="63" s="1"/>
  <c r="AD314" i="63"/>
  <c r="AC314" i="63"/>
  <c r="M314" i="63"/>
  <c r="O314" i="63" s="1"/>
  <c r="H320" i="63"/>
  <c r="AL314" i="63" l="1"/>
  <c r="S314" i="63"/>
  <c r="V314" i="63" s="1"/>
  <c r="AA314" i="63" s="1"/>
  <c r="I314" i="63"/>
  <c r="L314" i="63"/>
  <c r="AG314" i="63"/>
  <c r="AJ314" i="63" s="1"/>
  <c r="U314" i="63"/>
  <c r="B321" i="63"/>
  <c r="A320" i="63"/>
  <c r="C321" i="63"/>
  <c r="Z314" i="63" l="1"/>
  <c r="Y314" i="63"/>
  <c r="N314" i="63"/>
  <c r="P314" i="63"/>
  <c r="AB314" i="63"/>
  <c r="Q320" i="63"/>
  <c r="E321" i="63"/>
  <c r="G321" i="63" s="1"/>
  <c r="AE314" i="63" l="1"/>
  <c r="AF314" i="63" s="1"/>
  <c r="R315" i="63"/>
  <c r="T315" i="63"/>
  <c r="AK314" i="63"/>
  <c r="AH314" i="63"/>
  <c r="AM314" i="63"/>
  <c r="K315" i="63"/>
  <c r="J315" i="63"/>
  <c r="D321" i="63"/>
  <c r="M315" i="63" l="1"/>
  <c r="O315" i="63" s="1"/>
  <c r="AC315" i="63"/>
  <c r="AL315" i="63"/>
  <c r="AD315" i="63"/>
  <c r="AG315" i="63"/>
  <c r="AJ315" i="63" s="1"/>
  <c r="F321" i="63"/>
  <c r="H321" i="63"/>
  <c r="L315" i="63" l="1"/>
  <c r="N315" i="63" s="1"/>
  <c r="S315" i="63"/>
  <c r="V315" i="63" s="1"/>
  <c r="I315" i="63"/>
  <c r="P315" i="63"/>
  <c r="B322" i="63"/>
  <c r="C322" i="63"/>
  <c r="A321" i="63"/>
  <c r="AK315" i="63" l="1"/>
  <c r="J316" i="63"/>
  <c r="K316" i="63"/>
  <c r="AM315" i="63"/>
  <c r="AA315" i="63"/>
  <c r="U315" i="63"/>
  <c r="E322" i="63"/>
  <c r="G322" i="63" s="1"/>
  <c r="Q321" i="63"/>
  <c r="D322" i="63" l="1"/>
  <c r="F322" i="63" s="1"/>
  <c r="Y315" i="63"/>
  <c r="Z315" i="63"/>
  <c r="AH315" i="63" s="1"/>
  <c r="AB315" i="63"/>
  <c r="M316" i="63"/>
  <c r="O316" i="63" s="1"/>
  <c r="AC316" i="63"/>
  <c r="H322" i="63"/>
  <c r="I316" i="63" l="1"/>
  <c r="S316" i="63"/>
  <c r="AE315" i="63"/>
  <c r="AF315" i="63" s="1"/>
  <c r="T316" i="63"/>
  <c r="R316" i="63"/>
  <c r="L316" i="63"/>
  <c r="B323" i="63"/>
  <c r="A322" i="63"/>
  <c r="C323" i="63"/>
  <c r="N316" i="63" l="1"/>
  <c r="P316" i="63"/>
  <c r="V316" i="63"/>
  <c r="AA316" i="63" s="1"/>
  <c r="AL316" i="63"/>
  <c r="AG316" i="63"/>
  <c r="AJ316" i="63" s="1"/>
  <c r="AD316" i="63"/>
  <c r="Q322" i="63"/>
  <c r="E323" i="63"/>
  <c r="G323" i="63" s="1"/>
  <c r="U316" i="63" l="1"/>
  <c r="Z316" i="63"/>
  <c r="AH316" i="63" s="1"/>
  <c r="Y316" i="63"/>
  <c r="AB316" i="63"/>
  <c r="AK316" i="63"/>
  <c r="J317" i="63"/>
  <c r="AM316" i="63"/>
  <c r="K317" i="63"/>
  <c r="D323" i="63"/>
  <c r="M317" i="63" l="1"/>
  <c r="O317" i="63" s="1"/>
  <c r="AC317" i="63"/>
  <c r="AE316" i="63"/>
  <c r="AF316" i="63" s="1"/>
  <c r="T317" i="63"/>
  <c r="R317" i="63"/>
  <c r="F323" i="63"/>
  <c r="H323" i="63"/>
  <c r="I317" i="63" l="1"/>
  <c r="S317" i="63"/>
  <c r="V317" i="63" s="1"/>
  <c r="AA317" i="63" s="1"/>
  <c r="AL317" i="63"/>
  <c r="AG317" i="63"/>
  <c r="AJ317" i="63" s="1"/>
  <c r="U317" i="63"/>
  <c r="L317" i="63"/>
  <c r="AD317" i="63"/>
  <c r="B324" i="63"/>
  <c r="C324" i="63"/>
  <c r="A323" i="63"/>
  <c r="N317" i="63" l="1"/>
  <c r="P317" i="63"/>
  <c r="Y317" i="63"/>
  <c r="Z317" i="63"/>
  <c r="AB317" i="63"/>
  <c r="Q323" i="63"/>
  <c r="E324" i="63"/>
  <c r="G324" i="63" s="1"/>
  <c r="AE317" i="63" l="1"/>
  <c r="AF317" i="63" s="1"/>
  <c r="T318" i="63"/>
  <c r="R318" i="63"/>
  <c r="AH317" i="63"/>
  <c r="J318" i="63"/>
  <c r="AK317" i="63"/>
  <c r="K318" i="63"/>
  <c r="AM317" i="63"/>
  <c r="D324" i="63"/>
  <c r="AC318" i="63" l="1"/>
  <c r="M318" i="63"/>
  <c r="O318" i="63" s="1"/>
  <c r="AG318" i="63"/>
  <c r="AJ318" i="63" s="1"/>
  <c r="AD318" i="63"/>
  <c r="AL318" i="63"/>
  <c r="F324" i="63"/>
  <c r="H324" i="63"/>
  <c r="L318" i="63" l="1"/>
  <c r="N318" i="63" s="1"/>
  <c r="P318" i="63"/>
  <c r="S318" i="63"/>
  <c r="V318" i="63" s="1"/>
  <c r="I318" i="63"/>
  <c r="B325" i="63"/>
  <c r="C325" i="63"/>
  <c r="A324" i="63"/>
  <c r="AA318" i="63" l="1"/>
  <c r="U318" i="63"/>
  <c r="AK318" i="63"/>
  <c r="AM318" i="63"/>
  <c r="J319" i="63"/>
  <c r="K319" i="63"/>
  <c r="Q324" i="63"/>
  <c r="E325" i="63"/>
  <c r="G325" i="63" s="1"/>
  <c r="AC319" i="63" l="1"/>
  <c r="M319" i="63"/>
  <c r="O319" i="63" s="1"/>
  <c r="Z318" i="63"/>
  <c r="AH318" i="63" s="1"/>
  <c r="Y318" i="63"/>
  <c r="AB318" i="63"/>
  <c r="L319" i="63"/>
  <c r="N319" i="63" s="1"/>
  <c r="D325" i="63"/>
  <c r="AE318" i="63" l="1"/>
  <c r="AF318" i="63" s="1"/>
  <c r="T319" i="63"/>
  <c r="R319" i="63"/>
  <c r="P319" i="63"/>
  <c r="I319" i="63"/>
  <c r="S319" i="63"/>
  <c r="F325" i="63"/>
  <c r="H325" i="63"/>
  <c r="AL319" i="63" l="1"/>
  <c r="V319" i="63"/>
  <c r="AA319" i="63" s="1"/>
  <c r="AG319" i="63"/>
  <c r="AJ319" i="63" s="1"/>
  <c r="AK319" i="63" s="1"/>
  <c r="AD319" i="63"/>
  <c r="AM319" i="63"/>
  <c r="J320" i="63"/>
  <c r="K320" i="63"/>
  <c r="C326" i="63"/>
  <c r="B326" i="63"/>
  <c r="A325" i="63"/>
  <c r="U319" i="63" l="1"/>
  <c r="AB319" i="63" s="1"/>
  <c r="R320" i="63" s="1"/>
  <c r="AE319" i="63"/>
  <c r="AF319" i="63" s="1"/>
  <c r="T320" i="63"/>
  <c r="AD320" i="63"/>
  <c r="Z319" i="63"/>
  <c r="AH319" i="63" s="1"/>
  <c r="Y319" i="63"/>
  <c r="AC320" i="63"/>
  <c r="M320" i="63"/>
  <c r="O320" i="63" s="1"/>
  <c r="E326" i="63"/>
  <c r="G326" i="63" s="1"/>
  <c r="Q325" i="63"/>
  <c r="D326" i="63"/>
  <c r="F326" i="63" s="1"/>
  <c r="L320" i="63" l="1"/>
  <c r="AG320" i="63"/>
  <c r="AJ320" i="63" s="1"/>
  <c r="S320" i="63"/>
  <c r="V320" i="63" s="1"/>
  <c r="AA320" i="63" s="1"/>
  <c r="I320" i="63"/>
  <c r="AL320" i="63"/>
  <c r="H326" i="63"/>
  <c r="U320" i="63" l="1"/>
  <c r="N320" i="63"/>
  <c r="P320" i="63"/>
  <c r="B327" i="63"/>
  <c r="C327" i="63"/>
  <c r="A326" i="63"/>
  <c r="J321" i="63" l="1"/>
  <c r="AM320" i="63"/>
  <c r="K321" i="63"/>
  <c r="AK320" i="63"/>
  <c r="Y320" i="63"/>
  <c r="Z320" i="63"/>
  <c r="AH320" i="63" s="1"/>
  <c r="AB320" i="63"/>
  <c r="Q326" i="63"/>
  <c r="E327" i="63"/>
  <c r="G327" i="63" s="1"/>
  <c r="AE320" i="63" l="1"/>
  <c r="AF320" i="63" s="1"/>
  <c r="T321" i="63"/>
  <c r="R321" i="63"/>
  <c r="AD321" i="63"/>
  <c r="AC321" i="63"/>
  <c r="M321" i="63"/>
  <c r="O321" i="63" s="1"/>
  <c r="D327" i="63"/>
  <c r="AG321" i="63" l="1"/>
  <c r="AJ321" i="63" s="1"/>
  <c r="S321" i="63"/>
  <c r="I321" i="63"/>
  <c r="L321" i="63"/>
  <c r="AL321" i="63"/>
  <c r="V321" i="63"/>
  <c r="AA321" i="63" s="1"/>
  <c r="F327" i="63"/>
  <c r="H327" i="63"/>
  <c r="N321" i="63" l="1"/>
  <c r="P321" i="63"/>
  <c r="U321" i="63"/>
  <c r="B328" i="63"/>
  <c r="C328" i="63"/>
  <c r="A327" i="63"/>
  <c r="Z321" i="63" l="1"/>
  <c r="Y321" i="63"/>
  <c r="AB321" i="63"/>
  <c r="AH321" i="63"/>
  <c r="J322" i="63"/>
  <c r="AM321" i="63"/>
  <c r="AK321" i="63"/>
  <c r="K322" i="63"/>
  <c r="Q327" i="63"/>
  <c r="E328" i="63"/>
  <c r="G328" i="63" s="1"/>
  <c r="R322" i="63" l="1"/>
  <c r="AE321" i="63"/>
  <c r="AF321" i="63" s="1"/>
  <c r="T322" i="63"/>
  <c r="AD322" i="63"/>
  <c r="AC322" i="63"/>
  <c r="M322" i="63"/>
  <c r="O322" i="63" s="1"/>
  <c r="D328" i="63"/>
  <c r="AL322" i="63" l="1"/>
  <c r="AG322" i="63"/>
  <c r="AJ322" i="63" s="1"/>
  <c r="S322" i="63"/>
  <c r="V322" i="63" s="1"/>
  <c r="AA322" i="63" s="1"/>
  <c r="I322" i="63"/>
  <c r="L322" i="63"/>
  <c r="F328" i="63"/>
  <c r="H328" i="63"/>
  <c r="N322" i="63" l="1"/>
  <c r="P322" i="63"/>
  <c r="U322" i="63"/>
  <c r="B329" i="63"/>
  <c r="C329" i="63"/>
  <c r="A328" i="63"/>
  <c r="Z322" i="63" l="1"/>
  <c r="Y322" i="63"/>
  <c r="AB322" i="63"/>
  <c r="J323" i="63"/>
  <c r="AK322" i="63"/>
  <c r="AH322" i="63"/>
  <c r="AM322" i="63"/>
  <c r="K323" i="63"/>
  <c r="Q328" i="63"/>
  <c r="E329" i="63"/>
  <c r="G329" i="63" s="1"/>
  <c r="M323" i="63" l="1"/>
  <c r="O323" i="63" s="1"/>
  <c r="AC323" i="63"/>
  <c r="AE322" i="63"/>
  <c r="AF322" i="63" s="1"/>
  <c r="T323" i="63"/>
  <c r="R323" i="63"/>
  <c r="D329" i="63"/>
  <c r="I323" i="63" l="1"/>
  <c r="S323" i="63"/>
  <c r="L323" i="63"/>
  <c r="AL323" i="63"/>
  <c r="V323" i="63"/>
  <c r="AA323" i="63" s="1"/>
  <c r="AG323" i="63"/>
  <c r="AJ323" i="63" s="1"/>
  <c r="AD323" i="63"/>
  <c r="F329" i="63"/>
  <c r="H329" i="63"/>
  <c r="U323" i="63" l="1"/>
  <c r="N323" i="63"/>
  <c r="P323" i="63"/>
  <c r="C330" i="63"/>
  <c r="B330" i="63"/>
  <c r="A329" i="63"/>
  <c r="J324" i="63" l="1"/>
  <c r="AM323" i="63"/>
  <c r="K324" i="63"/>
  <c r="AK323" i="63"/>
  <c r="Z323" i="63"/>
  <c r="AH323" i="63" s="1"/>
  <c r="Y323" i="63"/>
  <c r="AB323" i="63"/>
  <c r="Q329" i="63"/>
  <c r="E330" i="63"/>
  <c r="G330" i="63" s="1"/>
  <c r="R324" i="63" l="1"/>
  <c r="AE323" i="63"/>
  <c r="AF323" i="63" s="1"/>
  <c r="T324" i="63"/>
  <c r="AC324" i="63"/>
  <c r="M324" i="63"/>
  <c r="O324" i="63" s="1"/>
  <c r="AD324" i="63"/>
  <c r="D330" i="63"/>
  <c r="L324" i="63" l="1"/>
  <c r="I324" i="63"/>
  <c r="S324" i="63"/>
  <c r="V324" i="63" s="1"/>
  <c r="AA324" i="63" s="1"/>
  <c r="AG324" i="63"/>
  <c r="AJ324" i="63" s="1"/>
  <c r="AL324" i="63"/>
  <c r="F330" i="63"/>
  <c r="H330" i="63"/>
  <c r="U324" i="63" l="1"/>
  <c r="AB324" i="63" s="1"/>
  <c r="AE324" i="63" s="1"/>
  <c r="AF324" i="63" s="1"/>
  <c r="R325" i="63"/>
  <c r="Y324" i="63"/>
  <c r="Z324" i="63"/>
  <c r="N324" i="63"/>
  <c r="P324" i="63"/>
  <c r="B331" i="63"/>
  <c r="C331" i="63"/>
  <c r="A330" i="63"/>
  <c r="T325" i="63" l="1"/>
  <c r="AH324" i="63"/>
  <c r="J325" i="63"/>
  <c r="AM324" i="63"/>
  <c r="K325" i="63"/>
  <c r="AK324" i="63"/>
  <c r="AL325" i="63"/>
  <c r="AG325" i="63"/>
  <c r="AJ325" i="63" s="1"/>
  <c r="Q330" i="63"/>
  <c r="E331" i="63"/>
  <c r="G331" i="63" s="1"/>
  <c r="AD325" i="63" l="1"/>
  <c r="M325" i="63"/>
  <c r="O325" i="63" s="1"/>
  <c r="AC325" i="63"/>
  <c r="D331" i="63"/>
  <c r="I325" i="63" l="1"/>
  <c r="S325" i="63"/>
  <c r="V325" i="63" s="1"/>
  <c r="L325" i="63"/>
  <c r="F331" i="63"/>
  <c r="H331" i="63"/>
  <c r="N325" i="63" l="1"/>
  <c r="P325" i="63"/>
  <c r="AA325" i="63"/>
  <c r="U325" i="63"/>
  <c r="B332" i="63"/>
  <c r="C332" i="63"/>
  <c r="A331" i="63"/>
  <c r="Z325" i="63" l="1"/>
  <c r="Y325" i="63"/>
  <c r="AB325" i="63"/>
  <c r="AM325" i="63"/>
  <c r="AK325" i="63"/>
  <c r="K326" i="63"/>
  <c r="AH325" i="63"/>
  <c r="J326" i="63"/>
  <c r="Q331" i="63"/>
  <c r="E332" i="63"/>
  <c r="G332" i="63" s="1"/>
  <c r="D332" i="63" l="1"/>
  <c r="F332" i="63" s="1"/>
  <c r="AE325" i="63"/>
  <c r="AF325" i="63" s="1"/>
  <c r="R326" i="63"/>
  <c r="T326" i="63"/>
  <c r="AC326" i="63"/>
  <c r="M326" i="63"/>
  <c r="O326" i="63" s="1"/>
  <c r="H332" i="63"/>
  <c r="AL326" i="63" l="1"/>
  <c r="I326" i="63"/>
  <c r="S326" i="63"/>
  <c r="V326" i="63" s="1"/>
  <c r="AA326" i="63" s="1"/>
  <c r="AG326" i="63"/>
  <c r="AJ326" i="63" s="1"/>
  <c r="U326" i="63"/>
  <c r="AB326" i="63" s="1"/>
  <c r="AD326" i="63"/>
  <c r="L326" i="63"/>
  <c r="B333" i="63"/>
  <c r="C333" i="63"/>
  <c r="A332" i="63"/>
  <c r="T327" i="63" l="1"/>
  <c r="R327" i="63"/>
  <c r="AE326" i="63"/>
  <c r="AF326" i="63" s="1"/>
  <c r="N326" i="63"/>
  <c r="P326" i="63"/>
  <c r="Z326" i="63"/>
  <c r="Y326" i="63"/>
  <c r="Q332" i="63"/>
  <c r="E333" i="63"/>
  <c r="G333" i="63" s="1"/>
  <c r="D333" i="63" l="1"/>
  <c r="F333" i="63" s="1"/>
  <c r="AM326" i="63"/>
  <c r="K327" i="63"/>
  <c r="J327" i="63"/>
  <c r="AK326" i="63"/>
  <c r="AH326" i="63"/>
  <c r="AL327" i="63"/>
  <c r="AG327" i="63"/>
  <c r="AJ327" i="63" s="1"/>
  <c r="H333" i="63"/>
  <c r="AD327" i="63" l="1"/>
  <c r="M327" i="63"/>
  <c r="O327" i="63" s="1"/>
  <c r="AC327" i="63"/>
  <c r="C334" i="63"/>
  <c r="B334" i="63"/>
  <c r="A333" i="63"/>
  <c r="S327" i="63" l="1"/>
  <c r="V327" i="63" s="1"/>
  <c r="I327" i="63"/>
  <c r="L327" i="63"/>
  <c r="Q333" i="63"/>
  <c r="E334" i="63"/>
  <c r="G334" i="63" s="1"/>
  <c r="N327" i="63" l="1"/>
  <c r="P327" i="63"/>
  <c r="AA327" i="63"/>
  <c r="U327" i="63"/>
  <c r="D334" i="63"/>
  <c r="Y327" i="63" l="1"/>
  <c r="Z327" i="63"/>
  <c r="AB327" i="63"/>
  <c r="AK327" i="63"/>
  <c r="K328" i="63"/>
  <c r="AH327" i="63"/>
  <c r="J328" i="63"/>
  <c r="AM327" i="63"/>
  <c r="F334" i="63"/>
  <c r="H334" i="63"/>
  <c r="M328" i="63" l="1"/>
  <c r="O328" i="63" s="1"/>
  <c r="AC328" i="63"/>
  <c r="L328" i="63"/>
  <c r="N328" i="63" s="1"/>
  <c r="AE327" i="63"/>
  <c r="AF327" i="63" s="1"/>
  <c r="T328" i="63"/>
  <c r="R328" i="63"/>
  <c r="B335" i="63"/>
  <c r="C335" i="63"/>
  <c r="A334" i="63"/>
  <c r="AG328" i="63" l="1"/>
  <c r="AJ328" i="63" s="1"/>
  <c r="AL328" i="63"/>
  <c r="AD328" i="63"/>
  <c r="S328" i="63"/>
  <c r="V328" i="63" s="1"/>
  <c r="I328" i="63"/>
  <c r="P328" i="63"/>
  <c r="Q334" i="63"/>
  <c r="E335" i="63"/>
  <c r="G335" i="63" s="1"/>
  <c r="AA328" i="63" l="1"/>
  <c r="U328" i="63"/>
  <c r="AK328" i="63"/>
  <c r="AM328" i="63"/>
  <c r="K329" i="63"/>
  <c r="J329" i="63"/>
  <c r="D335" i="63"/>
  <c r="AC329" i="63" l="1"/>
  <c r="M329" i="63"/>
  <c r="O329" i="63" s="1"/>
  <c r="Z328" i="63"/>
  <c r="AH328" i="63" s="1"/>
  <c r="Y328" i="63"/>
  <c r="AB328" i="63"/>
  <c r="F335" i="63"/>
  <c r="H335" i="63"/>
  <c r="R329" i="63" l="1"/>
  <c r="AE328" i="63"/>
  <c r="AF328" i="63" s="1"/>
  <c r="T329" i="63"/>
  <c r="L329" i="63"/>
  <c r="I329" i="63"/>
  <c r="S329" i="63"/>
  <c r="B336" i="63"/>
  <c r="C336" i="63"/>
  <c r="A335" i="63"/>
  <c r="N329" i="63" l="1"/>
  <c r="P329" i="63"/>
  <c r="AG329" i="63"/>
  <c r="AJ329" i="63" s="1"/>
  <c r="AD329" i="63"/>
  <c r="V329" i="63"/>
  <c r="AA329" i="63" s="1"/>
  <c r="AL329" i="63"/>
  <c r="E336" i="63"/>
  <c r="G336" i="63" s="1"/>
  <c r="Q335" i="63"/>
  <c r="D336" i="63" l="1"/>
  <c r="F336" i="63" s="1"/>
  <c r="U329" i="63"/>
  <c r="J330" i="63"/>
  <c r="AK329" i="63"/>
  <c r="K330" i="63"/>
  <c r="AM329" i="63"/>
  <c r="H336" i="63"/>
  <c r="Z329" i="63" l="1"/>
  <c r="AH329" i="63" s="1"/>
  <c r="Y329" i="63"/>
  <c r="AB329" i="63"/>
  <c r="M330" i="63"/>
  <c r="O330" i="63" s="1"/>
  <c r="AC330" i="63"/>
  <c r="B337" i="63"/>
  <c r="C337" i="63"/>
  <c r="A336" i="63"/>
  <c r="S330" i="63" l="1"/>
  <c r="I330" i="63"/>
  <c r="T330" i="63"/>
  <c r="AE329" i="63"/>
  <c r="AF329" i="63" s="1"/>
  <c r="R330" i="63"/>
  <c r="L330" i="63"/>
  <c r="Q336" i="63"/>
  <c r="E337" i="63"/>
  <c r="G337" i="63" s="1"/>
  <c r="AL330" i="63" l="1"/>
  <c r="N330" i="63"/>
  <c r="P330" i="63"/>
  <c r="AG330" i="63"/>
  <c r="AJ330" i="63" s="1"/>
  <c r="AD330" i="63"/>
  <c r="V330" i="63"/>
  <c r="AA330" i="63" s="1"/>
  <c r="D337" i="63"/>
  <c r="U330" i="63" l="1"/>
  <c r="AK330" i="63"/>
  <c r="K331" i="63"/>
  <c r="J331" i="63"/>
  <c r="AM330" i="63"/>
  <c r="F337" i="63"/>
  <c r="H337" i="63"/>
  <c r="M331" i="63" l="1"/>
  <c r="O331" i="63" s="1"/>
  <c r="AC331" i="63"/>
  <c r="L331" i="63"/>
  <c r="N331" i="63" s="1"/>
  <c r="Z330" i="63"/>
  <c r="AH330" i="63" s="1"/>
  <c r="Y330" i="63"/>
  <c r="AB330" i="63"/>
  <c r="B338" i="63"/>
  <c r="A337" i="63"/>
  <c r="C338" i="63"/>
  <c r="AE330" i="63" l="1"/>
  <c r="AF330" i="63" s="1"/>
  <c r="T331" i="63"/>
  <c r="R331" i="63"/>
  <c r="P331" i="63"/>
  <c r="S331" i="63"/>
  <c r="I331" i="63"/>
  <c r="D338" i="63"/>
  <c r="F338" i="63" s="1"/>
  <c r="Q337" i="63"/>
  <c r="E338" i="63"/>
  <c r="G338" i="63" s="1"/>
  <c r="J332" i="63" l="1"/>
  <c r="K332" i="63"/>
  <c r="V331" i="63"/>
  <c r="AA331" i="63" s="1"/>
  <c r="AL331" i="63"/>
  <c r="AM331" i="63" s="1"/>
  <c r="AG331" i="63"/>
  <c r="AJ331" i="63" s="1"/>
  <c r="AK331" i="63" s="1"/>
  <c r="U331" i="63"/>
  <c r="AD331" i="63"/>
  <c r="H338" i="63"/>
  <c r="Y331" i="63" l="1"/>
  <c r="Z331" i="63"/>
  <c r="AH331" i="63" s="1"/>
  <c r="AB331" i="63"/>
  <c r="AC332" i="63"/>
  <c r="M332" i="63"/>
  <c r="O332" i="63" s="1"/>
  <c r="B339" i="63"/>
  <c r="C339" i="63"/>
  <c r="A338" i="63"/>
  <c r="S332" i="63" l="1"/>
  <c r="I332" i="63"/>
  <c r="L332" i="63"/>
  <c r="T332" i="63"/>
  <c r="AE331" i="63"/>
  <c r="AF331" i="63" s="1"/>
  <c r="R332" i="63"/>
  <c r="Q338" i="63"/>
  <c r="E339" i="63"/>
  <c r="G339" i="63" s="1"/>
  <c r="V332" i="63" l="1"/>
  <c r="AA332" i="63" s="1"/>
  <c r="AL332" i="63"/>
  <c r="U332" i="63"/>
  <c r="AG332" i="63"/>
  <c r="AJ332" i="63" s="1"/>
  <c r="AD332" i="63"/>
  <c r="N332" i="63"/>
  <c r="P332" i="63"/>
  <c r="D339" i="63"/>
  <c r="AK332" i="63" l="1"/>
  <c r="J333" i="63"/>
  <c r="AM332" i="63"/>
  <c r="K333" i="63"/>
  <c r="Y332" i="63"/>
  <c r="Z332" i="63"/>
  <c r="AH332" i="63" s="1"/>
  <c r="AB332" i="63"/>
  <c r="F339" i="63"/>
  <c r="H339" i="63"/>
  <c r="AE332" i="63" l="1"/>
  <c r="AF332" i="63" s="1"/>
  <c r="T333" i="63"/>
  <c r="R333" i="63"/>
  <c r="AD333" i="63"/>
  <c r="AC333" i="63"/>
  <c r="M333" i="63"/>
  <c r="O333" i="63" s="1"/>
  <c r="B340" i="63"/>
  <c r="A339" i="63"/>
  <c r="C340" i="63"/>
  <c r="L333" i="63" l="1"/>
  <c r="AG333" i="63"/>
  <c r="AJ333" i="63" s="1"/>
  <c r="I333" i="63"/>
  <c r="S333" i="63"/>
  <c r="V333" i="63" s="1"/>
  <c r="AA333" i="63" s="1"/>
  <c r="AL333" i="63"/>
  <c r="Q339" i="63"/>
  <c r="E340" i="63"/>
  <c r="G340" i="63" s="1"/>
  <c r="U333" i="63" l="1"/>
  <c r="N333" i="63"/>
  <c r="P333" i="63"/>
  <c r="D340" i="63"/>
  <c r="AM333" i="63" l="1"/>
  <c r="AK333" i="63"/>
  <c r="J334" i="63"/>
  <c r="K334" i="63"/>
  <c r="Y333" i="63"/>
  <c r="Z333" i="63"/>
  <c r="AH333" i="63" s="1"/>
  <c r="AB333" i="63"/>
  <c r="F340" i="63"/>
  <c r="H340" i="63"/>
  <c r="AE333" i="63" l="1"/>
  <c r="AF333" i="63" s="1"/>
  <c r="T334" i="63"/>
  <c r="AD334" i="63" s="1"/>
  <c r="R334" i="63"/>
  <c r="M334" i="63"/>
  <c r="O334" i="63" s="1"/>
  <c r="AC334" i="63"/>
  <c r="C341" i="63"/>
  <c r="A340" i="63"/>
  <c r="B341" i="63"/>
  <c r="L334" i="63" l="1"/>
  <c r="AG334" i="63"/>
  <c r="AJ334" i="63" s="1"/>
  <c r="I334" i="63"/>
  <c r="S334" i="63"/>
  <c r="AL334" i="63"/>
  <c r="V334" i="63"/>
  <c r="AA334" i="63" s="1"/>
  <c r="Q340" i="63"/>
  <c r="E341" i="63"/>
  <c r="G341" i="63" s="1"/>
  <c r="U334" i="63" l="1"/>
  <c r="N334" i="63"/>
  <c r="P334" i="63"/>
  <c r="D341" i="63"/>
  <c r="J335" i="63" l="1"/>
  <c r="AM334" i="63"/>
  <c r="AK334" i="63"/>
  <c r="K335" i="63"/>
  <c r="Y334" i="63"/>
  <c r="Z334" i="63"/>
  <c r="AH334" i="63" s="1"/>
  <c r="AB334" i="63"/>
  <c r="F341" i="63"/>
  <c r="H341" i="63"/>
  <c r="T335" i="63" l="1"/>
  <c r="AE334" i="63"/>
  <c r="AF334" i="63" s="1"/>
  <c r="R335" i="63"/>
  <c r="M335" i="63"/>
  <c r="O335" i="63" s="1"/>
  <c r="AC335" i="63"/>
  <c r="B342" i="63"/>
  <c r="A341" i="63"/>
  <c r="C342" i="63"/>
  <c r="L335" i="63" l="1"/>
  <c r="I335" i="63"/>
  <c r="S335" i="63"/>
  <c r="V335" i="63" s="1"/>
  <c r="AA335" i="63" s="1"/>
  <c r="AL335" i="63"/>
  <c r="AD335" i="63"/>
  <c r="AG335" i="63"/>
  <c r="AJ335" i="63" s="1"/>
  <c r="Q341" i="63"/>
  <c r="E342" i="63"/>
  <c r="G342" i="63" s="1"/>
  <c r="U335" i="63" l="1"/>
  <c r="Y335" i="63"/>
  <c r="Z335" i="63"/>
  <c r="AB335" i="63"/>
  <c r="N335" i="63"/>
  <c r="P335" i="63"/>
  <c r="D342" i="63"/>
  <c r="J336" i="63" l="1"/>
  <c r="AM335" i="63"/>
  <c r="AK335" i="63"/>
  <c r="K336" i="63"/>
  <c r="AE335" i="63"/>
  <c r="AF335" i="63" s="1"/>
  <c r="T336" i="63"/>
  <c r="R336" i="63"/>
  <c r="AH335" i="63"/>
  <c r="F342" i="63"/>
  <c r="H342" i="63"/>
  <c r="AL336" i="63" l="1"/>
  <c r="AG336" i="63"/>
  <c r="AJ336" i="63" s="1"/>
  <c r="AD336" i="63"/>
  <c r="AC336" i="63"/>
  <c r="M336" i="63"/>
  <c r="O336" i="63" s="1"/>
  <c r="C343" i="63"/>
  <c r="B343" i="63"/>
  <c r="A342" i="63"/>
  <c r="L336" i="63" l="1"/>
  <c r="N336" i="63" s="1"/>
  <c r="S336" i="63"/>
  <c r="V336" i="63" s="1"/>
  <c r="I336" i="63"/>
  <c r="P336" i="63"/>
  <c r="Q342" i="63"/>
  <c r="E343" i="63"/>
  <c r="G343" i="63" s="1"/>
  <c r="J337" i="63" l="1"/>
  <c r="AM336" i="63"/>
  <c r="K337" i="63"/>
  <c r="AK336" i="63"/>
  <c r="AA336" i="63"/>
  <c r="U336" i="63"/>
  <c r="D343" i="63"/>
  <c r="Y336" i="63" l="1"/>
  <c r="Z336" i="63"/>
  <c r="AH336" i="63" s="1"/>
  <c r="AB336" i="63"/>
  <c r="AC337" i="63"/>
  <c r="M337" i="63"/>
  <c r="O337" i="63" s="1"/>
  <c r="F343" i="63"/>
  <c r="H343" i="63"/>
  <c r="I337" i="63" l="1"/>
  <c r="S337" i="63"/>
  <c r="L337" i="63"/>
  <c r="AE336" i="63"/>
  <c r="AF336" i="63" s="1"/>
  <c r="T337" i="63"/>
  <c r="R337" i="63"/>
  <c r="C344" i="63"/>
  <c r="A343" i="63"/>
  <c r="B344" i="63"/>
  <c r="V337" i="63" l="1"/>
  <c r="AA337" i="63" s="1"/>
  <c r="AL337" i="63"/>
  <c r="U337" i="63"/>
  <c r="AG337" i="63"/>
  <c r="AJ337" i="63" s="1"/>
  <c r="AD337" i="63"/>
  <c r="N337" i="63"/>
  <c r="P337" i="63"/>
  <c r="Q343" i="63"/>
  <c r="E344" i="63"/>
  <c r="G344" i="63" s="1"/>
  <c r="AK337" i="63" l="1"/>
  <c r="J338" i="63"/>
  <c r="K338" i="63"/>
  <c r="AB337" i="63"/>
  <c r="Z337" i="63"/>
  <c r="AH337" i="63" s="1"/>
  <c r="Y337" i="63"/>
  <c r="AM337" i="63"/>
  <c r="D344" i="63"/>
  <c r="AE337" i="63" l="1"/>
  <c r="AF337" i="63" s="1"/>
  <c r="T338" i="63"/>
  <c r="R338" i="63"/>
  <c r="AC338" i="63"/>
  <c r="M338" i="63"/>
  <c r="O338" i="63" s="1"/>
  <c r="AD338" i="63"/>
  <c r="F344" i="63"/>
  <c r="H344" i="63"/>
  <c r="L338" i="63" l="1"/>
  <c r="N338" i="63" s="1"/>
  <c r="AL338" i="63"/>
  <c r="AG338" i="63"/>
  <c r="AJ338" i="63" s="1"/>
  <c r="P338" i="63"/>
  <c r="S338" i="63"/>
  <c r="V338" i="63" s="1"/>
  <c r="I338" i="63"/>
  <c r="C345" i="63"/>
  <c r="A344" i="63"/>
  <c r="B345" i="63"/>
  <c r="AA338" i="63" l="1"/>
  <c r="U338" i="63"/>
  <c r="AK338" i="63"/>
  <c r="K339" i="63"/>
  <c r="J339" i="63"/>
  <c r="AM338" i="63"/>
  <c r="E345" i="63"/>
  <c r="G345" i="63" s="1"/>
  <c r="Q344" i="63"/>
  <c r="M339" i="63" l="1"/>
  <c r="O339" i="63" s="1"/>
  <c r="AC339" i="63"/>
  <c r="L339" i="63"/>
  <c r="N339" i="63" s="1"/>
  <c r="Y338" i="63"/>
  <c r="Z338" i="63"/>
  <c r="AH338" i="63" s="1"/>
  <c r="AB338" i="63"/>
  <c r="D345" i="63"/>
  <c r="T339" i="63" l="1"/>
  <c r="R339" i="63"/>
  <c r="AE338" i="63"/>
  <c r="AF338" i="63" s="1"/>
  <c r="P339" i="63"/>
  <c r="I339" i="63"/>
  <c r="S339" i="63"/>
  <c r="V339" i="63" s="1"/>
  <c r="AA339" i="63" s="1"/>
  <c r="F345" i="63"/>
  <c r="H345" i="63"/>
  <c r="J340" i="63" l="1"/>
  <c r="K340" i="63"/>
  <c r="AL339" i="63"/>
  <c r="AM339" i="63" s="1"/>
  <c r="AG339" i="63"/>
  <c r="AJ339" i="63" s="1"/>
  <c r="AK339" i="63" s="1"/>
  <c r="U339" i="63"/>
  <c r="AB339" i="63" s="1"/>
  <c r="AD339" i="63"/>
  <c r="B346" i="63"/>
  <c r="C346" i="63"/>
  <c r="A345" i="63"/>
  <c r="AE339" i="63" l="1"/>
  <c r="AF339" i="63" s="1"/>
  <c r="T340" i="63"/>
  <c r="R340" i="63"/>
  <c r="AC340" i="63"/>
  <c r="M340" i="63"/>
  <c r="O340" i="63" s="1"/>
  <c r="Z339" i="63"/>
  <c r="AH339" i="63" s="1"/>
  <c r="Y339" i="63"/>
  <c r="Q345" i="63"/>
  <c r="E346" i="63"/>
  <c r="G346" i="63" s="1"/>
  <c r="D346" i="63" l="1"/>
  <c r="F346" i="63" s="1"/>
  <c r="AL340" i="63"/>
  <c r="I340" i="63"/>
  <c r="S340" i="63"/>
  <c r="V340" i="63" s="1"/>
  <c r="AA340" i="63" s="1"/>
  <c r="AG340" i="63"/>
  <c r="AJ340" i="63" s="1"/>
  <c r="AD340" i="63"/>
  <c r="L340" i="63"/>
  <c r="H346" i="63"/>
  <c r="U340" i="63" l="1"/>
  <c r="N340" i="63"/>
  <c r="P340" i="63"/>
  <c r="Z340" i="63"/>
  <c r="Y340" i="63"/>
  <c r="AB340" i="63"/>
  <c r="C347" i="63"/>
  <c r="A346" i="63"/>
  <c r="B347" i="63"/>
  <c r="AE340" i="63" l="1"/>
  <c r="AF340" i="63" s="1"/>
  <c r="R341" i="63"/>
  <c r="T341" i="63"/>
  <c r="AM340" i="63"/>
  <c r="J341" i="63"/>
  <c r="K341" i="63"/>
  <c r="AK340" i="63"/>
  <c r="AH340" i="63"/>
  <c r="E347" i="63"/>
  <c r="G347" i="63" s="1"/>
  <c r="Q346" i="63"/>
  <c r="AC341" i="63" l="1"/>
  <c r="M341" i="63"/>
  <c r="O341" i="63" s="1"/>
  <c r="AD341" i="63"/>
  <c r="L341" i="63"/>
  <c r="N341" i="63" s="1"/>
  <c r="AG341" i="63"/>
  <c r="AJ341" i="63" s="1"/>
  <c r="AL341" i="63"/>
  <c r="D347" i="63"/>
  <c r="P341" i="63" l="1"/>
  <c r="S341" i="63"/>
  <c r="V341" i="63" s="1"/>
  <c r="I341" i="63"/>
  <c r="F347" i="63"/>
  <c r="H347" i="63"/>
  <c r="AA341" i="63" l="1"/>
  <c r="U341" i="63"/>
  <c r="K342" i="63"/>
  <c r="AM341" i="63"/>
  <c r="AK341" i="63"/>
  <c r="J342" i="63"/>
  <c r="C348" i="63"/>
  <c r="B348" i="63"/>
  <c r="A347" i="63"/>
  <c r="M342" i="63" l="1"/>
  <c r="O342" i="63" s="1"/>
  <c r="AC342" i="63"/>
  <c r="L342" i="63"/>
  <c r="N342" i="63" s="1"/>
  <c r="Y341" i="63"/>
  <c r="Z341" i="63"/>
  <c r="AH341" i="63" s="1"/>
  <c r="AB341" i="63"/>
  <c r="Q347" i="63"/>
  <c r="E348" i="63"/>
  <c r="G348" i="63" s="1"/>
  <c r="D348" i="63" l="1"/>
  <c r="F348" i="63" s="1"/>
  <c r="P342" i="63"/>
  <c r="S342" i="63"/>
  <c r="I342" i="63"/>
  <c r="AE341" i="63"/>
  <c r="AF341" i="63" s="1"/>
  <c r="T342" i="63"/>
  <c r="R342" i="63"/>
  <c r="H348" i="63"/>
  <c r="AL342" i="63" l="1"/>
  <c r="AM342" i="63" s="1"/>
  <c r="AG342" i="63"/>
  <c r="AJ342" i="63" s="1"/>
  <c r="AK342" i="63" s="1"/>
  <c r="AD342" i="63"/>
  <c r="V342" i="63"/>
  <c r="AA342" i="63" s="1"/>
  <c r="J343" i="63"/>
  <c r="K343" i="63"/>
  <c r="A348" i="63"/>
  <c r="C349" i="63"/>
  <c r="B349" i="63"/>
  <c r="U342" i="63" l="1"/>
  <c r="AC343" i="63"/>
  <c r="M343" i="63"/>
  <c r="O343" i="63" s="1"/>
  <c r="Q348" i="63"/>
  <c r="E349" i="63"/>
  <c r="G349" i="63" s="1"/>
  <c r="L343" i="63" l="1"/>
  <c r="N343" i="63" s="1"/>
  <c r="Z342" i="63"/>
  <c r="AH342" i="63" s="1"/>
  <c r="Y342" i="63"/>
  <c r="AB342" i="63"/>
  <c r="P343" i="63"/>
  <c r="S343" i="63"/>
  <c r="I343" i="63"/>
  <c r="D349" i="63"/>
  <c r="AE342" i="63" l="1"/>
  <c r="AF342" i="63" s="1"/>
  <c r="R343" i="63"/>
  <c r="T343" i="63"/>
  <c r="V343" i="63"/>
  <c r="AA343" i="63" s="1"/>
  <c r="J344" i="63"/>
  <c r="K344" i="63"/>
  <c r="F349" i="63"/>
  <c r="H349" i="63"/>
  <c r="AC344" i="63" l="1"/>
  <c r="M344" i="63"/>
  <c r="O344" i="63" s="1"/>
  <c r="AL343" i="63"/>
  <c r="AM343" i="63" s="1"/>
  <c r="AD343" i="63"/>
  <c r="AG343" i="63"/>
  <c r="AJ343" i="63" s="1"/>
  <c r="AK343" i="63" s="1"/>
  <c r="U343" i="63"/>
  <c r="AB343" i="63" s="1"/>
  <c r="C350" i="63"/>
  <c r="A349" i="63"/>
  <c r="B350" i="63"/>
  <c r="AE343" i="63" l="1"/>
  <c r="AF343" i="63" s="1"/>
  <c r="T344" i="63"/>
  <c r="R344" i="63"/>
  <c r="S344" i="63"/>
  <c r="I344" i="63"/>
  <c r="Y343" i="63"/>
  <c r="Z343" i="63"/>
  <c r="AH343" i="63" s="1"/>
  <c r="L344" i="63"/>
  <c r="Q349" i="63"/>
  <c r="E350" i="63"/>
  <c r="G350" i="63" s="1"/>
  <c r="D350" i="63" l="1"/>
  <c r="N344" i="63"/>
  <c r="P344" i="63"/>
  <c r="AG344" i="63"/>
  <c r="AJ344" i="63" s="1"/>
  <c r="AD344" i="63"/>
  <c r="AL344" i="63"/>
  <c r="V344" i="63"/>
  <c r="AA344" i="63" s="1"/>
  <c r="F350" i="63" l="1"/>
  <c r="H350" i="63"/>
  <c r="U344" i="63"/>
  <c r="J345" i="63"/>
  <c r="K345" i="63"/>
  <c r="AM344" i="63"/>
  <c r="AK344" i="63"/>
  <c r="C351" i="63" l="1"/>
  <c r="B351" i="63"/>
  <c r="E351" i="63" s="1"/>
  <c r="G351" i="63" s="1"/>
  <c r="A350" i="63"/>
  <c r="Q350" i="63" s="1"/>
  <c r="AC345" i="63"/>
  <c r="M345" i="63"/>
  <c r="O345" i="63" s="1"/>
  <c r="AB344" i="63"/>
  <c r="Y344" i="63"/>
  <c r="Z344" i="63"/>
  <c r="AH344" i="63" s="1"/>
  <c r="D351" i="63" l="1"/>
  <c r="F351" i="63" s="1"/>
  <c r="R345" i="63"/>
  <c r="AE344" i="63"/>
  <c r="AF344" i="63" s="1"/>
  <c r="T345" i="63"/>
  <c r="S345" i="63"/>
  <c r="V345" i="63" s="1"/>
  <c r="AA345" i="63" s="1"/>
  <c r="I345" i="63"/>
  <c r="L345" i="63"/>
  <c r="H351" i="63" l="1"/>
  <c r="N345" i="63"/>
  <c r="P345" i="63"/>
  <c r="AG345" i="63"/>
  <c r="AJ345" i="63" s="1"/>
  <c r="U345" i="63"/>
  <c r="AD345" i="63"/>
  <c r="AL345" i="63"/>
  <c r="AB345" i="63"/>
  <c r="C352" i="63" l="1"/>
  <c r="A351" i="63"/>
  <c r="Q351" i="63" s="1"/>
  <c r="B352" i="63"/>
  <c r="E352" i="63" s="1"/>
  <c r="G352" i="63" s="1"/>
  <c r="Y345" i="63"/>
  <c r="Z345" i="63"/>
  <c r="AH345" i="63" s="1"/>
  <c r="AE345" i="63"/>
  <c r="AF345" i="63" s="1"/>
  <c r="T346" i="63"/>
  <c r="R346" i="63"/>
  <c r="AM345" i="63"/>
  <c r="AK345" i="63"/>
  <c r="K346" i="63"/>
  <c r="J346" i="63"/>
  <c r="D352" i="63"/>
  <c r="AL346" i="63" l="1"/>
  <c r="AG346" i="63"/>
  <c r="AJ346" i="63" s="1"/>
  <c r="M346" i="63"/>
  <c r="O346" i="63" s="1"/>
  <c r="AC346" i="63"/>
  <c r="AD346" i="63"/>
  <c r="F352" i="63"/>
  <c r="H352" i="63"/>
  <c r="I346" i="63" l="1"/>
  <c r="S346" i="63"/>
  <c r="V346" i="63" s="1"/>
  <c r="L346" i="63"/>
  <c r="C353" i="63"/>
  <c r="B353" i="63"/>
  <c r="A352" i="63"/>
  <c r="AA346" i="63" l="1"/>
  <c r="U346" i="63"/>
  <c r="N346" i="63"/>
  <c r="P346" i="63"/>
  <c r="E353" i="63"/>
  <c r="G353" i="63" s="1"/>
  <c r="Q352" i="63"/>
  <c r="AM346" i="63" l="1"/>
  <c r="AK346" i="63"/>
  <c r="K347" i="63"/>
  <c r="J347" i="63"/>
  <c r="Z346" i="63"/>
  <c r="AH346" i="63" s="1"/>
  <c r="Y346" i="63"/>
  <c r="AB346" i="63"/>
  <c r="D353" i="63"/>
  <c r="AE346" i="63" l="1"/>
  <c r="AF346" i="63" s="1"/>
  <c r="T347" i="63"/>
  <c r="R347" i="63"/>
  <c r="AC347" i="63"/>
  <c r="M347" i="63"/>
  <c r="O347" i="63" s="1"/>
  <c r="AD347" i="63"/>
  <c r="F353" i="63"/>
  <c r="H353" i="63"/>
  <c r="L347" i="63" l="1"/>
  <c r="N347" i="63" s="1"/>
  <c r="P347" i="63"/>
  <c r="S347" i="63"/>
  <c r="I347" i="63"/>
  <c r="AG347" i="63"/>
  <c r="AJ347" i="63" s="1"/>
  <c r="V347" i="63"/>
  <c r="AA347" i="63" s="1"/>
  <c r="AL347" i="63"/>
  <c r="C354" i="63"/>
  <c r="A353" i="63"/>
  <c r="B354" i="63"/>
  <c r="U347" i="63" l="1"/>
  <c r="AM347" i="63"/>
  <c r="AK347" i="63"/>
  <c r="K348" i="63"/>
  <c r="J348" i="63"/>
  <c r="E354" i="63"/>
  <c r="G354" i="63" s="1"/>
  <c r="Q353" i="63"/>
  <c r="D354" i="63" l="1"/>
  <c r="F354" i="63" s="1"/>
  <c r="M348" i="63"/>
  <c r="O348" i="63" s="1"/>
  <c r="AC348" i="63"/>
  <c r="Y347" i="63"/>
  <c r="Z347" i="63"/>
  <c r="AH347" i="63" s="1"/>
  <c r="AB347" i="63"/>
  <c r="H354" i="63"/>
  <c r="L348" i="63" l="1"/>
  <c r="AE347" i="63"/>
  <c r="AF347" i="63" s="1"/>
  <c r="T348" i="63"/>
  <c r="R348" i="63"/>
  <c r="S348" i="63"/>
  <c r="I348" i="63"/>
  <c r="C355" i="63"/>
  <c r="B355" i="63"/>
  <c r="A354" i="63"/>
  <c r="V348" i="63" l="1"/>
  <c r="AA348" i="63" s="1"/>
  <c r="AL348" i="63"/>
  <c r="AG348" i="63"/>
  <c r="AJ348" i="63" s="1"/>
  <c r="U348" i="63"/>
  <c r="AD348" i="63"/>
  <c r="N348" i="63"/>
  <c r="P348" i="63"/>
  <c r="Q354" i="63"/>
  <c r="E355" i="63"/>
  <c r="G355" i="63" s="1"/>
  <c r="D355" i="63" l="1"/>
  <c r="F355" i="63" s="1"/>
  <c r="AM348" i="63"/>
  <c r="J349" i="63"/>
  <c r="AK348" i="63"/>
  <c r="K349" i="63"/>
  <c r="Z348" i="63"/>
  <c r="AH348" i="63" s="1"/>
  <c r="Y348" i="63"/>
  <c r="AB348" i="63"/>
  <c r="H355" i="63"/>
  <c r="AE348" i="63" l="1"/>
  <c r="AF348" i="63" s="1"/>
  <c r="R349" i="63"/>
  <c r="T349" i="63"/>
  <c r="AD349" i="63"/>
  <c r="M349" i="63"/>
  <c r="O349" i="63" s="1"/>
  <c r="AC349" i="63"/>
  <c r="C356" i="63"/>
  <c r="A355" i="63"/>
  <c r="B356" i="63"/>
  <c r="I349" i="63" l="1"/>
  <c r="S349" i="63"/>
  <c r="V349" i="63" s="1"/>
  <c r="AA349" i="63" s="1"/>
  <c r="AL349" i="63"/>
  <c r="L349" i="63"/>
  <c r="AG349" i="63"/>
  <c r="AJ349" i="63" s="1"/>
  <c r="E356" i="63"/>
  <c r="G356" i="63" s="1"/>
  <c r="Q355" i="63"/>
  <c r="U349" i="63" l="1"/>
  <c r="AB349" i="63" s="1"/>
  <c r="AE349" i="63"/>
  <c r="AF349" i="63" s="1"/>
  <c r="T350" i="63"/>
  <c r="R350" i="63"/>
  <c r="N349" i="63"/>
  <c r="P349" i="63"/>
  <c r="Y349" i="63"/>
  <c r="Z349" i="63"/>
  <c r="D356" i="63"/>
  <c r="J350" i="63" l="1"/>
  <c r="AM349" i="63"/>
  <c r="AK349" i="63"/>
  <c r="AH349" i="63"/>
  <c r="K350" i="63"/>
  <c r="AG350" i="63"/>
  <c r="AJ350" i="63" s="1"/>
  <c r="AL350" i="63"/>
  <c r="F356" i="63"/>
  <c r="H356" i="63"/>
  <c r="AD350" i="63" l="1"/>
  <c r="AC350" i="63"/>
  <c r="M350" i="63"/>
  <c r="O350" i="63" s="1"/>
  <c r="C357" i="63"/>
  <c r="A356" i="63"/>
  <c r="B357" i="63"/>
  <c r="I350" i="63" l="1"/>
  <c r="S350" i="63"/>
  <c r="V350" i="63" s="1"/>
  <c r="L350" i="63"/>
  <c r="E357" i="63"/>
  <c r="G357" i="63" s="1"/>
  <c r="Q356" i="63"/>
  <c r="AA350" i="63" l="1"/>
  <c r="U350" i="63"/>
  <c r="N350" i="63"/>
  <c r="P350" i="63"/>
  <c r="D357" i="63"/>
  <c r="AM350" i="63" l="1"/>
  <c r="J351" i="63"/>
  <c r="K351" i="63"/>
  <c r="AK350" i="63"/>
  <c r="Z350" i="63"/>
  <c r="AH350" i="63" s="1"/>
  <c r="Y350" i="63"/>
  <c r="AB350" i="63"/>
  <c r="F357" i="63"/>
  <c r="H357" i="63"/>
  <c r="AE350" i="63" l="1"/>
  <c r="AF350" i="63" s="1"/>
  <c r="T351" i="63"/>
  <c r="R351" i="63"/>
  <c r="AC351" i="63"/>
  <c r="M351" i="63"/>
  <c r="O351" i="63" s="1"/>
  <c r="C358" i="63"/>
  <c r="A357" i="63"/>
  <c r="B358" i="63"/>
  <c r="AL351" i="63" l="1"/>
  <c r="AG351" i="63"/>
  <c r="AJ351" i="63" s="1"/>
  <c r="AD351" i="63"/>
  <c r="I351" i="63"/>
  <c r="S351" i="63"/>
  <c r="V351" i="63" s="1"/>
  <c r="L351" i="63"/>
  <c r="E358" i="63"/>
  <c r="G358" i="63" s="1"/>
  <c r="Q357" i="63"/>
  <c r="D358" i="63" l="1"/>
  <c r="F358" i="63" s="1"/>
  <c r="AA351" i="63"/>
  <c r="U351" i="63"/>
  <c r="N351" i="63"/>
  <c r="P351" i="63"/>
  <c r="H358" i="63"/>
  <c r="J352" i="63" l="1"/>
  <c r="AK351" i="63"/>
  <c r="AM351" i="63"/>
  <c r="K352" i="63"/>
  <c r="Z351" i="63"/>
  <c r="AH351" i="63" s="1"/>
  <c r="Y351" i="63"/>
  <c r="AB351" i="63"/>
  <c r="C359" i="63"/>
  <c r="B359" i="63"/>
  <c r="A358" i="63"/>
  <c r="AE351" i="63" l="1"/>
  <c r="AF351" i="63" s="1"/>
  <c r="T352" i="63"/>
  <c r="R352" i="63"/>
  <c r="M352" i="63"/>
  <c r="O352" i="63" s="1"/>
  <c r="AC352" i="63"/>
  <c r="Q358" i="63"/>
  <c r="E359" i="63"/>
  <c r="G359" i="63" s="1"/>
  <c r="AL352" i="63" l="1"/>
  <c r="S352" i="63"/>
  <c r="V352" i="63" s="1"/>
  <c r="AA352" i="63" s="1"/>
  <c r="I352" i="63"/>
  <c r="AG352" i="63"/>
  <c r="AJ352" i="63" s="1"/>
  <c r="U352" i="63"/>
  <c r="L352" i="63"/>
  <c r="AD352" i="63"/>
  <c r="D359" i="63"/>
  <c r="N352" i="63" l="1"/>
  <c r="P352" i="63"/>
  <c r="Z352" i="63"/>
  <c r="AH352" i="63" s="1"/>
  <c r="Y352" i="63"/>
  <c r="AB352" i="63"/>
  <c r="F359" i="63"/>
  <c r="H359" i="63"/>
  <c r="R353" i="63" l="1"/>
  <c r="AE352" i="63"/>
  <c r="AF352" i="63" s="1"/>
  <c r="T353" i="63"/>
  <c r="J353" i="63"/>
  <c r="AM352" i="63"/>
  <c r="AK352" i="63"/>
  <c r="K353" i="63"/>
  <c r="C360" i="63"/>
  <c r="A359" i="63"/>
  <c r="B360" i="63"/>
  <c r="AD353" i="63" l="1"/>
  <c r="AC353" i="63"/>
  <c r="M353" i="63"/>
  <c r="O353" i="63" s="1"/>
  <c r="AG353" i="63"/>
  <c r="AJ353" i="63" s="1"/>
  <c r="AL353" i="63"/>
  <c r="E360" i="63"/>
  <c r="G360" i="63" s="1"/>
  <c r="Q359" i="63"/>
  <c r="I353" i="63" l="1"/>
  <c r="S353" i="63"/>
  <c r="V353" i="63" s="1"/>
  <c r="L353" i="63"/>
  <c r="D360" i="63"/>
  <c r="N353" i="63" l="1"/>
  <c r="P353" i="63"/>
  <c r="AA353" i="63"/>
  <c r="U353" i="63"/>
  <c r="F360" i="63"/>
  <c r="H360" i="63"/>
  <c r="Y353" i="63" l="1"/>
  <c r="Z353" i="63"/>
  <c r="AB353" i="63"/>
  <c r="AK353" i="63"/>
  <c r="AH353" i="63"/>
  <c r="J354" i="63"/>
  <c r="AM353" i="63"/>
  <c r="K354" i="63"/>
  <c r="C361" i="63"/>
  <c r="A360" i="63"/>
  <c r="B361" i="63"/>
  <c r="M354" i="63" l="1"/>
  <c r="O354" i="63" s="1"/>
  <c r="AC354" i="63"/>
  <c r="R354" i="63"/>
  <c r="AE353" i="63"/>
  <c r="AF353" i="63" s="1"/>
  <c r="T354" i="63"/>
  <c r="AD354" i="63" s="1"/>
  <c r="L354" i="63"/>
  <c r="N354" i="63" s="1"/>
  <c r="Q360" i="63"/>
  <c r="E361" i="63"/>
  <c r="G361" i="63" s="1"/>
  <c r="AG354" i="63" l="1"/>
  <c r="AJ354" i="63" s="1"/>
  <c r="AL354" i="63"/>
  <c r="P354" i="63"/>
  <c r="S354" i="63"/>
  <c r="V354" i="63" s="1"/>
  <c r="AA354" i="63" s="1"/>
  <c r="I354" i="63"/>
  <c r="D361" i="63"/>
  <c r="K355" i="63" l="1"/>
  <c r="J355" i="63"/>
  <c r="AK354" i="63"/>
  <c r="AM354" i="63"/>
  <c r="U354" i="63"/>
  <c r="F361" i="63"/>
  <c r="H361" i="63"/>
  <c r="AC355" i="63" l="1"/>
  <c r="M355" i="63"/>
  <c r="O355" i="63" s="1"/>
  <c r="Z354" i="63"/>
  <c r="AH354" i="63" s="1"/>
  <c r="Y354" i="63"/>
  <c r="AB354" i="63"/>
  <c r="L355" i="63"/>
  <c r="N355" i="63" s="1"/>
  <c r="C362" i="63"/>
  <c r="A361" i="63"/>
  <c r="B362" i="63"/>
  <c r="R355" i="63" l="1"/>
  <c r="AE354" i="63"/>
  <c r="AF354" i="63" s="1"/>
  <c r="T355" i="63"/>
  <c r="P355" i="63"/>
  <c r="I355" i="63"/>
  <c r="S355" i="63"/>
  <c r="V355" i="63" s="1"/>
  <c r="AA355" i="63" s="1"/>
  <c r="E362" i="63"/>
  <c r="G362" i="63" s="1"/>
  <c r="Q361" i="63"/>
  <c r="D362" i="63" l="1"/>
  <c r="F362" i="63" s="1"/>
  <c r="J356" i="63"/>
  <c r="K356" i="63"/>
  <c r="AG355" i="63"/>
  <c r="AJ355" i="63" s="1"/>
  <c r="AK355" i="63" s="1"/>
  <c r="U355" i="63"/>
  <c r="AD355" i="63"/>
  <c r="AL355" i="63"/>
  <c r="AM355" i="63" s="1"/>
  <c r="H362" i="63"/>
  <c r="Y355" i="63" l="1"/>
  <c r="Z355" i="63"/>
  <c r="AH355" i="63" s="1"/>
  <c r="AB355" i="63"/>
  <c r="AC356" i="63"/>
  <c r="M356" i="63"/>
  <c r="O356" i="63" s="1"/>
  <c r="C363" i="63"/>
  <c r="A362" i="63"/>
  <c r="B363" i="63"/>
  <c r="I356" i="63" l="1"/>
  <c r="S356" i="63"/>
  <c r="AE355" i="63"/>
  <c r="AF355" i="63" s="1"/>
  <c r="T356" i="63"/>
  <c r="R356" i="63"/>
  <c r="L356" i="63"/>
  <c r="Q362" i="63"/>
  <c r="E363" i="63"/>
  <c r="G363" i="63" s="1"/>
  <c r="N356" i="63" l="1"/>
  <c r="P356" i="63"/>
  <c r="V356" i="63"/>
  <c r="AA356" i="63" s="1"/>
  <c r="AL356" i="63"/>
  <c r="AG356" i="63"/>
  <c r="AJ356" i="63" s="1"/>
  <c r="AD356" i="63"/>
  <c r="D363" i="63"/>
  <c r="AM356" i="63" l="1"/>
  <c r="J357" i="63"/>
  <c r="AK356" i="63"/>
  <c r="K357" i="63"/>
  <c r="U356" i="63"/>
  <c r="F363" i="63"/>
  <c r="H363" i="63"/>
  <c r="Z356" i="63" l="1"/>
  <c r="AH356" i="63" s="1"/>
  <c r="Y356" i="63"/>
  <c r="AB356" i="63"/>
  <c r="M357" i="63"/>
  <c r="O357" i="63" s="1"/>
  <c r="AC357" i="63"/>
  <c r="C364" i="63"/>
  <c r="A363" i="63"/>
  <c r="B364" i="63"/>
  <c r="L357" i="63" l="1"/>
  <c r="S357" i="63"/>
  <c r="I357" i="63"/>
  <c r="AE356" i="63"/>
  <c r="AF356" i="63" s="1"/>
  <c r="R357" i="63"/>
  <c r="T357" i="63"/>
  <c r="E364" i="63"/>
  <c r="G364" i="63" s="1"/>
  <c r="Q363" i="63"/>
  <c r="D364" i="63" l="1"/>
  <c r="F364" i="63" s="1"/>
  <c r="AL357" i="63"/>
  <c r="V357" i="63"/>
  <c r="AA357" i="63" s="1"/>
  <c r="AG357" i="63"/>
  <c r="AJ357" i="63" s="1"/>
  <c r="U357" i="63"/>
  <c r="AB357" i="63" s="1"/>
  <c r="AD357" i="63"/>
  <c r="N357" i="63"/>
  <c r="P357" i="63"/>
  <c r="H364" i="63"/>
  <c r="AE357" i="63" l="1"/>
  <c r="AF357" i="63" s="1"/>
  <c r="T358" i="63"/>
  <c r="R358" i="63"/>
  <c r="AM357" i="63"/>
  <c r="AK357" i="63"/>
  <c r="K358" i="63"/>
  <c r="J358" i="63"/>
  <c r="Y357" i="63"/>
  <c r="Z357" i="63"/>
  <c r="AH357" i="63" s="1"/>
  <c r="C365" i="63"/>
  <c r="A364" i="63"/>
  <c r="B365" i="63"/>
  <c r="AD358" i="63" l="1"/>
  <c r="AC358" i="63"/>
  <c r="M358" i="63"/>
  <c r="O358" i="63" s="1"/>
  <c r="AG358" i="63"/>
  <c r="AJ358" i="63" s="1"/>
  <c r="AL358" i="63"/>
  <c r="E365" i="63"/>
  <c r="G365" i="63" s="1"/>
  <c r="Q364" i="63"/>
  <c r="S358" i="63" l="1"/>
  <c r="V358" i="63" s="1"/>
  <c r="I358" i="63"/>
  <c r="L358" i="63"/>
  <c r="D365" i="63"/>
  <c r="N358" i="63" l="1"/>
  <c r="P358" i="63"/>
  <c r="AA358" i="63"/>
  <c r="U358" i="63"/>
  <c r="F365" i="63"/>
  <c r="H365" i="63"/>
  <c r="Y358" i="63" l="1"/>
  <c r="Z358" i="63"/>
  <c r="AB358" i="63"/>
  <c r="AH358" i="63"/>
  <c r="AM358" i="63"/>
  <c r="AK358" i="63"/>
  <c r="J359" i="63"/>
  <c r="K359" i="63"/>
  <c r="C366" i="63"/>
  <c r="A365" i="63"/>
  <c r="B366" i="63"/>
  <c r="AC359" i="63" l="1"/>
  <c r="M359" i="63"/>
  <c r="O359" i="63" s="1"/>
  <c r="AE358" i="63"/>
  <c r="AF358" i="63" s="1"/>
  <c r="T359" i="63"/>
  <c r="AD359" i="63" s="1"/>
  <c r="R359" i="63"/>
  <c r="E366" i="63"/>
  <c r="G366" i="63" s="1"/>
  <c r="Q365" i="63"/>
  <c r="L359" i="63" l="1"/>
  <c r="N359" i="63" s="1"/>
  <c r="AL359" i="63"/>
  <c r="AG359" i="63"/>
  <c r="AJ359" i="63" s="1"/>
  <c r="P359" i="63"/>
  <c r="I359" i="63"/>
  <c r="S359" i="63"/>
  <c r="V359" i="63" s="1"/>
  <c r="D366" i="63"/>
  <c r="AA359" i="63" l="1"/>
  <c r="U359" i="63"/>
  <c r="AK359" i="63"/>
  <c r="AM359" i="63"/>
  <c r="K360" i="63"/>
  <c r="J360" i="63"/>
  <c r="F366" i="63"/>
  <c r="H366" i="63"/>
  <c r="Y359" i="63" l="1"/>
  <c r="Z359" i="63"/>
  <c r="AH359" i="63" s="1"/>
  <c r="AB359" i="63"/>
  <c r="AC360" i="63"/>
  <c r="M360" i="63"/>
  <c r="O360" i="63" s="1"/>
  <c r="B367" i="63"/>
  <c r="A366" i="63"/>
  <c r="C367" i="63"/>
  <c r="S360" i="63" l="1"/>
  <c r="I360" i="63"/>
  <c r="R360" i="63"/>
  <c r="AE359" i="63"/>
  <c r="AF359" i="63" s="1"/>
  <c r="T360" i="63"/>
  <c r="L360" i="63"/>
  <c r="Q366" i="63"/>
  <c r="E367" i="63"/>
  <c r="G367" i="63" s="1"/>
  <c r="N360" i="63" l="1"/>
  <c r="P360" i="63"/>
  <c r="AG360" i="63"/>
  <c r="AJ360" i="63" s="1"/>
  <c r="AD360" i="63"/>
  <c r="V360" i="63"/>
  <c r="AA360" i="63" s="1"/>
  <c r="AL360" i="63"/>
  <c r="D367" i="63"/>
  <c r="U360" i="63" l="1"/>
  <c r="J361" i="63"/>
  <c r="AK360" i="63"/>
  <c r="AM360" i="63"/>
  <c r="K361" i="63"/>
  <c r="F367" i="63"/>
  <c r="H367" i="63"/>
  <c r="M361" i="63" l="1"/>
  <c r="O361" i="63" s="1"/>
  <c r="AC361" i="63"/>
  <c r="Y360" i="63"/>
  <c r="Z360" i="63"/>
  <c r="AH360" i="63" s="1"/>
  <c r="AB360" i="63"/>
  <c r="C368" i="63"/>
  <c r="A367" i="63"/>
  <c r="B368" i="63"/>
  <c r="S361" i="63" l="1"/>
  <c r="I361" i="63"/>
  <c r="L361" i="63"/>
  <c r="R361" i="63"/>
  <c r="AE360" i="63"/>
  <c r="AF360" i="63" s="1"/>
  <c r="T361" i="63"/>
  <c r="E368" i="63"/>
  <c r="G368" i="63" s="1"/>
  <c r="Q367" i="63"/>
  <c r="D368" i="63" l="1"/>
  <c r="F368" i="63" s="1"/>
  <c r="AG361" i="63"/>
  <c r="AJ361" i="63" s="1"/>
  <c r="AD361" i="63"/>
  <c r="AL361" i="63"/>
  <c r="N361" i="63"/>
  <c r="P361" i="63"/>
  <c r="V361" i="63"/>
  <c r="AA361" i="63" s="1"/>
  <c r="H368" i="63"/>
  <c r="U361" i="63" l="1"/>
  <c r="J362" i="63"/>
  <c r="AM361" i="63"/>
  <c r="AK361" i="63"/>
  <c r="K362" i="63"/>
  <c r="C369" i="63"/>
  <c r="A368" i="63"/>
  <c r="B369" i="63"/>
  <c r="M362" i="63" l="1"/>
  <c r="O362" i="63" s="1"/>
  <c r="AC362" i="63"/>
  <c r="Y361" i="63"/>
  <c r="Z361" i="63"/>
  <c r="AH361" i="63" s="1"/>
  <c r="AB361" i="63"/>
  <c r="E369" i="63"/>
  <c r="G369" i="63" s="1"/>
  <c r="Q368" i="63"/>
  <c r="D369" i="63" l="1"/>
  <c r="F369" i="63" s="1"/>
  <c r="AE361" i="63"/>
  <c r="AF361" i="63" s="1"/>
  <c r="R362" i="63"/>
  <c r="T362" i="63"/>
  <c r="I362" i="63"/>
  <c r="S362" i="63"/>
  <c r="L362" i="63"/>
  <c r="H369" i="63"/>
  <c r="N362" i="63" l="1"/>
  <c r="P362" i="63"/>
  <c r="AD362" i="63"/>
  <c r="AG362" i="63"/>
  <c r="AJ362" i="63" s="1"/>
  <c r="V362" i="63"/>
  <c r="AA362" i="63" s="1"/>
  <c r="AL362" i="63"/>
  <c r="C370" i="63"/>
  <c r="A369" i="63"/>
  <c r="B370" i="63"/>
  <c r="U362" i="63" l="1"/>
  <c r="K363" i="63"/>
  <c r="AM362" i="63"/>
  <c r="AK362" i="63"/>
  <c r="J363" i="63"/>
  <c r="E370" i="63"/>
  <c r="G370" i="63" s="1"/>
  <c r="Q369" i="63"/>
  <c r="D370" i="63" l="1"/>
  <c r="F370" i="63" s="1"/>
  <c r="AC363" i="63"/>
  <c r="M363" i="63"/>
  <c r="O363" i="63" s="1"/>
  <c r="Y362" i="63"/>
  <c r="Z362" i="63"/>
  <c r="AH362" i="63" s="1"/>
  <c r="AB362" i="63"/>
  <c r="L363" i="63"/>
  <c r="N363" i="63" s="1"/>
  <c r="H370" i="63"/>
  <c r="AE362" i="63" l="1"/>
  <c r="AF362" i="63" s="1"/>
  <c r="R363" i="63"/>
  <c r="T363" i="63"/>
  <c r="P363" i="63"/>
  <c r="I363" i="63"/>
  <c r="S363" i="63"/>
  <c r="V363" i="63" s="1"/>
  <c r="AA363" i="63" s="1"/>
  <c r="C371" i="63"/>
  <c r="B371" i="63"/>
  <c r="A370" i="63"/>
  <c r="AL363" i="63" l="1"/>
  <c r="AM363" i="63" s="1"/>
  <c r="K364" i="63"/>
  <c r="J364" i="63"/>
  <c r="AG363" i="63"/>
  <c r="AJ363" i="63" s="1"/>
  <c r="AK363" i="63" s="1"/>
  <c r="U363" i="63"/>
  <c r="AB363" i="63" s="1"/>
  <c r="AD363" i="63"/>
  <c r="Q370" i="63"/>
  <c r="E371" i="63"/>
  <c r="G371" i="63" s="1"/>
  <c r="M364" i="63" l="1"/>
  <c r="O364" i="63" s="1"/>
  <c r="AC364" i="63"/>
  <c r="L364" i="63"/>
  <c r="N364" i="63" s="1"/>
  <c r="AE363" i="63"/>
  <c r="AF363" i="63" s="1"/>
  <c r="R364" i="63"/>
  <c r="T364" i="63"/>
  <c r="Y363" i="63"/>
  <c r="Z363" i="63"/>
  <c r="AH363" i="63" s="1"/>
  <c r="D371" i="63"/>
  <c r="AL364" i="63" l="1"/>
  <c r="AG364" i="63"/>
  <c r="AJ364" i="63" s="1"/>
  <c r="AD364" i="63"/>
  <c r="S364" i="63"/>
  <c r="V364" i="63" s="1"/>
  <c r="AA364" i="63" s="1"/>
  <c r="I364" i="63"/>
  <c r="P364" i="63"/>
  <c r="F371" i="63"/>
  <c r="H371" i="63"/>
  <c r="AM364" i="63" l="1"/>
  <c r="AK364" i="63"/>
  <c r="K365" i="63"/>
  <c r="J365" i="63"/>
  <c r="U364" i="63"/>
  <c r="C372" i="63"/>
  <c r="A371" i="63"/>
  <c r="B372" i="63"/>
  <c r="Y364" i="63" l="1"/>
  <c r="Z364" i="63"/>
  <c r="AH364" i="63" s="1"/>
  <c r="AB364" i="63"/>
  <c r="M365" i="63"/>
  <c r="O365" i="63" s="1"/>
  <c r="AC365" i="63"/>
  <c r="L365" i="63"/>
  <c r="N365" i="63" s="1"/>
  <c r="E372" i="63"/>
  <c r="G372" i="63" s="1"/>
  <c r="Q371" i="63"/>
  <c r="P365" i="63" l="1"/>
  <c r="S365" i="63"/>
  <c r="I365" i="63"/>
  <c r="R365" i="63"/>
  <c r="T365" i="63"/>
  <c r="AE364" i="63"/>
  <c r="AF364" i="63" s="1"/>
  <c r="D372" i="63"/>
  <c r="AG365" i="63" l="1"/>
  <c r="AJ365" i="63" s="1"/>
  <c r="AK365" i="63" s="1"/>
  <c r="AD365" i="63"/>
  <c r="AL365" i="63"/>
  <c r="AM365" i="63" s="1"/>
  <c r="V365" i="63"/>
  <c r="AA365" i="63" s="1"/>
  <c r="K366" i="63"/>
  <c r="J366" i="63"/>
  <c r="F372" i="63"/>
  <c r="H372" i="63"/>
  <c r="AC366" i="63" l="1"/>
  <c r="M366" i="63"/>
  <c r="O366" i="63" s="1"/>
  <c r="U365" i="63"/>
  <c r="C373" i="63"/>
  <c r="A372" i="63"/>
  <c r="B373" i="63"/>
  <c r="L366" i="63" l="1"/>
  <c r="Y365" i="63"/>
  <c r="Z365" i="63"/>
  <c r="AH365" i="63" s="1"/>
  <c r="AB365" i="63"/>
  <c r="N366" i="63"/>
  <c r="P366" i="63"/>
  <c r="S366" i="63"/>
  <c r="I366" i="63"/>
  <c r="E373" i="63"/>
  <c r="G373" i="63" s="1"/>
  <c r="Q372" i="63"/>
  <c r="K367" i="63" l="1"/>
  <c r="J367" i="63"/>
  <c r="AE365" i="63"/>
  <c r="AF365" i="63" s="1"/>
  <c r="R366" i="63"/>
  <c r="T366" i="63"/>
  <c r="D373" i="63"/>
  <c r="AL366" i="63" l="1"/>
  <c r="AM366" i="63" s="1"/>
  <c r="V366" i="63"/>
  <c r="AA366" i="63" s="1"/>
  <c r="AG366" i="63"/>
  <c r="AJ366" i="63" s="1"/>
  <c r="AK366" i="63" s="1"/>
  <c r="AD366" i="63"/>
  <c r="M367" i="63"/>
  <c r="O367" i="63" s="1"/>
  <c r="AC367" i="63"/>
  <c r="F373" i="63"/>
  <c r="H373" i="63"/>
  <c r="U366" i="63" l="1"/>
  <c r="Z366" i="63"/>
  <c r="AH366" i="63" s="1"/>
  <c r="Y366" i="63"/>
  <c r="S367" i="63"/>
  <c r="I367" i="63"/>
  <c r="AB366" i="63"/>
  <c r="L367" i="63"/>
  <c r="C374" i="63"/>
  <c r="A373" i="63"/>
  <c r="B374" i="63"/>
  <c r="N367" i="63" l="1"/>
  <c r="P367" i="63"/>
  <c r="T367" i="63"/>
  <c r="R367" i="63"/>
  <c r="AE366" i="63"/>
  <c r="AF366" i="63" s="1"/>
  <c r="E374" i="63"/>
  <c r="G374" i="63" s="1"/>
  <c r="Q373" i="63"/>
  <c r="D374" i="63" l="1"/>
  <c r="F374" i="63" s="1"/>
  <c r="AL367" i="63"/>
  <c r="V367" i="63"/>
  <c r="AA367" i="63" s="1"/>
  <c r="AG367" i="63"/>
  <c r="AJ367" i="63" s="1"/>
  <c r="AK367" i="63" s="1"/>
  <c r="U367" i="63"/>
  <c r="AD367" i="63"/>
  <c r="AM367" i="63"/>
  <c r="K368" i="63"/>
  <c r="J368" i="63"/>
  <c r="H374" i="63"/>
  <c r="Z367" i="63" l="1"/>
  <c r="AH367" i="63" s="1"/>
  <c r="Y367" i="63"/>
  <c r="AB367" i="63"/>
  <c r="M368" i="63"/>
  <c r="O368" i="63" s="1"/>
  <c r="AC368" i="63"/>
  <c r="C375" i="63"/>
  <c r="B375" i="63"/>
  <c r="A374" i="63"/>
  <c r="S368" i="63" l="1"/>
  <c r="I368" i="63"/>
  <c r="AE367" i="63"/>
  <c r="AF367" i="63" s="1"/>
  <c r="T368" i="63"/>
  <c r="R368" i="63"/>
  <c r="L368" i="63"/>
  <c r="Q374" i="63"/>
  <c r="E375" i="63"/>
  <c r="G375" i="63" s="1"/>
  <c r="D375" i="63" l="1"/>
  <c r="F375" i="63" s="1"/>
  <c r="P368" i="63"/>
  <c r="N368" i="63"/>
  <c r="V368" i="63"/>
  <c r="AA368" i="63" s="1"/>
  <c r="AL368" i="63"/>
  <c r="AG368" i="63"/>
  <c r="AJ368" i="63" s="1"/>
  <c r="AD368" i="63"/>
  <c r="H375" i="63"/>
  <c r="U368" i="63" l="1"/>
  <c r="Y368" i="63"/>
  <c r="Z368" i="63"/>
  <c r="AH368" i="63" s="1"/>
  <c r="AB368" i="63"/>
  <c r="J369" i="63"/>
  <c r="AM368" i="63"/>
  <c r="K369" i="63"/>
  <c r="AK368" i="63"/>
  <c r="C376" i="63"/>
  <c r="A375" i="63"/>
  <c r="B376" i="63"/>
  <c r="AC369" i="63" l="1"/>
  <c r="M369" i="63"/>
  <c r="O369" i="63" s="1"/>
  <c r="T369" i="63"/>
  <c r="R369" i="63"/>
  <c r="AE368" i="63"/>
  <c r="AF368" i="63" s="1"/>
  <c r="L369" i="63"/>
  <c r="N369" i="63" s="1"/>
  <c r="Q375" i="63"/>
  <c r="D376" i="63"/>
  <c r="F376" i="63" s="1"/>
  <c r="E376" i="63"/>
  <c r="G376" i="63" s="1"/>
  <c r="AG369" i="63" l="1"/>
  <c r="AJ369" i="63" s="1"/>
  <c r="AL369" i="63"/>
  <c r="P369" i="63"/>
  <c r="I369" i="63"/>
  <c r="S369" i="63"/>
  <c r="V369" i="63" s="1"/>
  <c r="AD369" i="63"/>
  <c r="H376" i="63"/>
  <c r="AA369" i="63" l="1"/>
  <c r="U369" i="63"/>
  <c r="J370" i="63"/>
  <c r="K370" i="63"/>
  <c r="AM369" i="63"/>
  <c r="AK369" i="63"/>
  <c r="C377" i="63"/>
  <c r="A376" i="63"/>
  <c r="B377" i="63"/>
  <c r="Y369" i="63" l="1"/>
  <c r="Z369" i="63"/>
  <c r="AH369" i="63" s="1"/>
  <c r="AB369" i="63"/>
  <c r="M370" i="63"/>
  <c r="O370" i="63" s="1"/>
  <c r="AC370" i="63"/>
  <c r="E377" i="63"/>
  <c r="G377" i="63" s="1"/>
  <c r="Q376" i="63"/>
  <c r="I370" i="63" l="1"/>
  <c r="S370" i="63"/>
  <c r="AE369" i="63"/>
  <c r="AF369" i="63" s="1"/>
  <c r="T370" i="63"/>
  <c r="R370" i="63"/>
  <c r="L370" i="63"/>
  <c r="D377" i="63"/>
  <c r="AL370" i="63" l="1"/>
  <c r="V370" i="63"/>
  <c r="AA370" i="63" s="1"/>
  <c r="N370" i="63"/>
  <c r="P370" i="63"/>
  <c r="AG370" i="63"/>
  <c r="AJ370" i="63" s="1"/>
  <c r="AD370" i="63"/>
  <c r="F377" i="63"/>
  <c r="H377" i="63"/>
  <c r="U370" i="63" l="1"/>
  <c r="AB370" i="63"/>
  <c r="Z370" i="63"/>
  <c r="AH370" i="63" s="1"/>
  <c r="Y370" i="63"/>
  <c r="AM370" i="63"/>
  <c r="AK370" i="63"/>
  <c r="J371" i="63"/>
  <c r="K371" i="63"/>
  <c r="C378" i="63"/>
  <c r="A377" i="63"/>
  <c r="B378" i="63"/>
  <c r="M371" i="63" l="1"/>
  <c r="O371" i="63" s="1"/>
  <c r="AC371" i="63"/>
  <c r="T371" i="63"/>
  <c r="R371" i="63"/>
  <c r="AL371" i="63" s="1"/>
  <c r="AE370" i="63"/>
  <c r="AF370" i="63" s="1"/>
  <c r="E378" i="63"/>
  <c r="G378" i="63" s="1"/>
  <c r="Q377" i="63"/>
  <c r="D378" i="63"/>
  <c r="F378" i="63" s="1"/>
  <c r="I371" i="63" l="1"/>
  <c r="S371" i="63"/>
  <c r="V371" i="63" s="1"/>
  <c r="AA371" i="63" s="1"/>
  <c r="AG371" i="63"/>
  <c r="AJ371" i="63" s="1"/>
  <c r="L371" i="63"/>
  <c r="AD371" i="63"/>
  <c r="H378" i="63"/>
  <c r="U371" i="63" l="1"/>
  <c r="AB371" i="63" s="1"/>
  <c r="R372" i="63" s="1"/>
  <c r="T372" i="63"/>
  <c r="Z371" i="63"/>
  <c r="Y371" i="63"/>
  <c r="AE371" i="63"/>
  <c r="AF371" i="63" s="1"/>
  <c r="N371" i="63"/>
  <c r="P371" i="63"/>
  <c r="AG372" i="63"/>
  <c r="AJ372" i="63" s="1"/>
  <c r="C379" i="63"/>
  <c r="B379" i="63"/>
  <c r="A378" i="63"/>
  <c r="AL372" i="63"/>
  <c r="J372" i="63" l="1"/>
  <c r="AH371" i="63"/>
  <c r="K372" i="63"/>
  <c r="AM371" i="63"/>
  <c r="AK371" i="63"/>
  <c r="AD372" i="63"/>
  <c r="Q378" i="63"/>
  <c r="E379" i="63"/>
  <c r="G379" i="63" s="1"/>
  <c r="M372" i="63" l="1"/>
  <c r="O372" i="63" s="1"/>
  <c r="AC372" i="63"/>
  <c r="D379" i="63"/>
  <c r="I372" i="63" l="1"/>
  <c r="S372" i="63"/>
  <c r="V372" i="63" s="1"/>
  <c r="L372" i="63"/>
  <c r="F379" i="63"/>
  <c r="H379" i="63"/>
  <c r="N372" i="63" l="1"/>
  <c r="P372" i="63"/>
  <c r="AA372" i="63"/>
  <c r="U372" i="63"/>
  <c r="C380" i="63"/>
  <c r="A379" i="63"/>
  <c r="B380" i="63"/>
  <c r="Y372" i="63" l="1"/>
  <c r="Z372" i="63"/>
  <c r="AB372" i="63"/>
  <c r="J373" i="63"/>
  <c r="AM372" i="63"/>
  <c r="AH372" i="63"/>
  <c r="AK372" i="63"/>
  <c r="K373" i="63"/>
  <c r="Q379" i="63"/>
  <c r="E380" i="63"/>
  <c r="G380" i="63" s="1"/>
  <c r="D380" i="63"/>
  <c r="F380" i="63" s="1"/>
  <c r="R373" i="63" l="1"/>
  <c r="AL373" i="63" s="1"/>
  <c r="T373" i="63"/>
  <c r="AE372" i="63"/>
  <c r="AF372" i="63" s="1"/>
  <c r="M373" i="63"/>
  <c r="O373" i="63" s="1"/>
  <c r="AC373" i="63"/>
  <c r="H380" i="63"/>
  <c r="S373" i="63" l="1"/>
  <c r="V373" i="63" s="1"/>
  <c r="AA373" i="63" s="1"/>
  <c r="I373" i="63"/>
  <c r="AG373" i="63"/>
  <c r="AJ373" i="63" s="1"/>
  <c r="U373" i="63"/>
  <c r="L373" i="63"/>
  <c r="AD373" i="63"/>
  <c r="C381" i="63"/>
  <c r="A380" i="63"/>
  <c r="B381" i="63"/>
  <c r="N373" i="63" l="1"/>
  <c r="P373" i="63"/>
  <c r="Y373" i="63"/>
  <c r="Z373" i="63"/>
  <c r="AB373" i="63"/>
  <c r="E381" i="63"/>
  <c r="G381" i="63" s="1"/>
  <c r="Q380" i="63"/>
  <c r="R374" i="63" l="1"/>
  <c r="AL374" i="63" s="1"/>
  <c r="T374" i="63"/>
  <c r="AG374" i="63" s="1"/>
  <c r="AJ374" i="63" s="1"/>
  <c r="AE373" i="63"/>
  <c r="AF373" i="63" s="1"/>
  <c r="AM373" i="63"/>
  <c r="J374" i="63"/>
  <c r="AH373" i="63"/>
  <c r="AK373" i="63"/>
  <c r="K374" i="63"/>
  <c r="D381" i="63"/>
  <c r="AD374" i="63" l="1"/>
  <c r="AC374" i="63"/>
  <c r="M374" i="63"/>
  <c r="O374" i="63" s="1"/>
  <c r="F381" i="63"/>
  <c r="H381" i="63"/>
  <c r="I374" i="63" l="1"/>
  <c r="S374" i="63"/>
  <c r="V374" i="63" s="1"/>
  <c r="L374" i="63"/>
  <c r="C382" i="63"/>
  <c r="A381" i="63"/>
  <c r="B382" i="63"/>
  <c r="AA374" i="63" l="1"/>
  <c r="U374" i="63"/>
  <c r="N374" i="63"/>
  <c r="P374" i="63"/>
  <c r="Q381" i="63"/>
  <c r="E382" i="63"/>
  <c r="G382" i="63" s="1"/>
  <c r="D382" i="63" l="1"/>
  <c r="F382" i="63" s="1"/>
  <c r="K375" i="63"/>
  <c r="AM374" i="63"/>
  <c r="AK374" i="63"/>
  <c r="J375" i="63"/>
  <c r="Y374" i="63"/>
  <c r="Z374" i="63"/>
  <c r="AH374" i="63" s="1"/>
  <c r="AB374" i="63"/>
  <c r="H382" i="63"/>
  <c r="AE374" i="63" l="1"/>
  <c r="AF374" i="63" s="1"/>
  <c r="T375" i="63"/>
  <c r="R375" i="63"/>
  <c r="AC375" i="63"/>
  <c r="M375" i="63"/>
  <c r="O375" i="63" s="1"/>
  <c r="AD375" i="63"/>
  <c r="B383" i="63"/>
  <c r="A382" i="63"/>
  <c r="C383" i="63"/>
  <c r="L375" i="63" l="1"/>
  <c r="N375" i="63" s="1"/>
  <c r="AL375" i="63"/>
  <c r="I375" i="63"/>
  <c r="S375" i="63"/>
  <c r="V375" i="63" s="1"/>
  <c r="AG375" i="63"/>
  <c r="AJ375" i="63" s="1"/>
  <c r="Q382" i="63"/>
  <c r="E383" i="63"/>
  <c r="G383" i="63" s="1"/>
  <c r="P375" i="63" l="1"/>
  <c r="AA375" i="63"/>
  <c r="U375" i="63"/>
  <c r="AK375" i="63"/>
  <c r="K376" i="63"/>
  <c r="J376" i="63"/>
  <c r="AM375" i="63"/>
  <c r="D383" i="63"/>
  <c r="M376" i="63" l="1"/>
  <c r="O376" i="63" s="1"/>
  <c r="AC376" i="63"/>
  <c r="L376" i="63"/>
  <c r="N376" i="63" s="1"/>
  <c r="P376" i="63"/>
  <c r="Z375" i="63"/>
  <c r="AH375" i="63" s="1"/>
  <c r="Y375" i="63"/>
  <c r="AB375" i="63"/>
  <c r="K377" i="63"/>
  <c r="F383" i="63"/>
  <c r="H383" i="63"/>
  <c r="J377" i="63" l="1"/>
  <c r="S376" i="63"/>
  <c r="I376" i="63"/>
  <c r="R376" i="63"/>
  <c r="AE375" i="63"/>
  <c r="AF375" i="63" s="1"/>
  <c r="T376" i="63"/>
  <c r="C384" i="63"/>
  <c r="A383" i="63"/>
  <c r="B384" i="63"/>
  <c r="AC377" i="63"/>
  <c r="M377" i="63"/>
  <c r="O377" i="63" s="1"/>
  <c r="AG376" i="63" l="1"/>
  <c r="AJ376" i="63" s="1"/>
  <c r="AK376" i="63" s="1"/>
  <c r="AD376" i="63"/>
  <c r="AL376" i="63"/>
  <c r="AM376" i="63" s="1"/>
  <c r="V376" i="63"/>
  <c r="AA376" i="63" s="1"/>
  <c r="Q383" i="63"/>
  <c r="S377" i="63"/>
  <c r="I377" i="63"/>
  <c r="L377" i="63"/>
  <c r="E384" i="63"/>
  <c r="G384" i="63" s="1"/>
  <c r="U376" i="63" l="1"/>
  <c r="N377" i="63"/>
  <c r="P377" i="63"/>
  <c r="D384" i="63"/>
  <c r="Y376" i="63" l="1"/>
  <c r="Z376" i="63"/>
  <c r="AH376" i="63" s="1"/>
  <c r="AB376" i="63"/>
  <c r="F384" i="63"/>
  <c r="H384" i="63"/>
  <c r="J378" i="63"/>
  <c r="K378" i="63"/>
  <c r="T377" i="63" l="1"/>
  <c r="R377" i="63"/>
  <c r="AE376" i="63"/>
  <c r="AF376" i="63" s="1"/>
  <c r="AC378" i="63"/>
  <c r="M378" i="63"/>
  <c r="O378" i="63" s="1"/>
  <c r="C385" i="63"/>
  <c r="A384" i="63"/>
  <c r="B385" i="63"/>
  <c r="AL377" i="63" l="1"/>
  <c r="AM377" i="63" s="1"/>
  <c r="V377" i="63"/>
  <c r="AA377" i="63" s="1"/>
  <c r="AD377" i="63"/>
  <c r="AG377" i="63"/>
  <c r="AJ377" i="63" s="1"/>
  <c r="AK377" i="63" s="1"/>
  <c r="U377" i="63"/>
  <c r="S378" i="63"/>
  <c r="I378" i="63"/>
  <c r="L378" i="63"/>
  <c r="E385" i="63"/>
  <c r="G385" i="63" s="1"/>
  <c r="Q384" i="63"/>
  <c r="Y377" i="63" l="1"/>
  <c r="Z377" i="63"/>
  <c r="AH377" i="63" s="1"/>
  <c r="AB377" i="63"/>
  <c r="N378" i="63"/>
  <c r="P378" i="63"/>
  <c r="D385" i="63"/>
  <c r="AE377" i="63" l="1"/>
  <c r="AF377" i="63" s="1"/>
  <c r="T378" i="63"/>
  <c r="R378" i="63"/>
  <c r="J379" i="63"/>
  <c r="K379" i="63"/>
  <c r="F385" i="63"/>
  <c r="H385" i="63"/>
  <c r="AL378" i="63" l="1"/>
  <c r="AM378" i="63" s="1"/>
  <c r="V378" i="63"/>
  <c r="AA378" i="63" s="1"/>
  <c r="AD378" i="63"/>
  <c r="AG378" i="63"/>
  <c r="AJ378" i="63" s="1"/>
  <c r="AK378" i="63" s="1"/>
  <c r="U378" i="63"/>
  <c r="AC379" i="63"/>
  <c r="M379" i="63"/>
  <c r="O379" i="63" s="1"/>
  <c r="C386" i="63"/>
  <c r="A385" i="63"/>
  <c r="B386" i="63"/>
  <c r="Y378" i="63" l="1"/>
  <c r="Z378" i="63"/>
  <c r="AH378" i="63" s="1"/>
  <c r="AB378" i="63"/>
  <c r="I379" i="63"/>
  <c r="S379" i="63"/>
  <c r="L379" i="63"/>
  <c r="E386" i="63"/>
  <c r="G386" i="63" s="1"/>
  <c r="Q385" i="63"/>
  <c r="T379" i="63" l="1"/>
  <c r="AE378" i="63"/>
  <c r="AF378" i="63" s="1"/>
  <c r="R379" i="63"/>
  <c r="N379" i="63"/>
  <c r="P379" i="63"/>
  <c r="D386" i="63"/>
  <c r="V379" i="63" l="1"/>
  <c r="AL379" i="63"/>
  <c r="AD379" i="63"/>
  <c r="AG379" i="63"/>
  <c r="AJ379" i="63" s="1"/>
  <c r="AK379" i="63" s="1"/>
  <c r="F386" i="63"/>
  <c r="H386" i="63"/>
  <c r="AM379" i="63"/>
  <c r="J380" i="63"/>
  <c r="K380" i="63"/>
  <c r="AA379" i="63" l="1"/>
  <c r="U379" i="63"/>
  <c r="AC380" i="63"/>
  <c r="M380" i="63"/>
  <c r="O380" i="63" s="1"/>
  <c r="C387" i="63"/>
  <c r="B387" i="63"/>
  <c r="A386" i="63"/>
  <c r="AB379" i="63" l="1"/>
  <c r="Z379" i="63"/>
  <c r="AH379" i="63" s="1"/>
  <c r="Y379" i="63"/>
  <c r="E387" i="63"/>
  <c r="G387" i="63" s="1"/>
  <c r="L380" i="63"/>
  <c r="Q386" i="63"/>
  <c r="S380" i="63"/>
  <c r="I380" i="63"/>
  <c r="AE379" i="63" l="1"/>
  <c r="AF379" i="63" s="1"/>
  <c r="T380" i="63"/>
  <c r="R380" i="63"/>
  <c r="AL380" i="63" s="1"/>
  <c r="N380" i="63"/>
  <c r="P380" i="63"/>
  <c r="D387" i="63"/>
  <c r="AG380" i="63" l="1"/>
  <c r="AJ380" i="63" s="1"/>
  <c r="AD380" i="63"/>
  <c r="V380" i="63"/>
  <c r="AM380" i="63"/>
  <c r="J381" i="63"/>
  <c r="AK380" i="63"/>
  <c r="K381" i="63"/>
  <c r="F387" i="63"/>
  <c r="H387" i="63"/>
  <c r="AA380" i="63" l="1"/>
  <c r="U380" i="63"/>
  <c r="C388" i="63"/>
  <c r="A387" i="63"/>
  <c r="B388" i="63"/>
  <c r="AC381" i="63"/>
  <c r="M381" i="63"/>
  <c r="O381" i="63" s="1"/>
  <c r="L381" i="63" l="1"/>
  <c r="N381" i="63" s="1"/>
  <c r="Z380" i="63"/>
  <c r="AH380" i="63" s="1"/>
  <c r="AB380" i="63"/>
  <c r="Y380" i="63"/>
  <c r="Q387" i="63"/>
  <c r="E388" i="63"/>
  <c r="G388" i="63" s="1"/>
  <c r="P381" i="63"/>
  <c r="S381" i="63"/>
  <c r="I381" i="63"/>
  <c r="AE380" i="63" l="1"/>
  <c r="AF380" i="63" s="1"/>
  <c r="R381" i="63"/>
  <c r="AL381" i="63" s="1"/>
  <c r="T381" i="63"/>
  <c r="V381" i="63"/>
  <c r="AA381" i="63" s="1"/>
  <c r="AM381" i="63"/>
  <c r="J382" i="63"/>
  <c r="K382" i="63"/>
  <c r="D388" i="63"/>
  <c r="U381" i="63" l="1"/>
  <c r="AD381" i="63"/>
  <c r="AG381" i="63"/>
  <c r="AJ381" i="63" s="1"/>
  <c r="AK381" i="63" s="1"/>
  <c r="AC382" i="63"/>
  <c r="M382" i="63"/>
  <c r="O382" i="63" s="1"/>
  <c r="F388" i="63"/>
  <c r="H388" i="63"/>
  <c r="Y381" i="63"/>
  <c r="Z381" i="63"/>
  <c r="AH381" i="63" s="1"/>
  <c r="AB381" i="63"/>
  <c r="C389" i="63" l="1"/>
  <c r="A388" i="63"/>
  <c r="B389" i="63"/>
  <c r="L382" i="63"/>
  <c r="S382" i="63"/>
  <c r="I382" i="63"/>
  <c r="AE381" i="63"/>
  <c r="AF381" i="63" s="1"/>
  <c r="T382" i="63"/>
  <c r="R382" i="63"/>
  <c r="Q388" i="63" l="1"/>
  <c r="N382" i="63"/>
  <c r="P382" i="63"/>
  <c r="E389" i="63"/>
  <c r="G389" i="63" s="1"/>
  <c r="AL382" i="63"/>
  <c r="V382" i="63"/>
  <c r="AA382" i="63" s="1"/>
  <c r="AG382" i="63"/>
  <c r="AJ382" i="63" s="1"/>
  <c r="AD382" i="63"/>
  <c r="U382" i="63" l="1"/>
  <c r="AB382" i="63" s="1"/>
  <c r="AE382" i="63"/>
  <c r="T383" i="63"/>
  <c r="R383" i="63"/>
  <c r="J383" i="63"/>
  <c r="AM382" i="63"/>
  <c r="AK382" i="63"/>
  <c r="AH382" i="63"/>
  <c r="K383" i="63"/>
  <c r="D389" i="63"/>
  <c r="AF382" i="63"/>
  <c r="Z382" i="63"/>
  <c r="Y382" i="63"/>
  <c r="AC383" i="63" l="1"/>
  <c r="M383" i="63"/>
  <c r="O383" i="63" s="1"/>
  <c r="AD383" i="63"/>
  <c r="AL383" i="63"/>
  <c r="AG383" i="63"/>
  <c r="AJ383" i="63" s="1"/>
  <c r="F389" i="63"/>
  <c r="H389" i="63"/>
  <c r="L383" i="63" l="1"/>
  <c r="N383" i="63" s="1"/>
  <c r="C390" i="63"/>
  <c r="A389" i="63"/>
  <c r="B390" i="63"/>
  <c r="I383" i="63"/>
  <c r="S383" i="63"/>
  <c r="V383" i="63" s="1"/>
  <c r="P383" i="63"/>
  <c r="J384" i="63" l="1"/>
  <c r="AM383" i="63"/>
  <c r="AK383" i="63"/>
  <c r="K384" i="63"/>
  <c r="AA383" i="63"/>
  <c r="U383" i="63"/>
  <c r="Q389" i="63"/>
  <c r="E390" i="63"/>
  <c r="G390" i="63" s="1"/>
  <c r="D390" i="63" l="1"/>
  <c r="Z383" i="63"/>
  <c r="AH383" i="63" s="1"/>
  <c r="Y383" i="63"/>
  <c r="AB383" i="63"/>
  <c r="AC384" i="63"/>
  <c r="M384" i="63"/>
  <c r="O384" i="63" s="1"/>
  <c r="AE383" i="63" l="1"/>
  <c r="AF383" i="63" s="1"/>
  <c r="T384" i="63"/>
  <c r="R384" i="63"/>
  <c r="S384" i="63"/>
  <c r="I384" i="63"/>
  <c r="F390" i="63"/>
  <c r="H390" i="63"/>
  <c r="L384" i="63"/>
  <c r="C391" i="63" l="1"/>
  <c r="A390" i="63"/>
  <c r="B391" i="63"/>
  <c r="AL384" i="63"/>
  <c r="V384" i="63"/>
  <c r="AA384" i="63" s="1"/>
  <c r="AG384" i="63"/>
  <c r="AJ384" i="63" s="1"/>
  <c r="AD384" i="63"/>
  <c r="N384" i="63"/>
  <c r="P384" i="63"/>
  <c r="U384" i="63" l="1"/>
  <c r="Z384" i="63"/>
  <c r="Y384" i="63"/>
  <c r="AB384" i="63"/>
  <c r="Q390" i="63"/>
  <c r="AK384" i="63"/>
  <c r="AH384" i="63"/>
  <c r="AM384" i="63"/>
  <c r="J385" i="63"/>
  <c r="K385" i="63"/>
  <c r="E391" i="63"/>
  <c r="G391" i="63" s="1"/>
  <c r="D391" i="63" l="1"/>
  <c r="AC385" i="63"/>
  <c r="M385" i="63"/>
  <c r="O385" i="63" s="1"/>
  <c r="AE384" i="63"/>
  <c r="AF384" i="63" s="1"/>
  <c r="T385" i="63"/>
  <c r="AD385" i="63" s="1"/>
  <c r="R385" i="63"/>
  <c r="L385" i="63" l="1"/>
  <c r="S385" i="63"/>
  <c r="V385" i="63" s="1"/>
  <c r="AA385" i="63" s="1"/>
  <c r="I385" i="63"/>
  <c r="F391" i="63"/>
  <c r="H391" i="63"/>
  <c r="AL385" i="63"/>
  <c r="AG385" i="63"/>
  <c r="AJ385" i="63" s="1"/>
  <c r="N385" i="63" l="1"/>
  <c r="P385" i="63"/>
  <c r="C392" i="63"/>
  <c r="A391" i="63"/>
  <c r="B392" i="63"/>
  <c r="U385" i="63"/>
  <c r="J386" i="63" l="1"/>
  <c r="K386" i="63"/>
  <c r="AM385" i="63"/>
  <c r="AK385" i="63"/>
  <c r="Q391" i="63"/>
  <c r="Y385" i="63"/>
  <c r="Z385" i="63"/>
  <c r="AH385" i="63" s="1"/>
  <c r="AB385" i="63"/>
  <c r="E392" i="63"/>
  <c r="G392" i="63" s="1"/>
  <c r="M386" i="63" l="1"/>
  <c r="AC386" i="63"/>
  <c r="AE385" i="63"/>
  <c r="AF385" i="63" s="1"/>
  <c r="T386" i="63"/>
  <c r="R386" i="63"/>
  <c r="D392" i="63"/>
  <c r="I386" i="63" l="1"/>
  <c r="S386" i="63"/>
  <c r="V386" i="63" s="1"/>
  <c r="AA386" i="63" s="1"/>
  <c r="O386" i="63"/>
  <c r="L386" i="63"/>
  <c r="F392" i="63"/>
  <c r="H392" i="63"/>
  <c r="AG386" i="63"/>
  <c r="AJ386" i="63" s="1"/>
  <c r="AD386" i="63"/>
  <c r="AL386" i="63"/>
  <c r="P386" i="63" l="1"/>
  <c r="N386" i="63"/>
  <c r="AM386" i="63"/>
  <c r="U386" i="63"/>
  <c r="C393" i="63"/>
  <c r="A392" i="63"/>
  <c r="B393" i="63"/>
  <c r="J387" i="63" l="1"/>
  <c r="K387" i="63"/>
  <c r="AK386" i="63"/>
  <c r="E393" i="63"/>
  <c r="G393" i="63" s="1"/>
  <c r="Y386" i="63"/>
  <c r="Z386" i="63"/>
  <c r="AH386" i="63" s="1"/>
  <c r="AB386" i="63"/>
  <c r="Q392" i="63"/>
  <c r="D393" i="63" l="1"/>
  <c r="F393" i="63" s="1"/>
  <c r="AC387" i="63"/>
  <c r="M387" i="63"/>
  <c r="H393" i="63"/>
  <c r="AE386" i="63"/>
  <c r="AF386" i="63" s="1"/>
  <c r="T387" i="63"/>
  <c r="R387" i="63"/>
  <c r="O387" i="63" l="1"/>
  <c r="L387" i="63"/>
  <c r="S387" i="63"/>
  <c r="I387" i="63"/>
  <c r="AG387" i="63"/>
  <c r="AJ387" i="63" s="1"/>
  <c r="AD387" i="63"/>
  <c r="C394" i="63"/>
  <c r="A393" i="63"/>
  <c r="B394" i="63"/>
  <c r="AL387" i="63"/>
  <c r="V387" i="63"/>
  <c r="AA387" i="63" s="1"/>
  <c r="N387" i="63" l="1"/>
  <c r="P387" i="63"/>
  <c r="E394" i="63"/>
  <c r="G394" i="63" s="1"/>
  <c r="Q393" i="63"/>
  <c r="D394" i="63"/>
  <c r="F394" i="63" s="1"/>
  <c r="U387" i="63"/>
  <c r="K388" i="63" l="1"/>
  <c r="J388" i="63"/>
  <c r="AK387" i="63"/>
  <c r="AM387" i="63"/>
  <c r="Z387" i="63"/>
  <c r="AH387" i="63" s="1"/>
  <c r="Y387" i="63"/>
  <c r="AB387" i="63"/>
  <c r="H394" i="63"/>
  <c r="AC388" i="63" l="1"/>
  <c r="M388" i="63"/>
  <c r="C395" i="63"/>
  <c r="A394" i="63"/>
  <c r="B395" i="63"/>
  <c r="AE387" i="63"/>
  <c r="AF387" i="63" s="1"/>
  <c r="T388" i="63"/>
  <c r="R388" i="63"/>
  <c r="O388" i="63" l="1"/>
  <c r="L388" i="63"/>
  <c r="I388" i="63"/>
  <c r="S388" i="63"/>
  <c r="AG388" i="63"/>
  <c r="AJ388" i="63" s="1"/>
  <c r="AD388" i="63"/>
  <c r="AL388" i="63"/>
  <c r="V388" i="63"/>
  <c r="AA388" i="63" s="1"/>
  <c r="E395" i="63"/>
  <c r="G395" i="63" s="1"/>
  <c r="Q394" i="63"/>
  <c r="N388" i="63" l="1"/>
  <c r="P388" i="63"/>
  <c r="D395" i="63"/>
  <c r="U388" i="63"/>
  <c r="AK388" i="63" l="1"/>
  <c r="J389" i="63"/>
  <c r="K389" i="63"/>
  <c r="AM388" i="63"/>
  <c r="Z388" i="63"/>
  <c r="AH388" i="63" s="1"/>
  <c r="Y388" i="63"/>
  <c r="AB388" i="63"/>
  <c r="F395" i="63"/>
  <c r="H395" i="63"/>
  <c r="AC389" i="63" l="1"/>
  <c r="M389" i="63"/>
  <c r="O389" i="63" s="1"/>
  <c r="C396" i="63"/>
  <c r="B396" i="63"/>
  <c r="A395" i="63"/>
  <c r="AE388" i="63"/>
  <c r="AF388" i="63" s="1"/>
  <c r="T389" i="63"/>
  <c r="R389" i="63"/>
  <c r="S389" i="63" l="1"/>
  <c r="I389" i="63"/>
  <c r="L389" i="63"/>
  <c r="Q395" i="63"/>
  <c r="E396" i="63"/>
  <c r="G396" i="63" s="1"/>
  <c r="AL389" i="63"/>
  <c r="V389" i="63"/>
  <c r="AA389" i="63" s="1"/>
  <c r="AG389" i="63"/>
  <c r="AJ389" i="63" s="1"/>
  <c r="AD389" i="63"/>
  <c r="N389" i="63" l="1"/>
  <c r="P389" i="63"/>
  <c r="AK389" i="63"/>
  <c r="D396" i="63"/>
  <c r="U389" i="63"/>
  <c r="J390" i="63" l="1"/>
  <c r="K390" i="63"/>
  <c r="AM389" i="63"/>
  <c r="Z389" i="63"/>
  <c r="AH389" i="63" s="1"/>
  <c r="Y389" i="63"/>
  <c r="AB389" i="63"/>
  <c r="F396" i="63"/>
  <c r="H396" i="63"/>
  <c r="M390" i="63" l="1"/>
  <c r="O390" i="63" s="1"/>
  <c r="AC390" i="63"/>
  <c r="B397" i="63"/>
  <c r="C397" i="63"/>
  <c r="A396" i="63"/>
  <c r="AE389" i="63"/>
  <c r="AF389" i="63" s="1"/>
  <c r="T390" i="63"/>
  <c r="R390" i="63"/>
  <c r="S390" i="63" l="1"/>
  <c r="I390" i="63"/>
  <c r="L390" i="63"/>
  <c r="AL390" i="63"/>
  <c r="V390" i="63"/>
  <c r="AA390" i="63" s="1"/>
  <c r="AG390" i="63"/>
  <c r="AJ390" i="63" s="1"/>
  <c r="AD390" i="63"/>
  <c r="Q396" i="63"/>
  <c r="E397" i="63"/>
  <c r="G397" i="63" s="1"/>
  <c r="U390" i="63" l="1"/>
  <c r="P390" i="63"/>
  <c r="AM390" i="63" s="1"/>
  <c r="N390" i="63"/>
  <c r="D397" i="63"/>
  <c r="Y390" i="63"/>
  <c r="Z390" i="63"/>
  <c r="AH390" i="63" s="1"/>
  <c r="AB390" i="63"/>
  <c r="K391" i="63" l="1"/>
  <c r="J391" i="63"/>
  <c r="AK390" i="63"/>
  <c r="AE390" i="63"/>
  <c r="AF390" i="63" s="1"/>
  <c r="T391" i="63"/>
  <c r="R391" i="63"/>
  <c r="F397" i="63"/>
  <c r="H397" i="63"/>
  <c r="AC391" i="63" l="1"/>
  <c r="M391" i="63"/>
  <c r="O391" i="63" s="1"/>
  <c r="C398" i="63"/>
  <c r="A397" i="63"/>
  <c r="B398" i="63"/>
  <c r="AG391" i="63"/>
  <c r="AJ391" i="63" s="1"/>
  <c r="AD391" i="63"/>
  <c r="AL391" i="63"/>
  <c r="L391" i="63" l="1"/>
  <c r="N391" i="63" s="1"/>
  <c r="S391" i="63"/>
  <c r="V391" i="63" s="1"/>
  <c r="I391" i="63"/>
  <c r="P391" i="63"/>
  <c r="E398" i="63"/>
  <c r="G398" i="63" s="1"/>
  <c r="Q397" i="63"/>
  <c r="J392" i="63" l="1"/>
  <c r="K392" i="63"/>
  <c r="AA391" i="63"/>
  <c r="U391" i="63"/>
  <c r="AK391" i="63"/>
  <c r="AM391" i="63"/>
  <c r="D398" i="63"/>
  <c r="AB391" i="63" l="1"/>
  <c r="Z391" i="63"/>
  <c r="AH391" i="63" s="1"/>
  <c r="Y391" i="63"/>
  <c r="AC392" i="63"/>
  <c r="M392" i="63"/>
  <c r="O392" i="63" s="1"/>
  <c r="F398" i="63"/>
  <c r="H398" i="63"/>
  <c r="I392" i="63" l="1"/>
  <c r="S392" i="63"/>
  <c r="AE391" i="63"/>
  <c r="AF391" i="63" s="1"/>
  <c r="T392" i="63"/>
  <c r="R392" i="63"/>
  <c r="L392" i="63"/>
  <c r="C399" i="63"/>
  <c r="A398" i="63"/>
  <c r="B399" i="63"/>
  <c r="N392" i="63" l="1"/>
  <c r="P392" i="63"/>
  <c r="AG392" i="63"/>
  <c r="AJ392" i="63" s="1"/>
  <c r="AK392" i="63" s="1"/>
  <c r="AD392" i="63"/>
  <c r="AL392" i="63"/>
  <c r="AM392" i="63" s="1"/>
  <c r="V392" i="63"/>
  <c r="E399" i="63"/>
  <c r="G399" i="63" s="1"/>
  <c r="Q398" i="63"/>
  <c r="D399" i="63" l="1"/>
  <c r="F399" i="63" s="1"/>
  <c r="AA392" i="63"/>
  <c r="U392" i="63"/>
  <c r="K393" i="63"/>
  <c r="J393" i="63"/>
  <c r="H399" i="63"/>
  <c r="M393" i="63" l="1"/>
  <c r="O393" i="63" s="1"/>
  <c r="AC393" i="63"/>
  <c r="L393" i="63"/>
  <c r="N393" i="63" s="1"/>
  <c r="Z392" i="63"/>
  <c r="AH392" i="63" s="1"/>
  <c r="Y392" i="63"/>
  <c r="AB392" i="63"/>
  <c r="A399" i="63"/>
  <c r="C400" i="63"/>
  <c r="B400" i="63"/>
  <c r="I393" i="63" l="1"/>
  <c r="S393" i="63"/>
  <c r="T393" i="63"/>
  <c r="AE392" i="63"/>
  <c r="AF392" i="63" s="1"/>
  <c r="R393" i="63"/>
  <c r="P393" i="63"/>
  <c r="Q399" i="63"/>
  <c r="E400" i="63"/>
  <c r="G400" i="63" s="1"/>
  <c r="K394" i="63" l="1"/>
  <c r="J394" i="63"/>
  <c r="V393" i="63"/>
  <c r="AA393" i="63" s="1"/>
  <c r="AL393" i="63"/>
  <c r="AM393" i="63" s="1"/>
  <c r="U393" i="63"/>
  <c r="AG393" i="63"/>
  <c r="AJ393" i="63" s="1"/>
  <c r="AK393" i="63" s="1"/>
  <c r="AD393" i="63"/>
  <c r="D400" i="63"/>
  <c r="AB393" i="63" l="1"/>
  <c r="Y393" i="63"/>
  <c r="Z393" i="63"/>
  <c r="AH393" i="63" s="1"/>
  <c r="AC394" i="63"/>
  <c r="M394" i="63"/>
  <c r="O394" i="63" s="1"/>
  <c r="F400" i="63"/>
  <c r="H400" i="63"/>
  <c r="L394" i="63" l="1"/>
  <c r="N394" i="63" s="1"/>
  <c r="P394" i="63"/>
  <c r="I394" i="63"/>
  <c r="S394" i="63"/>
  <c r="T394" i="63"/>
  <c r="R394" i="63"/>
  <c r="AE393" i="63"/>
  <c r="AF393" i="63" s="1"/>
  <c r="B401" i="63"/>
  <c r="A400" i="63"/>
  <c r="C401" i="63"/>
  <c r="AL394" i="63" l="1"/>
  <c r="AM394" i="63" s="1"/>
  <c r="V394" i="63"/>
  <c r="AA394" i="63" s="1"/>
  <c r="AD394" i="63"/>
  <c r="AG394" i="63"/>
  <c r="AJ394" i="63" s="1"/>
  <c r="AK394" i="63" s="1"/>
  <c r="J395" i="63"/>
  <c r="K395" i="63"/>
  <c r="E401" i="63"/>
  <c r="G401" i="63" s="1"/>
  <c r="Q400" i="63"/>
  <c r="U394" i="63" l="1"/>
  <c r="M395" i="63"/>
  <c r="O395" i="63" s="1"/>
  <c r="AC395" i="63"/>
  <c r="AB394" i="63"/>
  <c r="Y394" i="63"/>
  <c r="Z394" i="63"/>
  <c r="AH394" i="63" s="1"/>
  <c r="D401" i="63"/>
  <c r="S395" i="63" l="1"/>
  <c r="I395" i="63"/>
  <c r="R395" i="63"/>
  <c r="AE394" i="63"/>
  <c r="AF394" i="63" s="1"/>
  <c r="T395" i="63"/>
  <c r="L395" i="63"/>
  <c r="F401" i="63"/>
  <c r="H401" i="63"/>
  <c r="N395" i="63" l="1"/>
  <c r="P395" i="63"/>
  <c r="AG395" i="63"/>
  <c r="AJ395" i="63" s="1"/>
  <c r="AD395" i="63"/>
  <c r="V395" i="63"/>
  <c r="AA395" i="63" s="1"/>
  <c r="AL395" i="63"/>
  <c r="C402" i="63"/>
  <c r="A401" i="63"/>
  <c r="B402" i="63"/>
  <c r="AM395" i="63" l="1"/>
  <c r="K396" i="63"/>
  <c r="AK395" i="63"/>
  <c r="J396" i="63"/>
  <c r="U395" i="63"/>
  <c r="E402" i="63"/>
  <c r="G402" i="63" s="1"/>
  <c r="Q401" i="63"/>
  <c r="D402" i="63"/>
  <c r="F402" i="63" s="1"/>
  <c r="Y395" i="63" l="1"/>
  <c r="AB395" i="63"/>
  <c r="Z395" i="63"/>
  <c r="AH395" i="63" s="1"/>
  <c r="AC396" i="63"/>
  <c r="M396" i="63"/>
  <c r="O396" i="63" s="1"/>
  <c r="H402" i="63"/>
  <c r="L396" i="63" l="1"/>
  <c r="S396" i="63"/>
  <c r="I396" i="63"/>
  <c r="AE395" i="63"/>
  <c r="AF395" i="63" s="1"/>
  <c r="T396" i="63"/>
  <c r="R396" i="63"/>
  <c r="C403" i="63"/>
  <c r="A402" i="63"/>
  <c r="B403" i="63"/>
  <c r="AL396" i="63" l="1"/>
  <c r="V396" i="63"/>
  <c r="AA396" i="63" s="1"/>
  <c r="AG396" i="63"/>
  <c r="AJ396" i="63" s="1"/>
  <c r="U396" i="63"/>
  <c r="AB396" i="63" s="1"/>
  <c r="AE396" i="63" s="1"/>
  <c r="AF396" i="63" s="1"/>
  <c r="AD396" i="63"/>
  <c r="N396" i="63"/>
  <c r="P396" i="63"/>
  <c r="E403" i="63"/>
  <c r="G403" i="63" s="1"/>
  <c r="Q402" i="63"/>
  <c r="K397" i="63" l="1"/>
  <c r="J397" i="63"/>
  <c r="R397" i="63"/>
  <c r="AL397" i="63" s="1"/>
  <c r="T397" i="63"/>
  <c r="AD397" i="63" s="1"/>
  <c r="Y396" i="63"/>
  <c r="Z396" i="63"/>
  <c r="AH396" i="63" s="1"/>
  <c r="AK396" i="63"/>
  <c r="AM396" i="63"/>
  <c r="D403" i="63"/>
  <c r="AG397" i="63" l="1"/>
  <c r="AJ397" i="63" s="1"/>
  <c r="AC397" i="63"/>
  <c r="M397" i="63"/>
  <c r="O397" i="63" s="1"/>
  <c r="F403" i="63"/>
  <c r="H403" i="63"/>
  <c r="L397" i="63" l="1"/>
  <c r="N397" i="63" s="1"/>
  <c r="P397" i="63"/>
  <c r="I397" i="63"/>
  <c r="S397" i="63"/>
  <c r="V397" i="63" s="1"/>
  <c r="B404" i="63"/>
  <c r="C404" i="63"/>
  <c r="A403" i="63"/>
  <c r="AA397" i="63" l="1"/>
  <c r="U397" i="63"/>
  <c r="J398" i="63"/>
  <c r="K398" i="63"/>
  <c r="AK397" i="63"/>
  <c r="AM397" i="63"/>
  <c r="Q403" i="63"/>
  <c r="E404" i="63"/>
  <c r="G404" i="63" s="1"/>
  <c r="AC398" i="63" l="1"/>
  <c r="M398" i="63"/>
  <c r="O398" i="63" s="1"/>
  <c r="L398" i="63"/>
  <c r="N398" i="63" s="1"/>
  <c r="AB397" i="63"/>
  <c r="Z397" i="63"/>
  <c r="AH397" i="63" s="1"/>
  <c r="Y397" i="63"/>
  <c r="D404" i="63"/>
  <c r="R398" i="63" l="1"/>
  <c r="T398" i="63"/>
  <c r="AE397" i="63"/>
  <c r="AF397" i="63" s="1"/>
  <c r="P398" i="63"/>
  <c r="I398" i="63"/>
  <c r="S398" i="63"/>
  <c r="F404" i="63"/>
  <c r="H404" i="63"/>
  <c r="AD398" i="63" l="1"/>
  <c r="AG398" i="63"/>
  <c r="AJ398" i="63" s="1"/>
  <c r="AK398" i="63" s="1"/>
  <c r="J399" i="63"/>
  <c r="K399" i="63"/>
  <c r="V398" i="63"/>
  <c r="AA398" i="63" s="1"/>
  <c r="AL398" i="63"/>
  <c r="AM398" i="63" s="1"/>
  <c r="B405" i="63"/>
  <c r="C405" i="63"/>
  <c r="A404" i="63"/>
  <c r="AC399" i="63" l="1"/>
  <c r="M399" i="63"/>
  <c r="O399" i="63" s="1"/>
  <c r="U398" i="63"/>
  <c r="Q404" i="63"/>
  <c r="E405" i="63"/>
  <c r="G405" i="63" s="1"/>
  <c r="AB398" i="63" l="1"/>
  <c r="Z398" i="63"/>
  <c r="AH398" i="63" s="1"/>
  <c r="Y398" i="63"/>
  <c r="S399" i="63"/>
  <c r="I399" i="63"/>
  <c r="L399" i="63"/>
  <c r="D405" i="63"/>
  <c r="N399" i="63" l="1"/>
  <c r="P399" i="63"/>
  <c r="T399" i="63"/>
  <c r="R399" i="63"/>
  <c r="AE398" i="63"/>
  <c r="AF398" i="63" s="1"/>
  <c r="F405" i="63"/>
  <c r="H405" i="63"/>
  <c r="AL399" i="63" l="1"/>
  <c r="V399" i="63"/>
  <c r="AA399" i="63" s="1"/>
  <c r="AG399" i="63"/>
  <c r="AJ399" i="63" s="1"/>
  <c r="AK399" i="63" s="1"/>
  <c r="U399" i="63"/>
  <c r="AD399" i="63"/>
  <c r="AM399" i="63"/>
  <c r="J400" i="63"/>
  <c r="K400" i="63"/>
  <c r="C406" i="63"/>
  <c r="A405" i="63"/>
  <c r="B406" i="63"/>
  <c r="Y399" i="63" l="1"/>
  <c r="Z399" i="63"/>
  <c r="AH399" i="63" s="1"/>
  <c r="AB399" i="63"/>
  <c r="AC400" i="63"/>
  <c r="M400" i="63"/>
  <c r="O400" i="63" s="1"/>
  <c r="E406" i="63"/>
  <c r="G406" i="63" s="1"/>
  <c r="Q405" i="63"/>
  <c r="I400" i="63" l="1"/>
  <c r="S400" i="63"/>
  <c r="L400" i="63"/>
  <c r="AE399" i="63"/>
  <c r="AF399" i="63" s="1"/>
  <c r="T400" i="63"/>
  <c r="R400" i="63"/>
  <c r="D406" i="63"/>
  <c r="N400" i="63" l="1"/>
  <c r="P400" i="63"/>
  <c r="V400" i="63"/>
  <c r="AA400" i="63" s="1"/>
  <c r="AL400" i="63"/>
  <c r="AM400" i="63" s="1"/>
  <c r="AG400" i="63"/>
  <c r="AJ400" i="63" s="1"/>
  <c r="AK400" i="63" s="1"/>
  <c r="U400" i="63"/>
  <c r="AD400" i="63"/>
  <c r="F406" i="63"/>
  <c r="H406" i="63"/>
  <c r="Z400" i="63" l="1"/>
  <c r="AH400" i="63" s="1"/>
  <c r="Y400" i="63"/>
  <c r="AB400" i="63"/>
  <c r="K401" i="63"/>
  <c r="J401" i="63"/>
  <c r="C407" i="63"/>
  <c r="B407" i="63"/>
  <c r="A406" i="63"/>
  <c r="AC401" i="63" l="1"/>
  <c r="M401" i="63"/>
  <c r="O401" i="63" s="1"/>
  <c r="R401" i="63"/>
  <c r="T401" i="63"/>
  <c r="AE400" i="63"/>
  <c r="AF400" i="63" s="1"/>
  <c r="E407" i="63"/>
  <c r="G407" i="63" s="1"/>
  <c r="Q406" i="63"/>
  <c r="AG401" i="63" l="1"/>
  <c r="AJ401" i="63" s="1"/>
  <c r="AL401" i="63"/>
  <c r="AD401" i="63"/>
  <c r="L401" i="63"/>
  <c r="I401" i="63"/>
  <c r="S401" i="63"/>
  <c r="V401" i="63" s="1"/>
  <c r="AA401" i="63" s="1"/>
  <c r="D407" i="63"/>
  <c r="N401" i="63" l="1"/>
  <c r="P401" i="63"/>
  <c r="AM401" i="63"/>
  <c r="U401" i="63"/>
  <c r="AK401" i="63"/>
  <c r="F407" i="63"/>
  <c r="H407" i="63"/>
  <c r="Y401" i="63" l="1"/>
  <c r="Z401" i="63"/>
  <c r="AH401" i="63" s="1"/>
  <c r="AB401" i="63"/>
  <c r="J402" i="63"/>
  <c r="K402" i="63"/>
  <c r="B408" i="63"/>
  <c r="C408" i="63"/>
  <c r="A407" i="63"/>
  <c r="AC402" i="63" l="1"/>
  <c r="M402" i="63"/>
  <c r="O402" i="63" s="1"/>
  <c r="AE401" i="63"/>
  <c r="AF401" i="63" s="1"/>
  <c r="R402" i="63"/>
  <c r="T402" i="63"/>
  <c r="Q407" i="63"/>
  <c r="E408" i="63"/>
  <c r="G408" i="63" s="1"/>
  <c r="I402" i="63" l="1"/>
  <c r="S402" i="63"/>
  <c r="AG402" i="63"/>
  <c r="AJ402" i="63" s="1"/>
  <c r="AL402" i="63"/>
  <c r="V402" i="63"/>
  <c r="AA402" i="63" s="1"/>
  <c r="AD402" i="63"/>
  <c r="L402" i="63"/>
  <c r="D408" i="63"/>
  <c r="U402" i="63" l="1"/>
  <c r="N402" i="63"/>
  <c r="P402" i="63"/>
  <c r="F408" i="63"/>
  <c r="H408" i="63"/>
  <c r="J403" i="63" l="1"/>
  <c r="K403" i="63"/>
  <c r="Z402" i="63"/>
  <c r="AH402" i="63" s="1"/>
  <c r="Y402" i="63"/>
  <c r="AB402" i="63"/>
  <c r="AK402" i="63"/>
  <c r="AM402" i="63"/>
  <c r="B409" i="63"/>
  <c r="C409" i="63"/>
  <c r="A408" i="63"/>
  <c r="AE402" i="63" l="1"/>
  <c r="AF402" i="63" s="1"/>
  <c r="T403" i="63"/>
  <c r="R403" i="63"/>
  <c r="AD403" i="63"/>
  <c r="AC403" i="63"/>
  <c r="M403" i="63"/>
  <c r="O403" i="63" s="1"/>
  <c r="D409" i="63"/>
  <c r="F409" i="63" s="1"/>
  <c r="Q408" i="63"/>
  <c r="E409" i="63"/>
  <c r="G409" i="63" s="1"/>
  <c r="H409" i="63" l="1"/>
  <c r="AL403" i="63"/>
  <c r="AG403" i="63"/>
  <c r="AJ403" i="63" s="1"/>
  <c r="I403" i="63"/>
  <c r="S403" i="63"/>
  <c r="V403" i="63" s="1"/>
  <c r="L403" i="63"/>
  <c r="C410" i="63"/>
  <c r="A409" i="63"/>
  <c r="B410" i="63"/>
  <c r="AA403" i="63" l="1"/>
  <c r="U403" i="63"/>
  <c r="N403" i="63"/>
  <c r="P403" i="63"/>
  <c r="AK403" i="63" s="1"/>
  <c r="AM403" i="63"/>
  <c r="Q409" i="63"/>
  <c r="E410" i="63"/>
  <c r="G410" i="63" s="1"/>
  <c r="J404" i="63" l="1"/>
  <c r="K404" i="63"/>
  <c r="Z403" i="63"/>
  <c r="AH403" i="63" s="1"/>
  <c r="Y403" i="63"/>
  <c r="AB403" i="63"/>
  <c r="D410" i="63"/>
  <c r="AE403" i="63" l="1"/>
  <c r="AF403" i="63" s="1"/>
  <c r="T404" i="63"/>
  <c r="AD404" i="63" s="1"/>
  <c r="R404" i="63"/>
  <c r="M404" i="63"/>
  <c r="O404" i="63" s="1"/>
  <c r="AC404" i="63"/>
  <c r="F410" i="63"/>
  <c r="H410" i="63"/>
  <c r="AL404" i="63" l="1"/>
  <c r="AG404" i="63"/>
  <c r="AJ404" i="63" s="1"/>
  <c r="S404" i="63"/>
  <c r="V404" i="63" s="1"/>
  <c r="I404" i="63"/>
  <c r="L404" i="63"/>
  <c r="C411" i="63"/>
  <c r="B411" i="63"/>
  <c r="A410" i="63"/>
  <c r="AA404" i="63" l="1"/>
  <c r="U404" i="63"/>
  <c r="N404" i="63"/>
  <c r="P404" i="63"/>
  <c r="AM404" i="63" s="1"/>
  <c r="AK404" i="63"/>
  <c r="E411" i="63"/>
  <c r="G411" i="63" s="1"/>
  <c r="Q410" i="63"/>
  <c r="K405" i="63" l="1"/>
  <c r="J405" i="63"/>
  <c r="Y404" i="63"/>
  <c r="Z404" i="63"/>
  <c r="AH404" i="63" s="1"/>
  <c r="AB404" i="63"/>
  <c r="D411" i="63"/>
  <c r="AE404" i="63" l="1"/>
  <c r="AF404" i="63" s="1"/>
  <c r="T405" i="63"/>
  <c r="R405" i="63"/>
  <c r="AC405" i="63"/>
  <c r="M405" i="63"/>
  <c r="O405" i="63" s="1"/>
  <c r="AD405" i="63"/>
  <c r="F411" i="63"/>
  <c r="H411" i="63"/>
  <c r="L405" i="63" l="1"/>
  <c r="AL405" i="63"/>
  <c r="S405" i="63"/>
  <c r="V405" i="63" s="1"/>
  <c r="I405" i="63"/>
  <c r="AG405" i="63"/>
  <c r="AJ405" i="63" s="1"/>
  <c r="B412" i="63"/>
  <c r="C412" i="63"/>
  <c r="A411" i="63"/>
  <c r="AA405" i="63" l="1"/>
  <c r="U405" i="63"/>
  <c r="N405" i="63"/>
  <c r="P405" i="63"/>
  <c r="E412" i="63"/>
  <c r="G412" i="63" s="1"/>
  <c r="Q411" i="63"/>
  <c r="AB405" i="63" l="1"/>
  <c r="Z405" i="63"/>
  <c r="AH405" i="63" s="1"/>
  <c r="Y405" i="63"/>
  <c r="J406" i="63"/>
  <c r="K406" i="63"/>
  <c r="AM405" i="63"/>
  <c r="AK405" i="63"/>
  <c r="D412" i="63"/>
  <c r="AC406" i="63" l="1"/>
  <c r="M406" i="63"/>
  <c r="O406" i="63" s="1"/>
  <c r="R406" i="63"/>
  <c r="T406" i="63"/>
  <c r="AE405" i="63"/>
  <c r="AF405" i="63" s="1"/>
  <c r="F412" i="63"/>
  <c r="H412" i="63"/>
  <c r="L406" i="63" l="1"/>
  <c r="N406" i="63" s="1"/>
  <c r="AG406" i="63"/>
  <c r="AJ406" i="63" s="1"/>
  <c r="AD406" i="63"/>
  <c r="P406" i="63"/>
  <c r="AL406" i="63"/>
  <c r="I406" i="63"/>
  <c r="S406" i="63"/>
  <c r="V406" i="63" s="1"/>
  <c r="AA406" i="63" s="1"/>
  <c r="B413" i="63"/>
  <c r="C413" i="63"/>
  <c r="A412" i="63"/>
  <c r="AM406" i="63" l="1"/>
  <c r="K407" i="63"/>
  <c r="AK406" i="63"/>
  <c r="J407" i="63"/>
  <c r="U406" i="63"/>
  <c r="E413" i="63"/>
  <c r="G413" i="63" s="1"/>
  <c r="Q412" i="63"/>
  <c r="D413" i="63" l="1"/>
  <c r="F413" i="63" s="1"/>
  <c r="Z406" i="63"/>
  <c r="AH406" i="63" s="1"/>
  <c r="Y406" i="63"/>
  <c r="AB406" i="63"/>
  <c r="AC407" i="63"/>
  <c r="M407" i="63"/>
  <c r="O407" i="63" s="1"/>
  <c r="H413" i="63"/>
  <c r="S407" i="63" l="1"/>
  <c r="I407" i="63"/>
  <c r="AE406" i="63"/>
  <c r="AF406" i="63" s="1"/>
  <c r="R407" i="63"/>
  <c r="T407" i="63"/>
  <c r="L407" i="63"/>
  <c r="C414" i="63"/>
  <c r="A413" i="63"/>
  <c r="B414" i="63"/>
  <c r="N407" i="63" l="1"/>
  <c r="P407" i="63"/>
  <c r="V407" i="63"/>
  <c r="AA407" i="63" s="1"/>
  <c r="AL407" i="63"/>
  <c r="AG407" i="63"/>
  <c r="AJ407" i="63" s="1"/>
  <c r="AD407" i="63"/>
  <c r="E414" i="63"/>
  <c r="G414" i="63" s="1"/>
  <c r="Q413" i="63"/>
  <c r="U407" i="63" l="1"/>
  <c r="D414" i="63"/>
  <c r="F414" i="63" s="1"/>
  <c r="Z407" i="63"/>
  <c r="Y407" i="63"/>
  <c r="AB407" i="63"/>
  <c r="AH407" i="63"/>
  <c r="K408" i="63"/>
  <c r="J408" i="63"/>
  <c r="AM407" i="63"/>
  <c r="AK407" i="63"/>
  <c r="H414" i="63"/>
  <c r="AC408" i="63" l="1"/>
  <c r="M408" i="63"/>
  <c r="O408" i="63" s="1"/>
  <c r="AE407" i="63"/>
  <c r="AF407" i="63" s="1"/>
  <c r="T408" i="63"/>
  <c r="R408" i="63"/>
  <c r="C415" i="63"/>
  <c r="A414" i="63"/>
  <c r="B415" i="63"/>
  <c r="AL408" i="63" l="1"/>
  <c r="AG408" i="63"/>
  <c r="AJ408" i="63" s="1"/>
  <c r="I408" i="63"/>
  <c r="S408" i="63"/>
  <c r="V408" i="63" s="1"/>
  <c r="AD408" i="63"/>
  <c r="L408" i="63"/>
  <c r="E415" i="63"/>
  <c r="G415" i="63" s="1"/>
  <c r="D415" i="63"/>
  <c r="F415" i="63" s="1"/>
  <c r="Q414" i="63"/>
  <c r="AA408" i="63" l="1"/>
  <c r="U408" i="63"/>
  <c r="N408" i="63"/>
  <c r="P408" i="63"/>
  <c r="H415" i="63"/>
  <c r="AK408" i="63" l="1"/>
  <c r="K409" i="63"/>
  <c r="J409" i="63"/>
  <c r="AM408" i="63"/>
  <c r="AB408" i="63"/>
  <c r="Z408" i="63"/>
  <c r="AH408" i="63" s="1"/>
  <c r="Y408" i="63"/>
  <c r="B416" i="63"/>
  <c r="C416" i="63"/>
  <c r="A415" i="63"/>
  <c r="AC409" i="63" l="1"/>
  <c r="M409" i="63"/>
  <c r="O409" i="63" s="1"/>
  <c r="AE408" i="63"/>
  <c r="AF408" i="63" s="1"/>
  <c r="T409" i="63"/>
  <c r="R409" i="63"/>
  <c r="AD409" i="63"/>
  <c r="Q415" i="63"/>
  <c r="E416" i="63"/>
  <c r="G416" i="63" s="1"/>
  <c r="L409" i="63" l="1"/>
  <c r="N409" i="63" s="1"/>
  <c r="AL409" i="63"/>
  <c r="AG409" i="63"/>
  <c r="AJ409" i="63" s="1"/>
  <c r="P409" i="63"/>
  <c r="I409" i="63"/>
  <c r="S409" i="63"/>
  <c r="V409" i="63" s="1"/>
  <c r="AA409" i="63" s="1"/>
  <c r="D416" i="63"/>
  <c r="AK409" i="63" l="1"/>
  <c r="J410" i="63"/>
  <c r="K410" i="63"/>
  <c r="AM409" i="63"/>
  <c r="U409" i="63"/>
  <c r="F416" i="63"/>
  <c r="H416" i="63"/>
  <c r="Z409" i="63" l="1"/>
  <c r="AH409" i="63" s="1"/>
  <c r="Y409" i="63"/>
  <c r="AB409" i="63"/>
  <c r="AC410" i="63"/>
  <c r="M410" i="63"/>
  <c r="O410" i="63" s="1"/>
  <c r="B417" i="63"/>
  <c r="A416" i="63"/>
  <c r="C417" i="63"/>
  <c r="S410" i="63" l="1"/>
  <c r="I410" i="63"/>
  <c r="L410" i="63"/>
  <c r="R410" i="63"/>
  <c r="AE409" i="63"/>
  <c r="AF409" i="63" s="1"/>
  <c r="T410" i="63"/>
  <c r="Q416" i="63"/>
  <c r="E417" i="63"/>
  <c r="G417" i="63" s="1"/>
  <c r="AG410" i="63" l="1"/>
  <c r="AJ410" i="63" s="1"/>
  <c r="AD410" i="63"/>
  <c r="AL410" i="63"/>
  <c r="V410" i="63"/>
  <c r="AA410" i="63" s="1"/>
  <c r="N410" i="63"/>
  <c r="P410" i="63"/>
  <c r="D417" i="63"/>
  <c r="J411" i="63" l="1"/>
  <c r="K411" i="63"/>
  <c r="AK410" i="63"/>
  <c r="AM410" i="63"/>
  <c r="U410" i="63"/>
  <c r="F417" i="63"/>
  <c r="H417" i="63"/>
  <c r="Z410" i="63" l="1"/>
  <c r="AH410" i="63" s="1"/>
  <c r="Y410" i="63"/>
  <c r="AB410" i="63"/>
  <c r="M411" i="63"/>
  <c r="O411" i="63" s="1"/>
  <c r="AC411" i="63"/>
  <c r="C418" i="63"/>
  <c r="A417" i="63"/>
  <c r="B418" i="63"/>
  <c r="I411" i="63" l="1"/>
  <c r="S411" i="63"/>
  <c r="L411" i="63"/>
  <c r="AE410" i="63"/>
  <c r="AF410" i="63" s="1"/>
  <c r="T411" i="63"/>
  <c r="R411" i="63"/>
  <c r="E418" i="63"/>
  <c r="G418" i="63" s="1"/>
  <c r="Q417" i="63"/>
  <c r="D418" i="63" l="1"/>
  <c r="AG411" i="63"/>
  <c r="AJ411" i="63" s="1"/>
  <c r="AD411" i="63"/>
  <c r="AL411" i="63"/>
  <c r="N411" i="63"/>
  <c r="P411" i="63"/>
  <c r="V411" i="63"/>
  <c r="AA411" i="63" s="1"/>
  <c r="F418" i="63" l="1"/>
  <c r="H418" i="63"/>
  <c r="AK411" i="63"/>
  <c r="J412" i="63"/>
  <c r="AM411" i="63"/>
  <c r="K412" i="63"/>
  <c r="U411" i="63"/>
  <c r="A418" i="63" l="1"/>
  <c r="Q418" i="63" s="1"/>
  <c r="B419" i="63"/>
  <c r="E419" i="63" s="1"/>
  <c r="G419" i="63" s="1"/>
  <c r="C419" i="63"/>
  <c r="Z411" i="63"/>
  <c r="AH411" i="63" s="1"/>
  <c r="Y411" i="63"/>
  <c r="AB411" i="63"/>
  <c r="M412" i="63"/>
  <c r="O412" i="63" s="1"/>
  <c r="AC412" i="63"/>
  <c r="D419" i="63" l="1"/>
  <c r="F419" i="63" s="1"/>
  <c r="H419" i="63"/>
  <c r="B420" i="63" s="1"/>
  <c r="S412" i="63"/>
  <c r="I412" i="63"/>
  <c r="L412" i="63"/>
  <c r="AE411" i="63"/>
  <c r="AF411" i="63" s="1"/>
  <c r="T412" i="63"/>
  <c r="R412" i="63"/>
  <c r="A419" i="63" l="1"/>
  <c r="C420" i="63"/>
  <c r="AL412" i="63"/>
  <c r="AG412" i="63"/>
  <c r="AJ412" i="63" s="1"/>
  <c r="AD412" i="63"/>
  <c r="N412" i="63"/>
  <c r="P412" i="63"/>
  <c r="V412" i="63"/>
  <c r="AA412" i="63" s="1"/>
  <c r="E420" i="63"/>
  <c r="G420" i="63" s="1"/>
  <c r="Q419" i="63"/>
  <c r="D420" i="63" l="1"/>
  <c r="F420" i="63" s="1"/>
  <c r="J413" i="63"/>
  <c r="AM412" i="63"/>
  <c r="K413" i="63"/>
  <c r="AK412" i="63"/>
  <c r="U412" i="63"/>
  <c r="H420" i="63"/>
  <c r="Z412" i="63" l="1"/>
  <c r="AH412" i="63" s="1"/>
  <c r="Y412" i="63"/>
  <c r="AB412" i="63"/>
  <c r="AC413" i="63"/>
  <c r="M413" i="63"/>
  <c r="O413" i="63" s="1"/>
  <c r="A420" i="63"/>
  <c r="C421" i="63"/>
  <c r="B421" i="63"/>
  <c r="I413" i="63" l="1"/>
  <c r="S413" i="63"/>
  <c r="L413" i="63"/>
  <c r="T413" i="63"/>
  <c r="AE412" i="63"/>
  <c r="AF412" i="63" s="1"/>
  <c r="R413" i="63"/>
  <c r="E421" i="63"/>
  <c r="G421" i="63" s="1"/>
  <c r="Q420" i="63"/>
  <c r="D421" i="63" l="1"/>
  <c r="F421" i="63" s="1"/>
  <c r="AL413" i="63"/>
  <c r="V413" i="63"/>
  <c r="AA413" i="63" s="1"/>
  <c r="AG413" i="63"/>
  <c r="AJ413" i="63" s="1"/>
  <c r="U413" i="63"/>
  <c r="AD413" i="63"/>
  <c r="N413" i="63"/>
  <c r="P413" i="63"/>
  <c r="H421" i="63"/>
  <c r="AK413" i="63" l="1"/>
  <c r="J414" i="63"/>
  <c r="AM413" i="63"/>
  <c r="K414" i="63"/>
  <c r="Z413" i="63"/>
  <c r="AH413" i="63" s="1"/>
  <c r="Y413" i="63"/>
  <c r="AB413" i="63"/>
  <c r="B422" i="63"/>
  <c r="A421" i="63"/>
  <c r="C422" i="63"/>
  <c r="AE413" i="63" l="1"/>
  <c r="AF413" i="63" s="1"/>
  <c r="T414" i="63"/>
  <c r="AD414" i="63" s="1"/>
  <c r="R414" i="63"/>
  <c r="AC414" i="63"/>
  <c r="M414" i="63"/>
  <c r="O414" i="63" s="1"/>
  <c r="Q421" i="63"/>
  <c r="E422" i="63"/>
  <c r="G422" i="63" s="1"/>
  <c r="L414" i="63" l="1"/>
  <c r="I414" i="63"/>
  <c r="S414" i="63"/>
  <c r="V414" i="63" s="1"/>
  <c r="AA414" i="63" s="1"/>
  <c r="AL414" i="63"/>
  <c r="AG414" i="63"/>
  <c r="AJ414" i="63" s="1"/>
  <c r="D422" i="63"/>
  <c r="U414" i="63" l="1"/>
  <c r="Z414" i="63"/>
  <c r="Y414" i="63"/>
  <c r="AB414" i="63"/>
  <c r="N414" i="63"/>
  <c r="P414" i="63"/>
  <c r="F422" i="63"/>
  <c r="H422" i="63"/>
  <c r="AM414" i="63" l="1"/>
  <c r="AK414" i="63"/>
  <c r="AH414" i="63"/>
  <c r="K415" i="63"/>
  <c r="J415" i="63"/>
  <c r="AE414" i="63"/>
  <c r="AF414" i="63" s="1"/>
  <c r="T415" i="63"/>
  <c r="R415" i="63"/>
  <c r="C423" i="63"/>
  <c r="A422" i="63"/>
  <c r="B423" i="63"/>
  <c r="AG415" i="63" l="1"/>
  <c r="AJ415" i="63" s="1"/>
  <c r="AD415" i="63"/>
  <c r="AL415" i="63"/>
  <c r="M415" i="63"/>
  <c r="O415" i="63" s="1"/>
  <c r="AC415" i="63"/>
  <c r="E423" i="63"/>
  <c r="G423" i="63" s="1"/>
  <c r="Q422" i="63"/>
  <c r="L415" i="63" l="1"/>
  <c r="S415" i="63"/>
  <c r="V415" i="63" s="1"/>
  <c r="I415" i="63"/>
  <c r="D423" i="63"/>
  <c r="AA415" i="63" l="1"/>
  <c r="U415" i="63"/>
  <c r="N415" i="63"/>
  <c r="P415" i="63"/>
  <c r="F423" i="63"/>
  <c r="H423" i="63"/>
  <c r="AM415" i="63" l="1"/>
  <c r="K416" i="63"/>
  <c r="J416" i="63"/>
  <c r="AK415" i="63"/>
  <c r="Z415" i="63"/>
  <c r="AH415" i="63" s="1"/>
  <c r="Y415" i="63"/>
  <c r="AB415" i="63"/>
  <c r="B424" i="63"/>
  <c r="A423" i="63"/>
  <c r="C424" i="63"/>
  <c r="AE415" i="63" l="1"/>
  <c r="AF415" i="63" s="1"/>
  <c r="T416" i="63"/>
  <c r="R416" i="63"/>
  <c r="AC416" i="63"/>
  <c r="M416" i="63"/>
  <c r="O416" i="63" s="1"/>
  <c r="AD416" i="63"/>
  <c r="D424" i="63"/>
  <c r="F424" i="63" s="1"/>
  <c r="Q423" i="63"/>
  <c r="E424" i="63"/>
  <c r="G424" i="63" s="1"/>
  <c r="L416" i="63" l="1"/>
  <c r="N416" i="63" s="1"/>
  <c r="AL416" i="63"/>
  <c r="AG416" i="63"/>
  <c r="AJ416" i="63" s="1"/>
  <c r="P416" i="63"/>
  <c r="S416" i="63"/>
  <c r="V416" i="63" s="1"/>
  <c r="I416" i="63"/>
  <c r="H424" i="63"/>
  <c r="AA416" i="63" l="1"/>
  <c r="U416" i="63"/>
  <c r="AK416" i="63"/>
  <c r="AM416" i="63"/>
  <c r="K417" i="63"/>
  <c r="J417" i="63"/>
  <c r="C425" i="63"/>
  <c r="B425" i="63"/>
  <c r="A424" i="63"/>
  <c r="M417" i="63" l="1"/>
  <c r="O417" i="63" s="1"/>
  <c r="AC417" i="63"/>
  <c r="L417" i="63"/>
  <c r="N417" i="63" s="1"/>
  <c r="Z416" i="63"/>
  <c r="AH416" i="63" s="1"/>
  <c r="Y416" i="63"/>
  <c r="AB416" i="63"/>
  <c r="D425" i="63"/>
  <c r="F425" i="63" s="1"/>
  <c r="Q424" i="63"/>
  <c r="E425" i="63"/>
  <c r="G425" i="63" s="1"/>
  <c r="T417" i="63" l="1"/>
  <c r="R417" i="63"/>
  <c r="AE416" i="63"/>
  <c r="AF416" i="63" s="1"/>
  <c r="P417" i="63"/>
  <c r="S417" i="63"/>
  <c r="V417" i="63" s="1"/>
  <c r="AA417" i="63" s="1"/>
  <c r="I417" i="63"/>
  <c r="H425" i="63"/>
  <c r="J418" i="63" l="1"/>
  <c r="K418" i="63"/>
  <c r="AL417" i="63"/>
  <c r="AM417" i="63" s="1"/>
  <c r="AG417" i="63"/>
  <c r="AJ417" i="63" s="1"/>
  <c r="AK417" i="63" s="1"/>
  <c r="U417" i="63"/>
  <c r="AD417" i="63"/>
  <c r="C426" i="63"/>
  <c r="A425" i="63"/>
  <c r="B426" i="63"/>
  <c r="Z417" i="63" l="1"/>
  <c r="AH417" i="63" s="1"/>
  <c r="Y417" i="63"/>
  <c r="AB417" i="63"/>
  <c r="AC418" i="63"/>
  <c r="M418" i="63"/>
  <c r="O418" i="63" s="1"/>
  <c r="Q425" i="63"/>
  <c r="E426" i="63"/>
  <c r="G426" i="63" s="1"/>
  <c r="D426" i="63" l="1"/>
  <c r="F426" i="63" s="1"/>
  <c r="I418" i="63"/>
  <c r="S418" i="63"/>
  <c r="AE417" i="63"/>
  <c r="AF417" i="63" s="1"/>
  <c r="T418" i="63"/>
  <c r="R418" i="63"/>
  <c r="L418" i="63"/>
  <c r="H426" i="63"/>
  <c r="N418" i="63" l="1"/>
  <c r="P418" i="63"/>
  <c r="AG418" i="63"/>
  <c r="AJ418" i="63" s="1"/>
  <c r="AD418" i="63"/>
  <c r="AL418" i="63"/>
  <c r="V418" i="63"/>
  <c r="AA418" i="63" s="1"/>
  <c r="C427" i="63"/>
  <c r="A426" i="63"/>
  <c r="B427" i="63"/>
  <c r="U418" i="63" l="1"/>
  <c r="AM418" i="63"/>
  <c r="J419" i="63"/>
  <c r="AK418" i="63"/>
  <c r="K419" i="63"/>
  <c r="E427" i="63"/>
  <c r="G427" i="63" s="1"/>
  <c r="Q426" i="63"/>
  <c r="AC419" i="63" l="1"/>
  <c r="M419" i="63"/>
  <c r="O419" i="63" s="1"/>
  <c r="Y418" i="63"/>
  <c r="Z418" i="63"/>
  <c r="AH418" i="63" s="1"/>
  <c r="AB418" i="63"/>
  <c r="D427" i="63"/>
  <c r="T419" i="63" l="1"/>
  <c r="R419" i="63"/>
  <c r="AE418" i="63"/>
  <c r="AF418" i="63" s="1"/>
  <c r="I419" i="63"/>
  <c r="S419" i="63"/>
  <c r="L419" i="63"/>
  <c r="F427" i="63"/>
  <c r="H427" i="63"/>
  <c r="AL419" i="63" l="1"/>
  <c r="V419" i="63"/>
  <c r="AA419" i="63" s="1"/>
  <c r="N419" i="63"/>
  <c r="P419" i="63"/>
  <c r="AG419" i="63"/>
  <c r="AJ419" i="63" s="1"/>
  <c r="U419" i="63"/>
  <c r="AD419" i="63"/>
  <c r="C428" i="63"/>
  <c r="A427" i="63"/>
  <c r="B428" i="63"/>
  <c r="Z419" i="63" l="1"/>
  <c r="Y419" i="63"/>
  <c r="AM419" i="63"/>
  <c r="AH419" i="63"/>
  <c r="K420" i="63"/>
  <c r="J420" i="63"/>
  <c r="AK419" i="63"/>
  <c r="AB419" i="63"/>
  <c r="E428" i="63"/>
  <c r="G428" i="63" s="1"/>
  <c r="Q427" i="63"/>
  <c r="AE419" i="63" l="1"/>
  <c r="AF419" i="63" s="1"/>
  <c r="T420" i="63"/>
  <c r="R420" i="63"/>
  <c r="AC420" i="63"/>
  <c r="M420" i="63"/>
  <c r="O420" i="63" s="1"/>
  <c r="AD420" i="63"/>
  <c r="D428" i="63"/>
  <c r="L420" i="63" l="1"/>
  <c r="N420" i="63" s="1"/>
  <c r="P420" i="63"/>
  <c r="I420" i="63"/>
  <c r="S420" i="63"/>
  <c r="V420" i="63" s="1"/>
  <c r="AL420" i="63"/>
  <c r="AG420" i="63"/>
  <c r="AJ420" i="63" s="1"/>
  <c r="F428" i="63"/>
  <c r="H428" i="63"/>
  <c r="AA420" i="63" l="1"/>
  <c r="U420" i="63"/>
  <c r="AH420" i="63"/>
  <c r="J421" i="63"/>
  <c r="AM420" i="63"/>
  <c r="AK420" i="63"/>
  <c r="K421" i="63"/>
  <c r="C429" i="63"/>
  <c r="B429" i="63"/>
  <c r="A428" i="63"/>
  <c r="M421" i="63" l="1"/>
  <c r="O421" i="63" s="1"/>
  <c r="AC421" i="63"/>
  <c r="AB420" i="63"/>
  <c r="Z420" i="63"/>
  <c r="Y420" i="63"/>
  <c r="E429" i="63"/>
  <c r="G429" i="63" s="1"/>
  <c r="Q428" i="63"/>
  <c r="AE420" i="63" l="1"/>
  <c r="AF420" i="63" s="1"/>
  <c r="T421" i="63"/>
  <c r="R421" i="63"/>
  <c r="S421" i="63"/>
  <c r="I421" i="63"/>
  <c r="L421" i="63"/>
  <c r="D429" i="63"/>
  <c r="N421" i="63" l="1"/>
  <c r="P421" i="63"/>
  <c r="AL421" i="63"/>
  <c r="V421" i="63"/>
  <c r="AA421" i="63" s="1"/>
  <c r="AG421" i="63"/>
  <c r="AJ421" i="63" s="1"/>
  <c r="AD421" i="63"/>
  <c r="F429" i="63"/>
  <c r="H429" i="63"/>
  <c r="U421" i="63" l="1"/>
  <c r="AB421" i="63" s="1"/>
  <c r="T422" i="63"/>
  <c r="R422" i="63"/>
  <c r="AE421" i="63"/>
  <c r="AF421" i="63" s="1"/>
  <c r="Y421" i="63"/>
  <c r="Z421" i="63"/>
  <c r="AK421" i="63"/>
  <c r="AM421" i="63"/>
  <c r="AH421" i="63"/>
  <c r="J422" i="63"/>
  <c r="K422" i="63"/>
  <c r="B430" i="63"/>
  <c r="A429" i="63"/>
  <c r="C430" i="63"/>
  <c r="AL422" i="63" l="1"/>
  <c r="AD422" i="63"/>
  <c r="AC422" i="63"/>
  <c r="M422" i="63"/>
  <c r="O422" i="63" s="1"/>
  <c r="AG422" i="63"/>
  <c r="AJ422" i="63" s="1"/>
  <c r="Q429" i="63"/>
  <c r="E430" i="63"/>
  <c r="G430" i="63" s="1"/>
  <c r="D430" i="63"/>
  <c r="F430" i="63" s="1"/>
  <c r="S422" i="63" l="1"/>
  <c r="V422" i="63" s="1"/>
  <c r="I422" i="63"/>
  <c r="L422" i="63"/>
  <c r="H430" i="63"/>
  <c r="N422" i="63" l="1"/>
  <c r="P422" i="63"/>
  <c r="AA422" i="63"/>
  <c r="U422" i="63"/>
  <c r="C431" i="63"/>
  <c r="A430" i="63"/>
  <c r="B431" i="63"/>
  <c r="Z422" i="63" l="1"/>
  <c r="Y422" i="63"/>
  <c r="AB422" i="63"/>
  <c r="K423" i="63"/>
  <c r="AM422" i="63"/>
  <c r="J423" i="63"/>
  <c r="AK422" i="63"/>
  <c r="AH422" i="63"/>
  <c r="Q430" i="63"/>
  <c r="E431" i="63"/>
  <c r="G431" i="63" s="1"/>
  <c r="M423" i="63" l="1"/>
  <c r="O423" i="63" s="1"/>
  <c r="AC423" i="63"/>
  <c r="R423" i="63"/>
  <c r="AE422" i="63"/>
  <c r="AF422" i="63" s="1"/>
  <c r="T423" i="63"/>
  <c r="D431" i="63"/>
  <c r="AG423" i="63" l="1"/>
  <c r="AJ423" i="63" s="1"/>
  <c r="AL423" i="63"/>
  <c r="I423" i="63"/>
  <c r="S423" i="63"/>
  <c r="V423" i="63" s="1"/>
  <c r="AD423" i="63"/>
  <c r="L423" i="63"/>
  <c r="F431" i="63"/>
  <c r="H431" i="63"/>
  <c r="AA423" i="63" l="1"/>
  <c r="U423" i="63"/>
  <c r="N423" i="63"/>
  <c r="P423" i="63"/>
  <c r="B432" i="63"/>
  <c r="A431" i="63"/>
  <c r="C432" i="63"/>
  <c r="J424" i="63" l="1"/>
  <c r="AH423" i="63"/>
  <c r="AK423" i="63"/>
  <c r="K424" i="63"/>
  <c r="AM423" i="63"/>
  <c r="Z423" i="63"/>
  <c r="Y423" i="63"/>
  <c r="AB423" i="63"/>
  <c r="Q431" i="63"/>
  <c r="E432" i="63"/>
  <c r="G432" i="63" s="1"/>
  <c r="AE423" i="63" l="1"/>
  <c r="AF423" i="63" s="1"/>
  <c r="T424" i="63"/>
  <c r="R424" i="63"/>
  <c r="AC424" i="63"/>
  <c r="M424" i="63"/>
  <c r="O424" i="63" s="1"/>
  <c r="D432" i="63"/>
  <c r="I424" i="63" l="1"/>
  <c r="S424" i="63"/>
  <c r="AL424" i="63"/>
  <c r="V424" i="63"/>
  <c r="AA424" i="63" s="1"/>
  <c r="AG424" i="63"/>
  <c r="AJ424" i="63" s="1"/>
  <c r="AD424" i="63"/>
  <c r="L424" i="63"/>
  <c r="F432" i="63"/>
  <c r="H432" i="63"/>
  <c r="U424" i="63" l="1"/>
  <c r="Z424" i="63"/>
  <c r="Y424" i="63"/>
  <c r="AB424" i="63"/>
  <c r="N424" i="63"/>
  <c r="P424" i="63"/>
  <c r="C433" i="63"/>
  <c r="B433" i="63"/>
  <c r="A432" i="63"/>
  <c r="K425" i="63" l="1"/>
  <c r="AH424" i="63"/>
  <c r="J425" i="63"/>
  <c r="AK424" i="63"/>
  <c r="AM424" i="63"/>
  <c r="AE424" i="63"/>
  <c r="AF424" i="63" s="1"/>
  <c r="T425" i="63"/>
  <c r="R425" i="63"/>
  <c r="Q432" i="63"/>
  <c r="E433" i="63"/>
  <c r="G433" i="63" s="1"/>
  <c r="AG425" i="63" l="1"/>
  <c r="AJ425" i="63" s="1"/>
  <c r="AL425" i="63"/>
  <c r="M425" i="63"/>
  <c r="O425" i="63" s="1"/>
  <c r="AC425" i="63"/>
  <c r="AD425" i="63"/>
  <c r="D433" i="63"/>
  <c r="S425" i="63" l="1"/>
  <c r="V425" i="63" s="1"/>
  <c r="I425" i="63"/>
  <c r="L425" i="63"/>
  <c r="F433" i="63"/>
  <c r="H433" i="63"/>
  <c r="N425" i="63" l="1"/>
  <c r="P425" i="63"/>
  <c r="AA425" i="63"/>
  <c r="U425" i="63"/>
  <c r="B434" i="63"/>
  <c r="A433" i="63"/>
  <c r="C434" i="63"/>
  <c r="Z425" i="63" l="1"/>
  <c r="Y425" i="63"/>
  <c r="AB425" i="63"/>
  <c r="AK425" i="63"/>
  <c r="AM425" i="63"/>
  <c r="K426" i="63"/>
  <c r="J426" i="63"/>
  <c r="AH425" i="63"/>
  <c r="Q433" i="63"/>
  <c r="E434" i="63"/>
  <c r="G434" i="63" s="1"/>
  <c r="AC426" i="63" l="1"/>
  <c r="M426" i="63"/>
  <c r="O426" i="63" s="1"/>
  <c r="AE425" i="63"/>
  <c r="AF425" i="63" s="1"/>
  <c r="R426" i="63"/>
  <c r="T426" i="63"/>
  <c r="D434" i="63"/>
  <c r="AG426" i="63" l="1"/>
  <c r="AJ426" i="63" s="1"/>
  <c r="AL426" i="63"/>
  <c r="I426" i="63"/>
  <c r="S426" i="63"/>
  <c r="V426" i="63" s="1"/>
  <c r="L426" i="63"/>
  <c r="AD426" i="63"/>
  <c r="F434" i="63"/>
  <c r="H434" i="63"/>
  <c r="AA426" i="63" l="1"/>
  <c r="U426" i="63"/>
  <c r="N426" i="63"/>
  <c r="P426" i="63"/>
  <c r="B435" i="63"/>
  <c r="A434" i="63"/>
  <c r="C435" i="63"/>
  <c r="AM426" i="63" l="1"/>
  <c r="J427" i="63"/>
  <c r="AK426" i="63"/>
  <c r="AH426" i="63"/>
  <c r="K427" i="63"/>
  <c r="Y426" i="63"/>
  <c r="Z426" i="63"/>
  <c r="AB426" i="63"/>
  <c r="Q434" i="63"/>
  <c r="E435" i="63"/>
  <c r="G435" i="63" s="1"/>
  <c r="AE426" i="63" l="1"/>
  <c r="AF426" i="63" s="1"/>
  <c r="T427" i="63"/>
  <c r="AD427" i="63" s="1"/>
  <c r="R427" i="63"/>
  <c r="AC427" i="63"/>
  <c r="M427" i="63"/>
  <c r="O427" i="63" s="1"/>
  <c r="D435" i="63"/>
  <c r="S427" i="63" l="1"/>
  <c r="I427" i="63"/>
  <c r="L427" i="63"/>
  <c r="AL427" i="63"/>
  <c r="V427" i="63"/>
  <c r="AA427" i="63" s="1"/>
  <c r="AG427" i="63"/>
  <c r="AJ427" i="63" s="1"/>
  <c r="F435" i="63"/>
  <c r="H435" i="63"/>
  <c r="U427" i="63" l="1"/>
  <c r="AB427" i="63" s="1"/>
  <c r="AE427" i="63"/>
  <c r="AF427" i="63" s="1"/>
  <c r="T428" i="63"/>
  <c r="R428" i="63"/>
  <c r="Z427" i="63"/>
  <c r="Y427" i="63"/>
  <c r="N427" i="63"/>
  <c r="P427" i="63"/>
  <c r="B436" i="63"/>
  <c r="A435" i="63"/>
  <c r="C436" i="63"/>
  <c r="AM427" i="63" l="1"/>
  <c r="AK427" i="63"/>
  <c r="AH427" i="63"/>
  <c r="K428" i="63"/>
  <c r="J428" i="63"/>
  <c r="AG428" i="63"/>
  <c r="AJ428" i="63" s="1"/>
  <c r="AL428" i="63"/>
  <c r="E436" i="63"/>
  <c r="G436" i="63" s="1"/>
  <c r="Q435" i="63"/>
  <c r="AC428" i="63" l="1"/>
  <c r="M428" i="63"/>
  <c r="O428" i="63" s="1"/>
  <c r="AD428" i="63"/>
  <c r="D436" i="63"/>
  <c r="L428" i="63" l="1"/>
  <c r="N428" i="63" s="1"/>
  <c r="P428" i="63"/>
  <c r="S428" i="63"/>
  <c r="V428" i="63" s="1"/>
  <c r="I428" i="63"/>
  <c r="F436" i="63"/>
  <c r="H436" i="63"/>
  <c r="AA428" i="63" l="1"/>
  <c r="U428" i="63"/>
  <c r="AH428" i="63"/>
  <c r="AM428" i="63"/>
  <c r="AK428" i="63"/>
  <c r="K429" i="63"/>
  <c r="J429" i="63"/>
  <c r="B437" i="63"/>
  <c r="A436" i="63"/>
  <c r="C437" i="63"/>
  <c r="AC429" i="63" l="1"/>
  <c r="M429" i="63"/>
  <c r="O429" i="63" s="1"/>
  <c r="Z428" i="63"/>
  <c r="Y428" i="63"/>
  <c r="AB428" i="63"/>
  <c r="Q436" i="63"/>
  <c r="E437" i="63"/>
  <c r="G437" i="63" s="1"/>
  <c r="D437" i="63" l="1"/>
  <c r="AE428" i="63"/>
  <c r="AF428" i="63" s="1"/>
  <c r="T429" i="63"/>
  <c r="R429" i="63"/>
  <c r="I429" i="63"/>
  <c r="S429" i="63"/>
  <c r="L429" i="63"/>
  <c r="F437" i="63" l="1"/>
  <c r="H437" i="63"/>
  <c r="N429" i="63"/>
  <c r="P429" i="63"/>
  <c r="AL429" i="63"/>
  <c r="V429" i="63"/>
  <c r="AA429" i="63" s="1"/>
  <c r="AG429" i="63"/>
  <c r="AJ429" i="63" s="1"/>
  <c r="AD429" i="63"/>
  <c r="U429" i="63" l="1"/>
  <c r="C438" i="63"/>
  <c r="A437" i="63"/>
  <c r="Q437" i="63" s="1"/>
  <c r="B438" i="63"/>
  <c r="E438" i="63" s="1"/>
  <c r="G438" i="63" s="1"/>
  <c r="Z429" i="63"/>
  <c r="Y429" i="63"/>
  <c r="AB429" i="63"/>
  <c r="AK429" i="63"/>
  <c r="AM429" i="63"/>
  <c r="AH429" i="63"/>
  <c r="K430" i="63"/>
  <c r="J430" i="63"/>
  <c r="D438" i="63" l="1"/>
  <c r="AC430" i="63"/>
  <c r="M430" i="63"/>
  <c r="O430" i="63" s="1"/>
  <c r="T430" i="63"/>
  <c r="AE429" i="63"/>
  <c r="AF429" i="63" s="1"/>
  <c r="R430" i="63"/>
  <c r="F438" i="63"/>
  <c r="H438" i="63"/>
  <c r="L430" i="63" l="1"/>
  <c r="N430" i="63" s="1"/>
  <c r="AL430" i="63"/>
  <c r="V430" i="63"/>
  <c r="AA430" i="63" s="1"/>
  <c r="AG430" i="63"/>
  <c r="AJ430" i="63" s="1"/>
  <c r="U430" i="63"/>
  <c r="AD430" i="63"/>
  <c r="P430" i="63"/>
  <c r="I430" i="63"/>
  <c r="S430" i="63"/>
  <c r="B439" i="63"/>
  <c r="C439" i="63"/>
  <c r="A438" i="63"/>
  <c r="AM430" i="63" l="1"/>
  <c r="AK430" i="63"/>
  <c r="J431" i="63"/>
  <c r="AH430" i="63"/>
  <c r="K431" i="63"/>
  <c r="Y430" i="63"/>
  <c r="Z430" i="63"/>
  <c r="AB430" i="63"/>
  <c r="E439" i="63"/>
  <c r="G439" i="63" s="1"/>
  <c r="Q438" i="63"/>
  <c r="T431" i="63" l="1"/>
  <c r="AD431" i="63" s="1"/>
  <c r="AE430" i="63"/>
  <c r="AF430" i="63" s="1"/>
  <c r="R431" i="63"/>
  <c r="AC431" i="63"/>
  <c r="M431" i="63"/>
  <c r="O431" i="63" s="1"/>
  <c r="D439" i="63"/>
  <c r="S431" i="63" l="1"/>
  <c r="I431" i="63"/>
  <c r="AL431" i="63"/>
  <c r="V431" i="63"/>
  <c r="AA431" i="63" s="1"/>
  <c r="AG431" i="63"/>
  <c r="AJ431" i="63" s="1"/>
  <c r="L431" i="63"/>
  <c r="F439" i="63"/>
  <c r="H439" i="63"/>
  <c r="U431" i="63" l="1"/>
  <c r="N431" i="63"/>
  <c r="P431" i="63"/>
  <c r="Z431" i="63"/>
  <c r="Y431" i="63"/>
  <c r="AB431" i="63"/>
  <c r="B440" i="63"/>
  <c r="C440" i="63"/>
  <c r="A439" i="63"/>
  <c r="AE431" i="63" l="1"/>
  <c r="AF431" i="63" s="1"/>
  <c r="T432" i="63"/>
  <c r="R432" i="63"/>
  <c r="AH431" i="63"/>
  <c r="AM431" i="63"/>
  <c r="K432" i="63"/>
  <c r="J432" i="63"/>
  <c r="AK431" i="63"/>
  <c r="Q439" i="63"/>
  <c r="E440" i="63"/>
  <c r="G440" i="63" s="1"/>
  <c r="AD432" i="63" l="1"/>
  <c r="M432" i="63"/>
  <c r="O432" i="63" s="1"/>
  <c r="AC432" i="63"/>
  <c r="AL432" i="63"/>
  <c r="AG432" i="63"/>
  <c r="AJ432" i="63" s="1"/>
  <c r="D440" i="63"/>
  <c r="S432" i="63" l="1"/>
  <c r="V432" i="63" s="1"/>
  <c r="I432" i="63"/>
  <c r="L432" i="63"/>
  <c r="F440" i="63"/>
  <c r="H440" i="63"/>
  <c r="N432" i="63" l="1"/>
  <c r="P432" i="63"/>
  <c r="AA432" i="63"/>
  <c r="U432" i="63"/>
  <c r="B441" i="63"/>
  <c r="C441" i="63"/>
  <c r="A440" i="63"/>
  <c r="Z432" i="63" l="1"/>
  <c r="Y432" i="63"/>
  <c r="AB432" i="63"/>
  <c r="AH432" i="63"/>
  <c r="J433" i="63"/>
  <c r="K433" i="63"/>
  <c r="AK432" i="63"/>
  <c r="AM432" i="63"/>
  <c r="Q440" i="63"/>
  <c r="E441" i="63"/>
  <c r="G441" i="63" s="1"/>
  <c r="AC433" i="63" l="1"/>
  <c r="M433" i="63"/>
  <c r="O433" i="63" s="1"/>
  <c r="R433" i="63"/>
  <c r="AE432" i="63"/>
  <c r="AF432" i="63" s="1"/>
  <c r="T433" i="63"/>
  <c r="D441" i="63"/>
  <c r="L433" i="63" l="1"/>
  <c r="N433" i="63" s="1"/>
  <c r="AG433" i="63"/>
  <c r="AJ433" i="63" s="1"/>
  <c r="AL433" i="63"/>
  <c r="AD433" i="63"/>
  <c r="P433" i="63"/>
  <c r="I433" i="63"/>
  <c r="S433" i="63"/>
  <c r="V433" i="63" s="1"/>
  <c r="F441" i="63"/>
  <c r="H441" i="63"/>
  <c r="AA433" i="63" l="1"/>
  <c r="U433" i="63"/>
  <c r="AH433" i="63"/>
  <c r="K434" i="63"/>
  <c r="J434" i="63"/>
  <c r="AM433" i="63"/>
  <c r="AK433" i="63"/>
  <c r="B442" i="63"/>
  <c r="A441" i="63"/>
  <c r="C442" i="63"/>
  <c r="AC434" i="63" l="1"/>
  <c r="M434" i="63"/>
  <c r="O434" i="63" s="1"/>
  <c r="AB433" i="63"/>
  <c r="Y433" i="63"/>
  <c r="Z433" i="63"/>
  <c r="Q441" i="63"/>
  <c r="E442" i="63"/>
  <c r="G442" i="63" s="1"/>
  <c r="L434" i="63" l="1"/>
  <c r="N434" i="63" s="1"/>
  <c r="AE433" i="63"/>
  <c r="AF433" i="63" s="1"/>
  <c r="T434" i="63"/>
  <c r="R434" i="63"/>
  <c r="P434" i="63"/>
  <c r="I434" i="63"/>
  <c r="S434" i="63"/>
  <c r="V434" i="63" s="1"/>
  <c r="AA434" i="63" s="1"/>
  <c r="D442" i="63"/>
  <c r="AG434" i="63" l="1"/>
  <c r="AJ434" i="63" s="1"/>
  <c r="U434" i="63"/>
  <c r="AD434" i="63"/>
  <c r="AH434" i="63"/>
  <c r="AM434" i="63"/>
  <c r="K435" i="63"/>
  <c r="J435" i="63"/>
  <c r="AK434" i="63"/>
  <c r="AL434" i="63"/>
  <c r="F442" i="63"/>
  <c r="H442" i="63"/>
  <c r="Y434" i="63" l="1"/>
  <c r="Z434" i="63"/>
  <c r="AC435" i="63"/>
  <c r="M435" i="63"/>
  <c r="O435" i="63" s="1"/>
  <c r="AB434" i="63"/>
  <c r="B443" i="63"/>
  <c r="A442" i="63"/>
  <c r="C443" i="63"/>
  <c r="L435" i="63" l="1"/>
  <c r="N435" i="63" s="1"/>
  <c r="P435" i="63"/>
  <c r="AE434" i="63"/>
  <c r="AF434" i="63" s="1"/>
  <c r="T435" i="63"/>
  <c r="R435" i="63"/>
  <c r="I435" i="63"/>
  <c r="S435" i="63"/>
  <c r="Q442" i="63"/>
  <c r="E443" i="63"/>
  <c r="G443" i="63" s="1"/>
  <c r="V435" i="63" l="1"/>
  <c r="AA435" i="63" s="1"/>
  <c r="AL435" i="63"/>
  <c r="AG435" i="63"/>
  <c r="AJ435" i="63" s="1"/>
  <c r="U435" i="63"/>
  <c r="AD435" i="63"/>
  <c r="AK435" i="63"/>
  <c r="J436" i="63"/>
  <c r="AM435" i="63"/>
  <c r="K436" i="63"/>
  <c r="AH435" i="63"/>
  <c r="D443" i="63"/>
  <c r="AC436" i="63" l="1"/>
  <c r="M436" i="63"/>
  <c r="O436" i="63" s="1"/>
  <c r="Z435" i="63"/>
  <c r="Y435" i="63"/>
  <c r="AB435" i="63"/>
  <c r="F443" i="63"/>
  <c r="H443" i="63"/>
  <c r="L436" i="63" l="1"/>
  <c r="N436" i="63" s="1"/>
  <c r="AE435" i="63"/>
  <c r="AF435" i="63" s="1"/>
  <c r="T436" i="63"/>
  <c r="R436" i="63"/>
  <c r="P436" i="63"/>
  <c r="I436" i="63"/>
  <c r="S436" i="63"/>
  <c r="B444" i="63"/>
  <c r="C444" i="63"/>
  <c r="A443" i="63"/>
  <c r="AG436" i="63" l="1"/>
  <c r="AJ436" i="63" s="1"/>
  <c r="AD436" i="63"/>
  <c r="K437" i="63"/>
  <c r="AM436" i="63"/>
  <c r="AH436" i="63"/>
  <c r="J437" i="63"/>
  <c r="AK436" i="63"/>
  <c r="AL436" i="63"/>
  <c r="V436" i="63"/>
  <c r="AA436" i="63" s="1"/>
  <c r="Q443" i="63"/>
  <c r="E444" i="63"/>
  <c r="G444" i="63" s="1"/>
  <c r="AC437" i="63" l="1"/>
  <c r="M437" i="63"/>
  <c r="O437" i="63" s="1"/>
  <c r="U436" i="63"/>
  <c r="D444" i="63"/>
  <c r="L437" i="63" l="1"/>
  <c r="N437" i="63" s="1"/>
  <c r="Z436" i="63"/>
  <c r="Y436" i="63"/>
  <c r="AB436" i="63"/>
  <c r="P437" i="63"/>
  <c r="I437" i="63"/>
  <c r="S437" i="63"/>
  <c r="F444" i="63"/>
  <c r="H444" i="63"/>
  <c r="AM437" i="63" l="1"/>
  <c r="AH437" i="63"/>
  <c r="K438" i="63"/>
  <c r="AK437" i="63"/>
  <c r="J438" i="63"/>
  <c r="R437" i="63"/>
  <c r="AE436" i="63"/>
  <c r="AF436" i="63" s="1"/>
  <c r="T437" i="63"/>
  <c r="B445" i="63"/>
  <c r="C445" i="63"/>
  <c r="A444" i="63"/>
  <c r="AL437" i="63" l="1"/>
  <c r="M438" i="63"/>
  <c r="O438" i="63" s="1"/>
  <c r="AC438" i="63"/>
  <c r="L438" i="63"/>
  <c r="N438" i="63" s="1"/>
  <c r="AG437" i="63"/>
  <c r="AJ437" i="63" s="1"/>
  <c r="AD437" i="63"/>
  <c r="V437" i="63"/>
  <c r="AA437" i="63" s="1"/>
  <c r="Q444" i="63"/>
  <c r="E445" i="63"/>
  <c r="G445" i="63" s="1"/>
  <c r="P438" i="63" l="1"/>
  <c r="S438" i="63"/>
  <c r="I438" i="63"/>
  <c r="U437" i="63"/>
  <c r="D445" i="63"/>
  <c r="Z437" i="63" l="1"/>
  <c r="Y437" i="63"/>
  <c r="AB437" i="63"/>
  <c r="AK438" i="63"/>
  <c r="K439" i="63"/>
  <c r="AH438" i="63"/>
  <c r="J439" i="63"/>
  <c r="AM438" i="63"/>
  <c r="F445" i="63"/>
  <c r="H445" i="63"/>
  <c r="AC439" i="63" l="1"/>
  <c r="M439" i="63"/>
  <c r="O439" i="63" s="1"/>
  <c r="AE437" i="63"/>
  <c r="AF437" i="63" s="1"/>
  <c r="R438" i="63"/>
  <c r="T438" i="63"/>
  <c r="B446" i="63"/>
  <c r="A445" i="63"/>
  <c r="C446" i="63"/>
  <c r="AG438" i="63" l="1"/>
  <c r="AJ438" i="63" s="1"/>
  <c r="AD438" i="63"/>
  <c r="AL438" i="63"/>
  <c r="V438" i="63"/>
  <c r="AA438" i="63" s="1"/>
  <c r="L439" i="63"/>
  <c r="I439" i="63"/>
  <c r="S439" i="63"/>
  <c r="Q445" i="63"/>
  <c r="E446" i="63"/>
  <c r="G446" i="63" s="1"/>
  <c r="N439" i="63" l="1"/>
  <c r="P439" i="63"/>
  <c r="U438" i="63"/>
  <c r="D446" i="63"/>
  <c r="Z438" i="63" l="1"/>
  <c r="Y438" i="63"/>
  <c r="AB438" i="63"/>
  <c r="AH439" i="63"/>
  <c r="J440" i="63"/>
  <c r="K440" i="63"/>
  <c r="AM439" i="63"/>
  <c r="AK439" i="63"/>
  <c r="F446" i="63"/>
  <c r="H446" i="63"/>
  <c r="AC440" i="63" l="1"/>
  <c r="M440" i="63"/>
  <c r="O440" i="63" s="1"/>
  <c r="T439" i="63"/>
  <c r="R439" i="63"/>
  <c r="AE438" i="63"/>
  <c r="AF438" i="63" s="1"/>
  <c r="L440" i="63"/>
  <c r="N440" i="63" s="1"/>
  <c r="B447" i="63"/>
  <c r="A446" i="63"/>
  <c r="C447" i="63"/>
  <c r="AL439" i="63" l="1"/>
  <c r="V439" i="63"/>
  <c r="AA439" i="63" s="1"/>
  <c r="P440" i="63"/>
  <c r="AG439" i="63"/>
  <c r="AJ439" i="63" s="1"/>
  <c r="U439" i="63"/>
  <c r="AD439" i="63"/>
  <c r="S440" i="63"/>
  <c r="I440" i="63"/>
  <c r="Q446" i="63"/>
  <c r="E447" i="63"/>
  <c r="G447" i="63" s="1"/>
  <c r="Z439" i="63" l="1"/>
  <c r="Y439" i="63"/>
  <c r="AB439" i="63"/>
  <c r="AM440" i="63"/>
  <c r="AK440" i="63"/>
  <c r="AH440" i="63"/>
  <c r="K441" i="63"/>
  <c r="J441" i="63"/>
  <c r="D447" i="63"/>
  <c r="T440" i="63" l="1"/>
  <c r="R440" i="63"/>
  <c r="AE439" i="63"/>
  <c r="AF439" i="63" s="1"/>
  <c r="M441" i="63"/>
  <c r="O441" i="63" s="1"/>
  <c r="AC441" i="63"/>
  <c r="L441" i="63"/>
  <c r="N441" i="63" s="1"/>
  <c r="F447" i="63"/>
  <c r="H447" i="63"/>
  <c r="P441" i="63" l="1"/>
  <c r="AL440" i="63"/>
  <c r="V440" i="63"/>
  <c r="AA440" i="63" s="1"/>
  <c r="I441" i="63"/>
  <c r="S441" i="63"/>
  <c r="AG440" i="63"/>
  <c r="AJ440" i="63" s="1"/>
  <c r="U440" i="63"/>
  <c r="AB440" i="63" s="1"/>
  <c r="AD440" i="63"/>
  <c r="B448" i="63"/>
  <c r="A447" i="63"/>
  <c r="C448" i="63"/>
  <c r="AE440" i="63" l="1"/>
  <c r="AF440" i="63" s="1"/>
  <c r="T441" i="63"/>
  <c r="R441" i="63"/>
  <c r="Z440" i="63"/>
  <c r="Y440" i="63"/>
  <c r="AK441" i="63"/>
  <c r="J442" i="63"/>
  <c r="AM441" i="63"/>
  <c r="AH441" i="63"/>
  <c r="K442" i="63"/>
  <c r="Q447" i="63"/>
  <c r="E448" i="63"/>
  <c r="G448" i="63" s="1"/>
  <c r="M442" i="63" l="1"/>
  <c r="O442" i="63" s="1"/>
  <c r="AC442" i="63"/>
  <c r="AL441" i="63"/>
  <c r="V441" i="63"/>
  <c r="AA441" i="63" s="1"/>
  <c r="L442" i="63"/>
  <c r="N442" i="63" s="1"/>
  <c r="AG441" i="63"/>
  <c r="AJ441" i="63" s="1"/>
  <c r="AD441" i="63"/>
  <c r="D448" i="63"/>
  <c r="P442" i="63" l="1"/>
  <c r="U441" i="63"/>
  <c r="S442" i="63"/>
  <c r="I442" i="63"/>
  <c r="F448" i="63"/>
  <c r="H448" i="63"/>
  <c r="Y441" i="63" l="1"/>
  <c r="Z441" i="63"/>
  <c r="AB441" i="63"/>
  <c r="K443" i="63"/>
  <c r="J443" i="63"/>
  <c r="AH442" i="63"/>
  <c r="AM442" i="63"/>
  <c r="AK442" i="63"/>
  <c r="B449" i="63"/>
  <c r="A448" i="63"/>
  <c r="C449" i="63"/>
  <c r="AE441" i="63" l="1"/>
  <c r="AF441" i="63" s="1"/>
  <c r="T442" i="63"/>
  <c r="R442" i="63"/>
  <c r="AC443" i="63"/>
  <c r="M443" i="63"/>
  <c r="O443" i="63" s="1"/>
  <c r="Q448" i="63"/>
  <c r="E449" i="63"/>
  <c r="G449" i="63" s="1"/>
  <c r="S443" i="63" l="1"/>
  <c r="I443" i="63"/>
  <c r="AG442" i="63"/>
  <c r="AJ442" i="63" s="1"/>
  <c r="AD442" i="63"/>
  <c r="AL442" i="63"/>
  <c r="V442" i="63"/>
  <c r="AA442" i="63" s="1"/>
  <c r="L443" i="63"/>
  <c r="D449" i="63"/>
  <c r="U442" i="63" l="1"/>
  <c r="N443" i="63"/>
  <c r="P443" i="63"/>
  <c r="F449" i="63"/>
  <c r="H449" i="63"/>
  <c r="AM443" i="63" l="1"/>
  <c r="K444" i="63"/>
  <c r="AH443" i="63"/>
  <c r="J444" i="63"/>
  <c r="AK443" i="63"/>
  <c r="Z442" i="63"/>
  <c r="Y442" i="63"/>
  <c r="AB442" i="63"/>
  <c r="B450" i="63"/>
  <c r="C450" i="63"/>
  <c r="A449" i="63"/>
  <c r="AE442" i="63" l="1"/>
  <c r="AF442" i="63" s="1"/>
  <c r="T443" i="63"/>
  <c r="R443" i="63"/>
  <c r="M444" i="63"/>
  <c r="O444" i="63" s="1"/>
  <c r="AC444" i="63"/>
  <c r="Q449" i="63"/>
  <c r="E450" i="63"/>
  <c r="G450" i="63" s="1"/>
  <c r="I444" i="63" l="1"/>
  <c r="S444" i="63"/>
  <c r="AG443" i="63"/>
  <c r="AJ443" i="63" s="1"/>
  <c r="AD443" i="63"/>
  <c r="L444" i="63"/>
  <c r="AL443" i="63"/>
  <c r="V443" i="63"/>
  <c r="AA443" i="63" s="1"/>
  <c r="D450" i="63"/>
  <c r="N444" i="63" l="1"/>
  <c r="P444" i="63"/>
  <c r="U443" i="63"/>
  <c r="F450" i="63"/>
  <c r="H450" i="63"/>
  <c r="AM444" i="63" l="1"/>
  <c r="K445" i="63"/>
  <c r="AK444" i="63"/>
  <c r="AH444" i="63"/>
  <c r="J445" i="63"/>
  <c r="Z443" i="63"/>
  <c r="Y443" i="63"/>
  <c r="AB443" i="63"/>
  <c r="B451" i="63"/>
  <c r="C451" i="63"/>
  <c r="A450" i="63"/>
  <c r="AE443" i="63" l="1"/>
  <c r="AF443" i="63" s="1"/>
  <c r="T444" i="63"/>
  <c r="R444" i="63"/>
  <c r="AC445" i="63"/>
  <c r="M445" i="63"/>
  <c r="O445" i="63" s="1"/>
  <c r="Q450" i="63"/>
  <c r="E451" i="63"/>
  <c r="G451" i="63" s="1"/>
  <c r="AL444" i="63" l="1"/>
  <c r="V444" i="63"/>
  <c r="AA444" i="63" s="1"/>
  <c r="S445" i="63"/>
  <c r="I445" i="63"/>
  <c r="L445" i="63"/>
  <c r="AG444" i="63"/>
  <c r="AJ444" i="63" s="1"/>
  <c r="U444" i="63"/>
  <c r="AD444" i="63"/>
  <c r="D451" i="63"/>
  <c r="Z444" i="63" l="1"/>
  <c r="Y444" i="63"/>
  <c r="AB444" i="63"/>
  <c r="N445" i="63"/>
  <c r="P445" i="63"/>
  <c r="F451" i="63"/>
  <c r="H451" i="63"/>
  <c r="AH445" i="63" l="1"/>
  <c r="K446" i="63"/>
  <c r="J446" i="63"/>
  <c r="AM445" i="63"/>
  <c r="AK445" i="63"/>
  <c r="AE444" i="63"/>
  <c r="AF444" i="63" s="1"/>
  <c r="T445" i="63"/>
  <c r="R445" i="63"/>
  <c r="B452" i="63"/>
  <c r="C452" i="63"/>
  <c r="A451" i="63"/>
  <c r="AG445" i="63" l="1"/>
  <c r="AJ445" i="63" s="1"/>
  <c r="AD445" i="63"/>
  <c r="AL445" i="63"/>
  <c r="V445" i="63"/>
  <c r="AA445" i="63" s="1"/>
  <c r="AC446" i="63"/>
  <c r="M446" i="63"/>
  <c r="O446" i="63" s="1"/>
  <c r="Q451" i="63"/>
  <c r="E452" i="63"/>
  <c r="G452" i="63" s="1"/>
  <c r="L446" i="63" l="1"/>
  <c r="N446" i="63" s="1"/>
  <c r="U445" i="63"/>
  <c r="P446" i="63"/>
  <c r="I446" i="63"/>
  <c r="S446" i="63"/>
  <c r="D452" i="63"/>
  <c r="AH446" i="63" l="1"/>
  <c r="J447" i="63"/>
  <c r="AM446" i="63"/>
  <c r="AK446" i="63"/>
  <c r="K447" i="63"/>
  <c r="Z445" i="63"/>
  <c r="Y445" i="63"/>
  <c r="AB445" i="63"/>
  <c r="F452" i="63"/>
  <c r="H452" i="63"/>
  <c r="AE445" i="63" l="1"/>
  <c r="AF445" i="63" s="1"/>
  <c r="T446" i="63"/>
  <c r="R446" i="63"/>
  <c r="AC447" i="63"/>
  <c r="M447" i="63"/>
  <c r="O447" i="63" s="1"/>
  <c r="C453" i="63"/>
  <c r="A452" i="63"/>
  <c r="B453" i="63"/>
  <c r="L447" i="63" l="1"/>
  <c r="S447" i="63"/>
  <c r="I447" i="63"/>
  <c r="AG446" i="63"/>
  <c r="AJ446" i="63" s="1"/>
  <c r="U446" i="63"/>
  <c r="AD446" i="63"/>
  <c r="N447" i="63"/>
  <c r="P447" i="63"/>
  <c r="AL446" i="63"/>
  <c r="V446" i="63"/>
  <c r="AA446" i="63" s="1"/>
  <c r="Q452" i="63"/>
  <c r="E453" i="63"/>
  <c r="G453" i="63" s="1"/>
  <c r="AH447" i="63" l="1"/>
  <c r="J448" i="63"/>
  <c r="AM447" i="63"/>
  <c r="AK447" i="63"/>
  <c r="K448" i="63"/>
  <c r="Z446" i="63"/>
  <c r="Y446" i="63"/>
  <c r="AB446" i="63"/>
  <c r="D453" i="63"/>
  <c r="AC448" i="63" l="1"/>
  <c r="M448" i="63"/>
  <c r="O448" i="63" s="1"/>
  <c r="R447" i="63"/>
  <c r="AE446" i="63"/>
  <c r="AF446" i="63" s="1"/>
  <c r="T447" i="63"/>
  <c r="F453" i="63"/>
  <c r="H453" i="63"/>
  <c r="AL447" i="63" l="1"/>
  <c r="V447" i="63"/>
  <c r="AA447" i="63" s="1"/>
  <c r="I448" i="63"/>
  <c r="S448" i="63"/>
  <c r="AG447" i="63"/>
  <c r="AJ447" i="63" s="1"/>
  <c r="U447" i="63"/>
  <c r="AD447" i="63"/>
  <c r="L448" i="63"/>
  <c r="B454" i="63"/>
  <c r="A453" i="63"/>
  <c r="C454" i="63"/>
  <c r="Y447" i="63" l="1"/>
  <c r="Z447" i="63"/>
  <c r="AB447" i="63"/>
  <c r="N448" i="63"/>
  <c r="P448" i="63"/>
  <c r="Q453" i="63"/>
  <c r="E454" i="63"/>
  <c r="G454" i="63" s="1"/>
  <c r="AM448" i="63" l="1"/>
  <c r="AK448" i="63"/>
  <c r="AH448" i="63"/>
  <c r="J449" i="63"/>
  <c r="K449" i="63"/>
  <c r="T448" i="63"/>
  <c r="R448" i="63"/>
  <c r="AE447" i="63"/>
  <c r="AF447" i="63" s="1"/>
  <c r="D454" i="63"/>
  <c r="AL448" i="63" l="1"/>
  <c r="V448" i="63"/>
  <c r="AA448" i="63" s="1"/>
  <c r="AC449" i="63"/>
  <c r="M449" i="63"/>
  <c r="O449" i="63" s="1"/>
  <c r="AG448" i="63"/>
  <c r="AJ448" i="63" s="1"/>
  <c r="U448" i="63"/>
  <c r="AD448" i="63"/>
  <c r="F454" i="63"/>
  <c r="H454" i="63"/>
  <c r="Z448" i="63" l="1"/>
  <c r="Y448" i="63"/>
  <c r="S449" i="63"/>
  <c r="I449" i="63"/>
  <c r="AB448" i="63"/>
  <c r="L449" i="63"/>
  <c r="B455" i="63"/>
  <c r="A454" i="63"/>
  <c r="C455" i="63"/>
  <c r="N449" i="63" l="1"/>
  <c r="P449" i="63"/>
  <c r="T449" i="63"/>
  <c r="R449" i="63"/>
  <c r="AE448" i="63"/>
  <c r="AF448" i="63" s="1"/>
  <c r="Q454" i="63"/>
  <c r="E455" i="63"/>
  <c r="G455" i="63" s="1"/>
  <c r="AK449" i="63" l="1"/>
  <c r="AM449" i="63"/>
  <c r="AH449" i="63"/>
  <c r="K450" i="63"/>
  <c r="J450" i="63"/>
  <c r="AL449" i="63"/>
  <c r="V449" i="63"/>
  <c r="AA449" i="63" s="1"/>
  <c r="AG449" i="63"/>
  <c r="AJ449" i="63" s="1"/>
  <c r="AD449" i="63"/>
  <c r="D455" i="63"/>
  <c r="M450" i="63" l="1"/>
  <c r="O450" i="63" s="1"/>
  <c r="AC450" i="63"/>
  <c r="U449" i="63"/>
  <c r="F455" i="63"/>
  <c r="H455" i="63"/>
  <c r="L450" i="63" l="1"/>
  <c r="N450" i="63"/>
  <c r="P450" i="63"/>
  <c r="Y449" i="63"/>
  <c r="Z449" i="63"/>
  <c r="AB449" i="63"/>
  <c r="I450" i="63"/>
  <c r="S450" i="63"/>
  <c r="B456" i="63"/>
  <c r="A455" i="63"/>
  <c r="C456" i="63"/>
  <c r="AE449" i="63" l="1"/>
  <c r="AF449" i="63" s="1"/>
  <c r="T450" i="63"/>
  <c r="R450" i="63"/>
  <c r="J451" i="63"/>
  <c r="AM450" i="63"/>
  <c r="AK450" i="63"/>
  <c r="K451" i="63"/>
  <c r="AH450" i="63"/>
  <c r="Q455" i="63"/>
  <c r="E456" i="63"/>
  <c r="G456" i="63" s="1"/>
  <c r="D456" i="63" l="1"/>
  <c r="F456" i="63" s="1"/>
  <c r="M451" i="63"/>
  <c r="O451" i="63" s="1"/>
  <c r="AC451" i="63"/>
  <c r="AG450" i="63"/>
  <c r="AJ450" i="63" s="1"/>
  <c r="AD450" i="63"/>
  <c r="V450" i="63"/>
  <c r="AA450" i="63" s="1"/>
  <c r="AL450" i="63"/>
  <c r="H456" i="63"/>
  <c r="U450" i="63" l="1"/>
  <c r="S451" i="63"/>
  <c r="I451" i="63"/>
  <c r="L451" i="63"/>
  <c r="B457" i="63"/>
  <c r="A456" i="63"/>
  <c r="C457" i="63"/>
  <c r="N451" i="63" l="1"/>
  <c r="P451" i="63"/>
  <c r="Z450" i="63"/>
  <c r="Y450" i="63"/>
  <c r="AB450" i="63"/>
  <c r="Q456" i="63"/>
  <c r="E457" i="63"/>
  <c r="G457" i="63" s="1"/>
  <c r="T451" i="63" l="1"/>
  <c r="R451" i="63"/>
  <c r="AE450" i="63"/>
  <c r="AF450" i="63" s="1"/>
  <c r="AK451" i="63"/>
  <c r="K452" i="63"/>
  <c r="AH451" i="63"/>
  <c r="AM451" i="63"/>
  <c r="J452" i="63"/>
  <c r="D457" i="63"/>
  <c r="AC452" i="63" l="1"/>
  <c r="M452" i="63"/>
  <c r="AL451" i="63"/>
  <c r="V451" i="63"/>
  <c r="AA451" i="63" s="1"/>
  <c r="AD451" i="63"/>
  <c r="AG451" i="63"/>
  <c r="AJ451" i="63" s="1"/>
  <c r="U451" i="63"/>
  <c r="F457" i="63"/>
  <c r="H457" i="63"/>
  <c r="Z451" i="63" l="1"/>
  <c r="Y451" i="63"/>
  <c r="AB451" i="63"/>
  <c r="O452" i="63"/>
  <c r="L452" i="63"/>
  <c r="I452" i="63"/>
  <c r="S452" i="63"/>
  <c r="B458" i="63"/>
  <c r="C458" i="63"/>
  <c r="A457" i="63"/>
  <c r="AE451" i="63" l="1"/>
  <c r="AF451" i="63" s="1"/>
  <c r="T452" i="63"/>
  <c r="R452" i="63"/>
  <c r="P452" i="63"/>
  <c r="N452" i="63"/>
  <c r="Q457" i="63"/>
  <c r="E458" i="63"/>
  <c r="G458" i="63" s="1"/>
  <c r="AM452" i="63" l="1"/>
  <c r="AK452" i="63"/>
  <c r="AH452" i="63"/>
  <c r="J453" i="63"/>
  <c r="K453" i="63"/>
  <c r="AL452" i="63"/>
  <c r="V452" i="63"/>
  <c r="AA452" i="63" s="1"/>
  <c r="AG452" i="63"/>
  <c r="AJ452" i="63" s="1"/>
  <c r="AD452" i="63"/>
  <c r="D458" i="63"/>
  <c r="AC453" i="63" l="1"/>
  <c r="M453" i="63"/>
  <c r="O453" i="63" s="1"/>
  <c r="U452" i="63"/>
  <c r="F458" i="63"/>
  <c r="H458" i="63"/>
  <c r="Y452" i="63" l="1"/>
  <c r="Z452" i="63"/>
  <c r="AB452" i="63"/>
  <c r="S453" i="63"/>
  <c r="I453" i="63"/>
  <c r="L453" i="63"/>
  <c r="C459" i="63"/>
  <c r="A458" i="63"/>
  <c r="B459" i="63"/>
  <c r="P453" i="63" l="1"/>
  <c r="N453" i="63"/>
  <c r="R453" i="63"/>
  <c r="AE452" i="63"/>
  <c r="AF452" i="63" s="1"/>
  <c r="T453" i="63"/>
  <c r="Q458" i="63"/>
  <c r="E459" i="63"/>
  <c r="G459" i="63" s="1"/>
  <c r="AG453" i="63" l="1"/>
  <c r="AJ453" i="63" s="1"/>
  <c r="AD453" i="63"/>
  <c r="AL453" i="63"/>
  <c r="V453" i="63"/>
  <c r="AA453" i="63" s="1"/>
  <c r="AM453" i="63"/>
  <c r="AK453" i="63"/>
  <c r="K454" i="63"/>
  <c r="AH453" i="63"/>
  <c r="J454" i="63"/>
  <c r="D459" i="63"/>
  <c r="U453" i="63" l="1"/>
  <c r="M454" i="63"/>
  <c r="O454" i="63" s="1"/>
  <c r="AC454" i="63"/>
  <c r="F459" i="63"/>
  <c r="H459" i="63"/>
  <c r="I454" i="63" l="1"/>
  <c r="S454" i="63"/>
  <c r="Z453" i="63"/>
  <c r="Y453" i="63"/>
  <c r="AB453" i="63"/>
  <c r="L454" i="63"/>
  <c r="A459" i="63"/>
  <c r="C460" i="63"/>
  <c r="B460" i="63"/>
  <c r="N454" i="63" l="1"/>
  <c r="P454" i="63"/>
  <c r="AE453" i="63"/>
  <c r="AF453" i="63" s="1"/>
  <c r="T454" i="63"/>
  <c r="R454" i="63"/>
  <c r="E460" i="63"/>
  <c r="G460" i="63" s="1"/>
  <c r="Q459" i="63"/>
  <c r="V454" i="63" l="1"/>
  <c r="AA454" i="63" s="1"/>
  <c r="AL454" i="63"/>
  <c r="AD454" i="63"/>
  <c r="AG454" i="63"/>
  <c r="AJ454" i="63" s="1"/>
  <c r="AK454" i="63"/>
  <c r="K455" i="63"/>
  <c r="AM454" i="63"/>
  <c r="J455" i="63"/>
  <c r="AH454" i="63"/>
  <c r="D460" i="63"/>
  <c r="U454" i="63" l="1"/>
  <c r="AB454" i="63" s="1"/>
  <c r="R455" i="63" s="1"/>
  <c r="AC455" i="63"/>
  <c r="M455" i="63"/>
  <c r="O455" i="63" s="1"/>
  <c r="Y454" i="63"/>
  <c r="Z454" i="63"/>
  <c r="F460" i="63"/>
  <c r="H460" i="63"/>
  <c r="T455" i="63" l="1"/>
  <c r="AE454" i="63"/>
  <c r="AF454" i="63" s="1"/>
  <c r="I455" i="63"/>
  <c r="S455" i="63"/>
  <c r="L455" i="63"/>
  <c r="V455" i="63"/>
  <c r="AA455" i="63" s="1"/>
  <c r="AL455" i="63"/>
  <c r="C461" i="63"/>
  <c r="B461" i="63"/>
  <c r="A460" i="63"/>
  <c r="AG455" i="63" l="1"/>
  <c r="AJ455" i="63" s="1"/>
  <c r="AD455" i="63"/>
  <c r="U455" i="63"/>
  <c r="N455" i="63"/>
  <c r="P455" i="63"/>
  <c r="Q460" i="63"/>
  <c r="E461" i="63"/>
  <c r="G461" i="63" s="1"/>
  <c r="AK455" i="63" l="1"/>
  <c r="AH455" i="63"/>
  <c r="J456" i="63"/>
  <c r="AM455" i="63"/>
  <c r="K456" i="63"/>
  <c r="AB455" i="63"/>
  <c r="Z455" i="63"/>
  <c r="Y455" i="63"/>
  <c r="D461" i="63"/>
  <c r="T456" i="63" l="1"/>
  <c r="R456" i="63"/>
  <c r="AE455" i="63"/>
  <c r="AF455" i="63" s="1"/>
  <c r="AC456" i="63"/>
  <c r="M456" i="63"/>
  <c r="O456" i="63" s="1"/>
  <c r="F461" i="63"/>
  <c r="H461" i="63"/>
  <c r="S456" i="63" l="1"/>
  <c r="I456" i="63"/>
  <c r="AL456" i="63"/>
  <c r="V456" i="63"/>
  <c r="AA456" i="63" s="1"/>
  <c r="AG456" i="63"/>
  <c r="AJ456" i="63" s="1"/>
  <c r="U456" i="63"/>
  <c r="AD456" i="63"/>
  <c r="L456" i="63"/>
  <c r="B462" i="63"/>
  <c r="C462" i="63"/>
  <c r="A461" i="63"/>
  <c r="N456" i="63" l="1"/>
  <c r="P456" i="63"/>
  <c r="Z456" i="63"/>
  <c r="Y456" i="63"/>
  <c r="AB456" i="63"/>
  <c r="Q461" i="63"/>
  <c r="E462" i="63"/>
  <c r="G462" i="63" s="1"/>
  <c r="AE456" i="63" l="1"/>
  <c r="AF456" i="63" s="1"/>
  <c r="T457" i="63"/>
  <c r="AG457" i="63" s="1"/>
  <c r="AJ457" i="63" s="1"/>
  <c r="R457" i="63"/>
  <c r="AL457" i="63" s="1"/>
  <c r="AH456" i="63"/>
  <c r="J457" i="63"/>
  <c r="K457" i="63"/>
  <c r="AK456" i="63"/>
  <c r="AM456" i="63"/>
  <c r="D462" i="63"/>
  <c r="AD457" i="63" l="1"/>
  <c r="AC457" i="63"/>
  <c r="M457" i="63"/>
  <c r="O457" i="63" s="1"/>
  <c r="F462" i="63"/>
  <c r="H462" i="63"/>
  <c r="S457" i="63" l="1"/>
  <c r="V457" i="63" s="1"/>
  <c r="I457" i="63"/>
  <c r="L457" i="63"/>
  <c r="C463" i="63"/>
  <c r="A462" i="63"/>
  <c r="B463" i="63"/>
  <c r="N457" i="63" l="1"/>
  <c r="P457" i="63"/>
  <c r="AA457" i="63"/>
  <c r="U457" i="63"/>
  <c r="Q462" i="63"/>
  <c r="E463" i="63"/>
  <c r="G463" i="63" s="1"/>
  <c r="D463" i="63" l="1"/>
  <c r="Z457" i="63"/>
  <c r="Y457" i="63"/>
  <c r="AB457" i="63"/>
  <c r="AM457" i="63"/>
  <c r="J458" i="63"/>
  <c r="AK457" i="63"/>
  <c r="AH457" i="63"/>
  <c r="K458" i="63"/>
  <c r="F463" i="63" l="1"/>
  <c r="H463" i="63"/>
  <c r="AC458" i="63"/>
  <c r="M458" i="63"/>
  <c r="O458" i="63" s="1"/>
  <c r="T458" i="63"/>
  <c r="AD458" i="63" s="1"/>
  <c r="R458" i="63"/>
  <c r="AE457" i="63"/>
  <c r="AF457" i="63" s="1"/>
  <c r="L458" i="63" l="1"/>
  <c r="N458" i="63" s="1"/>
  <c r="B464" i="63"/>
  <c r="E464" i="63" s="1"/>
  <c r="G464" i="63" s="1"/>
  <c r="A463" i="63"/>
  <c r="Q463" i="63" s="1"/>
  <c r="C464" i="63"/>
  <c r="D464" i="63" s="1"/>
  <c r="F464" i="63" s="1"/>
  <c r="AL458" i="63"/>
  <c r="AG458" i="63"/>
  <c r="AJ458" i="63" s="1"/>
  <c r="I458" i="63"/>
  <c r="S458" i="63"/>
  <c r="V458" i="63" s="1"/>
  <c r="P458" i="63" l="1"/>
  <c r="H464" i="63"/>
  <c r="A464" i="63" s="1"/>
  <c r="AA458" i="63"/>
  <c r="U458" i="63"/>
  <c r="K459" i="63"/>
  <c r="J459" i="63"/>
  <c r="AK458" i="63"/>
  <c r="AH458" i="63"/>
  <c r="AM458" i="63"/>
  <c r="C465" i="63"/>
  <c r="B465" i="63"/>
  <c r="AC459" i="63" l="1"/>
  <c r="M459" i="63"/>
  <c r="O459" i="63" s="1"/>
  <c r="AB458" i="63"/>
  <c r="Y458" i="63"/>
  <c r="Z458" i="63"/>
  <c r="E465" i="63"/>
  <c r="G465" i="63" s="1"/>
  <c r="Q464" i="63"/>
  <c r="L459" i="63" l="1"/>
  <c r="AE458" i="63"/>
  <c r="AF458" i="63" s="1"/>
  <c r="T459" i="63"/>
  <c r="R459" i="63"/>
  <c r="S459" i="63"/>
  <c r="I459" i="63"/>
  <c r="D465" i="63"/>
  <c r="V459" i="63" l="1"/>
  <c r="AA459" i="63" s="1"/>
  <c r="N459" i="63"/>
  <c r="P459" i="63"/>
  <c r="AL459" i="63"/>
  <c r="AG459" i="63"/>
  <c r="AJ459" i="63" s="1"/>
  <c r="U459" i="63"/>
  <c r="AD459" i="63"/>
  <c r="F465" i="63"/>
  <c r="H465" i="63"/>
  <c r="AH459" i="63" l="1"/>
  <c r="J460" i="63"/>
  <c r="AM459" i="63"/>
  <c r="AK459" i="63"/>
  <c r="K460" i="63"/>
  <c r="Z459" i="63"/>
  <c r="Y459" i="63"/>
  <c r="AB459" i="63"/>
  <c r="B466" i="63"/>
  <c r="C466" i="63"/>
  <c r="A465" i="63"/>
  <c r="M460" i="63" l="1"/>
  <c r="O460" i="63" s="1"/>
  <c r="AC460" i="63"/>
  <c r="AE459" i="63"/>
  <c r="AF459" i="63" s="1"/>
  <c r="T460" i="63"/>
  <c r="R460" i="63"/>
  <c r="E466" i="63"/>
  <c r="G466" i="63" s="1"/>
  <c r="Q465" i="63"/>
  <c r="I460" i="63" l="1"/>
  <c r="S460" i="63"/>
  <c r="L460" i="63"/>
  <c r="D466" i="63"/>
  <c r="F466" i="63" s="1"/>
  <c r="AL460" i="63"/>
  <c r="V460" i="63"/>
  <c r="AA460" i="63" s="1"/>
  <c r="AD460" i="63"/>
  <c r="AG460" i="63"/>
  <c r="AJ460" i="63" s="1"/>
  <c r="H466" i="63" l="1"/>
  <c r="N460" i="63"/>
  <c r="P460" i="63"/>
  <c r="U460" i="63"/>
  <c r="AB460" i="63"/>
  <c r="Y460" i="63"/>
  <c r="Z460" i="63"/>
  <c r="A466" i="63"/>
  <c r="C467" i="63"/>
  <c r="B467" i="63"/>
  <c r="J461" i="63" l="1"/>
  <c r="AM460" i="63"/>
  <c r="AK460" i="63"/>
  <c r="AH460" i="63"/>
  <c r="K461" i="63"/>
  <c r="AE460" i="63"/>
  <c r="AF460" i="63" s="1"/>
  <c r="R461" i="63"/>
  <c r="T461" i="63"/>
  <c r="E467" i="63"/>
  <c r="G467" i="63" s="1"/>
  <c r="Q466" i="63"/>
  <c r="AC461" i="63" l="1"/>
  <c r="M461" i="63"/>
  <c r="O461" i="63" s="1"/>
  <c r="AD461" i="63"/>
  <c r="AG461" i="63"/>
  <c r="AJ461" i="63" s="1"/>
  <c r="AL461" i="63"/>
  <c r="D467" i="63"/>
  <c r="S461" i="63" l="1"/>
  <c r="V461" i="63" s="1"/>
  <c r="AA461" i="63" s="1"/>
  <c r="I461" i="63"/>
  <c r="L461" i="63"/>
  <c r="U461" i="63"/>
  <c r="F467" i="63"/>
  <c r="H467" i="63"/>
  <c r="N461" i="63" l="1"/>
  <c r="P461" i="63"/>
  <c r="AB461" i="63"/>
  <c r="Z461" i="63"/>
  <c r="Y461" i="63"/>
  <c r="B468" i="63"/>
  <c r="C468" i="63"/>
  <c r="A467" i="63"/>
  <c r="AK461" i="63" l="1"/>
  <c r="K462" i="63"/>
  <c r="AH461" i="63"/>
  <c r="AM461" i="63"/>
  <c r="J462" i="63"/>
  <c r="AE461" i="63"/>
  <c r="AF461" i="63" s="1"/>
  <c r="R462" i="63"/>
  <c r="T462" i="63"/>
  <c r="E468" i="63"/>
  <c r="G468" i="63" s="1"/>
  <c r="Q467" i="63"/>
  <c r="AC462" i="63" l="1"/>
  <c r="M462" i="63"/>
  <c r="O462" i="63" s="1"/>
  <c r="AL462" i="63"/>
  <c r="AG462" i="63"/>
  <c r="AJ462" i="63" s="1"/>
  <c r="AD462" i="63"/>
  <c r="D468" i="63"/>
  <c r="I462" i="63" l="1"/>
  <c r="S462" i="63"/>
  <c r="V462" i="63" s="1"/>
  <c r="L462" i="63"/>
  <c r="F468" i="63"/>
  <c r="H468" i="63"/>
  <c r="AA462" i="63" l="1"/>
  <c r="U462" i="63"/>
  <c r="N462" i="63"/>
  <c r="P462" i="63"/>
  <c r="C469" i="63"/>
  <c r="A468" i="63"/>
  <c r="B469" i="63"/>
  <c r="AB462" i="63" l="1"/>
  <c r="Z462" i="63"/>
  <c r="Y462" i="63"/>
  <c r="AM462" i="63"/>
  <c r="K463" i="63"/>
  <c r="AK462" i="63"/>
  <c r="AH462" i="63"/>
  <c r="J463" i="63"/>
  <c r="Q468" i="63"/>
  <c r="E469" i="63"/>
  <c r="G469" i="63" s="1"/>
  <c r="AC463" i="63" l="1"/>
  <c r="M463" i="63"/>
  <c r="O463" i="63" s="1"/>
  <c r="AE462" i="63"/>
  <c r="AF462" i="63" s="1"/>
  <c r="T463" i="63"/>
  <c r="R463" i="63"/>
  <c r="D469" i="63"/>
  <c r="F469" i="63" s="1"/>
  <c r="H469" i="63"/>
  <c r="AG463" i="63" l="1"/>
  <c r="AJ463" i="63" s="1"/>
  <c r="AL463" i="63"/>
  <c r="AD463" i="63"/>
  <c r="L463" i="63"/>
  <c r="I463" i="63"/>
  <c r="S463" i="63"/>
  <c r="V463" i="63" s="1"/>
  <c r="AA463" i="63" s="1"/>
  <c r="A469" i="63"/>
  <c r="C470" i="63"/>
  <c r="B470" i="63"/>
  <c r="N463" i="63" l="1"/>
  <c r="P463" i="63"/>
  <c r="U463" i="63"/>
  <c r="Q469" i="63"/>
  <c r="E470" i="63"/>
  <c r="G470" i="63" s="1"/>
  <c r="AK463" i="63" l="1"/>
  <c r="AH463" i="63"/>
  <c r="J464" i="63"/>
  <c r="K464" i="63"/>
  <c r="AM463" i="63"/>
  <c r="D470" i="63"/>
  <c r="F470" i="63" s="1"/>
  <c r="Z463" i="63"/>
  <c r="Y463" i="63"/>
  <c r="AB463" i="63"/>
  <c r="H470" i="63"/>
  <c r="AC464" i="63" l="1"/>
  <c r="M464" i="63"/>
  <c r="O464" i="63" s="1"/>
  <c r="AE463" i="63"/>
  <c r="AF463" i="63" s="1"/>
  <c r="T464" i="63"/>
  <c r="R464" i="63"/>
  <c r="C471" i="63"/>
  <c r="A470" i="63"/>
  <c r="B471" i="63"/>
  <c r="AG464" i="63" l="1"/>
  <c r="AJ464" i="63" s="1"/>
  <c r="AD464" i="63"/>
  <c r="AL464" i="63"/>
  <c r="I464" i="63"/>
  <c r="S464" i="63"/>
  <c r="V464" i="63" s="1"/>
  <c r="L464" i="63"/>
  <c r="E471" i="63"/>
  <c r="G471" i="63" s="1"/>
  <c r="Q470" i="63"/>
  <c r="AA464" i="63" l="1"/>
  <c r="U464" i="63"/>
  <c r="N464" i="63"/>
  <c r="P464" i="63"/>
  <c r="D471" i="63"/>
  <c r="AH464" i="63" l="1"/>
  <c r="K465" i="63"/>
  <c r="J465" i="63"/>
  <c r="AM464" i="63"/>
  <c r="AK464" i="63"/>
  <c r="Y464" i="63"/>
  <c r="Z464" i="63"/>
  <c r="AB464" i="63"/>
  <c r="F471" i="63"/>
  <c r="H471" i="63"/>
  <c r="AE464" i="63" l="1"/>
  <c r="AF464" i="63" s="1"/>
  <c r="T465" i="63"/>
  <c r="AD465" i="63" s="1"/>
  <c r="R465" i="63"/>
  <c r="AC465" i="63"/>
  <c r="M465" i="63"/>
  <c r="O465" i="63" s="1"/>
  <c r="A471" i="63"/>
  <c r="B472" i="63"/>
  <c r="C472" i="63"/>
  <c r="S465" i="63" l="1"/>
  <c r="V465" i="63" s="1"/>
  <c r="AA465" i="63" s="1"/>
  <c r="I465" i="63"/>
  <c r="AL465" i="63"/>
  <c r="AG465" i="63"/>
  <c r="AJ465" i="63" s="1"/>
  <c r="U465" i="63"/>
  <c r="L465" i="63"/>
  <c r="E472" i="63"/>
  <c r="G472" i="63" s="1"/>
  <c r="Q471" i="63"/>
  <c r="N465" i="63" l="1"/>
  <c r="P465" i="63"/>
  <c r="Z465" i="63"/>
  <c r="Y465" i="63"/>
  <c r="AB465" i="63"/>
  <c r="D472" i="63"/>
  <c r="F472" i="63" s="1"/>
  <c r="AE465" i="63" l="1"/>
  <c r="AF465" i="63" s="1"/>
  <c r="T466" i="63"/>
  <c r="R466" i="63"/>
  <c r="H472" i="63"/>
  <c r="A472" i="63" s="1"/>
  <c r="AH465" i="63"/>
  <c r="J466" i="63"/>
  <c r="AM465" i="63"/>
  <c r="AK465" i="63"/>
  <c r="K466" i="63"/>
  <c r="C473" i="63"/>
  <c r="AC466" i="63" l="1"/>
  <c r="M466" i="63"/>
  <c r="O466" i="63" s="1"/>
  <c r="AG466" i="63"/>
  <c r="AJ466" i="63" s="1"/>
  <c r="AL466" i="63"/>
  <c r="B473" i="63"/>
  <c r="AD466" i="63"/>
  <c r="E473" i="63"/>
  <c r="G473" i="63" s="1"/>
  <c r="Q472" i="63"/>
  <c r="D473" i="63" l="1"/>
  <c r="F473" i="63" s="1"/>
  <c r="L466" i="63"/>
  <c r="I466" i="63"/>
  <c r="S466" i="63"/>
  <c r="V466" i="63" s="1"/>
  <c r="H473" i="63"/>
  <c r="AA466" i="63" l="1"/>
  <c r="U466" i="63"/>
  <c r="N466" i="63"/>
  <c r="P466" i="63"/>
  <c r="A473" i="63"/>
  <c r="C474" i="63"/>
  <c r="B474" i="63"/>
  <c r="Z466" i="63" l="1"/>
  <c r="Y466" i="63"/>
  <c r="AB466" i="63"/>
  <c r="J467" i="63"/>
  <c r="AM466" i="63"/>
  <c r="AK466" i="63"/>
  <c r="AH466" i="63"/>
  <c r="K467" i="63"/>
  <c r="E474" i="63"/>
  <c r="G474" i="63" s="1"/>
  <c r="Q473" i="63"/>
  <c r="M467" i="63" l="1"/>
  <c r="O467" i="63" s="1"/>
  <c r="AC467" i="63"/>
  <c r="T467" i="63"/>
  <c r="AE466" i="63"/>
  <c r="AF466" i="63" s="1"/>
  <c r="R467" i="63"/>
  <c r="D474" i="63"/>
  <c r="AL467" i="63" l="1"/>
  <c r="AG467" i="63"/>
  <c r="AJ467" i="63" s="1"/>
  <c r="S467" i="63"/>
  <c r="V467" i="63" s="1"/>
  <c r="I467" i="63"/>
  <c r="AD467" i="63"/>
  <c r="L467" i="63"/>
  <c r="F474" i="63"/>
  <c r="H474" i="63"/>
  <c r="AA467" i="63" l="1"/>
  <c r="U467" i="63"/>
  <c r="N467" i="63"/>
  <c r="P467" i="63"/>
  <c r="C475" i="63"/>
  <c r="B475" i="63"/>
  <c r="E475" i="63" s="1"/>
  <c r="G475" i="63" s="1"/>
  <c r="A474" i="63"/>
  <c r="Q474" i="63" s="1"/>
  <c r="AH467" i="63" l="1"/>
  <c r="J468" i="63"/>
  <c r="AM467" i="63"/>
  <c r="AK467" i="63"/>
  <c r="K468" i="63"/>
  <c r="Y467" i="63"/>
  <c r="Z467" i="63"/>
  <c r="AB467" i="63"/>
  <c r="D475" i="63"/>
  <c r="F475" i="63"/>
  <c r="H475" i="63"/>
  <c r="AE467" i="63" l="1"/>
  <c r="AF467" i="63" s="1"/>
  <c r="T468" i="63"/>
  <c r="R468" i="63"/>
  <c r="AD468" i="63"/>
  <c r="AC468" i="63"/>
  <c r="M468" i="63"/>
  <c r="O468" i="63" s="1"/>
  <c r="C476" i="63"/>
  <c r="A475" i="63"/>
  <c r="B476" i="63"/>
  <c r="L468" i="63" l="1"/>
  <c r="AL468" i="63"/>
  <c r="AG468" i="63"/>
  <c r="AJ468" i="63" s="1"/>
  <c r="I468" i="63"/>
  <c r="S468" i="63"/>
  <c r="V468" i="63" s="1"/>
  <c r="E476" i="63"/>
  <c r="G476" i="63" s="1"/>
  <c r="Q475" i="63"/>
  <c r="AA468" i="63" l="1"/>
  <c r="U468" i="63"/>
  <c r="N468" i="63"/>
  <c r="P468" i="63"/>
  <c r="D476" i="63"/>
  <c r="AM468" i="63" l="1"/>
  <c r="AK468" i="63"/>
  <c r="K469" i="63"/>
  <c r="AH468" i="63"/>
  <c r="J469" i="63"/>
  <c r="Z468" i="63"/>
  <c r="Y468" i="63"/>
  <c r="AB468" i="63"/>
  <c r="F476" i="63"/>
  <c r="H476" i="63"/>
  <c r="AE468" i="63" l="1"/>
  <c r="AF468" i="63" s="1"/>
  <c r="T469" i="63"/>
  <c r="R469" i="63"/>
  <c r="AC469" i="63"/>
  <c r="M469" i="63"/>
  <c r="O469" i="63" s="1"/>
  <c r="C477" i="63"/>
  <c r="A476" i="63"/>
  <c r="B477" i="63"/>
  <c r="I469" i="63" l="1"/>
  <c r="S469" i="63"/>
  <c r="V469" i="63" s="1"/>
  <c r="AL469" i="63"/>
  <c r="AG469" i="63"/>
  <c r="AJ469" i="63" s="1"/>
  <c r="AD469" i="63"/>
  <c r="L469" i="63"/>
  <c r="Q476" i="63"/>
  <c r="E477" i="63"/>
  <c r="G477" i="63" s="1"/>
  <c r="AA469" i="63" l="1"/>
  <c r="U469" i="63"/>
  <c r="N469" i="63"/>
  <c r="P469" i="63"/>
  <c r="D477" i="63"/>
  <c r="F477" i="63" s="1"/>
  <c r="AH469" i="63" l="1"/>
  <c r="AK469" i="63"/>
  <c r="K470" i="63"/>
  <c r="J470" i="63"/>
  <c r="AM469" i="63"/>
  <c r="H477" i="63"/>
  <c r="C478" i="63" s="1"/>
  <c r="Y469" i="63"/>
  <c r="Z469" i="63"/>
  <c r="AB469" i="63"/>
  <c r="M470" i="63" l="1"/>
  <c r="O470" i="63" s="1"/>
  <c r="AC470" i="63"/>
  <c r="A477" i="63"/>
  <c r="B478" i="63"/>
  <c r="E478" i="63" s="1"/>
  <c r="G478" i="63" s="1"/>
  <c r="L470" i="63"/>
  <c r="N470" i="63" s="1"/>
  <c r="AD470" i="63"/>
  <c r="R470" i="63"/>
  <c r="AE469" i="63"/>
  <c r="AF469" i="63" s="1"/>
  <c r="T470" i="63"/>
  <c r="Q477" i="63"/>
  <c r="P470" i="63" l="1"/>
  <c r="AG470" i="63"/>
  <c r="AJ470" i="63" s="1"/>
  <c r="I470" i="63"/>
  <c r="S470" i="63"/>
  <c r="V470" i="63"/>
  <c r="AA470" i="63" s="1"/>
  <c r="AL470" i="63"/>
  <c r="D478" i="63"/>
  <c r="U470" i="63" l="1"/>
  <c r="AK470" i="63"/>
  <c r="AM470" i="63"/>
  <c r="AH470" i="63"/>
  <c r="J471" i="63"/>
  <c r="K471" i="63"/>
  <c r="F478" i="63"/>
  <c r="H478" i="63"/>
  <c r="AC471" i="63" l="1"/>
  <c r="M471" i="63"/>
  <c r="O471" i="63" s="1"/>
  <c r="Z470" i="63"/>
  <c r="Y470" i="63"/>
  <c r="AB470" i="63"/>
  <c r="C479" i="63"/>
  <c r="A478" i="63"/>
  <c r="B479" i="63"/>
  <c r="T471" i="63" l="1"/>
  <c r="R471" i="63"/>
  <c r="AE470" i="63"/>
  <c r="AF470" i="63" s="1"/>
  <c r="I471" i="63"/>
  <c r="S471" i="63"/>
  <c r="L471" i="63"/>
  <c r="Q478" i="63"/>
  <c r="E479" i="63"/>
  <c r="G479" i="63" s="1"/>
  <c r="N471" i="63" l="1"/>
  <c r="P471" i="63"/>
  <c r="AL471" i="63"/>
  <c r="V471" i="63"/>
  <c r="AA471" i="63" s="1"/>
  <c r="AG471" i="63"/>
  <c r="AJ471" i="63" s="1"/>
  <c r="U471" i="63"/>
  <c r="AD471" i="63"/>
  <c r="D479" i="63"/>
  <c r="Z471" i="63" l="1"/>
  <c r="Y471" i="63"/>
  <c r="AB471" i="63"/>
  <c r="AK471" i="63"/>
  <c r="AM471" i="63"/>
  <c r="J472" i="63"/>
  <c r="AH471" i="63"/>
  <c r="K472" i="63"/>
  <c r="F479" i="63"/>
  <c r="H479" i="63"/>
  <c r="AC472" i="63" l="1"/>
  <c r="M472" i="63"/>
  <c r="O472" i="63" s="1"/>
  <c r="L472" i="63"/>
  <c r="N472" i="63" s="1"/>
  <c r="R472" i="63"/>
  <c r="AE471" i="63"/>
  <c r="AF471" i="63" s="1"/>
  <c r="T472" i="63"/>
  <c r="C480" i="63"/>
  <c r="A479" i="63"/>
  <c r="B480" i="63"/>
  <c r="AG472" i="63" l="1"/>
  <c r="AJ472" i="63" s="1"/>
  <c r="P472" i="63"/>
  <c r="AL472" i="63"/>
  <c r="AD472" i="63"/>
  <c r="I472" i="63"/>
  <c r="S472" i="63"/>
  <c r="V472" i="63" s="1"/>
  <c r="Q479" i="63"/>
  <c r="E480" i="63"/>
  <c r="G480" i="63" s="1"/>
  <c r="AA472" i="63" l="1"/>
  <c r="U472" i="63"/>
  <c r="AM472" i="63"/>
  <c r="AH472" i="63"/>
  <c r="J473" i="63"/>
  <c r="AK472" i="63"/>
  <c r="K473" i="63"/>
  <c r="D480" i="63"/>
  <c r="F480" i="63" s="1"/>
  <c r="H480" i="63" l="1"/>
  <c r="A480" i="63" s="1"/>
  <c r="M473" i="63"/>
  <c r="O473" i="63" s="1"/>
  <c r="AC473" i="63"/>
  <c r="AB472" i="63"/>
  <c r="Y472" i="63"/>
  <c r="Z472" i="63"/>
  <c r="C481" i="63"/>
  <c r="B481" i="63" l="1"/>
  <c r="L473" i="63"/>
  <c r="AE472" i="63"/>
  <c r="AF472" i="63" s="1"/>
  <c r="R473" i="63"/>
  <c r="T473" i="63"/>
  <c r="I473" i="63"/>
  <c r="S473" i="63"/>
  <c r="V473" i="63" s="1"/>
  <c r="AA473" i="63" s="1"/>
  <c r="E481" i="63"/>
  <c r="G481" i="63" s="1"/>
  <c r="Q480" i="63"/>
  <c r="N473" i="63" l="1"/>
  <c r="P473" i="63"/>
  <c r="AL473" i="63"/>
  <c r="AG473" i="63"/>
  <c r="AJ473" i="63" s="1"/>
  <c r="U473" i="63"/>
  <c r="AD473" i="63"/>
  <c r="D481" i="63"/>
  <c r="F481" i="63" s="1"/>
  <c r="Z473" i="63" l="1"/>
  <c r="Y473" i="63"/>
  <c r="AB473" i="63"/>
  <c r="H481" i="63"/>
  <c r="AM473" i="63"/>
  <c r="AH473" i="63"/>
  <c r="K474" i="63"/>
  <c r="AK473" i="63"/>
  <c r="J474" i="63"/>
  <c r="B482" i="63"/>
  <c r="A481" i="63"/>
  <c r="C482" i="63"/>
  <c r="AE473" i="63" l="1"/>
  <c r="AF473" i="63" s="1"/>
  <c r="T474" i="63"/>
  <c r="R474" i="63"/>
  <c r="AC474" i="63"/>
  <c r="M474" i="63"/>
  <c r="O474" i="63" s="1"/>
  <c r="E482" i="63"/>
  <c r="G482" i="63" s="1"/>
  <c r="Q481" i="63"/>
  <c r="S474" i="63" l="1"/>
  <c r="V474" i="63" s="1"/>
  <c r="AA474" i="63" s="1"/>
  <c r="I474" i="63"/>
  <c r="AL474" i="63"/>
  <c r="AG474" i="63"/>
  <c r="AJ474" i="63" s="1"/>
  <c r="U474" i="63"/>
  <c r="L474" i="63"/>
  <c r="AD474" i="63"/>
  <c r="D482" i="63"/>
  <c r="N474" i="63" l="1"/>
  <c r="P474" i="63"/>
  <c r="Z474" i="63"/>
  <c r="Y474" i="63"/>
  <c r="AB474" i="63"/>
  <c r="F482" i="63"/>
  <c r="H482" i="63"/>
  <c r="R475" i="63" l="1"/>
  <c r="AE474" i="63"/>
  <c r="AF474" i="63" s="1"/>
  <c r="T475" i="63"/>
  <c r="K475" i="63"/>
  <c r="AK474" i="63"/>
  <c r="J475" i="63"/>
  <c r="AH474" i="63"/>
  <c r="AM474" i="63"/>
  <c r="B483" i="63"/>
  <c r="A482" i="63"/>
  <c r="C483" i="63"/>
  <c r="AC475" i="63" l="1"/>
  <c r="M475" i="63"/>
  <c r="O475" i="63" s="1"/>
  <c r="AD475" i="63"/>
  <c r="L475" i="63"/>
  <c r="N475" i="63" s="1"/>
  <c r="AG475" i="63"/>
  <c r="AJ475" i="63" s="1"/>
  <c r="AL475" i="63"/>
  <c r="Q482" i="63"/>
  <c r="E483" i="63"/>
  <c r="G483" i="63" s="1"/>
  <c r="P475" i="63" l="1"/>
  <c r="S475" i="63"/>
  <c r="V475" i="63" s="1"/>
  <c r="I475" i="63"/>
  <c r="D483" i="63"/>
  <c r="F483" i="63" s="1"/>
  <c r="H483" i="63"/>
  <c r="AA475" i="63" l="1"/>
  <c r="U475" i="63"/>
  <c r="AK475" i="63"/>
  <c r="AM475" i="63"/>
  <c r="K476" i="63"/>
  <c r="J476" i="63"/>
  <c r="AH475" i="63"/>
  <c r="C484" i="63"/>
  <c r="A483" i="63"/>
  <c r="B484" i="63"/>
  <c r="Z475" i="63" l="1"/>
  <c r="Y475" i="63"/>
  <c r="AB475" i="63"/>
  <c r="AC476" i="63"/>
  <c r="M476" i="63"/>
  <c r="O476" i="63" s="1"/>
  <c r="E484" i="63"/>
  <c r="G484" i="63" s="1"/>
  <c r="Q483" i="63"/>
  <c r="S476" i="63" l="1"/>
  <c r="I476" i="63"/>
  <c r="R476" i="63"/>
  <c r="AE475" i="63"/>
  <c r="AF475" i="63" s="1"/>
  <c r="T476" i="63"/>
  <c r="L476" i="63"/>
  <c r="D484" i="63"/>
  <c r="F484" i="63" s="1"/>
  <c r="H484" i="63" l="1"/>
  <c r="N476" i="63"/>
  <c r="P476" i="63"/>
  <c r="AG476" i="63"/>
  <c r="AJ476" i="63" s="1"/>
  <c r="U476" i="63"/>
  <c r="AD476" i="63"/>
  <c r="AL476" i="63"/>
  <c r="AB476" i="63"/>
  <c r="V476" i="63"/>
  <c r="AA476" i="63" s="1"/>
  <c r="B485" i="63"/>
  <c r="C485" i="63"/>
  <c r="A484" i="63"/>
  <c r="J477" i="63" l="1"/>
  <c r="AH476" i="63"/>
  <c r="K477" i="63"/>
  <c r="AK476" i="63"/>
  <c r="AM476" i="63"/>
  <c r="R477" i="63"/>
  <c r="T477" i="63"/>
  <c r="AE476" i="63"/>
  <c r="AF476" i="63" s="1"/>
  <c r="Z476" i="63"/>
  <c r="Y476" i="63"/>
  <c r="Q484" i="63"/>
  <c r="E485" i="63"/>
  <c r="G485" i="63" s="1"/>
  <c r="AG477" i="63" l="1"/>
  <c r="AJ477" i="63" s="1"/>
  <c r="AL477" i="63"/>
  <c r="AD477" i="63"/>
  <c r="AC477" i="63"/>
  <c r="M477" i="63"/>
  <c r="O477" i="63" s="1"/>
  <c r="D485" i="63"/>
  <c r="L477" i="63" l="1"/>
  <c r="N477" i="63" s="1"/>
  <c r="S477" i="63"/>
  <c r="V477" i="63" s="1"/>
  <c r="I477" i="63"/>
  <c r="P477" i="63"/>
  <c r="F485" i="63"/>
  <c r="H485" i="63"/>
  <c r="K478" i="63" l="1"/>
  <c r="J478" i="63"/>
  <c r="AM477" i="63"/>
  <c r="AH477" i="63"/>
  <c r="AK477" i="63"/>
  <c r="AA477" i="63"/>
  <c r="U477" i="63"/>
  <c r="B486" i="63"/>
  <c r="C486" i="63"/>
  <c r="A485" i="63"/>
  <c r="M478" i="63" l="1"/>
  <c r="O478" i="63" s="1"/>
  <c r="AC478" i="63"/>
  <c r="Z477" i="63"/>
  <c r="Y477" i="63"/>
  <c r="AB477" i="63"/>
  <c r="Q485" i="63"/>
  <c r="D486" i="63"/>
  <c r="F486" i="63" s="1"/>
  <c r="E486" i="63"/>
  <c r="G486" i="63" s="1"/>
  <c r="AE477" i="63" l="1"/>
  <c r="AF477" i="63" s="1"/>
  <c r="T478" i="63"/>
  <c r="R478" i="63"/>
  <c r="S478" i="63"/>
  <c r="V478" i="63" s="1"/>
  <c r="AA478" i="63" s="1"/>
  <c r="I478" i="63"/>
  <c r="H486" i="63"/>
  <c r="C487" i="63" s="1"/>
  <c r="L478" i="63"/>
  <c r="B487" i="63"/>
  <c r="A486" i="63"/>
  <c r="N478" i="63" l="1"/>
  <c r="P478" i="63"/>
  <c r="AL478" i="63"/>
  <c r="AG478" i="63"/>
  <c r="AJ478" i="63" s="1"/>
  <c r="U478" i="63"/>
  <c r="AD478" i="63"/>
  <c r="Q486" i="63"/>
  <c r="E487" i="63"/>
  <c r="G487" i="63" s="1"/>
  <c r="Y478" i="63" l="1"/>
  <c r="Z478" i="63"/>
  <c r="AB478" i="63"/>
  <c r="AM478" i="63"/>
  <c r="AK478" i="63"/>
  <c r="AH478" i="63"/>
  <c r="K479" i="63"/>
  <c r="J479" i="63"/>
  <c r="D487" i="63"/>
  <c r="F487" i="63" s="1"/>
  <c r="H487" i="63"/>
  <c r="AC479" i="63" l="1"/>
  <c r="M479" i="63"/>
  <c r="O479" i="63" s="1"/>
  <c r="AE478" i="63"/>
  <c r="AF478" i="63" s="1"/>
  <c r="R479" i="63"/>
  <c r="T479" i="63"/>
  <c r="AD479" i="63" s="1"/>
  <c r="L479" i="63"/>
  <c r="N479" i="63" s="1"/>
  <c r="C488" i="63"/>
  <c r="A487" i="63"/>
  <c r="B488" i="63"/>
  <c r="AG479" i="63" l="1"/>
  <c r="AJ479" i="63" s="1"/>
  <c r="AL479" i="63"/>
  <c r="P479" i="63"/>
  <c r="S479" i="63"/>
  <c r="V479" i="63" s="1"/>
  <c r="I479" i="63"/>
  <c r="E488" i="63"/>
  <c r="G488" i="63" s="1"/>
  <c r="Q487" i="63"/>
  <c r="AA479" i="63" l="1"/>
  <c r="U479" i="63"/>
  <c r="AK479" i="63"/>
  <c r="K480" i="63"/>
  <c r="AM479" i="63"/>
  <c r="J480" i="63"/>
  <c r="AH479" i="63"/>
  <c r="D488" i="63"/>
  <c r="F488" i="63" s="1"/>
  <c r="H488" i="63" l="1"/>
  <c r="M480" i="63"/>
  <c r="O480" i="63" s="1"/>
  <c r="AC480" i="63"/>
  <c r="L480" i="63"/>
  <c r="N480" i="63" s="1"/>
  <c r="Z479" i="63"/>
  <c r="Y479" i="63"/>
  <c r="AB479" i="63"/>
  <c r="B489" i="63"/>
  <c r="A488" i="63"/>
  <c r="C489" i="63"/>
  <c r="P480" i="63" l="1"/>
  <c r="S480" i="63"/>
  <c r="I480" i="63"/>
  <c r="AE479" i="63"/>
  <c r="AF479" i="63" s="1"/>
  <c r="R480" i="63"/>
  <c r="T480" i="63"/>
  <c r="E489" i="63"/>
  <c r="G489" i="63" s="1"/>
  <c r="Q488" i="63"/>
  <c r="AG480" i="63" l="1"/>
  <c r="AJ480" i="63" s="1"/>
  <c r="AD480" i="63"/>
  <c r="AL480" i="63"/>
  <c r="V480" i="63"/>
  <c r="AA480" i="63" s="1"/>
  <c r="AK480" i="63"/>
  <c r="AH480" i="63"/>
  <c r="K481" i="63"/>
  <c r="AM480" i="63"/>
  <c r="J481" i="63"/>
  <c r="D489" i="63"/>
  <c r="M481" i="63" l="1"/>
  <c r="O481" i="63" s="1"/>
  <c r="AC481" i="63"/>
  <c r="U480" i="63"/>
  <c r="L481" i="63"/>
  <c r="F489" i="63"/>
  <c r="H489" i="63"/>
  <c r="N481" i="63" l="1"/>
  <c r="P481" i="63"/>
  <c r="S481" i="63"/>
  <c r="I481" i="63"/>
  <c r="Y480" i="63"/>
  <c r="Z480" i="63"/>
  <c r="AB480" i="63"/>
  <c r="B490" i="63"/>
  <c r="A489" i="63"/>
  <c r="C490" i="63"/>
  <c r="R481" i="63" l="1"/>
  <c r="AE480" i="63"/>
  <c r="AF480" i="63" s="1"/>
  <c r="T481" i="63"/>
  <c r="J482" i="63"/>
  <c r="AH481" i="63"/>
  <c r="K482" i="63"/>
  <c r="AK481" i="63"/>
  <c r="AM481" i="63"/>
  <c r="Q489" i="63"/>
  <c r="E490" i="63"/>
  <c r="G490" i="63" s="1"/>
  <c r="AC482" i="63" l="1"/>
  <c r="M482" i="63"/>
  <c r="O482" i="63" s="1"/>
  <c r="AG481" i="63"/>
  <c r="AJ481" i="63" s="1"/>
  <c r="AD481" i="63"/>
  <c r="V481" i="63"/>
  <c r="AA481" i="63" s="1"/>
  <c r="AL481" i="63"/>
  <c r="D490" i="63"/>
  <c r="S482" i="63" l="1"/>
  <c r="I482" i="63"/>
  <c r="U481" i="63"/>
  <c r="L482" i="63"/>
  <c r="F490" i="63"/>
  <c r="H490" i="63"/>
  <c r="A490" i="63" s="1"/>
  <c r="N482" i="63" l="1"/>
  <c r="P482" i="63"/>
  <c r="Z481" i="63"/>
  <c r="Y481" i="63"/>
  <c r="AB481" i="63"/>
  <c r="Q490" i="63"/>
  <c r="T482" i="63" l="1"/>
  <c r="AE481" i="63"/>
  <c r="AF481" i="63" s="1"/>
  <c r="R482" i="63"/>
  <c r="J483" i="63"/>
  <c r="AH482" i="63"/>
  <c r="K483" i="63"/>
  <c r="AK482" i="63"/>
  <c r="AM482" i="63"/>
  <c r="AC483" i="63" l="1"/>
  <c r="M483" i="63"/>
  <c r="O483" i="63" s="1"/>
  <c r="AL482" i="63"/>
  <c r="V482" i="63"/>
  <c r="AA482" i="63" s="1"/>
  <c r="L483" i="63"/>
  <c r="AG482" i="63"/>
  <c r="AJ482" i="63" s="1"/>
  <c r="AD482" i="63"/>
  <c r="N483" i="63" l="1"/>
  <c r="P483" i="63"/>
  <c r="I483" i="63"/>
  <c r="S483" i="63"/>
  <c r="U482" i="63"/>
  <c r="J484" i="63" l="1"/>
  <c r="AM483" i="63"/>
  <c r="AK483" i="63"/>
  <c r="AH483" i="63"/>
  <c r="K484" i="63"/>
  <c r="Z482" i="63"/>
  <c r="Y482" i="63"/>
  <c r="AB482" i="63"/>
  <c r="R483" i="63" l="1"/>
  <c r="AE482" i="63"/>
  <c r="AF482" i="63" s="1"/>
  <c r="T483" i="63"/>
  <c r="AC484" i="63"/>
  <c r="M484" i="63"/>
  <c r="AG483" i="63" l="1"/>
  <c r="AJ483" i="63" s="1"/>
  <c r="AD483" i="63"/>
  <c r="U483" i="63"/>
  <c r="AB483" i="63" s="1"/>
  <c r="O484" i="63"/>
  <c r="L484" i="63"/>
  <c r="I484" i="63"/>
  <c r="S484" i="63"/>
  <c r="AL483" i="63"/>
  <c r="V483" i="63"/>
  <c r="AA483" i="63" s="1"/>
  <c r="T484" i="63" l="1"/>
  <c r="R484" i="63"/>
  <c r="AE483" i="63"/>
  <c r="AF483" i="63" s="1"/>
  <c r="N484" i="63"/>
  <c r="P484" i="63"/>
  <c r="Z483" i="63"/>
  <c r="Y483" i="63"/>
  <c r="AH484" i="63" l="1"/>
  <c r="K485" i="63"/>
  <c r="AK484" i="63"/>
  <c r="AM484" i="63"/>
  <c r="J485" i="63"/>
  <c r="V484" i="63"/>
  <c r="AA484" i="63" s="1"/>
  <c r="AL484" i="63"/>
  <c r="AG484" i="63"/>
  <c r="AJ484" i="63" s="1"/>
  <c r="AD484" i="63"/>
  <c r="M485" i="63" l="1"/>
  <c r="AC485" i="63"/>
  <c r="U484" i="63"/>
  <c r="I485" i="63" l="1"/>
  <c r="S485" i="63"/>
  <c r="Z484" i="63"/>
  <c r="Y484" i="63"/>
  <c r="AB484" i="63"/>
  <c r="O485" i="63"/>
  <c r="L485" i="63"/>
  <c r="R485" i="63" l="1"/>
  <c r="AE484" i="63"/>
  <c r="AF484" i="63" s="1"/>
  <c r="T485" i="63"/>
  <c r="P485" i="63"/>
  <c r="N485" i="63"/>
  <c r="V485" i="63"/>
  <c r="AA485" i="63" s="1"/>
  <c r="J486" i="63" l="1"/>
  <c r="K486" i="63"/>
  <c r="AM485" i="63"/>
  <c r="AK485" i="63"/>
  <c r="AH485" i="63"/>
  <c r="AG485" i="63"/>
  <c r="AJ485" i="63" s="1"/>
  <c r="AD485" i="63"/>
  <c r="U485" i="63"/>
  <c r="AL485" i="63"/>
  <c r="Y485" i="63" l="1"/>
  <c r="Z485" i="63"/>
  <c r="AB485" i="63"/>
  <c r="AC486" i="63"/>
  <c r="M486" i="63"/>
  <c r="O486" i="63" l="1"/>
  <c r="L486" i="63"/>
  <c r="T486" i="63"/>
  <c r="AE485" i="63"/>
  <c r="AF485" i="63" s="1"/>
  <c r="R486" i="63"/>
  <c r="AL486" i="63" s="1"/>
  <c r="I486" i="63"/>
  <c r="S486" i="63"/>
  <c r="V486" i="63" s="1"/>
  <c r="AA486" i="63" s="1"/>
  <c r="AD486" i="63" l="1"/>
  <c r="AG486" i="63"/>
  <c r="AJ486" i="63" s="1"/>
  <c r="U486" i="63"/>
  <c r="P486" i="63"/>
  <c r="N486" i="63"/>
  <c r="AH486" i="63" l="1"/>
  <c r="J487" i="63"/>
  <c r="AK486" i="63"/>
  <c r="AM486" i="63"/>
  <c r="K487" i="63"/>
  <c r="Z486" i="63"/>
  <c r="Y486" i="63"/>
  <c r="AB486" i="63"/>
  <c r="AE486" i="63" l="1"/>
  <c r="AF486" i="63" s="1"/>
  <c r="R487" i="63"/>
  <c r="T487" i="63"/>
  <c r="AG487" i="63" s="1"/>
  <c r="AJ487" i="63" s="1"/>
  <c r="AD487" i="63"/>
  <c r="M487" i="63"/>
  <c r="O487" i="63" s="1"/>
  <c r="AC487" i="63"/>
  <c r="L487" i="63" l="1"/>
  <c r="N487" i="63" s="1"/>
  <c r="I487" i="63"/>
  <c r="S487" i="63"/>
  <c r="P487" i="63"/>
  <c r="AH487" i="63" s="1"/>
  <c r="V487" i="63"/>
  <c r="AA487" i="63" s="1"/>
  <c r="AL487" i="63"/>
  <c r="AM487" i="63"/>
  <c r="K488" i="63" l="1"/>
  <c r="U487" i="63"/>
  <c r="AK487" i="63"/>
  <c r="J488" i="63"/>
  <c r="AC488" i="63" s="1"/>
  <c r="M488" i="63"/>
  <c r="O488" i="63" s="1"/>
  <c r="Z487" i="63" l="1"/>
  <c r="Y487" i="63"/>
  <c r="AB487" i="63"/>
  <c r="I488" i="63"/>
  <c r="S488" i="63"/>
  <c r="L488" i="63"/>
  <c r="T488" i="63" l="1"/>
  <c r="AE487" i="63"/>
  <c r="AF487" i="63" s="1"/>
  <c r="R488" i="63"/>
  <c r="N488" i="63"/>
  <c r="P488" i="63"/>
  <c r="AB7" i="63"/>
  <c r="AB8" i="63" s="1"/>
  <c r="AL4" i="63"/>
  <c r="AI5" i="63"/>
  <c r="AI3" i="63"/>
  <c r="AA10" i="63"/>
  <c r="AA9" i="63"/>
  <c r="AB10" i="63"/>
  <c r="AB9" i="63"/>
  <c r="AJ5" i="63"/>
  <c r="AK5" i="63"/>
  <c r="AI4" i="63"/>
  <c r="AK4" i="63"/>
  <c r="AJ4" i="63"/>
  <c r="AL5" i="63"/>
  <c r="V488" i="63" l="1"/>
  <c r="AL488" i="63"/>
  <c r="AG488" i="63"/>
  <c r="AJ488" i="63" s="1"/>
  <c r="AD488" i="63"/>
  <c r="AA11" i="63"/>
  <c r="AI6" i="63"/>
  <c r="J489" i="63"/>
  <c r="AM488" i="63"/>
  <c r="AK488" i="63"/>
  <c r="AH488" i="63"/>
  <c r="K489" i="63"/>
  <c r="AB11" i="63"/>
  <c r="AK3" i="63"/>
  <c r="AK6" i="63" s="1"/>
  <c r="AI8" i="63"/>
  <c r="AI10" i="63" s="1"/>
  <c r="AJ3" i="63"/>
  <c r="AJ6" i="63" s="1"/>
  <c r="AI9" i="63"/>
  <c r="F15" i="1" s="1"/>
  <c r="AL3" i="63"/>
  <c r="AL6" i="63" s="1"/>
  <c r="AA488" i="63" l="1"/>
  <c r="U488" i="63"/>
  <c r="AC489" i="63"/>
  <c r="M489" i="63"/>
  <c r="O489" i="63" s="1"/>
  <c r="F49" i="1"/>
  <c r="F50" i="1"/>
  <c r="G51" i="1" s="1"/>
  <c r="I53" i="1" s="1"/>
  <c r="J53" i="1" s="1"/>
  <c r="AB488" i="63" l="1"/>
  <c r="Y488" i="63"/>
  <c r="Z488" i="63"/>
  <c r="L489" i="63"/>
  <c r="N489" i="63" s="1"/>
  <c r="P489" i="63"/>
  <c r="S489" i="63"/>
  <c r="I489" i="63"/>
  <c r="K53" i="1"/>
  <c r="I71" i="1"/>
  <c r="I73" i="1"/>
  <c r="I74" i="1"/>
  <c r="J74" i="1" s="1"/>
  <c r="I72" i="1"/>
  <c r="J72" i="1" s="1"/>
  <c r="I75" i="1"/>
  <c r="R489" i="63" l="1"/>
  <c r="AL489" i="63" s="1"/>
  <c r="AE488" i="63"/>
  <c r="AF488" i="63" s="1"/>
  <c r="T489" i="63"/>
  <c r="AK489" i="63"/>
  <c r="J490" i="63"/>
  <c r="AM489" i="63"/>
  <c r="K490" i="63"/>
  <c r="AH489" i="63"/>
  <c r="K75" i="1"/>
  <c r="K77" i="1" s="1"/>
  <c r="J75" i="1"/>
  <c r="I76" i="1"/>
  <c r="I77" i="1" s="1"/>
  <c r="J71" i="1"/>
  <c r="J73" i="1"/>
  <c r="AG489" i="63" l="1"/>
  <c r="AJ489" i="63" s="1"/>
  <c r="AD489" i="63"/>
  <c r="V489" i="63"/>
  <c r="AC490" i="63"/>
  <c r="M490" i="63"/>
  <c r="O490" i="63" s="1"/>
  <c r="J54" i="1"/>
  <c r="J56" i="1" s="1"/>
  <c r="K54" i="1"/>
  <c r="K55" i="1" s="1"/>
  <c r="K56" i="1" s="1"/>
  <c r="J77" i="1"/>
  <c r="J76" i="1"/>
  <c r="AA489" i="63" l="1"/>
  <c r="U489" i="63"/>
  <c r="K57" i="1"/>
  <c r="D55" i="1" s="1"/>
  <c r="I490" i="63"/>
  <c r="S490" i="63"/>
  <c r="L490" i="63"/>
  <c r="O13" i="1"/>
  <c r="O14" i="1"/>
  <c r="C50" i="33" l="1"/>
  <c r="E50" i="33" s="1"/>
  <c r="G24" i="33"/>
  <c r="E26" i="33" s="1"/>
  <c r="G37" i="33"/>
  <c r="E40" i="33" s="1"/>
  <c r="E50" i="19"/>
  <c r="AB489" i="63"/>
  <c r="Y489" i="63"/>
  <c r="Z489" i="63"/>
  <c r="N490" i="63"/>
  <c r="P490" i="63"/>
  <c r="G50" i="33" l="1"/>
  <c r="E53" i="33" s="1"/>
  <c r="E27" i="33"/>
  <c r="E41" i="33"/>
  <c r="O57" i="19"/>
  <c r="C57" i="19"/>
  <c r="C50" i="19"/>
  <c r="C59" i="19" s="1"/>
  <c r="E60" i="19" s="1"/>
  <c r="D73" i="19" s="1"/>
  <c r="AE489" i="63"/>
  <c r="AF489" i="63" s="1"/>
  <c r="T490" i="63"/>
  <c r="R490" i="63"/>
  <c r="AH490" i="63"/>
  <c r="AM490" i="63"/>
  <c r="AK490" i="63"/>
  <c r="F50" i="33"/>
  <c r="E54" i="33" s="1"/>
  <c r="I42" i="33"/>
  <c r="AD490" i="63" l="1"/>
  <c r="AG490" i="63"/>
  <c r="AJ490" i="63" s="1"/>
  <c r="AL490" i="63"/>
  <c r="V490" i="63"/>
  <c r="AA490" i="63" s="1"/>
  <c r="AA491" i="63" s="1"/>
  <c r="AA492" i="63" s="1"/>
  <c r="AA493" i="63" s="1"/>
  <c r="AA494" i="63" s="1"/>
  <c r="AA495" i="63" s="1"/>
  <c r="AA496" i="63" s="1"/>
  <c r="AA497" i="63" s="1"/>
  <c r="AA498" i="63" s="1"/>
  <c r="AA499" i="63" s="1"/>
  <c r="AA500" i="63" s="1"/>
  <c r="AA501" i="63" s="1"/>
  <c r="AA502" i="63" s="1"/>
  <c r="AA503" i="63" s="1"/>
  <c r="AA504" i="63" s="1"/>
  <c r="AA505" i="63" s="1"/>
  <c r="AA506" i="63" s="1"/>
  <c r="AA507" i="63" s="1"/>
  <c r="AA508" i="63" s="1"/>
  <c r="AA509" i="63" s="1"/>
  <c r="AA510" i="63" s="1"/>
  <c r="AA511" i="63" s="1"/>
  <c r="AA512" i="63" s="1"/>
  <c r="AA513" i="63" s="1"/>
  <c r="AA514" i="63" s="1"/>
  <c r="AA515" i="63" s="1"/>
  <c r="AA516" i="63" s="1"/>
  <c r="AA517" i="63" s="1"/>
  <c r="AA518" i="63" s="1"/>
  <c r="AA519" i="63" s="1"/>
  <c r="AA520" i="63" s="1"/>
  <c r="AA521" i="63" s="1"/>
  <c r="AA522" i="63" s="1"/>
  <c r="AA523" i="63" s="1"/>
  <c r="AA524" i="63" s="1"/>
  <c r="AA525" i="63" s="1"/>
  <c r="AA526" i="63" s="1"/>
  <c r="AA527" i="63" s="1"/>
  <c r="AA528" i="63" s="1"/>
  <c r="AA529" i="63" s="1"/>
  <c r="AA530" i="63" s="1"/>
  <c r="AA531" i="63" s="1"/>
  <c r="AA532" i="63" s="1"/>
  <c r="AA533" i="63" s="1"/>
  <c r="AA534" i="63" s="1"/>
  <c r="AA535" i="63" s="1"/>
  <c r="AA536" i="63" s="1"/>
  <c r="AA537" i="63" s="1"/>
  <c r="AA538" i="63" s="1"/>
  <c r="AA539" i="63" s="1"/>
  <c r="AA540" i="63" s="1"/>
  <c r="AA541" i="63" s="1"/>
  <c r="AA542" i="63" s="1"/>
  <c r="AA543" i="63" s="1"/>
  <c r="U490" i="63" l="1"/>
  <c r="AD491" i="63"/>
  <c r="AD492" i="63" l="1"/>
  <c r="AF491" i="63"/>
  <c r="AB490" i="63"/>
  <c r="AE490" i="63" s="1"/>
  <c r="AF490" i="63" s="1"/>
  <c r="Y490" i="63"/>
  <c r="Z490" i="63"/>
  <c r="Z491" i="63" s="1"/>
  <c r="Z492" i="63" s="1"/>
  <c r="Z493" i="63" s="1"/>
  <c r="Z494" i="63" s="1"/>
  <c r="Z495" i="63" s="1"/>
  <c r="Z496" i="63" s="1"/>
  <c r="Z497" i="63" s="1"/>
  <c r="Z498" i="63" s="1"/>
  <c r="Z499" i="63" s="1"/>
  <c r="Z500" i="63" s="1"/>
  <c r="Z501" i="63" s="1"/>
  <c r="Z502" i="63" s="1"/>
  <c r="Z503" i="63" s="1"/>
  <c r="Z504" i="63" s="1"/>
  <c r="Z505" i="63" s="1"/>
  <c r="Z506" i="63" s="1"/>
  <c r="Z507" i="63" s="1"/>
  <c r="Z508" i="63" s="1"/>
  <c r="Z509" i="63" s="1"/>
  <c r="Z510" i="63" s="1"/>
  <c r="Z511" i="63" s="1"/>
  <c r="Z512" i="63" s="1"/>
  <c r="Z513" i="63" s="1"/>
  <c r="Z514" i="63" s="1"/>
  <c r="Z515" i="63" s="1"/>
  <c r="Z516" i="63" s="1"/>
  <c r="Z517" i="63" s="1"/>
  <c r="Z518" i="63" s="1"/>
  <c r="Z519" i="63" s="1"/>
  <c r="Z520" i="63" s="1"/>
  <c r="Z521" i="63" s="1"/>
  <c r="Z522" i="63" s="1"/>
  <c r="Z523" i="63" s="1"/>
  <c r="Z524" i="63" s="1"/>
  <c r="Z525" i="63" s="1"/>
  <c r="Z526" i="63" s="1"/>
  <c r="Z527" i="63" s="1"/>
  <c r="Z528" i="63" s="1"/>
  <c r="Z529" i="63" s="1"/>
  <c r="Z530" i="63" s="1"/>
  <c r="Z531" i="63" s="1"/>
  <c r="Z532" i="63" s="1"/>
  <c r="Z533" i="63" s="1"/>
  <c r="Z534" i="63" s="1"/>
  <c r="Z535" i="63" s="1"/>
  <c r="Z536" i="63" s="1"/>
  <c r="Z537" i="63" s="1"/>
  <c r="Z538" i="63" s="1"/>
  <c r="Z539" i="63" s="1"/>
  <c r="Z540" i="63" s="1"/>
  <c r="Z541" i="63" s="1"/>
  <c r="Z542" i="63" s="1"/>
  <c r="Z543" i="63" s="1"/>
  <c r="AF492" i="63" l="1"/>
  <c r="AD493" i="63"/>
  <c r="AF493" i="63" l="1"/>
  <c r="AD494" i="63"/>
  <c r="AD495" i="63" l="1"/>
  <c r="AF494" i="63"/>
  <c r="AD496" i="63" l="1"/>
  <c r="AF495" i="63"/>
  <c r="AF496" i="63" l="1"/>
  <c r="AD497" i="63"/>
  <c r="AF497" i="63" l="1"/>
  <c r="AD498" i="63"/>
  <c r="AF498" i="63" l="1"/>
  <c r="AD499" i="63"/>
  <c r="AD500" i="63" l="1"/>
  <c r="AF499" i="63"/>
  <c r="AF500" i="63" l="1"/>
  <c r="AD501" i="63"/>
  <c r="AF501" i="63" l="1"/>
  <c r="AD502" i="63"/>
  <c r="AF502" i="63" l="1"/>
  <c r="AD503" i="63"/>
  <c r="AF503" i="63" l="1"/>
  <c r="AD504" i="63"/>
  <c r="AD505" i="63" l="1"/>
  <c r="AF504" i="63"/>
  <c r="AF505" i="63" l="1"/>
  <c r="AD506" i="63"/>
  <c r="AD507" i="63" l="1"/>
  <c r="AF506" i="63"/>
  <c r="AF507" i="63" l="1"/>
  <c r="AD508" i="63"/>
  <c r="AD509" i="63" l="1"/>
  <c r="AF508" i="63"/>
  <c r="AD510" i="63" l="1"/>
  <c r="AF509" i="63"/>
  <c r="AD511" i="63" l="1"/>
  <c r="AF510" i="63"/>
  <c r="AF511" i="63" l="1"/>
  <c r="AD512" i="63"/>
  <c r="AF512" i="63" l="1"/>
  <c r="AD513" i="63"/>
  <c r="AF513" i="63" l="1"/>
  <c r="AD514" i="63"/>
  <c r="AD515" i="63" l="1"/>
  <c r="AF514" i="63"/>
  <c r="AF515" i="63" l="1"/>
  <c r="AD516" i="63"/>
  <c r="AF516" i="63" l="1"/>
  <c r="AD517" i="63"/>
  <c r="AF517" i="63" l="1"/>
  <c r="AD518" i="63"/>
  <c r="AF518" i="63" l="1"/>
  <c r="AD519" i="63"/>
  <c r="AF519" i="63" l="1"/>
  <c r="AD520" i="63"/>
  <c r="AF520" i="63" l="1"/>
  <c r="AD521" i="63"/>
  <c r="AF521" i="63" l="1"/>
  <c r="AD522" i="63"/>
  <c r="AD523" i="63" l="1"/>
  <c r="AF522" i="63"/>
  <c r="AF523" i="63" l="1"/>
  <c r="AD524" i="63"/>
  <c r="AF524" i="63" l="1"/>
  <c r="AD525" i="63"/>
  <c r="AF525" i="63" l="1"/>
  <c r="AD526" i="63"/>
  <c r="AF526" i="63" l="1"/>
  <c r="AD527" i="63"/>
  <c r="AF527" i="63" l="1"/>
  <c r="AD528" i="63"/>
  <c r="AF528" i="63" l="1"/>
  <c r="AD529" i="63"/>
  <c r="AD530" i="63" l="1"/>
  <c r="AF529" i="63"/>
  <c r="AD531" i="63" l="1"/>
  <c r="AF530" i="63"/>
  <c r="AF531" i="63" l="1"/>
  <c r="AD532" i="63"/>
  <c r="AF532" i="63" l="1"/>
  <c r="AD533" i="63"/>
  <c r="AD534" i="63" l="1"/>
  <c r="AF533" i="63"/>
  <c r="AF534" i="63" l="1"/>
  <c r="AD535" i="63"/>
  <c r="AD536" i="63" l="1"/>
  <c r="AF535" i="63"/>
  <c r="AF536" i="63" l="1"/>
  <c r="AD537" i="63"/>
  <c r="AF537" i="63" l="1"/>
  <c r="AD538" i="63"/>
  <c r="AD539" i="63" l="1"/>
  <c r="AF538" i="63"/>
  <c r="AD540" i="63" l="1"/>
  <c r="AF539" i="63"/>
  <c r="B104" i="64"/>
  <c r="AX2" i="64" s="1"/>
  <c r="B96" i="64"/>
  <c r="BB2" i="64" s="1"/>
  <c r="BM2" i="64"/>
  <c r="B97" i="64"/>
  <c r="B98" i="64" s="1"/>
  <c r="BD2" i="64" s="1"/>
  <c r="AF540" i="63" l="1"/>
  <c r="AD541" i="63"/>
  <c r="BC2" i="64"/>
  <c r="AF541" i="63" l="1"/>
  <c r="AD542" i="63"/>
  <c r="AF542" i="63" l="1"/>
  <c r="AD543" i="63"/>
  <c r="AF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<sst xmlns="http://schemas.openxmlformats.org/spreadsheetml/2006/main" count="1799" uniqueCount="1106">
  <si>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</si>
  <si>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</si>
  <si>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</si>
  <si>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</si>
  <si>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</si>
  <si>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</si>
  <si>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</si>
  <si>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</si>
  <si>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</si>
  <si>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</si>
  <si>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</si>
  <si>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</si>
  <si>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</si>
  <si>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</si>
  <si>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</si>
  <si>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</si>
  <si>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</si>
  <si>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</si>
  <si>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</si>
  <si>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</si>
  <si>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</si>
  <si>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</si>
  <si>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</si>
  <si>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</si>
  <si>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</si>
  <si>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</si>
  <si>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</si>
  <si>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</si>
  <si>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Mortgage Payment:</t>
  </si>
  <si>
    <t>Property Insurance</t>
  </si>
  <si>
    <t>HOA Fees (monthly)</t>
  </si>
  <si>
    <t>Electric</t>
  </si>
  <si>
    <t>water</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</si>
  <si>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</si>
  <si>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</si>
  <si>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</si>
  <si>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</si>
  <si>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</si>
  <si>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</si>
  <si>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</si>
  <si>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</si>
  <si>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</si>
  <si>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</si>
  <si>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</si>
  <si>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</si>
  <si>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</si>
  <si>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</si>
  <si>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</si>
  <si>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</si>
  <si>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</si>
  <si>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</si>
  <si>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</si>
  <si>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</si>
  <si>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</si>
  <si>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</si>
  <si>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</si>
  <si>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</si>
  <si>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</si>
  <si>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</si>
  <si>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</si>
  <si>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</si>
  <si>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</si>
  <si>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</si>
  <si>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</si>
  <si>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</si>
  <si>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</si>
  <si>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</si>
  <si>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</si>
  <si>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</si>
  <si>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</si>
  <si>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</si>
  <si>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</si>
  <si>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</si>
  <si>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</si>
  <si>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</si>
  <si>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</si>
  <si>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</si>
  <si>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</si>
  <si>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</si>
  <si>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</si>
  <si>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</si>
  <si>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</si>
  <si>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</si>
  <si>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</si>
  <si>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</si>
  <si>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</si>
  <si>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</si>
  <si>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</si>
  <si>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</si>
  <si>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</si>
  <si>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</si>
  <si>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</si>
  <si>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</si>
  <si>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</si>
  <si>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</si>
  <si>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</si>
  <si>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</si>
  <si>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</si>
  <si>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</si>
  <si>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</si>
  <si>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</si>
  <si>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</si>
  <si>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</si>
  <si>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</si>
  <si>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</si>
  <si>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</si>
  <si>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</si>
  <si>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</si>
  <si>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</si>
  <si>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</si>
  <si>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</si>
  <si>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</si>
  <si>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</si>
  <si>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</si>
  <si>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</si>
  <si>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</si>
  <si>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</si>
  <si>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</si>
  <si>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</si>
  <si>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</si>
  <si>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</si>
  <si>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</si>
  <si>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</si>
  <si>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</si>
  <si>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</si>
  <si>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</si>
  <si>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</si>
  <si>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</si>
  <si>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</si>
  <si>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</si>
  <si>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</si>
  <si>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</si>
  <si>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</si>
  <si>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</si>
  <si>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</si>
  <si>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</si>
  <si>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</si>
  <si>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</si>
  <si>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</si>
  <si>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</si>
  <si>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</si>
  <si>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</si>
  <si>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</si>
  <si>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3413 Pinetree Ln</t>
  </si>
  <si>
    <t>3021 Pearces Rd</t>
  </si>
  <si>
    <t>6004  Sandy Run</t>
  </si>
  <si>
    <t>3325 Banks</t>
  </si>
  <si>
    <t>2608 Alton</t>
  </si>
  <si>
    <t>202 Avery</t>
  </si>
  <si>
    <t>1900 Red Quartz</t>
  </si>
  <si>
    <t>120 Keith</t>
  </si>
  <si>
    <t>3007 Eric</t>
  </si>
  <si>
    <t>2153 Haig Point</t>
  </si>
  <si>
    <t>178 Patricia</t>
  </si>
  <si>
    <t>1201 Hazelnut</t>
  </si>
  <si>
    <t>1223 Roffler</t>
  </si>
  <si>
    <t>2025 Metacomet</t>
  </si>
  <si>
    <t xml:space="preserve">5619 Marthonna </t>
  </si>
  <si>
    <t>New Seller</t>
  </si>
  <si>
    <t>Purchase &amp; Sale Agreement</t>
  </si>
  <si>
    <t xml:space="preserve"> </t>
  </si>
  <si>
    <t>Letter of Authorization</t>
  </si>
  <si>
    <t>Reinstatement Quote</t>
  </si>
  <si>
    <t>Bank Acknowledgement</t>
  </si>
  <si>
    <t>On-Line Bank Access</t>
  </si>
  <si>
    <t>In progress</t>
  </si>
  <si>
    <t>Change Mail</t>
  </si>
  <si>
    <t>Bank Attorney letter of dismisal</t>
  </si>
  <si>
    <t>Get (orignal) Property Authorization(delete)</t>
  </si>
  <si>
    <t>After Purchase</t>
  </si>
  <si>
    <t>Insurance Claim for Roof</t>
  </si>
  <si>
    <t>Locks Changed</t>
  </si>
  <si>
    <t>Gas Service</t>
  </si>
  <si>
    <t>Electrical &amp; Water Service</t>
  </si>
  <si>
    <t>Rehab bids</t>
  </si>
  <si>
    <t>Order Dumpster</t>
  </si>
  <si>
    <t>A/C service</t>
  </si>
  <si>
    <t>Establish Mortgage payment</t>
  </si>
  <si>
    <t>Claim Property on Zillow</t>
  </si>
  <si>
    <t>Add property to Our Website</t>
  </si>
  <si>
    <t>Make sure deed and agreement are done</t>
  </si>
  <si>
    <t>Change Insurance</t>
  </si>
  <si>
    <t>Get Insurance payments installed</t>
  </si>
  <si>
    <t>Add Private Lender to Insurance</t>
  </si>
  <si>
    <t>Establish Estate</t>
  </si>
  <si>
    <t>Upon Sales Contract</t>
  </si>
  <si>
    <t>Get property on MLS</t>
  </si>
  <si>
    <t>Get Payoff Letter from Mortgage</t>
  </si>
  <si>
    <t>Respond to Closing Attorney</t>
  </si>
  <si>
    <t>Turn off utilities</t>
  </si>
  <si>
    <t>Alert Private Lenders</t>
  </si>
  <si>
    <t>Upon Closing</t>
  </si>
  <si>
    <t>Drop Insurance</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</si>
  <si>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</si>
  <si>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</si>
  <si>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</si>
  <si>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</si>
  <si>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</si>
  <si>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</si>
  <si>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</si>
  <si>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</si>
  <si>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</si>
  <si>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</si>
  <si>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</si>
  <si>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</si>
  <si>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</si>
  <si>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</si>
  <si>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</si>
  <si>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</si>
  <si>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</si>
  <si>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</si>
  <si>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</si>
  <si>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</si>
  <si>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</si>
  <si>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</si>
  <si>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</si>
  <si>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</si>
  <si>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</si>
  <si>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</si>
  <si>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</si>
  <si>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</si>
  <si>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</si>
  <si>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</si>
  <si>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</si>
  <si>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</si>
  <si>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</si>
  <si>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</si>
  <si>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</si>
  <si>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</si>
  <si>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</si>
  <si>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</si>
  <si>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</si>
  <si>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</si>
  <si>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</si>
  <si>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</si>
  <si>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</si>
  <si>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</si>
  <si>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</si>
  <si>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</si>
  <si>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</si>
  <si>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</si>
  <si>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</si>
  <si>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</si>
  <si>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</si>
  <si>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</si>
  <si>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</si>
  <si>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</si>
  <si>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</si>
  <si>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</si>
  <si>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</si>
  <si>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</si>
  <si>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</si>
  <si>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</si>
  <si>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</si>
  <si>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</si>
  <si>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</si>
  <si>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</si>
  <si>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</si>
  <si>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</si>
  <si>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</si>
  <si>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</si>
  <si>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</si>
  <si>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</si>
  <si>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</si>
  <si>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</si>
  <si>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</si>
  <si>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</si>
  <si>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</si>
  <si>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</si>
  <si>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</si>
  <si>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</si>
  <si>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</si>
  <si>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</si>
  <si>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</si>
  <si>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</si>
  <si>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</si>
  <si>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</si>
  <si>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</si>
  <si>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</si>
  <si>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</si>
  <si>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</si>
  <si>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</si>
  <si>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</si>
  <si>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</si>
  <si>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</si>
  <si>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</si>
  <si>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</si>
  <si>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</si>
  <si>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</si>
  <si>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</si>
  <si>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</si>
  <si>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</si>
  <si>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</si>
  <si>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</si>
  <si>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</si>
  <si>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</si>
  <si>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</si>
  <si>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</si>
  <si>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</si>
  <si>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</si>
  <si>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</si>
  <si>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</si>
  <si>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</si>
  <si>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</si>
  <si>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</si>
  <si>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</si>
  <si>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</si>
  <si>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</si>
  <si>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</si>
  <si>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</si>
  <si>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</si>
  <si>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</si>
  <si>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</si>
  <si>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</si>
  <si>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</si>
  <si>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</si>
  <si>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</si>
  <si>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</si>
  <si>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</si>
  <si>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</si>
  <si>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</si>
  <si>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</si>
  <si>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</si>
  <si>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</si>
  <si>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</si>
  <si>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</si>
  <si>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</si>
  <si>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</si>
  <si>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</si>
  <si>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</si>
  <si>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</si>
  <si>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</si>
  <si>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</si>
  <si>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</si>
  <si>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</si>
  <si>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</si>
  <si>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</si>
  <si>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</si>
  <si>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</si>
  <si>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</si>
  <si>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</si>
  <si>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</si>
  <si>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</si>
  <si>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</si>
  <si>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</si>
  <si>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</si>
  <si>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</si>
  <si>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</si>
  <si>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</si>
  <si>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</si>
  <si>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</si>
  <si>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</si>
  <si>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</si>
  <si>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</si>
  <si>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</si>
  <si>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</si>
  <si>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</si>
  <si>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</si>
  <si>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</si>
  <si>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</si>
  <si>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</si>
  <si>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</si>
  <si>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</si>
  <si>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</si>
  <si>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</si>
  <si>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</si>
  <si>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</si>
  <si>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</si>
  <si>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</si>
  <si>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</si>
  <si>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</si>
  <si>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</si>
  <si>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</si>
  <si>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</si>
  <si>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</si>
  <si>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</si>
  <si>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</si>
  <si>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</si>
  <si>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</si>
  <si>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</si>
  <si>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</si>
  <si>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</si>
  <si>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</si>
  <si>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</si>
  <si>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</si>
  <si>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</si>
  <si>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</si>
  <si>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</si>
  <si>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</si>
  <si>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</si>
  <si>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</si>
  <si>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</si>
  <si>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</si>
  <si>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</si>
  <si>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</si>
  <si>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</si>
  <si>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</si>
  <si>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</si>
  <si>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</si>
  <si>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</si>
  <si>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</si>
  <si>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</si>
  <si>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</si>
  <si>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</si>
  <si>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</si>
  <si>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</si>
  <si>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</si>
  <si>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</si>
  <si>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</si>
  <si>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</si>
  <si>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</si>
  <si>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</si>
  <si>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</si>
  <si>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</si>
  <si>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</si>
  <si>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</si>
  <si>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</si>
  <si>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</si>
  <si>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</si>
  <si>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</si>
  <si>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</si>
  <si>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</si>
  <si>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</si>
  <si>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</si>
  <si>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</si>
  <si>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</si>
  <si>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</si>
  <si>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</si>
  <si>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</si>
  <si>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</si>
  <si>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</si>
  <si>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</si>
  <si>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</si>
  <si>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</si>
  <si>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</si>
  <si>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</si>
  <si>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</si>
  <si>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</si>
  <si>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</si>
  <si>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</si>
  <si>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</si>
  <si>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</si>
  <si>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</si>
  <si>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</si>
  <si>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</si>
  <si>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</si>
  <si>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</si>
  <si>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</si>
  <si>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</si>
  <si>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</si>
  <si>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</si>
  <si>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</si>
  <si>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</si>
  <si>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</si>
  <si>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</si>
  <si>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</si>
  <si>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</si>
  <si>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</si>
  <si>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</si>
  <si>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</si>
  <si>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</si>
  <si>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</si>
  <si>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</si>
  <si>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</si>
  <si>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</si>
  <si>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</si>
  <si>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</si>
  <si>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</si>
  <si>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</si>
  <si>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</si>
  <si>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</si>
  <si>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</si>
  <si>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</si>
  <si>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</si>
  <si>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</si>
  <si>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</si>
  <si>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</si>
  <si>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</si>
  <si>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</si>
  <si>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</si>
  <si>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</si>
  <si>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</si>
  <si>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</si>
  <si>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</si>
  <si>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</si>
  <si>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</si>
  <si>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</si>
  <si>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</si>
  <si>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</si>
  <si>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</si>
  <si>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</si>
  <si>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</si>
  <si>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</si>
  <si>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</si>
  <si>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</si>
  <si>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</si>
  <si>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</si>
  <si>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</si>
  <si>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</si>
  <si>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</si>
  <si>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</si>
  <si>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</si>
  <si>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</si>
  <si>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</si>
  <si>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</si>
  <si>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</si>
  <si>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</si>
  <si>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</si>
  <si>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</si>
  <si>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</si>
  <si>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</si>
  <si>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</si>
  <si>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</si>
  <si>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</si>
  <si>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</si>
  <si>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</si>
  <si>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</si>
  <si>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</si>
  <si>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</si>
  <si>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</si>
  <si>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</si>
  <si>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</si>
  <si>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</si>
  <si>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</si>
  <si>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</si>
  <si>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</si>
  <si>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</si>
  <si>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</si>
  <si>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</si>
  <si>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</si>
  <si>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</si>
  <si>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</si>
  <si>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</si>
  <si>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</si>
  <si>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</si>
  <si>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</si>
  <si>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</si>
  <si>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</si>
  <si>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</si>
  <si>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</si>
  <si>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</si>
  <si>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</si>
  <si>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</si>
  <si>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</si>
  <si>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</si>
  <si>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</si>
  <si>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</si>
  <si>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</si>
  <si>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1426 Pleasant Garden</t>
  </si>
  <si>
    <t>115 Rosebrooks Dr</t>
  </si>
  <si>
    <t>5008 Larchmont</t>
  </si>
  <si>
    <t>n/a</t>
  </si>
  <si>
    <t>Documents to send to list realtor</t>
  </si>
  <si>
    <t>Send list realtor CD/Alta signed by all</t>
  </si>
  <si>
    <t>2020</t>
  </si>
  <si>
    <t>164 Churchill Dr</t>
  </si>
  <si>
    <t>Completed Previous Years</t>
  </si>
  <si>
    <t>2021</t>
  </si>
  <si>
    <t>2022</t>
  </si>
  <si>
    <t>2023</t>
  </si>
  <si>
    <t>Properties Completed in 2020</t>
  </si>
  <si>
    <t>Sell Your Home</t>
  </si>
  <si>
    <t>Buy Your Home</t>
  </si>
  <si>
    <t>Averages for Current Year</t>
  </si>
  <si>
    <t>Mortgage Payment paid after Reinstatement</t>
  </si>
  <si>
    <t>Insurance Payments</t>
  </si>
  <si>
    <t>payment</t>
  </si>
  <si>
    <t>Notary</t>
  </si>
  <si>
    <t>Death Certificates</t>
  </si>
  <si>
    <t>Legal</t>
  </si>
  <si>
    <t>Total shows up on Gnatt Chart</t>
  </si>
  <si>
    <t>Days Invested</t>
  </si>
  <si>
    <t>End Date</t>
  </si>
  <si>
    <t>Investment Amount</t>
  </si>
  <si>
    <t>%  of Profit</t>
  </si>
  <si>
    <t>Amount of Profit</t>
  </si>
  <si>
    <t>Disbursment</t>
  </si>
  <si>
    <t>Investors</t>
  </si>
  <si>
    <t>Operating Expense:</t>
  </si>
  <si>
    <t>Total for all Years</t>
  </si>
  <si>
    <t>Remove PMI/hazard</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</si>
  <si>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</si>
  <si>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</si>
  <si>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</si>
  <si>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</si>
  <si>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</si>
  <si>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</si>
  <si>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</si>
  <si>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</si>
  <si>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</si>
  <si>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</si>
  <si>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</si>
  <si>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</si>
  <si>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</si>
  <si>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</si>
  <si>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</si>
  <si>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</si>
  <si>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</si>
  <si>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</si>
  <si>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</si>
  <si>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</si>
  <si>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</si>
  <si>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</si>
  <si>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</si>
  <si>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</si>
  <si>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</si>
  <si>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</si>
  <si>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</si>
  <si>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</si>
  <si>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</si>
  <si>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</si>
  <si>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</si>
  <si>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</si>
  <si>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</si>
  <si>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</si>
  <si>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</si>
  <si>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</si>
  <si>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</si>
  <si>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</si>
  <si>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</si>
  <si>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</si>
  <si>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</si>
  <si>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</si>
  <si>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</si>
  <si>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</si>
  <si>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</si>
  <si>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</si>
  <si>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</si>
  <si>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</si>
  <si>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</si>
  <si>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</si>
  <si>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</si>
  <si>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</si>
  <si>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</si>
  <si>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</si>
  <si>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</si>
  <si>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</si>
  <si>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</si>
  <si>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</si>
  <si>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</si>
  <si>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</si>
  <si>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</si>
  <si>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</si>
  <si>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</si>
  <si>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</si>
  <si>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</si>
  <si>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</si>
  <si>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</si>
  <si>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</si>
  <si>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</si>
  <si>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</si>
  <si>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</si>
  <si>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</si>
  <si>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</si>
  <si>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</si>
  <si>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</si>
  <si>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</si>
  <si>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</si>
  <si>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</si>
  <si>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</si>
  <si>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</si>
  <si>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</si>
  <si>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</si>
  <si>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</si>
  <si>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</si>
  <si>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</si>
  <si>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</si>
  <si>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</si>
  <si>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</si>
  <si>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</si>
  <si>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</si>
  <si>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</si>
  <si>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</si>
  <si>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</si>
  <si>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</si>
  <si>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</si>
  <si>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</si>
  <si>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</si>
  <si>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</si>
  <si>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</si>
  <si>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</si>
  <si>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</si>
  <si>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</si>
  <si>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</si>
  <si>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</si>
  <si>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</si>
  <si>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</si>
  <si>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</si>
  <si>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8225 Burgwyn Ln</t>
  </si>
  <si>
    <t>yes, changed phone # and mailing address</t>
  </si>
  <si>
    <t>city water</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</si>
  <si>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</si>
  <si>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</si>
  <si>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</si>
  <si>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</si>
  <si>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</si>
  <si>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</si>
  <si>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</si>
  <si>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</si>
  <si>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</si>
  <si>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</si>
  <si>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</si>
  <si>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</si>
  <si>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</si>
  <si>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</si>
  <si>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</si>
  <si>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</si>
  <si>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</si>
  <si>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</si>
  <si>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</si>
  <si>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</si>
  <si>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1343 Old Buckhorn Rd</t>
  </si>
  <si>
    <t>HOA</t>
  </si>
  <si>
    <t>Monthly Income:</t>
  </si>
  <si>
    <t>Private Money</t>
  </si>
  <si>
    <t>Properties Completed in 2023</t>
  </si>
  <si>
    <t>Properties Completed in 2024</t>
  </si>
  <si>
    <t>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</si>
  <si>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</si>
  <si>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</si>
  <si>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</si>
  <si>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</si>
  <si>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</si>
  <si>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</si>
  <si>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</si>
  <si>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</si>
  <si>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</si>
  <si>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</si>
  <si>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</si>
  <si>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</si>
  <si>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</si>
  <si>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</si>
  <si>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</si>
  <si>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</si>
  <si>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</si>
  <si>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</si>
  <si>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</si>
  <si>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</si>
  <si>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</si>
  <si>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</si>
  <si>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</si>
  <si>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</si>
  <si>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</si>
  <si>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</si>
  <si>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</si>
  <si>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</si>
  <si>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</si>
  <si>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Monthly Cash Flow:</t>
  </si>
  <si>
    <t>Credit Card  Monthly Payments</t>
  </si>
  <si>
    <t>Monthly Personal Loan  Payments:</t>
  </si>
  <si>
    <t>Admin:</t>
  </si>
  <si>
    <t>Admin(SYH):</t>
  </si>
  <si>
    <t>Operations:</t>
  </si>
  <si>
    <t>Tech:</t>
  </si>
  <si>
    <t>Monthly Business Expense :</t>
  </si>
  <si>
    <t>Monthly Personal Dispersment:</t>
  </si>
  <si>
    <t>Runway (years)</t>
  </si>
  <si>
    <t>Business Cash Flow</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</si>
  <si>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</si>
  <si>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</si>
  <si>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</si>
  <si>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</si>
  <si>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</si>
  <si>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</si>
  <si>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</si>
  <si>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</si>
  <si>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</si>
  <si>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</si>
  <si>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</si>
  <si>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</si>
  <si>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</si>
  <si>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</si>
  <si>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</si>
  <si>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</si>
  <si>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</si>
  <si>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</si>
  <si>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</si>
  <si>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</si>
  <si>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</si>
  <si>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</si>
  <si>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</si>
  <si>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</si>
  <si>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</si>
  <si>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</si>
  <si>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</si>
  <si>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</si>
  <si>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</si>
  <si>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</si>
  <si>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</si>
  <si>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</si>
  <si>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2325 Cool Springs Rd</t>
  </si>
  <si>
    <t>Cash Reserves:</t>
  </si>
  <si>
    <t>Total Realized Profit:</t>
  </si>
  <si>
    <t>Monthly Carrying Cost:</t>
  </si>
  <si>
    <t>Interest only:</t>
  </si>
  <si>
    <t>Refinance:</t>
  </si>
  <si>
    <t>Property Taxes</t>
  </si>
  <si>
    <t>Points added to Financing:</t>
  </si>
  <si>
    <t>Profit  for Required  5 year Note:</t>
  </si>
  <si>
    <t>garage door</t>
  </si>
  <si>
    <t>Above ARV:</t>
  </si>
  <si>
    <t>Trueheart</t>
  </si>
  <si>
    <t>Paid in Escrow</t>
  </si>
  <si>
    <t>County</t>
  </si>
  <si>
    <t>Binder Deposit:</t>
  </si>
  <si>
    <t>Property Tax Bill:</t>
  </si>
  <si>
    <t>Tax Escrow:</t>
  </si>
  <si>
    <t>Property Insurance:</t>
  </si>
  <si>
    <t>HOA:</t>
  </si>
  <si>
    <t>Address</t>
  </si>
  <si>
    <t>Monthly Payment</t>
  </si>
  <si>
    <t>City-State</t>
  </si>
  <si>
    <t>Trust</t>
  </si>
  <si>
    <t>Trust Date</t>
  </si>
  <si>
    <t>Manger</t>
  </si>
  <si>
    <t>Base Int Rate</t>
  </si>
  <si>
    <t>855 249 8131</t>
  </si>
  <si>
    <t>Sanford, NC 27330</t>
  </si>
  <si>
    <t>Buy</t>
  </si>
  <si>
    <t>Lee</t>
  </si>
  <si>
    <t>Wes Browning</t>
  </si>
  <si>
    <t>Doc Year</t>
  </si>
  <si>
    <t>Your Home, LLC</t>
  </si>
  <si>
    <t>Principal&amp;Interst:</t>
  </si>
  <si>
    <t>TermYears</t>
  </si>
  <si>
    <t>TermMonths</t>
  </si>
  <si>
    <t>Adverse Conditions</t>
  </si>
  <si>
    <t>Legal Description</t>
  </si>
  <si>
    <t>Sellers Residence1</t>
  </si>
  <si>
    <t>Sellers Residence2</t>
  </si>
  <si>
    <t>Profit  on Int(5 Year):</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</si>
  <si>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</si>
  <si>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</si>
  <si>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</si>
  <si>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</si>
  <si>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</si>
  <si>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</si>
  <si>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</si>
  <si>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</si>
  <si>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</si>
  <si>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</si>
  <si>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</si>
  <si>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</si>
  <si>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</si>
  <si>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</si>
  <si>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</si>
  <si>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</si>
  <si>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</si>
  <si>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</si>
  <si>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Principal&amp;Interst2:</t>
  </si>
  <si>
    <t>Monthly Payment2</t>
  </si>
  <si>
    <t>Monthly Payment1</t>
  </si>
  <si>
    <t>Term1</t>
  </si>
  <si>
    <t>Term2</t>
  </si>
  <si>
    <t>TermMonths2</t>
  </si>
  <si>
    <t>TermMonths1</t>
  </si>
  <si>
    <t>Loan Start2</t>
  </si>
  <si>
    <t>Loan End2</t>
  </si>
  <si>
    <t>Loan Start1</t>
  </si>
  <si>
    <t>Loan End1</t>
  </si>
  <si>
    <t>2nd Mort</t>
  </si>
  <si>
    <t>1st Mort</t>
  </si>
  <si>
    <t xml:space="preserve">2nd Mort Delta </t>
  </si>
  <si>
    <t>Trust Address:</t>
  </si>
  <si>
    <t>Property Parcel ID</t>
  </si>
  <si>
    <t>Interest rate2</t>
  </si>
  <si>
    <t>Interest rate1</t>
  </si>
  <si>
    <t>612 Britton Ct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</si>
  <si>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</si>
  <si>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</si>
  <si>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</si>
  <si>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</si>
  <si>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</si>
  <si>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</si>
  <si>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</si>
  <si>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</si>
  <si>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</si>
  <si>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</si>
  <si>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</si>
  <si>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</si>
  <si>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</si>
  <si>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</si>
  <si>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</si>
  <si>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</si>
  <si>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</si>
  <si>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</si>
  <si>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</si>
  <si>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</si>
  <si>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</si>
  <si>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</si>
  <si>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</si>
  <si>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</si>
  <si>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</si>
  <si>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</si>
  <si>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</si>
  <si>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</si>
  <si>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</si>
  <si>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</si>
  <si>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</si>
  <si>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</si>
  <si>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</si>
  <si>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</si>
  <si>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</si>
  <si>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</si>
  <si>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</si>
  <si>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</si>
  <si>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</si>
  <si>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</si>
  <si>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</si>
  <si>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</si>
  <si>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</si>
  <si>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</si>
  <si>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</si>
  <si>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</si>
  <si>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</si>
  <si>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</si>
  <si>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</si>
  <si>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</si>
  <si>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</si>
  <si>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</si>
  <si>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</si>
  <si>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</si>
  <si>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</si>
  <si>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</si>
  <si>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</si>
  <si>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</si>
  <si>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</si>
  <si>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</si>
  <si>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</si>
  <si>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</si>
  <si>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</si>
  <si>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</si>
  <si>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</si>
  <si>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</si>
  <si>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</si>
  <si>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</si>
  <si>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</si>
  <si>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</si>
  <si>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</si>
  <si>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</si>
  <si>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6316 Willow Dell</t>
  </si>
  <si>
    <t>Heritage Mangement</t>
  </si>
  <si>
    <t>The Tunnard Real Estate Trust on 612 Britton Ct dated March, 5 2025</t>
  </si>
  <si>
    <t>Aprille D.</t>
  </si>
  <si>
    <t>Financing with Reduced Rate &amp; Increased Purchase Price</t>
  </si>
  <si>
    <t>Down Payment %:</t>
  </si>
  <si>
    <t>Additional Sales Amount  Based on expected Apriciation</t>
  </si>
  <si>
    <t xml:space="preserve">Wrap Loan </t>
  </si>
  <si>
    <t xml:space="preserve"> Cash Flow(60 months);</t>
  </si>
  <si>
    <t>Subject To: Loan Int(5 years)</t>
  </si>
  <si>
    <t>Fixed Seller Loan Int(5 years)</t>
  </si>
  <si>
    <t>Purchase Date?</t>
  </si>
  <si>
    <t>Subject To: Monthly</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</si>
  <si>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</si>
  <si>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</si>
  <si>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</si>
  <si>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</si>
  <si>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</si>
  <si>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</si>
  <si>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</si>
  <si>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</si>
  <si>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</si>
  <si>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</si>
  <si>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</si>
  <si>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</si>
  <si>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</si>
  <si>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</si>
  <si>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</si>
  <si>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</si>
  <si>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</si>
  <si>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</si>
  <si>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</si>
  <si>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DocMonth</t>
  </si>
  <si>
    <t>DocYear</t>
  </si>
  <si>
    <t>GrantorAquired</t>
  </si>
  <si>
    <t>GrantorBook</t>
  </si>
  <si>
    <t>GrantorPage</t>
  </si>
  <si>
    <t>GrantorTownship</t>
  </si>
  <si>
    <t>InstallmentMonths</t>
  </si>
  <si>
    <t>InterestRate</t>
  </si>
  <si>
    <t>Interestrate1</t>
  </si>
  <si>
    <t>InterestRate2</t>
  </si>
  <si>
    <t>HeirSS</t>
  </si>
  <si>
    <t>Lessor</t>
  </si>
  <si>
    <t>LeaseYearEnd</t>
  </si>
  <si>
    <t>LegalDescription</t>
  </si>
  <si>
    <t>LoanAmount:</t>
  </si>
  <si>
    <t>LoanEnd1</t>
  </si>
  <si>
    <t>LoanStart1</t>
  </si>
  <si>
    <t>LoanStart2</t>
  </si>
  <si>
    <t>LoanEnd2</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</si>
  <si>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</si>
  <si>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</si>
  <si>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</si>
  <si>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</si>
  <si>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</si>
  <si>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</si>
  <si>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</si>
  <si>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</si>
  <si>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</si>
  <si>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</si>
  <si>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</si>
  <si>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</si>
  <si>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</si>
  <si>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</si>
  <si>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</si>
  <si>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</si>
  <si>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</si>
  <si>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</si>
  <si>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</si>
  <si>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</si>
  <si>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</si>
  <si>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</si>
  <si>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</si>
  <si>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</si>
  <si>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</si>
  <si>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</si>
  <si>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</si>
  <si>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</si>
  <si>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</si>
  <si>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</si>
  <si>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</si>
  <si>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</si>
  <si>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</si>
  <si>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</si>
  <si>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TrustDate</t>
  </si>
  <si>
    <t>TrusteeAddress1</t>
  </si>
  <si>
    <t>TrusteeAddress2</t>
  </si>
  <si>
    <t>Primary Seller:</t>
  </si>
  <si>
    <t>Buying Secondary Seller:</t>
  </si>
  <si>
    <t>Seller Relationship:</t>
  </si>
  <si>
    <t>Seller Secondary Relationship:</t>
  </si>
  <si>
    <t>Buying-Seller2Address1</t>
  </si>
  <si>
    <t>Buying-Seller2Address2</t>
  </si>
  <si>
    <t>:</t>
  </si>
  <si>
    <t>X:      -    -       :</t>
  </si>
  <si>
    <t>Leaseor</t>
  </si>
  <si>
    <t>if  blank, use Buyer</t>
  </si>
  <si>
    <t>Rent Indicator1</t>
  </si>
  <si>
    <t>Rent Description1</t>
  </si>
  <si>
    <t>Rent if not = to mortgage:</t>
  </si>
  <si>
    <t>WAKE</t>
  </si>
  <si>
    <t>Quit Claim Grantor:</t>
  </si>
  <si>
    <t>NoteNormal Payment</t>
  </si>
  <si>
    <t>NoteBallon Payment</t>
  </si>
  <si>
    <t>NoteBallonTerm</t>
  </si>
  <si>
    <t>NoteSecurity Interest:</t>
  </si>
  <si>
    <t>Purchase and Sale Agreement</t>
  </si>
  <si>
    <t>Private Lender</t>
  </si>
  <si>
    <t>PL Holder:</t>
  </si>
  <si>
    <t>PL Add1:</t>
  </si>
  <si>
    <t>PL Add2</t>
  </si>
  <si>
    <t>PL Amount:</t>
  </si>
  <si>
    <t>PL Position</t>
  </si>
  <si>
    <t>Pl Interest Rate:</t>
  </si>
  <si>
    <t>A Married Couple</t>
  </si>
  <si>
    <t>150-64-8338</t>
  </si>
  <si>
    <t>104-94-3081</t>
  </si>
  <si>
    <t>PL FBO1:</t>
  </si>
  <si>
    <t>PL_FBO3</t>
  </si>
  <si>
    <t>PL_FBO2</t>
  </si>
  <si>
    <t>PL_FBO1</t>
  </si>
  <si>
    <t>Heritage IRA Inc</t>
  </si>
  <si>
    <t>Sioux Falls, SD 57108</t>
  </si>
  <si>
    <t>Buy Your Home Retirement Plan Trust</t>
  </si>
  <si>
    <t>5013 S Louise Ave, PMB 2122</t>
  </si>
  <si>
    <t>March, 05</t>
  </si>
  <si>
    <t>Fortis Bank FBO Jana Willers Roth 54632275 undivided interest of 29.7%</t>
  </si>
  <si>
    <t>3rd</t>
  </si>
  <si>
    <t>964230078400</t>
  </si>
  <si>
    <r>
      <t>Fortis Bank</t>
    </r>
    <r>
      <rPr>
        <sz val="10"/>
        <color rgb="FF000000"/>
        <rFont val="Times New Roman"/>
        <family val="1"/>
      </rPr>
      <t xml:space="preserve"> </t>
    </r>
    <r>
      <rPr>
        <b/>
        <sz val="10"/>
        <color rgb="FF000000"/>
        <rFont val="Times New Roman"/>
        <family val="1"/>
      </rPr>
      <t>FBO David Willers Trad 17282648 undivided interest of 25.0%</t>
    </r>
  </si>
  <si>
    <r>
      <t>Fortis Bank</t>
    </r>
    <r>
      <rPr>
        <sz val="10"/>
        <color rgb="FF000000"/>
        <rFont val="Times New Roman"/>
        <family val="1"/>
      </rPr>
      <t xml:space="preserve"> </t>
    </r>
    <r>
      <rPr>
        <b/>
        <sz val="10"/>
        <color rgb="FF000000"/>
        <rFont val="Times New Roman"/>
        <family val="1"/>
      </rPr>
      <t>FBO David Willers Roth 86500559 undivided interest of 45.3%</t>
    </r>
  </si>
  <si>
    <t>Laurence Tunnard</t>
  </si>
  <si>
    <t>(919) 718-9916</t>
  </si>
  <si>
    <t>Coastal Credit Union</t>
  </si>
  <si>
    <t>https://www.coastal24.com/</t>
  </si>
  <si>
    <t>The Security Question answers will most likely need to be redone. I don't remember the questions, just key words and they are ancient.</t>
  </si>
  <si>
    <r>
      <t xml:space="preserve">Father: </t>
    </r>
    <r>
      <rPr>
        <sz val="12"/>
        <color rgb="FFFF0000"/>
        <rFont val="Aptos"/>
        <family val="2"/>
      </rPr>
      <t>03/15</t>
    </r>
  </si>
  <si>
    <r>
      <t xml:space="preserve">Spouse: </t>
    </r>
    <r>
      <rPr>
        <sz val="12"/>
        <color rgb="FFFF0000"/>
        <rFont val="Aptos"/>
        <family val="2"/>
      </rPr>
      <t>Koror</t>
    </r>
  </si>
  <si>
    <r>
      <t xml:space="preserve">Name: </t>
    </r>
    <r>
      <rPr>
        <sz val="12"/>
        <color rgb="FFFF0000"/>
        <rFont val="Aptos"/>
        <family val="2"/>
      </rPr>
      <t>Betty</t>
    </r>
  </si>
  <si>
    <t>Polar Bear</t>
  </si>
  <si>
    <t>"Cold"</t>
  </si>
  <si>
    <t>Chess</t>
  </si>
  <si>
    <t>185564LT</t>
  </si>
  <si>
    <t xml:space="preserve">USER ID: </t>
  </si>
  <si>
    <t xml:space="preserve">PASSWORD: </t>
  </si>
  <si>
    <t>Total Debt:</t>
  </si>
  <si>
    <t>Progressive Insuance</t>
  </si>
  <si>
    <t>866 960 8609</t>
  </si>
  <si>
    <t>Policy No:30740242</t>
  </si>
  <si>
    <t>wind damage occurred on 4/22/25 around 5:00 PM</t>
  </si>
  <si>
    <t>User:Frogger95</t>
  </si>
  <si>
    <t>PW:Yox53red</t>
  </si>
  <si>
    <t>Claim #: 01-009-055126</t>
  </si>
  <si>
    <t>birthdate</t>
  </si>
  <si>
    <t>Nick Morabito will manage claim</t>
  </si>
  <si>
    <t>213 306 9525</t>
  </si>
  <si>
    <t>New Roof</t>
  </si>
  <si>
    <t>No</t>
  </si>
  <si>
    <t>Barns Restoration Inc</t>
  </si>
  <si>
    <t>Insurance</t>
  </si>
  <si>
    <t>Tim installed</t>
  </si>
  <si>
    <t>Toilets kits</t>
  </si>
  <si>
    <t>Roof repair</t>
  </si>
  <si>
    <t>185564 43201</t>
  </si>
  <si>
    <t>Five927bek34$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</si>
</sst>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
    <numFmt numFmtId="175" formatCode="0.000"/>
    <numFmt numFmtId="176" formatCode="[$-409]mmmm\ d\,\ yyyy;@"/>
  </numFmts>
  <fonts count="5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b/>
      <sz val="10"/>
      <color rgb="FF000000"/>
      <name val="Times New Roman"/>
      <family val="1"/>
    </font>
    <font>
      <sz val="10"/>
      <color rgb="FF000000"/>
      <name val="Times New Roman"/>
      <family val="1"/>
    </font>
    <font>
      <sz val="11"/>
      <color rgb="FF373A3C"/>
      <name val="Open Sans"/>
      <family val="2"/>
    </font>
    <font>
      <sz val="12"/>
      <color rgb="FFFF0000"/>
      <name val="Aptos"/>
      <family val="2"/>
    </font>
    <font>
      <sz val="12"/>
      <color theme="1"/>
      <name val="Aptos"/>
      <family val="2"/>
    </font>
  </fonts>
  <fills count="33">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rgb="FF00B050"/>
        <bgColor indexed="64"/>
      </patternFill>
    </fill>
    <fill>
      <patternFill patternType="solid">
        <fgColor rgb="FFFF0000"/>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249977111117893"/>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9" fillId="0" borderId="0"/>
  </cellStyleXfs>
  <cellXfs count="947">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20"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0" fillId="3" borderId="0" xfId="0" applyNumberFormat="1" applyFont="1" applyFill="1" applyAlignment="1">
      <alignment vertical="top"/>
    </xf>
    <xf numFmtId="49" fontId="20" fillId="11" borderId="0" xfId="0" applyNumberFormat="1" applyFont="1" applyFill="1" applyAlignment="1">
      <alignment vertical="top"/>
    </xf>
    <xf numFmtId="1" fontId="20" fillId="11" borderId="0" xfId="0" applyNumberFormat="1" applyFont="1" applyFill="1" applyAlignment="1">
      <alignment vertical="top"/>
    </xf>
    <xf numFmtId="4" fontId="20"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1" fontId="20" fillId="14" borderId="0" xfId="0" applyNumberFormat="1" applyFont="1" applyFill="1" applyAlignment="1">
      <alignment vertical="top"/>
    </xf>
    <xf numFmtId="4" fontId="20" fillId="3" borderId="0" xfId="0" applyNumberFormat="1" applyFont="1" applyFill="1" applyAlignment="1">
      <alignment vertical="top"/>
    </xf>
    <xf numFmtId="1" fontId="20" fillId="0" borderId="0" xfId="0" applyNumberFormat="1" applyFont="1" applyAlignment="1">
      <alignment horizontal="center" vertical="top"/>
    </xf>
    <xf numFmtId="4" fontId="20" fillId="0" borderId="0" xfId="0" applyNumberFormat="1" applyFont="1" applyAlignment="1">
      <alignment horizontal="center" vertical="top"/>
    </xf>
    <xf numFmtId="0" fontId="28" fillId="0" borderId="0" xfId="3" applyFont="1" applyBorder="1" applyAlignment="1">
      <alignment horizontal="right" vertical="center" indent="1"/>
    </xf>
    <xf numFmtId="1" fontId="11"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7" fillId="0" borderId="0" xfId="5"/>
    <xf numFmtId="1" fontId="7" fillId="0" borderId="0" xfId="5" applyNumberFormat="1"/>
    <xf numFmtId="0" fontId="16" fillId="0" borderId="0" xfId="5" applyFont="1" applyAlignment="1">
      <alignment horizontal="center"/>
    </xf>
    <xf numFmtId="0" fontId="16" fillId="0" borderId="0" xfId="3" applyFont="1" applyBorder="1" applyAlignment="1" applyProtection="1">
      <alignment horizontal="right" vertical="center" wrapText="1" indent="1"/>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0" fontId="23" fillId="5" borderId="0" xfId="0" applyFont="1" applyFill="1" applyAlignment="1">
      <alignment horizontal="center" wrapText="1"/>
    </xf>
    <xf numFmtId="2" fontId="7" fillId="5" borderId="0" xfId="0" applyNumberFormat="1" applyFont="1" applyFill="1" applyAlignment="1">
      <alignment horizontal="center" wrapText="1"/>
    </xf>
    <xf numFmtId="169" fontId="7"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1"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7" fillId="0" borderId="0" xfId="12" applyNumberFormat="1" applyFont="1" applyFill="1" applyAlignment="1" applyProtection="1">
      <alignment horizontal="left" vertical="center"/>
    </xf>
    <xf numFmtId="2" fontId="17" fillId="0" borderId="0" xfId="12" applyNumberFormat="1" applyFont="1" applyFill="1" applyAlignment="1" applyProtection="1">
      <alignment horizontal="right" vertical="center"/>
    </xf>
    <xf numFmtId="2" fontId="17" fillId="0" borderId="0" xfId="12" applyNumberFormat="1" applyFont="1" applyFill="1" applyAlignment="1" applyProtection="1">
      <alignment horizontal="center" vertical="center"/>
    </xf>
    <xf numFmtId="2" fontId="18" fillId="0" borderId="0" xfId="0" applyNumberFormat="1" applyFont="1" applyAlignment="1">
      <alignment horizontal="center" vertical="center"/>
    </xf>
    <xf numFmtId="1" fontId="17" fillId="0" borderId="0" xfId="12" applyNumberFormat="1" applyFont="1" applyFill="1" applyAlignment="1" applyProtection="1">
      <alignment horizontal="center" vertical="center"/>
    </xf>
    <xf numFmtId="169" fontId="17" fillId="0" borderId="0" xfId="12" applyNumberFormat="1" applyFont="1" applyFill="1" applyAlignment="1" applyProtection="1">
      <alignment horizontal="center" vertical="center"/>
    </xf>
    <xf numFmtId="2" fontId="7" fillId="11" borderId="0" xfId="12" applyNumberFormat="1" applyFont="1" applyFill="1" applyBorder="1" applyAlignment="1" applyProtection="1">
      <alignment horizontal="left" vertical="center"/>
    </xf>
    <xf numFmtId="1" fontId="7" fillId="11" borderId="0" xfId="12" applyNumberFormat="1" applyFont="1" applyFill="1" applyAlignment="1" applyProtection="1">
      <alignment horizontal="right" vertical="center"/>
    </xf>
    <xf numFmtId="2" fontId="16" fillId="11" borderId="0" xfId="12" applyNumberFormat="1" applyFont="1" applyFill="1" applyBorder="1" applyAlignment="1" applyProtection="1">
      <alignment horizontal="center" vertical="center"/>
    </xf>
    <xf numFmtId="2" fontId="7" fillId="11" borderId="0" xfId="12" applyNumberFormat="1" applyFont="1" applyFill="1" applyAlignment="1" applyProtection="1">
      <alignment horizontal="left" vertical="center"/>
    </xf>
    <xf numFmtId="2" fontId="16" fillId="11" borderId="0" xfId="12" applyNumberFormat="1" applyFont="1" applyFill="1" applyAlignment="1" applyProtection="1">
      <alignment horizontal="left" vertical="center"/>
    </xf>
    <xf numFmtId="1" fontId="16" fillId="11" borderId="0" xfId="12" applyNumberFormat="1" applyFont="1" applyFill="1" applyAlignment="1" applyProtection="1">
      <alignment horizontal="right" vertical="center"/>
    </xf>
    <xf numFmtId="2" fontId="7" fillId="11" borderId="0" xfId="13" applyNumberFormat="1" applyFont="1" applyFill="1" applyAlignment="1" applyProtection="1">
      <alignment horizontal="right" vertical="center"/>
    </xf>
    <xf numFmtId="43" fontId="7" fillId="11" borderId="0" xfId="13" applyFont="1" applyFill="1" applyAlignment="1" applyProtection="1">
      <alignment horizontal="right" vertical="center"/>
    </xf>
    <xf numFmtId="169" fontId="7" fillId="11" borderId="0" xfId="13" applyNumberFormat="1" applyFont="1" applyFill="1" applyAlignment="1" applyProtection="1">
      <alignment horizontal="right" vertical="center"/>
    </xf>
    <xf numFmtId="2" fontId="11" fillId="0" borderId="0" xfId="0" applyNumberFormat="1" applyFont="1" applyAlignment="1">
      <alignment horizontal="center" vertical="center"/>
    </xf>
    <xf numFmtId="1" fontId="11" fillId="0" borderId="0" xfId="0" applyNumberFormat="1" applyFont="1" applyAlignment="1">
      <alignment horizontal="center" vertical="center"/>
    </xf>
    <xf numFmtId="169" fontId="11" fillId="0" borderId="0" xfId="0" applyNumberFormat="1" applyFont="1" applyAlignment="1">
      <alignment horizontal="center" vertical="center"/>
    </xf>
    <xf numFmtId="167" fontId="0" fillId="0" borderId="0" xfId="0" applyNumberFormat="1" applyProtection="1">
      <protection locked="0"/>
    </xf>
    <xf numFmtId="0" fontId="11" fillId="0" borderId="0" xfId="0" applyFont="1" applyAlignment="1" applyProtection="1">
      <alignment horizontal="center" wrapText="1"/>
      <protection locked="0"/>
    </xf>
    <xf numFmtId="1" fontId="11" fillId="0" borderId="0" xfId="0" applyNumberFormat="1" applyFont="1" applyAlignment="1" applyProtection="1">
      <alignment horizontal="center" wrapText="1"/>
      <protection locked="0"/>
    </xf>
    <xf numFmtId="2" fontId="11" fillId="0" borderId="0" xfId="0" applyNumberFormat="1" applyFont="1" applyAlignment="1" applyProtection="1">
      <alignment horizontal="center" wrapText="1"/>
      <protection locked="0"/>
    </xf>
    <xf numFmtId="2" fontId="0" fillId="0" borderId="0" xfId="0" applyNumberFormat="1" applyProtection="1">
      <protection locked="0"/>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31"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30" xfId="0" applyNumberFormat="1" applyFont="1" applyFill="1" applyBorder="1"/>
    <xf numFmtId="164" fontId="14" fillId="3" borderId="31" xfId="0" applyNumberFormat="1" applyFont="1" applyFill="1" applyBorder="1"/>
    <xf numFmtId="0" fontId="13" fillId="0" borderId="13" xfId="0" applyFont="1" applyBorder="1" applyAlignment="1">
      <alignment horizontal="right"/>
    </xf>
    <xf numFmtId="9" fontId="13" fillId="2" borderId="29"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0" fillId="2" borderId="34" xfId="0" applyFill="1" applyBorder="1"/>
    <xf numFmtId="0" fontId="0" fillId="2" borderId="35" xfId="0" applyFill="1" applyBorder="1"/>
    <xf numFmtId="0" fontId="1" fillId="2" borderId="35" xfId="0" applyFont="1" applyFill="1" applyBorder="1"/>
    <xf numFmtId="0" fontId="13" fillId="9" borderId="0" xfId="0" applyFont="1" applyFill="1" applyAlignment="1">
      <alignment horizontal="right"/>
    </xf>
    <xf numFmtId="0" fontId="31" fillId="0" borderId="0" xfId="0" applyFont="1" applyAlignment="1">
      <alignment horizontal="right"/>
    </xf>
    <xf numFmtId="9" fontId="30" fillId="2" borderId="42" xfId="0" applyNumberFormat="1" applyFont="1" applyFill="1" applyBorder="1" applyAlignment="1">
      <alignment horizontal="center"/>
    </xf>
    <xf numFmtId="165" fontId="31"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45" xfId="0" applyFont="1" applyBorder="1"/>
    <xf numFmtId="164" fontId="13" fillId="3" borderId="5" xfId="0" applyNumberFormat="1" applyFont="1" applyFill="1" applyBorder="1"/>
    <xf numFmtId="3" fontId="13" fillId="18" borderId="29" xfId="0" applyNumberFormat="1" applyFont="1" applyFill="1" applyBorder="1"/>
    <xf numFmtId="0" fontId="0" fillId="2" borderId="0" xfId="0" applyFill="1" applyAlignment="1">
      <alignment horizontal="right"/>
    </xf>
    <xf numFmtId="0" fontId="1" fillId="2" borderId="49" xfId="0" applyFont="1" applyFill="1" applyBorder="1" applyAlignment="1">
      <alignment horizontal="right"/>
    </xf>
    <xf numFmtId="164" fontId="1" fillId="18" borderId="1" xfId="0" applyNumberFormat="1" applyFont="1" applyFill="1" applyBorder="1"/>
    <xf numFmtId="0" fontId="13" fillId="2" borderId="40"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3" fontId="1" fillId="18" borderId="7" xfId="0" applyNumberFormat="1" applyFont="1" applyFill="1" applyBorder="1"/>
    <xf numFmtId="0" fontId="1" fillId="18" borderId="6" xfId="0" applyFont="1" applyFill="1" applyBorder="1" applyAlignment="1">
      <alignment horizontal="right"/>
    </xf>
    <xf numFmtId="49" fontId="0" fillId="0" borderId="50" xfId="0" applyNumberFormat="1" applyBorder="1"/>
    <xf numFmtId="0" fontId="0" fillId="0" borderId="50" xfId="0" applyBorder="1"/>
    <xf numFmtId="49" fontId="1" fillId="18" borderId="38" xfId="0" quotePrefix="1" applyNumberFormat="1" applyFont="1" applyFill="1" applyBorder="1" applyAlignment="1">
      <alignment horizontal="center" wrapText="1"/>
    </xf>
    <xf numFmtId="0" fontId="0" fillId="0" borderId="2" xfId="0" applyBorder="1"/>
    <xf numFmtId="0" fontId="0" fillId="0" borderId="4" xfId="0" applyBorder="1"/>
    <xf numFmtId="0" fontId="1" fillId="0" borderId="41" xfId="0" applyFont="1" applyBorder="1" applyAlignment="1">
      <alignment horizontal="right" wrapText="1"/>
    </xf>
    <xf numFmtId="0" fontId="1" fillId="0" borderId="40" xfId="0" applyFont="1" applyBorder="1" applyAlignment="1">
      <alignment horizontal="right"/>
    </xf>
    <xf numFmtId="0" fontId="0" fillId="0" borderId="40" xfId="0" applyBorder="1" applyAlignment="1">
      <alignment horizontal="right"/>
    </xf>
    <xf numFmtId="0" fontId="0" fillId="0" borderId="40" xfId="0" applyBorder="1"/>
    <xf numFmtId="0" fontId="7" fillId="0" borderId="2" xfId="5" applyBorder="1"/>
    <xf numFmtId="1" fontId="7" fillId="0" borderId="9" xfId="5" applyNumberFormat="1" applyBorder="1"/>
    <xf numFmtId="0" fontId="16" fillId="0" borderId="9" xfId="5" applyFont="1" applyBorder="1" applyAlignment="1">
      <alignment horizontal="center"/>
    </xf>
    <xf numFmtId="0" fontId="7"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7" fillId="0" borderId="6" xfId="5" applyBorder="1" applyAlignment="1">
      <alignment wrapText="1"/>
    </xf>
    <xf numFmtId="1" fontId="7" fillId="0" borderId="1" xfId="5" applyNumberFormat="1" applyBorder="1" applyAlignment="1">
      <alignment wrapText="1"/>
    </xf>
    <xf numFmtId="0" fontId="16" fillId="0" borderId="1" xfId="5" applyFont="1" applyBorder="1" applyAlignment="1">
      <alignment horizontal="center" wrapText="1"/>
    </xf>
    <xf numFmtId="0" fontId="7" fillId="0" borderId="1" xfId="5" applyBorder="1" applyAlignment="1">
      <alignment wrapText="1"/>
    </xf>
    <xf numFmtId="0" fontId="16" fillId="0" borderId="1" xfId="3" applyFont="1" applyBorder="1" applyAlignment="1" applyProtection="1">
      <alignment horizontal="right" vertical="center" wrapText="1" indent="1"/>
    </xf>
    <xf numFmtId="0" fontId="1" fillId="18" borderId="37"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3" fillId="2" borderId="40" xfId="0" applyNumberFormat="1" applyFont="1" applyFill="1" applyBorder="1"/>
    <xf numFmtId="0" fontId="13" fillId="9" borderId="29" xfId="0" applyFont="1" applyFill="1" applyBorder="1"/>
    <xf numFmtId="0" fontId="0" fillId="18" borderId="40" xfId="0" applyFill="1" applyBorder="1"/>
    <xf numFmtId="49" fontId="1" fillId="18" borderId="40" xfId="0" applyNumberFormat="1" applyFont="1" applyFill="1" applyBorder="1" applyAlignment="1">
      <alignment horizontal="center" vertical="center" wrapText="1"/>
    </xf>
    <xf numFmtId="16" fontId="0" fillId="0" borderId="0" xfId="0" applyNumberFormat="1"/>
    <xf numFmtId="164" fontId="14" fillId="3" borderId="52" xfId="0" applyNumberFormat="1" applyFont="1" applyFill="1" applyBorder="1"/>
    <xf numFmtId="49" fontId="1" fillId="3" borderId="38" xfId="0" quotePrefix="1" applyNumberFormat="1" applyFont="1" applyFill="1" applyBorder="1" applyAlignment="1">
      <alignment horizontal="center" wrapText="1"/>
    </xf>
    <xf numFmtId="0" fontId="1" fillId="18" borderId="53" xfId="0" applyFont="1" applyFill="1" applyBorder="1" applyAlignment="1">
      <alignment horizontal="right"/>
    </xf>
    <xf numFmtId="164" fontId="1" fillId="18" borderId="30" xfId="0" applyNumberFormat="1" applyFont="1" applyFill="1" applyBorder="1"/>
    <xf numFmtId="0" fontId="1" fillId="18" borderId="54" xfId="0" applyFont="1" applyFill="1" applyBorder="1" applyAlignment="1">
      <alignment horizontal="right"/>
    </xf>
    <xf numFmtId="164" fontId="1" fillId="18" borderId="55" xfId="0" applyNumberFormat="1" applyFont="1" applyFill="1" applyBorder="1"/>
    <xf numFmtId="49" fontId="16" fillId="11" borderId="38" xfId="0" quotePrefix="1" applyNumberFormat="1" applyFont="1" applyFill="1" applyBorder="1" applyAlignment="1">
      <alignment horizontal="center" wrapText="1"/>
    </xf>
    <xf numFmtId="0" fontId="4" fillId="2" borderId="56" xfId="0" applyFont="1" applyFill="1" applyBorder="1" applyAlignment="1">
      <alignment horizontal="right"/>
    </xf>
    <xf numFmtId="0" fontId="4" fillId="2" borderId="55" xfId="0" applyFont="1" applyFill="1" applyBorder="1" applyAlignment="1">
      <alignment horizontal="right"/>
    </xf>
    <xf numFmtId="0" fontId="4" fillId="2" borderId="55" xfId="0" applyFont="1" applyFill="1" applyBorder="1"/>
    <xf numFmtId="0" fontId="4" fillId="2" borderId="57" xfId="0" applyFont="1" applyFill="1" applyBorder="1"/>
    <xf numFmtId="3" fontId="13" fillId="2" borderId="4" xfId="0" applyNumberFormat="1" applyFont="1" applyFill="1" applyBorder="1"/>
    <xf numFmtId="3" fontId="13" fillId="2" borderId="5" xfId="0" applyNumberFormat="1" applyFont="1" applyFill="1" applyBorder="1"/>
    <xf numFmtId="3" fontId="1" fillId="9" borderId="49" xfId="0" applyNumberFormat="1" applyFont="1" applyFill="1" applyBorder="1" applyAlignment="1">
      <alignment horizontal="right"/>
    </xf>
    <xf numFmtId="0" fontId="35" fillId="0" borderId="0" xfId="0" applyFont="1" applyAlignment="1">
      <alignment horizontal="right"/>
    </xf>
    <xf numFmtId="1" fontId="31" fillId="19" borderId="36" xfId="0" applyNumberFormat="1" applyFont="1" applyFill="1" applyBorder="1" applyAlignment="1">
      <alignment horizontal="right"/>
    </xf>
    <xf numFmtId="165" fontId="31" fillId="4" borderId="7" xfId="0" applyNumberFormat="1" applyFont="1" applyFill="1" applyBorder="1" applyAlignment="1">
      <alignment horizontal="right"/>
    </xf>
    <xf numFmtId="0" fontId="36" fillId="0" borderId="0" xfId="0" applyFont="1" applyAlignment="1">
      <alignment horizontal="right"/>
    </xf>
    <xf numFmtId="9" fontId="1" fillId="2" borderId="60" xfId="0" applyNumberFormat="1" applyFont="1" applyFill="1" applyBorder="1"/>
    <xf numFmtId="1" fontId="1" fillId="2" borderId="6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60" xfId="0" applyNumberFormat="1" applyFont="1" applyFill="1" applyBorder="1"/>
    <xf numFmtId="3" fontId="1" fillId="2" borderId="49" xfId="0" applyNumberFormat="1" applyFont="1" applyFill="1" applyBorder="1" applyAlignment="1">
      <alignment horizontal="right"/>
    </xf>
    <xf numFmtId="165" fontId="1" fillId="2" borderId="60" xfId="0" applyNumberFormat="1" applyFont="1" applyFill="1" applyBorder="1"/>
    <xf numFmtId="0" fontId="0" fillId="0" borderId="0" xfId="0" applyAlignment="1">
      <alignment horizontal="left" vertical="top"/>
    </xf>
    <xf numFmtId="166" fontId="14" fillId="9" borderId="0" xfId="0" applyNumberFormat="1" applyFont="1" applyFill="1"/>
    <xf numFmtId="9" fontId="30" fillId="2" borderId="4" xfId="0" applyNumberFormat="1" applyFont="1" applyFill="1" applyBorder="1"/>
    <xf numFmtId="164" fontId="30" fillId="2" borderId="5" xfId="0" applyNumberFormat="1" applyFont="1" applyFill="1" applyBorder="1"/>
    <xf numFmtId="18" fontId="0" fillId="0" borderId="0" xfId="0" applyNumberFormat="1"/>
    <xf numFmtId="0" fontId="32" fillId="0" borderId="0" xfId="0" applyFont="1" applyAlignment="1">
      <alignment horizontal="right" vertical="center"/>
    </xf>
    <xf numFmtId="0" fontId="34" fillId="0" borderId="0" xfId="0" applyFont="1" applyAlignment="1">
      <alignment horizontal="right" vertical="center"/>
    </xf>
    <xf numFmtId="0" fontId="33" fillId="0" borderId="0" xfId="0" applyFont="1" applyAlignment="1">
      <alignment horizontal="right" vertical="center"/>
    </xf>
    <xf numFmtId="0" fontId="2" fillId="0" borderId="0" xfId="1" applyAlignment="1">
      <alignment horizontal="right"/>
    </xf>
    <xf numFmtId="0" fontId="32" fillId="0" borderId="0" xfId="0" applyFont="1" applyAlignment="1">
      <alignment horizontal="right" vertical="center" wrapText="1"/>
    </xf>
    <xf numFmtId="0" fontId="34" fillId="0" borderId="0" xfId="0" applyFont="1" applyAlignment="1">
      <alignment horizontal="right" vertical="center" wrapText="1"/>
    </xf>
    <xf numFmtId="0" fontId="33" fillId="0" borderId="0" xfId="0" applyFont="1" applyAlignment="1">
      <alignment horizontal="right" vertical="center" wrapText="1"/>
    </xf>
    <xf numFmtId="0" fontId="2" fillId="0" borderId="0" xfId="1" applyAlignment="1">
      <alignment horizontal="right" vertical="center" wrapText="1"/>
    </xf>
    <xf numFmtId="1" fontId="36"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60"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60" xfId="0" applyNumberFormat="1" applyFont="1" applyFill="1" applyBorder="1"/>
    <xf numFmtId="9" fontId="0" fillId="2" borderId="0" xfId="0" applyNumberFormat="1" applyFill="1"/>
    <xf numFmtId="166" fontId="1" fillId="18" borderId="0" xfId="0" applyNumberFormat="1" applyFont="1" applyFill="1"/>
    <xf numFmtId="164" fontId="1" fillId="18" borderId="60" xfId="0" applyNumberFormat="1" applyFont="1" applyFill="1" applyBorder="1"/>
    <xf numFmtId="0" fontId="38" fillId="2" borderId="4" xfId="0" applyFont="1" applyFill="1" applyBorder="1"/>
    <xf numFmtId="0" fontId="1" fillId="2" borderId="3" xfId="0" applyFont="1" applyFill="1" applyBorder="1" applyAlignment="1">
      <alignment horizontal="left"/>
    </xf>
    <xf numFmtId="0" fontId="38" fillId="2" borderId="2" xfId="0" applyFont="1" applyFill="1" applyBorder="1"/>
    <xf numFmtId="0" fontId="1" fillId="2" borderId="5" xfId="0" applyFont="1" applyFill="1" applyBorder="1" applyAlignment="1">
      <alignment horizontal="left"/>
    </xf>
    <xf numFmtId="49" fontId="20" fillId="0" borderId="0" xfId="14" applyNumberFormat="1" applyFont="1" applyAlignment="1">
      <alignment vertical="top"/>
    </xf>
    <xf numFmtId="169" fontId="11"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0" fillId="0" borderId="0" xfId="0" applyNumberFormat="1" applyFont="1" applyAlignment="1">
      <alignment vertical="top"/>
    </xf>
    <xf numFmtId="170" fontId="0" fillId="0" borderId="0" xfId="0" applyNumberFormat="1"/>
    <xf numFmtId="1" fontId="20" fillId="16" borderId="0" xfId="0" applyNumberFormat="1" applyFont="1" applyFill="1" applyAlignment="1">
      <alignment vertical="top"/>
    </xf>
    <xf numFmtId="4" fontId="20" fillId="16" borderId="0" xfId="0" applyNumberFormat="1" applyFont="1" applyFill="1" applyAlignment="1">
      <alignment vertical="top"/>
    </xf>
    <xf numFmtId="171" fontId="30" fillId="2" borderId="4" xfId="0" applyNumberFormat="1" applyFont="1" applyFill="1" applyBorder="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6" fillId="11" borderId="49" xfId="0" applyNumberFormat="1" applyFont="1" applyFill="1" applyBorder="1"/>
    <xf numFmtId="3" fontId="1" fillId="3" borderId="49" xfId="0" applyNumberFormat="1" applyFont="1" applyFill="1" applyBorder="1"/>
    <xf numFmtId="0" fontId="40" fillId="0" borderId="0" xfId="0" applyFont="1"/>
    <xf numFmtId="167" fontId="0" fillId="0" borderId="0" xfId="0" applyNumberFormat="1"/>
    <xf numFmtId="170" fontId="11"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0" fillId="16" borderId="0" xfId="14" applyNumberFormat="1" applyFont="1" applyFill="1" applyAlignment="1">
      <alignment vertical="top"/>
    </xf>
    <xf numFmtId="4" fontId="20"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3" fillId="0" borderId="0" xfId="0" applyNumberFormat="1" applyFont="1"/>
    <xf numFmtId="0" fontId="0" fillId="9" borderId="0" xfId="0" applyFill="1" applyProtection="1">
      <protection locked="0"/>
    </xf>
    <xf numFmtId="0" fontId="27"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1" fillId="0" borderId="0" xfId="14" applyNumberFormat="1" applyFont="1" applyAlignment="1">
      <alignment vertical="top"/>
    </xf>
    <xf numFmtId="1" fontId="41" fillId="16" borderId="0" xfId="14" applyNumberFormat="1" applyFont="1" applyFill="1" applyAlignment="1">
      <alignment vertical="top"/>
    </xf>
    <xf numFmtId="4" fontId="41"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1" fillId="0" borderId="0" xfId="0" applyNumberFormat="1" applyFont="1" applyAlignment="1">
      <alignment vertical="top"/>
    </xf>
    <xf numFmtId="1" fontId="41" fillId="16" borderId="0" xfId="0" applyNumberFormat="1" applyFont="1" applyFill="1" applyAlignment="1">
      <alignment vertical="top"/>
    </xf>
    <xf numFmtId="4" fontId="41" fillId="16" borderId="0" xfId="0" applyNumberFormat="1" applyFont="1" applyFill="1" applyAlignment="1">
      <alignment vertical="top"/>
    </xf>
    <xf numFmtId="0" fontId="42" fillId="2" borderId="0" xfId="0" applyFont="1" applyFill="1"/>
    <xf numFmtId="0" fontId="42"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7" xfId="0" applyNumberFormat="1" applyFont="1" applyFill="1" applyBorder="1" applyAlignment="1">
      <alignment horizontal="center" wrapText="1"/>
    </xf>
    <xf numFmtId="49" fontId="16" fillId="22" borderId="38" xfId="0" quotePrefix="1" applyNumberFormat="1" applyFont="1" applyFill="1" applyBorder="1" applyAlignment="1">
      <alignment horizontal="center" wrapText="1"/>
    </xf>
    <xf numFmtId="3" fontId="16" fillId="22" borderId="49" xfId="0" applyNumberFormat="1" applyFont="1" applyFill="1" applyBorder="1"/>
    <xf numFmtId="1" fontId="16" fillId="22" borderId="38" xfId="0" quotePrefix="1" applyNumberFormat="1" applyFont="1" applyFill="1" applyBorder="1" applyAlignment="1">
      <alignment horizontal="center" wrapText="1"/>
    </xf>
    <xf numFmtId="49" fontId="1" fillId="11" borderId="3" xfId="0" applyNumberFormat="1" applyFont="1" applyFill="1" applyBorder="1" applyAlignment="1">
      <alignment horizontal="center" vertical="center" wrapText="1"/>
    </xf>
    <xf numFmtId="3" fontId="1" fillId="11" borderId="49" xfId="0" applyNumberFormat="1" applyFont="1" applyFill="1" applyBorder="1"/>
    <xf numFmtId="49" fontId="1" fillId="11" borderId="38" xfId="0" quotePrefix="1" applyNumberFormat="1" applyFont="1" applyFill="1" applyBorder="1" applyAlignment="1">
      <alignment horizontal="center" wrapText="1"/>
    </xf>
    <xf numFmtId="3" fontId="1" fillId="3" borderId="62" xfId="0" applyNumberFormat="1" applyFont="1" applyFill="1" applyBorder="1"/>
    <xf numFmtId="3" fontId="16" fillId="11" borderId="63" xfId="0" applyNumberFormat="1" applyFont="1" applyFill="1" applyBorder="1"/>
    <xf numFmtId="3" fontId="16" fillId="11" borderId="64" xfId="0" applyNumberFormat="1" applyFont="1" applyFill="1" applyBorder="1"/>
    <xf numFmtId="3" fontId="16" fillId="11" borderId="7" xfId="0" applyNumberFormat="1" applyFont="1" applyFill="1" applyBorder="1"/>
    <xf numFmtId="49" fontId="16" fillId="3" borderId="38" xfId="0" quotePrefix="1" applyNumberFormat="1" applyFont="1" applyFill="1" applyBorder="1" applyAlignment="1">
      <alignment horizontal="center" wrapText="1"/>
    </xf>
    <xf numFmtId="3" fontId="1" fillId="3" borderId="65" xfId="0" applyNumberFormat="1" applyFont="1" applyFill="1" applyBorder="1"/>
    <xf numFmtId="3" fontId="1" fillId="3" borderId="56" xfId="0" applyNumberFormat="1" applyFont="1" applyFill="1" applyBorder="1"/>
    <xf numFmtId="3" fontId="1" fillId="3" borderId="14" xfId="0" applyNumberFormat="1" applyFont="1" applyFill="1" applyBorder="1"/>
    <xf numFmtId="3" fontId="16" fillId="11" borderId="44" xfId="0" applyNumberFormat="1" applyFont="1" applyFill="1" applyBorder="1"/>
    <xf numFmtId="3" fontId="16" fillId="11" borderId="62"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3" fontId="16" fillId="22" borderId="34" xfId="0" applyNumberFormat="1" applyFont="1" applyFill="1" applyBorder="1"/>
    <xf numFmtId="0" fontId="16" fillId="23" borderId="2" xfId="0" applyFont="1" applyFill="1" applyBorder="1" applyAlignment="1">
      <alignment horizontal="right"/>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0" fontId="0" fillId="0" borderId="4" xfId="0" applyBorder="1" applyAlignment="1">
      <alignment horizontal="right"/>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18" borderId="1" xfId="0" applyFont="1" applyFill="1" applyBorder="1" applyAlignment="1">
      <alignment horizontal="right"/>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44" xfId="0" applyNumberFormat="1" applyFont="1" applyFill="1" applyBorder="1"/>
    <xf numFmtId="164" fontId="30" fillId="9" borderId="2" xfId="0" applyNumberFormat="1" applyFont="1" applyFill="1" applyBorder="1"/>
    <xf numFmtId="3" fontId="16" fillId="24" borderId="49" xfId="0" applyNumberFormat="1" applyFont="1" applyFill="1" applyBorder="1"/>
    <xf numFmtId="3" fontId="16" fillId="25" borderId="49" xfId="0" applyNumberFormat="1" applyFont="1" applyFill="1" applyBorder="1"/>
    <xf numFmtId="0" fontId="13" fillId="0" borderId="40" xfId="0" applyFont="1" applyBorder="1"/>
    <xf numFmtId="0" fontId="13" fillId="18" borderId="40" xfId="0" applyFont="1" applyFill="1" applyBorder="1"/>
    <xf numFmtId="3" fontId="13" fillId="18" borderId="40" xfId="0" applyNumberFormat="1" applyFont="1" applyFill="1" applyBorder="1"/>
    <xf numFmtId="9" fontId="13" fillId="2" borderId="37"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6" fillId="24" borderId="39" xfId="0" applyNumberFormat="1" applyFont="1" applyFill="1" applyBorder="1"/>
    <xf numFmtId="164" fontId="16" fillId="24" borderId="38" xfId="0" applyNumberFormat="1" applyFont="1" applyFill="1" applyBorder="1"/>
    <xf numFmtId="164" fontId="13"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0" fillId="18" borderId="29" xfId="0" applyNumberFormat="1" applyFont="1" applyFill="1" applyBorder="1"/>
    <xf numFmtId="164" fontId="30" fillId="18" borderId="29" xfId="0" applyNumberFormat="1" applyFont="1" applyFill="1" applyBorder="1"/>
    <xf numFmtId="164" fontId="13" fillId="20" borderId="4" xfId="0" applyNumberFormat="1" applyFont="1" applyFill="1" applyBorder="1"/>
    <xf numFmtId="3" fontId="13" fillId="20" borderId="47" xfId="0" applyNumberFormat="1" applyFont="1" applyFill="1" applyBorder="1"/>
    <xf numFmtId="164" fontId="13" fillId="26" borderId="4" xfId="0" applyNumberFormat="1" applyFont="1" applyFill="1" applyBorder="1"/>
    <xf numFmtId="3" fontId="13" fillId="26" borderId="47" xfId="0" applyNumberFormat="1" applyFont="1" applyFill="1" applyBorder="1"/>
    <xf numFmtId="9" fontId="30" fillId="2" borderId="29" xfId="0" applyNumberFormat="1" applyFont="1" applyFill="1" applyBorder="1"/>
    <xf numFmtId="3" fontId="13" fillId="26" borderId="4" xfId="0" applyNumberFormat="1" applyFont="1" applyFill="1" applyBorder="1"/>
    <xf numFmtId="0" fontId="13" fillId="26" borderId="47" xfId="0" applyFont="1" applyFill="1" applyBorder="1"/>
    <xf numFmtId="10" fontId="30" fillId="2" borderId="29" xfId="0" applyNumberFormat="1" applyFont="1" applyFill="1" applyBorder="1"/>
    <xf numFmtId="3" fontId="30" fillId="2" borderId="29" xfId="0" applyNumberFormat="1" applyFont="1" applyFill="1" applyBorder="1"/>
    <xf numFmtId="172" fontId="13" fillId="3" borderId="37" xfId="0" applyNumberFormat="1" applyFont="1" applyFill="1" applyBorder="1" applyAlignment="1">
      <alignment horizontal="right"/>
    </xf>
    <xf numFmtId="164" fontId="13" fillId="3" borderId="39" xfId="0" applyNumberFormat="1" applyFont="1" applyFill="1" applyBorder="1"/>
    <xf numFmtId="9" fontId="13" fillId="3" borderId="39" xfId="0" applyNumberFormat="1" applyFont="1" applyFill="1" applyBorder="1"/>
    <xf numFmtId="3" fontId="13" fillId="3" borderId="39" xfId="0" applyNumberFormat="1" applyFont="1" applyFill="1" applyBorder="1"/>
    <xf numFmtId="9" fontId="13" fillId="3" borderId="38" xfId="0" applyNumberFormat="1" applyFont="1" applyFill="1" applyBorder="1"/>
    <xf numFmtId="172" fontId="13" fillId="27" borderId="37" xfId="0" applyNumberFormat="1" applyFont="1" applyFill="1" applyBorder="1" applyAlignment="1">
      <alignment horizontal="right"/>
    </xf>
    <xf numFmtId="164" fontId="13" fillId="27" borderId="39" xfId="0" applyNumberFormat="1" applyFont="1" applyFill="1" applyBorder="1"/>
    <xf numFmtId="9" fontId="13" fillId="27" borderId="39" xfId="0" applyNumberFormat="1" applyFont="1" applyFill="1" applyBorder="1"/>
    <xf numFmtId="9" fontId="13" fillId="27" borderId="38" xfId="0" applyNumberFormat="1" applyFont="1" applyFill="1" applyBorder="1"/>
    <xf numFmtId="0" fontId="13" fillId="18" borderId="6" xfId="0" applyFont="1" applyFill="1" applyBorder="1"/>
    <xf numFmtId="0" fontId="13" fillId="18" borderId="1" xfId="0" applyFont="1" applyFill="1" applyBorder="1" applyAlignment="1">
      <alignment horizontal="right"/>
    </xf>
    <xf numFmtId="0" fontId="0" fillId="18" borderId="1" xfId="0" applyFill="1" applyBorder="1" applyAlignment="1">
      <alignment horizontal="right"/>
    </xf>
    <xf numFmtId="3" fontId="13" fillId="18" borderId="1" xfId="0" applyNumberFormat="1" applyFont="1" applyFill="1" applyBorder="1"/>
    <xf numFmtId="9" fontId="13" fillId="18" borderId="1" xfId="0" applyNumberFormat="1" applyFont="1" applyFill="1" applyBorder="1"/>
    <xf numFmtId="3" fontId="13" fillId="28" borderId="1" xfId="0" applyNumberFormat="1" applyFont="1" applyFill="1" applyBorder="1"/>
    <xf numFmtId="9" fontId="13" fillId="28" borderId="7" xfId="0" applyNumberFormat="1" applyFont="1" applyFill="1" applyBorder="1"/>
    <xf numFmtId="0" fontId="13" fillId="20" borderId="2" xfId="0" applyFont="1" applyFill="1" applyBorder="1"/>
    <xf numFmtId="0" fontId="13" fillId="20" borderId="46" xfId="0" applyFont="1" applyFill="1" applyBorder="1"/>
    <xf numFmtId="3" fontId="13" fillId="20" borderId="4" xfId="0" applyNumberFormat="1" applyFont="1" applyFill="1" applyBorder="1"/>
    <xf numFmtId="3" fontId="13" fillId="20" borderId="0" xfId="0" applyNumberFormat="1" applyFont="1" applyFill="1"/>
    <xf numFmtId="3" fontId="13" fillId="20" borderId="6" xfId="0" applyNumberFormat="1" applyFont="1" applyFill="1" applyBorder="1"/>
    <xf numFmtId="3" fontId="13" fillId="20" borderId="48" xfId="0" applyNumberFormat="1" applyFont="1" applyFill="1" applyBorder="1"/>
    <xf numFmtId="3" fontId="13" fillId="26" borderId="6" xfId="0" applyNumberFormat="1" applyFont="1" applyFill="1" applyBorder="1"/>
    <xf numFmtId="0" fontId="13" fillId="26" borderId="48" xfId="0" applyFont="1" applyFill="1" applyBorder="1"/>
    <xf numFmtId="3" fontId="13" fillId="26" borderId="2" xfId="0" applyNumberFormat="1" applyFont="1" applyFill="1" applyBorder="1"/>
    <xf numFmtId="3" fontId="13" fillId="26" borderId="4" xfId="0" applyNumberFormat="1" applyFont="1" applyFill="1" applyBorder="1" applyAlignment="1">
      <alignment horizontal="center"/>
    </xf>
    <xf numFmtId="0" fontId="13" fillId="29" borderId="2" xfId="0" applyFont="1" applyFill="1" applyBorder="1" applyAlignment="1">
      <alignment horizontal="right"/>
    </xf>
    <xf numFmtId="172" fontId="13" fillId="27" borderId="4" xfId="0" applyNumberFormat="1" applyFont="1" applyFill="1" applyBorder="1" applyAlignment="1">
      <alignment horizontal="right"/>
    </xf>
    <xf numFmtId="164" fontId="13" fillId="27" borderId="0" xfId="0" applyNumberFormat="1" applyFont="1" applyFill="1"/>
    <xf numFmtId="10" fontId="13" fillId="27" borderId="0" xfId="0" applyNumberFormat="1" applyFont="1" applyFill="1"/>
    <xf numFmtId="3" fontId="13" fillId="27" borderId="0" xfId="0" applyNumberFormat="1" applyFont="1" applyFill="1"/>
    <xf numFmtId="4" fontId="13" fillId="27" borderId="0" xfId="0" applyNumberFormat="1" applyFont="1" applyFill="1"/>
    <xf numFmtId="10" fontId="13" fillId="27" borderId="5" xfId="0" applyNumberFormat="1" applyFont="1" applyFill="1" applyBorder="1"/>
    <xf numFmtId="3" fontId="13" fillId="30" borderId="4" xfId="0" applyNumberFormat="1" applyFont="1" applyFill="1" applyBorder="1"/>
    <xf numFmtId="164" fontId="13" fillId="30" borderId="47" xfId="0" applyNumberFormat="1" applyFont="1" applyFill="1" applyBorder="1"/>
    <xf numFmtId="164" fontId="13" fillId="30" borderId="4" xfId="0" applyNumberFormat="1" applyFont="1" applyFill="1" applyBorder="1" applyAlignment="1">
      <alignment horizontal="right"/>
    </xf>
    <xf numFmtId="0" fontId="13" fillId="30" borderId="4" xfId="0" applyFont="1" applyFill="1" applyBorder="1" applyAlignment="1">
      <alignment horizontal="right"/>
    </xf>
    <xf numFmtId="164" fontId="13" fillId="30" borderId="4" xfId="0" applyNumberFormat="1" applyFont="1" applyFill="1" applyBorder="1"/>
    <xf numFmtId="164" fontId="13" fillId="30" borderId="6" xfId="0" applyNumberFormat="1" applyFont="1" applyFill="1" applyBorder="1"/>
    <xf numFmtId="164" fontId="13" fillId="30" borderId="48" xfId="0" applyNumberFormat="1" applyFont="1" applyFill="1" applyBorder="1"/>
    <xf numFmtId="0" fontId="13" fillId="26" borderId="0" xfId="0" applyFont="1" applyFill="1"/>
    <xf numFmtId="164" fontId="13" fillId="26" borderId="0" xfId="0" applyNumberFormat="1" applyFont="1" applyFill="1"/>
    <xf numFmtId="164" fontId="13" fillId="26" borderId="1" xfId="0" applyNumberFormat="1" applyFont="1" applyFill="1" applyBorder="1"/>
    <xf numFmtId="0" fontId="13" fillId="20" borderId="3" xfId="0" applyFont="1" applyFill="1" applyBorder="1"/>
    <xf numFmtId="0" fontId="13" fillId="20" borderId="4" xfId="0" applyFont="1" applyFill="1" applyBorder="1"/>
    <xf numFmtId="0" fontId="13" fillId="20" borderId="5" xfId="0" applyFont="1" applyFill="1" applyBorder="1"/>
    <xf numFmtId="164" fontId="13" fillId="20" borderId="6" xfId="0" applyNumberFormat="1" applyFont="1" applyFill="1" applyBorder="1"/>
    <xf numFmtId="164" fontId="13" fillId="20" borderId="7" xfId="0" applyNumberFormat="1" applyFont="1" applyFill="1" applyBorder="1"/>
    <xf numFmtId="3" fontId="13" fillId="26" borderId="0" xfId="0" applyNumberFormat="1" applyFont="1" applyFill="1"/>
    <xf numFmtId="3" fontId="13" fillId="26" borderId="66" xfId="0" applyNumberFormat="1" applyFont="1" applyFill="1" applyBorder="1"/>
    <xf numFmtId="0" fontId="13" fillId="26" borderId="1" xfId="0" applyFont="1" applyFill="1" applyBorder="1"/>
    <xf numFmtId="0" fontId="13"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9"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4" fillId="18" borderId="37" xfId="0" applyFont="1" applyFill="1" applyBorder="1" applyAlignment="1">
      <alignment horizontal="left" vertical="center" wrapText="1"/>
    </xf>
    <xf numFmtId="0" fontId="14" fillId="18" borderId="29" xfId="0" applyFont="1" applyFill="1" applyBorder="1" applyAlignment="1">
      <alignment horizontal="left" vertical="center" wrapText="1"/>
    </xf>
    <xf numFmtId="164" fontId="13" fillId="9" borderId="48" xfId="0" applyNumberFormat="1" applyFont="1" applyFill="1" applyBorder="1"/>
    <xf numFmtId="0" fontId="13" fillId="20" borderId="47" xfId="0" applyFont="1" applyFill="1" applyBorder="1"/>
    <xf numFmtId="164" fontId="13" fillId="29" borderId="3" xfId="0" applyNumberFormat="1" applyFont="1" applyFill="1" applyBorder="1"/>
    <xf numFmtId="0" fontId="13" fillId="2" borderId="0" xfId="0" applyFont="1" applyFill="1"/>
    <xf numFmtId="3" fontId="14" fillId="0" borderId="4" xfId="0" applyNumberFormat="1" applyFont="1" applyBorder="1"/>
    <xf numFmtId="0" fontId="0" fillId="18" borderId="1" xfId="0" applyFill="1" applyBorder="1"/>
    <xf numFmtId="3" fontId="1" fillId="0" borderId="37" xfId="0" applyNumberFormat="1" applyFont="1" applyBorder="1" applyAlignment="1">
      <alignment horizontal="center" wrapText="1"/>
    </xf>
    <xf numFmtId="0" fontId="0" fillId="20" borderId="40" xfId="0" applyFill="1" applyBorder="1" applyAlignment="1">
      <alignment horizontal="center"/>
    </xf>
    <xf numFmtId="0" fontId="0" fillId="20" borderId="36" xfId="0" applyFill="1" applyBorder="1" applyAlignment="1">
      <alignment horizontal="center"/>
    </xf>
    <xf numFmtId="3" fontId="13" fillId="26" borderId="5" xfId="0" applyNumberFormat="1" applyFont="1" applyFill="1" applyBorder="1"/>
    <xf numFmtId="0" fontId="13" fillId="29" borderId="4" xfId="0" applyFont="1" applyFill="1" applyBorder="1" applyAlignment="1">
      <alignment horizontal="right"/>
    </xf>
    <xf numFmtId="164" fontId="13" fillId="29" borderId="5" xfId="0" applyNumberFormat="1" applyFont="1" applyFill="1" applyBorder="1"/>
    <xf numFmtId="0" fontId="13" fillId="26" borderId="9" xfId="0" applyFont="1" applyFill="1" applyBorder="1"/>
    <xf numFmtId="0" fontId="31" fillId="31" borderId="2" xfId="0" applyFont="1" applyFill="1" applyBorder="1" applyAlignment="1">
      <alignment horizontal="right"/>
    </xf>
    <xf numFmtId="1" fontId="31" fillId="31" borderId="4" xfId="0" applyNumberFormat="1" applyFont="1" applyFill="1" applyBorder="1" applyAlignment="1">
      <alignment horizontal="right"/>
    </xf>
    <xf numFmtId="1" fontId="31" fillId="31"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9" xfId="0" applyNumberFormat="1" applyFont="1" applyFill="1" applyBorder="1" applyAlignment="1">
      <alignment horizontal="right"/>
    </xf>
    <xf numFmtId="164" fontId="0" fillId="18" borderId="0" xfId="0" applyNumberFormat="1" applyFill="1"/>
    <xf numFmtId="175" fontId="0" fillId="18" borderId="0" xfId="0" applyNumberFormat="1" applyFill="1" applyAlignment="1">
      <alignment horizontal="right"/>
    </xf>
    <xf numFmtId="175"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3" fillId="18" borderId="0" xfId="0" applyFont="1" applyFill="1" applyAlignment="1">
      <alignment horizontal="right"/>
    </xf>
    <xf numFmtId="4" fontId="30" fillId="2" borderId="3" xfId="0" applyNumberFormat="1" applyFont="1" applyFill="1" applyBorder="1"/>
    <xf numFmtId="14" fontId="13" fillId="0" borderId="0" xfId="0" applyNumberFormat="1" applyFont="1"/>
    <xf numFmtId="164" fontId="16" fillId="24" borderId="29" xfId="0" applyNumberFormat="1" applyFont="1" applyFill="1" applyBorder="1"/>
    <xf numFmtId="164" fontId="16" fillId="24" borderId="36" xfId="0" applyNumberFormat="1" applyFont="1" applyFill="1" applyBorder="1"/>
    <xf numFmtId="3" fontId="16" fillId="25" borderId="67" xfId="0" applyNumberFormat="1" applyFont="1" applyFill="1" applyBorder="1"/>
    <xf numFmtId="9" fontId="13" fillId="0" borderId="0" xfId="0" applyNumberFormat="1" applyFont="1"/>
    <xf numFmtId="3" fontId="13" fillId="3" borderId="0" xfId="0" applyNumberFormat="1" applyFont="1" applyFill="1"/>
    <xf numFmtId="3" fontId="13" fillId="3" borderId="29"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30"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9" xfId="0" applyNumberFormat="1" applyFont="1" applyFill="1" applyBorder="1"/>
    <xf numFmtId="171" fontId="0" fillId="29"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3"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9" xfId="0" applyFont="1" applyFill="1" applyBorder="1" applyAlignment="1">
      <alignment horizontal="right" vertical="center" wrapText="1"/>
    </xf>
    <xf numFmtId="0" fontId="13" fillId="26" borderId="47" xfId="0" applyFont="1" applyFill="1" applyBorder="1" applyAlignment="1">
      <alignment horizontal="center"/>
    </xf>
    <xf numFmtId="0" fontId="14"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4" fontId="0" fillId="9" borderId="0" xfId="0" applyNumberFormat="1" applyFill="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4" fillId="2" borderId="29" xfId="0" applyFont="1" applyFill="1" applyBorder="1" applyAlignment="1">
      <alignment horizontal="center"/>
    </xf>
    <xf numFmtId="38" fontId="0" fillId="0" borderId="0" xfId="0" applyNumberFormat="1"/>
    <xf numFmtId="175" fontId="0" fillId="0" borderId="0" xfId="0" applyNumberFormat="1"/>
    <xf numFmtId="176"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6"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5" fontId="0" fillId="0" borderId="0" xfId="0" applyNumberFormat="1" applyAlignment="1">
      <alignment horizontal="left"/>
    </xf>
    <xf numFmtId="8" fontId="0" fillId="0" borderId="0" xfId="0" applyNumberFormat="1" applyAlignment="1">
      <alignment horizontal="left"/>
    </xf>
    <xf numFmtId="176"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6" fontId="0" fillId="2" borderId="0" xfId="0" applyNumberFormat="1" applyFill="1" applyAlignment="1">
      <alignment horizontal="left"/>
    </xf>
    <xf numFmtId="0" fontId="44" fillId="0" borderId="0" xfId="0" applyFont="1"/>
    <xf numFmtId="171" fontId="0" fillId="0" borderId="0" xfId="0" applyNumberFormat="1"/>
    <xf numFmtId="171" fontId="0" fillId="0" borderId="1" xfId="0" applyNumberFormat="1" applyBorder="1"/>
    <xf numFmtId="3" fontId="1" fillId="0" borderId="36"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1" fillId="0" borderId="29" xfId="0" applyNumberFormat="1" applyFont="1" applyBorder="1" applyAlignment="1">
      <alignment horizontal="center" wrapText="1"/>
    </xf>
    <xf numFmtId="173" fontId="0" fillId="20" borderId="40"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6"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6"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6" xfId="0" applyNumberFormat="1" applyFont="1" applyFill="1" applyBorder="1" applyAlignment="1">
      <alignment horizontal="center" wrapText="1"/>
    </xf>
    <xf numFmtId="3" fontId="0" fillId="30" borderId="0" xfId="0" applyNumberFormat="1" applyFill="1"/>
    <xf numFmtId="3" fontId="0" fillId="30" borderId="1" xfId="0" applyNumberFormat="1" applyFill="1" applyBorder="1"/>
    <xf numFmtId="14" fontId="14" fillId="2" borderId="29" xfId="0" applyNumberFormat="1" applyFont="1" applyFill="1" applyBorder="1" applyAlignment="1">
      <alignment horizontal="center" vertical="center"/>
    </xf>
    <xf numFmtId="0" fontId="13" fillId="18" borderId="29" xfId="0" applyFont="1" applyFill="1" applyBorder="1"/>
    <xf numFmtId="0" fontId="13" fillId="18" borderId="36" xfId="0" applyFont="1" applyFill="1" applyBorder="1"/>
    <xf numFmtId="0" fontId="1" fillId="0" borderId="29" xfId="0" applyFont="1" applyBorder="1" applyAlignment="1">
      <alignment horizontal="left"/>
    </xf>
    <xf numFmtId="0" fontId="45" fillId="0" borderId="0" xfId="0" applyFont="1" applyAlignment="1">
      <alignment horizontal="left" vertical="center"/>
    </xf>
    <xf numFmtId="0" fontId="44" fillId="2" borderId="0" xfId="0" applyFont="1" applyFill="1"/>
    <xf numFmtId="49" fontId="0" fillId="2" borderId="0" xfId="0" applyNumberFormat="1" applyFill="1" applyAlignment="1">
      <alignment horizontal="left"/>
    </xf>
    <xf numFmtId="164" fontId="1" fillId="18" borderId="39" xfId="0" applyNumberFormat="1" applyFont="1" applyFill="1" applyBorder="1"/>
    <xf numFmtId="0" fontId="1" fillId="18" borderId="1" xfId="0" applyFont="1" applyFill="1" applyBorder="1" applyAlignment="1">
      <alignment horizontal="center"/>
    </xf>
    <xf numFmtId="49" fontId="16" fillId="32" borderId="3" xfId="0" applyNumberFormat="1" applyFont="1" applyFill="1" applyBorder="1" applyAlignment="1">
      <alignment horizontal="center" vertical="center" wrapText="1"/>
    </xf>
    <xf numFmtId="3" fontId="16" fillId="32" borderId="49" xfId="0" applyNumberFormat="1" applyFont="1" applyFill="1" applyBorder="1"/>
    <xf numFmtId="0" fontId="7" fillId="32" borderId="0" xfId="0" applyFont="1" applyFill="1"/>
    <xf numFmtId="0" fontId="7" fillId="32" borderId="0" xfId="0" applyFont="1" applyFill="1" applyAlignment="1">
      <alignment horizontal="left"/>
    </xf>
    <xf numFmtId="0" fontId="7" fillId="32" borderId="51" xfId="0" applyFont="1" applyFill="1" applyBorder="1"/>
    <xf numFmtId="0" fontId="7" fillId="32" borderId="8" xfId="0" applyFont="1" applyFill="1" applyBorder="1"/>
    <xf numFmtId="3" fontId="16" fillId="32" borderId="62" xfId="0" applyNumberFormat="1" applyFont="1" applyFill="1" applyBorder="1"/>
    <xf numFmtId="0" fontId="1" fillId="18" borderId="1" xfId="0" applyFont="1" applyFill="1" applyBorder="1" applyAlignment="1">
      <alignment horizontal="left"/>
    </xf>
    <xf numFmtId="164" fontId="1" fillId="18" borderId="29" xfId="0" applyNumberFormat="1" applyFont="1" applyFill="1" applyBorder="1"/>
    <xf numFmtId="10" fontId="1" fillId="2" borderId="29" xfId="0" applyNumberFormat="1" applyFont="1" applyFill="1" applyBorder="1" applyAlignment="1">
      <alignment horizontal="center"/>
    </xf>
    <xf numFmtId="10" fontId="0" fillId="29" borderId="29" xfId="0" applyNumberFormat="1" applyFill="1" applyBorder="1"/>
    <xf numFmtId="10" fontId="0" fillId="20" borderId="29" xfId="0" applyNumberFormat="1" applyFill="1" applyBorder="1"/>
    <xf numFmtId="9" fontId="0" fillId="18" borderId="36" xfId="0" applyNumberFormat="1" applyFill="1" applyBorder="1"/>
    <xf numFmtId="9" fontId="1" fillId="2" borderId="36" xfId="0" applyNumberFormat="1" applyFont="1" applyFill="1" applyBorder="1" applyAlignment="1">
      <alignment horizontal="center"/>
    </xf>
    <xf numFmtId="3" fontId="0" fillId="18" borderId="0" xfId="0" applyNumberFormat="1" applyFill="1"/>
    <xf numFmtId="3" fontId="0" fillId="0" borderId="0" xfId="0" applyNumberFormat="1" applyAlignment="1">
      <alignment horizontal="center"/>
    </xf>
    <xf numFmtId="171" fontId="0" fillId="2" borderId="29" xfId="0" applyNumberFormat="1" applyFill="1" applyBorder="1"/>
    <xf numFmtId="14" fontId="0" fillId="18" borderId="29" xfId="0" applyNumberFormat="1" applyFill="1" applyBorder="1"/>
    <xf numFmtId="14" fontId="0" fillId="2" borderId="29" xfId="0" applyNumberFormat="1" applyFill="1" applyBorder="1"/>
    <xf numFmtId="3" fontId="0" fillId="2" borderId="1" xfId="0" applyNumberFormat="1" applyFill="1" applyBorder="1"/>
    <xf numFmtId="0" fontId="0" fillId="0" borderId="41" xfId="0" applyBorder="1"/>
    <xf numFmtId="0" fontId="46" fillId="0" borderId="0" xfId="0" applyFont="1"/>
    <xf numFmtId="0" fontId="1" fillId="0" borderId="4" xfId="0" applyFont="1" applyBorder="1"/>
    <xf numFmtId="49" fontId="1" fillId="0" borderId="0" xfId="0" applyNumberFormat="1" applyFont="1"/>
    <xf numFmtId="0" fontId="1" fillId="0" borderId="2" xfId="0" applyFont="1" applyBorder="1"/>
    <xf numFmtId="0" fontId="1" fillId="0" borderId="6" xfId="0" applyFont="1" applyBorder="1"/>
    <xf numFmtId="0" fontId="47" fillId="0" borderId="0" xfId="0" applyFont="1"/>
    <xf numFmtId="0" fontId="47" fillId="0" borderId="0" xfId="0" applyFont="1" applyAlignment="1">
      <alignment horizontal="left"/>
    </xf>
    <xf numFmtId="38" fontId="47" fillId="0" borderId="0" xfId="0" applyNumberFormat="1" applyFont="1" applyAlignment="1">
      <alignment horizontal="left"/>
    </xf>
    <xf numFmtId="4" fontId="47" fillId="0" borderId="0" xfId="0" applyNumberFormat="1" applyFont="1" applyAlignment="1">
      <alignment horizontal="left"/>
    </xf>
    <xf numFmtId="8" fontId="47" fillId="0" borderId="0" xfId="0" applyNumberFormat="1" applyFont="1" applyAlignment="1">
      <alignment horizontal="left"/>
    </xf>
    <xf numFmtId="175" fontId="47" fillId="0" borderId="0" xfId="0" applyNumberFormat="1" applyFont="1" applyAlignment="1">
      <alignment horizontal="left"/>
    </xf>
    <xf numFmtId="0" fontId="47" fillId="2" borderId="0" xfId="0" applyFont="1" applyFill="1" applyAlignment="1">
      <alignment horizontal="left"/>
    </xf>
    <xf numFmtId="176" fontId="47" fillId="2" borderId="0" xfId="0" applyNumberFormat="1" applyFont="1" applyFill="1" applyAlignment="1">
      <alignment horizontal="left"/>
    </xf>
    <xf numFmtId="176" fontId="47" fillId="0" borderId="0" xfId="0" applyNumberFormat="1" applyFont="1" applyAlignment="1">
      <alignment horizontal="left"/>
    </xf>
    <xf numFmtId="0" fontId="48" fillId="16" borderId="0" xfId="0" applyFont="1" applyFill="1" applyAlignment="1">
      <alignment vertical="center" wrapText="1"/>
    </xf>
    <xf numFmtId="0" fontId="44" fillId="0" borderId="0" xfId="0" applyFont="1" applyAlignment="1">
      <alignment horizontal="left" vertical="center"/>
    </xf>
    <xf numFmtId="4" fontId="47" fillId="2" borderId="0" xfId="0" applyNumberFormat="1" applyFont="1" applyFill="1" applyAlignment="1">
      <alignment horizontal="left"/>
    </xf>
    <xf numFmtId="0" fontId="46" fillId="0" borderId="0" xfId="0" applyFont="1" applyAlignment="1">
      <alignment horizontal="left"/>
    </xf>
    <xf numFmtId="0" fontId="47" fillId="2" borderId="0" xfId="0" applyFont="1" applyFill="1"/>
    <xf numFmtId="3" fontId="47" fillId="0" borderId="0" xfId="0" applyNumberFormat="1" applyFont="1" applyAlignment="1">
      <alignment horizontal="left"/>
    </xf>
    <xf numFmtId="49" fontId="47" fillId="0" borderId="0" xfId="0" applyNumberFormat="1" applyFont="1" applyAlignment="1">
      <alignment horizontal="left"/>
    </xf>
    <xf numFmtId="164" fontId="47" fillId="0" borderId="0" xfId="0" applyNumberFormat="1" applyFont="1" applyAlignment="1">
      <alignment horizontal="left"/>
    </xf>
    <xf numFmtId="0" fontId="49" fillId="0" borderId="0" xfId="0" applyFont="1"/>
    <xf numFmtId="49" fontId="49" fillId="0" borderId="0" xfId="0" applyNumberFormat="1" applyFont="1"/>
    <xf numFmtId="3" fontId="31" fillId="4" borderId="43" xfId="0" applyNumberFormat="1" applyFont="1" applyFill="1" applyBorder="1" applyAlignment="1">
      <alignment horizontal="right"/>
    </xf>
    <xf numFmtId="0" fontId="51" fillId="0" borderId="0" xfId="0" applyFont="1"/>
    <xf numFmtId="3" fontId="31" fillId="31" borderId="43" xfId="0" applyNumberFormat="1" applyFont="1" applyFill="1" applyBorder="1" applyAlignment="1">
      <alignment horizontal="right"/>
    </xf>
    <xf numFmtId="0" fontId="53" fillId="0" borderId="0" xfId="0" applyFont="1"/>
    <xf numFmtId="14" fontId="19" fillId="0" borderId="0" xfId="0" applyNumberFormat="1" applyFont="1" applyAlignment="1">
      <alignment horizontal="right"/>
    </xf>
    <xf numFmtId="0" fontId="53" fillId="0" borderId="0" xfId="0" applyFont="1" applyAlignment="1">
      <alignment horizontal="left"/>
    </xf>
    <xf numFmtId="0" fontId="26" fillId="2" borderId="1" xfId="0" applyFont="1" applyFill="1" applyBorder="1" applyAlignment="1">
      <alignment horizontal="left"/>
    </xf>
    <xf numFmtId="0" fontId="0" fillId="2" borderId="1" xfId="0" applyFill="1" applyBorder="1" applyAlignment="1">
      <alignment horizontal="left"/>
    </xf>
    <xf numFmtId="3" fontId="13" fillId="18" borderId="37" xfId="0" applyNumberFormat="1" applyFont="1" applyFill="1" applyBorder="1"/>
    <xf numFmtId="0" fontId="0" fillId="18" borderId="38"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8" borderId="0" xfId="0" applyNumberFormat="1" applyFont="1" applyFill="1"/>
    <xf numFmtId="0" fontId="13" fillId="18" borderId="0" xfId="0" applyFont="1" applyFill="1"/>
    <xf numFmtId="9" fontId="13" fillId="2" borderId="41" xfId="0" applyNumberFormat="1" applyFont="1" applyFill="1" applyBorder="1" applyAlignment="1">
      <alignment horizontal="center"/>
    </xf>
    <xf numFmtId="9" fontId="0" fillId="0" borderId="36"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8" borderId="2" xfId="0" applyFont="1" applyFill="1" applyBorder="1" applyAlignment="1">
      <alignment horizontal="center" vertical="center" wrapText="1"/>
    </xf>
    <xf numFmtId="0" fontId="14" fillId="18" borderId="3" xfId="0" applyFont="1" applyFill="1" applyBorder="1" applyAlignment="1">
      <alignment horizontal="center" vertical="center" wrapText="1"/>
    </xf>
    <xf numFmtId="0" fontId="14" fillId="18" borderId="4"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4" fillId="18"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8" borderId="41" xfId="0" applyNumberFormat="1" applyFont="1" applyFill="1" applyBorder="1" applyAlignment="1">
      <alignment horizontal="center" vertical="center" wrapText="1"/>
    </xf>
    <xf numFmtId="164" fontId="0" fillId="18" borderId="36" xfId="0" applyNumberFormat="1" applyFill="1" applyBorder="1" applyAlignment="1">
      <alignment horizontal="center" vertical="center" wrapText="1"/>
    </xf>
    <xf numFmtId="0" fontId="13" fillId="18" borderId="41" xfId="0" applyFont="1" applyFill="1" applyBorder="1" applyAlignment="1">
      <alignment horizontal="center" vertical="center" wrapText="1"/>
    </xf>
    <xf numFmtId="0" fontId="0" fillId="18" borderId="36"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3" fillId="18" borderId="37" xfId="0" applyNumberFormat="1" applyFont="1" applyFill="1" applyBorder="1"/>
    <xf numFmtId="0" fontId="13" fillId="18" borderId="38" xfId="0" applyFont="1" applyFill="1" applyBorder="1"/>
    <xf numFmtId="164" fontId="13" fillId="0" borderId="11" xfId="0" applyNumberFormat="1" applyFont="1" applyBorder="1"/>
    <xf numFmtId="0" fontId="13" fillId="0" borderId="12" xfId="0" applyFont="1" applyBorder="1"/>
    <xf numFmtId="0" fontId="13" fillId="18" borderId="37" xfId="0" applyFont="1" applyFill="1" applyBorder="1" applyAlignment="1">
      <alignment horizontal="left"/>
    </xf>
    <xf numFmtId="0" fontId="0" fillId="0" borderId="38" xfId="0" applyBorder="1" applyAlignment="1">
      <alignment horizontal="left"/>
    </xf>
    <xf numFmtId="14" fontId="13" fillId="2" borderId="37" xfId="0" applyNumberFormat="1" applyFont="1" applyFill="1" applyBorder="1" applyAlignment="1">
      <alignment horizontal="center" vertical="center"/>
    </xf>
    <xf numFmtId="0" fontId="0" fillId="2" borderId="38" xfId="0" applyFill="1" applyBorder="1" applyAlignment="1">
      <alignment vertical="center"/>
    </xf>
    <xf numFmtId="3" fontId="13" fillId="2" borderId="4" xfId="0" applyNumberFormat="1" applyFont="1" applyFill="1" applyBorder="1"/>
    <xf numFmtId="3" fontId="13" fillId="2" borderId="5" xfId="0" applyNumberFormat="1" applyFont="1" applyFill="1" applyBorder="1"/>
    <xf numFmtId="164" fontId="14" fillId="0" borderId="9" xfId="0" applyNumberFormat="1" applyFont="1" applyBorder="1" applyAlignment="1">
      <alignment horizontal="right"/>
    </xf>
    <xf numFmtId="164" fontId="13" fillId="18" borderId="6" xfId="0" applyNumberFormat="1" applyFont="1" applyFill="1" applyBorder="1"/>
    <xf numFmtId="0" fontId="13" fillId="18" borderId="7" xfId="0" applyFont="1" applyFill="1" applyBorder="1"/>
    <xf numFmtId="164" fontId="13" fillId="0" borderId="6" xfId="0" applyNumberFormat="1" applyFont="1" applyBorder="1"/>
    <xf numFmtId="3" fontId="13" fillId="18" borderId="2" xfId="0" applyNumberFormat="1" applyFont="1" applyFill="1" applyBorder="1"/>
    <xf numFmtId="0" fontId="13" fillId="18" borderId="3" xfId="0" applyFont="1" applyFill="1" applyBorder="1"/>
    <xf numFmtId="0" fontId="0" fillId="2" borderId="7" xfId="0" applyFill="1" applyBorder="1"/>
    <xf numFmtId="0" fontId="0" fillId="2" borderId="37" xfId="0" applyFill="1" applyBorder="1" applyAlignment="1">
      <alignment vertical="center"/>
    </xf>
    <xf numFmtId="0" fontId="0" fillId="0" borderId="38" xfId="0" applyBorder="1" applyAlignment="1">
      <alignment vertical="center"/>
    </xf>
    <xf numFmtId="9" fontId="13" fillId="2" borderId="37" xfId="0" applyNumberFormat="1" applyFont="1" applyFill="1" applyBorder="1" applyAlignment="1">
      <alignment horizontal="right"/>
    </xf>
    <xf numFmtId="9" fontId="0" fillId="0" borderId="39" xfId="0" applyNumberFormat="1" applyBorder="1" applyAlignment="1">
      <alignment horizontal="right"/>
    </xf>
    <xf numFmtId="164" fontId="14" fillId="3" borderId="58" xfId="0" applyNumberFormat="1" applyFont="1" applyFill="1" applyBorder="1"/>
    <xf numFmtId="0" fontId="0" fillId="0" borderId="59" xfId="0" applyBorder="1"/>
    <xf numFmtId="9" fontId="13" fillId="18" borderId="37" xfId="0" applyNumberFormat="1" applyFont="1" applyFill="1" applyBorder="1" applyAlignment="1">
      <alignment horizontal="right"/>
    </xf>
    <xf numFmtId="9" fontId="0" fillId="18" borderId="38" xfId="0" applyNumberFormat="1" applyFill="1" applyBorder="1" applyAlignment="1">
      <alignment horizontal="right"/>
    </xf>
    <xf numFmtId="0" fontId="14" fillId="0" borderId="0" xfId="0" applyFont="1" applyAlignment="1">
      <alignment horizontal="right"/>
    </xf>
    <xf numFmtId="0" fontId="13" fillId="0" borderId="0" xfId="0" applyFont="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7" borderId="37" xfId="0" applyNumberFormat="1" applyFont="1" applyFill="1" applyBorder="1"/>
    <xf numFmtId="164" fontId="13" fillId="17" borderId="38" xfId="0" applyNumberFormat="1" applyFont="1" applyFill="1" applyBorder="1"/>
    <xf numFmtId="3" fontId="13" fillId="2" borderId="32" xfId="0" applyNumberFormat="1" applyFont="1" applyFill="1" applyBorder="1"/>
    <xf numFmtId="3" fontId="13" fillId="2" borderId="33" xfId="0" applyNumberFormat="1" applyFont="1" applyFill="1" applyBorder="1"/>
    <xf numFmtId="0" fontId="14"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3" fillId="0" borderId="1" xfId="0" applyNumberFormat="1" applyFont="1" applyBorder="1"/>
    <xf numFmtId="0" fontId="13" fillId="27" borderId="0" xfId="0" applyFont="1" applyFill="1" applyAlignment="1">
      <alignment horizontal="right"/>
    </xf>
    <xf numFmtId="0" fontId="0" fillId="27" borderId="0" xfId="0" applyFill="1"/>
    <xf numFmtId="0" fontId="13" fillId="3" borderId="39" xfId="0" applyFont="1" applyFill="1" applyBorder="1" applyAlignment="1">
      <alignment horizontal="right"/>
    </xf>
    <xf numFmtId="0" fontId="0" fillId="3" borderId="39" xfId="0" applyFill="1" applyBorder="1"/>
    <xf numFmtId="14" fontId="13" fillId="2" borderId="41" xfId="0" applyNumberFormat="1" applyFont="1" applyFill="1" applyBorder="1" applyAlignment="1">
      <alignment horizontal="center" vertical="center"/>
    </xf>
    <xf numFmtId="0" fontId="0" fillId="0" borderId="36"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41" xfId="0" applyNumberFormat="1" applyFont="1" applyFill="1" applyBorder="1" applyAlignment="1">
      <alignment horizontal="center" vertical="center"/>
    </xf>
    <xf numFmtId="3" fontId="0" fillId="0" borderId="36" xfId="0" applyNumberFormat="1" applyBorder="1" applyAlignment="1">
      <alignment horizontal="center" vertical="center"/>
    </xf>
    <xf numFmtId="164" fontId="14" fillId="0" borderId="37"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9" xfId="0" applyFont="1" applyFill="1" applyBorder="1" applyAlignment="1">
      <alignment horizontal="center"/>
    </xf>
    <xf numFmtId="0" fontId="0" fillId="0" borderId="38" xfId="0" applyBorder="1" applyAlignment="1">
      <alignment horizontal="center"/>
    </xf>
    <xf numFmtId="0" fontId="1" fillId="2" borderId="37" xfId="0" applyFont="1" applyFill="1" applyBorder="1" applyAlignment="1">
      <alignment horizontal="center"/>
    </xf>
    <xf numFmtId="0" fontId="0" fillId="0" borderId="39"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4"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3" borderId="4" xfId="0" applyFont="1" applyFill="1" applyBorder="1" applyAlignment="1">
      <alignment horizontal="right"/>
    </xf>
    <xf numFmtId="0" fontId="14"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3" fillId="27" borderId="39" xfId="0" applyFont="1" applyFill="1" applyBorder="1" applyAlignment="1">
      <alignment horizontal="right"/>
    </xf>
    <xf numFmtId="0" fontId="0" fillId="27" borderId="39" xfId="0" applyFill="1" applyBorder="1"/>
    <xf numFmtId="0" fontId="14" fillId="0" borderId="37" xfId="0" applyFont="1" applyBorder="1" applyAlignment="1">
      <alignment horizontal="center"/>
    </xf>
    <xf numFmtId="0" fontId="1" fillId="0" borderId="38" xfId="0" applyFont="1" applyBorder="1" applyAlignment="1">
      <alignment horizontal="center"/>
    </xf>
    <xf numFmtId="14" fontId="14" fillId="2" borderId="37" xfId="0" applyNumberFormat="1" applyFont="1" applyFill="1" applyBorder="1" applyAlignment="1">
      <alignment horizontal="center" vertical="center"/>
    </xf>
    <xf numFmtId="8" fontId="0" fillId="0" borderId="0" xfId="0" applyNumberFormat="1"/>
    <xf numFmtId="0" fontId="0" fillId="0" borderId="0" xfId="0"/>
    <xf numFmtId="3" fontId="0" fillId="18" borderId="37" xfId="0" applyNumberFormat="1" applyFill="1" applyBorder="1" applyAlignment="1">
      <alignment horizontal="center" vertical="center"/>
    </xf>
    <xf numFmtId="0" fontId="0" fillId="18" borderId="39" xfId="0" applyFill="1"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4" fontId="1" fillId="18" borderId="37" xfId="0" applyNumberFormat="1" applyFont="1" applyFill="1" applyBorder="1" applyAlignment="1">
      <alignment horizontal="center"/>
    </xf>
    <xf numFmtId="4" fontId="1" fillId="18" borderId="39" xfId="0" applyNumberFormat="1" applyFont="1" applyFill="1" applyBorder="1" applyAlignment="1">
      <alignment horizontal="center"/>
    </xf>
    <xf numFmtId="4" fontId="0" fillId="18" borderId="39" xfId="0" applyNumberFormat="1" applyFill="1" applyBorder="1"/>
    <xf numFmtId="3" fontId="1" fillId="0" borderId="37" xfId="0" applyNumberFormat="1" applyFont="1" applyBorder="1" applyAlignment="1">
      <alignment horizontal="center"/>
    </xf>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0" borderId="1" xfId="0" applyBorder="1"/>
    <xf numFmtId="4" fontId="1" fillId="0" borderId="0" xfId="0" applyNumberFormat="1" applyFont="1" applyAlignment="1">
      <alignment horizontal="right"/>
    </xf>
    <xf numFmtId="0" fontId="0" fillId="18" borderId="4" xfId="0" applyFill="1" applyBorder="1" applyAlignment="1">
      <alignment horizontal="center" wrapText="1"/>
    </xf>
    <xf numFmtId="0" fontId="0" fillId="18" borderId="0" xfId="0" applyFill="1" applyAlignment="1">
      <alignment horizontal="center" wrapText="1"/>
    </xf>
    <xf numFmtId="0" fontId="0" fillId="18" borderId="5" xfId="0" applyFill="1" applyBorder="1" applyAlignment="1">
      <alignment horizontal="center" wrapText="1"/>
    </xf>
    <xf numFmtId="3" fontId="0" fillId="0" borderId="37" xfId="0" applyNumberFormat="1" applyBorder="1" applyAlignment="1">
      <alignment horizontal="right"/>
    </xf>
    <xf numFmtId="3" fontId="0" fillId="0" borderId="38" xfId="0" applyNumberFormat="1" applyBorder="1" applyAlignment="1">
      <alignment horizontal="right"/>
    </xf>
    <xf numFmtId="3" fontId="0" fillId="0" borderId="0" xfId="0" applyNumberFormat="1" applyAlignment="1">
      <alignment horizontal="right"/>
    </xf>
    <xf numFmtId="0" fontId="0" fillId="0" borderId="5" xfId="0" applyBorder="1" applyAlignment="1">
      <alignment horizontal="right"/>
    </xf>
    <xf numFmtId="3" fontId="0" fillId="18" borderId="37" xfId="0" applyNumberFormat="1" applyFill="1" applyBorder="1" applyAlignment="1">
      <alignment horizontal="center"/>
    </xf>
    <xf numFmtId="0" fontId="0" fillId="18" borderId="39" xfId="0" applyFill="1" applyBorder="1" applyAlignment="1">
      <alignment horizontal="center"/>
    </xf>
    <xf numFmtId="0" fontId="0" fillId="18" borderId="38" xfId="0" applyFill="1" applyBorder="1" applyAlignment="1">
      <alignment horizontal="center"/>
    </xf>
    <xf numFmtId="38" fontId="0" fillId="2" borderId="37" xfId="0" applyNumberFormat="1" applyFill="1" applyBorder="1"/>
    <xf numFmtId="0" fontId="0" fillId="0" borderId="39" xfId="0" applyBorder="1"/>
    <xf numFmtId="0" fontId="0" fillId="0" borderId="38" xfId="0" applyBorder="1"/>
    <xf numFmtId="0" fontId="1" fillId="0" borderId="39" xfId="0" applyFont="1" applyBorder="1" applyAlignment="1">
      <alignment horizontal="center"/>
    </xf>
    <xf numFmtId="4" fontId="1" fillId="0" borderId="41" xfId="0" applyNumberFormat="1" applyFont="1" applyBorder="1" applyAlignment="1">
      <alignment horizontal="center" wrapText="1"/>
    </xf>
    <xf numFmtId="0" fontId="0" fillId="0" borderId="36" xfId="0" applyBorder="1"/>
    <xf numFmtId="0" fontId="1" fillId="0" borderId="1" xfId="0" applyFon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6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4" fontId="1" fillId="18" borderId="39" xfId="0" applyNumberFormat="1" applyFont="1" applyFill="1" applyBorder="1"/>
    <xf numFmtId="3" fontId="16" fillId="11" borderId="37" xfId="0" applyNumberFormat="1" applyFont="1" applyFill="1" applyBorder="1" applyAlignment="1">
      <alignment horizontal="center"/>
    </xf>
    <xf numFmtId="3" fontId="11" fillId="3" borderId="37" xfId="0" applyNumberFormat="1" applyFont="1" applyFill="1" applyBorder="1" applyAlignment="1">
      <alignment horizontal="center"/>
    </xf>
    <xf numFmtId="3" fontId="11" fillId="22" borderId="37" xfId="0" applyNumberFormat="1" applyFont="1" applyFill="1" applyBorder="1" applyAlignment="1">
      <alignment horizontal="center"/>
    </xf>
    <xf numFmtId="164" fontId="16" fillId="22" borderId="37" xfId="0" applyNumberFormat="1" applyFont="1" applyFill="1" applyBorder="1" applyAlignment="1">
      <alignment horizontal="center"/>
    </xf>
    <xf numFmtId="0" fontId="7" fillId="0" borderId="39" xfId="0" applyFont="1" applyBorder="1"/>
    <xf numFmtId="0" fontId="7" fillId="0" borderId="38" xfId="0" applyFont="1" applyBorder="1"/>
    <xf numFmtId="164" fontId="1" fillId="18" borderId="9" xfId="0" applyNumberFormat="1" applyFont="1" applyFill="1" applyBorder="1"/>
    <xf numFmtId="0" fontId="1" fillId="18" borderId="2" xfId="0" applyFont="1" applyFill="1" applyBorder="1" applyAlignment="1">
      <alignment horizontal="right"/>
    </xf>
    <xf numFmtId="0" fontId="0" fillId="0" borderId="9" xfId="0" applyBorder="1"/>
    <xf numFmtId="0" fontId="1" fillId="18" borderId="37" xfId="0" applyFont="1" applyFill="1" applyBorder="1" applyAlignment="1">
      <alignment horizontal="right"/>
    </xf>
    <xf numFmtId="3" fontId="1" fillId="18" borderId="37" xfId="0" applyNumberFormat="1" applyFont="1" applyFill="1" applyBorder="1"/>
    <xf numFmtId="3" fontId="16" fillId="32" borderId="37" xfId="0" applyNumberFormat="1" applyFont="1" applyFill="1" applyBorder="1" applyAlignment="1">
      <alignment horizontal="center"/>
    </xf>
    <xf numFmtId="0" fontId="0" fillId="32" borderId="39" xfId="0" applyFill="1" applyBorder="1"/>
    <xf numFmtId="0" fontId="0" fillId="32" borderId="38" xfId="0" applyFill="1" applyBorder="1"/>
    <xf numFmtId="0" fontId="1" fillId="18" borderId="6" xfId="0" applyFont="1" applyFill="1" applyBorder="1" applyAlignment="1">
      <alignment horizontal="center" vertical="center" wrapText="1"/>
    </xf>
    <xf numFmtId="0" fontId="7" fillId="32" borderId="51" xfId="0" applyFont="1" applyFill="1" applyBorder="1"/>
    <xf numFmtId="0" fontId="7" fillId="32" borderId="8" xfId="0" applyFont="1" applyFill="1" applyBorder="1"/>
    <xf numFmtId="0" fontId="16" fillId="22" borderId="39" xfId="0" applyFont="1" applyFill="1" applyBorder="1" applyAlignment="1">
      <alignment horizontal="center"/>
    </xf>
    <xf numFmtId="0" fontId="16" fillId="22" borderId="38" xfId="0" applyFont="1" applyFill="1" applyBorder="1" applyAlignment="1">
      <alignment horizontal="center"/>
    </xf>
    <xf numFmtId="49" fontId="16" fillId="32" borderId="37" xfId="0" quotePrefix="1" applyNumberFormat="1" applyFont="1" applyFill="1" applyBorder="1" applyAlignment="1">
      <alignment horizontal="center" wrapText="1"/>
    </xf>
    <xf numFmtId="0" fontId="7" fillId="32" borderId="38" xfId="0" applyFont="1" applyFill="1" applyBorder="1" applyAlignment="1">
      <alignment horizontal="center" wrapText="1"/>
    </xf>
    <xf numFmtId="0" fontId="1" fillId="0" borderId="40" xfId="0" applyFont="1" applyBorder="1" applyAlignment="1">
      <alignment horizontal="center" vertical="center" wrapText="1"/>
    </xf>
    <xf numFmtId="0" fontId="0" fillId="0" borderId="40" xfId="0" applyBorder="1" applyAlignment="1">
      <alignment horizontal="center" vertical="center" wrapText="1"/>
    </xf>
    <xf numFmtId="164" fontId="16" fillId="23" borderId="9" xfId="0" applyNumberFormat="1" applyFont="1" applyFill="1" applyBorder="1"/>
    <xf numFmtId="0" fontId="16" fillId="23" borderId="3" xfId="0" applyFont="1" applyFill="1" applyBorder="1"/>
    <xf numFmtId="164" fontId="16" fillId="24" borderId="39" xfId="0" applyNumberFormat="1" applyFont="1" applyFill="1" applyBorder="1"/>
    <xf numFmtId="164" fontId="16" fillId="24" borderId="38" xfId="0" applyNumberFormat="1" applyFont="1" applyFill="1" applyBorder="1"/>
    <xf numFmtId="0" fontId="1" fillId="18" borderId="37" xfId="0" applyFont="1" applyFill="1" applyBorder="1" applyAlignment="1">
      <alignment horizontal="center" vertical="center" wrapText="1"/>
    </xf>
    <xf numFmtId="3" fontId="16" fillId="25" borderId="68" xfId="0" applyNumberFormat="1" applyFont="1" applyFill="1" applyBorder="1"/>
    <xf numFmtId="0" fontId="0" fillId="0" borderId="70" xfId="0" applyBorder="1"/>
    <xf numFmtId="0" fontId="16" fillId="23" borderId="37" xfId="0" applyFont="1" applyFill="1" applyBorder="1" applyAlignment="1">
      <alignment horizontal="center" wrapText="1"/>
    </xf>
    <xf numFmtId="0" fontId="0" fillId="0" borderId="38" xfId="0" applyBorder="1" applyAlignment="1">
      <alignment wrapText="1"/>
    </xf>
    <xf numFmtId="174" fontId="16" fillId="24" borderId="37" xfId="0" applyNumberFormat="1" applyFont="1" applyFill="1" applyBorder="1" applyAlignment="1">
      <alignment horizontal="center"/>
    </xf>
    <xf numFmtId="164" fontId="16" fillId="24" borderId="4" xfId="0" applyNumberFormat="1" applyFont="1" applyFill="1" applyBorder="1"/>
    <xf numFmtId="0" fontId="0" fillId="0" borderId="69" xfId="0" applyBorder="1"/>
    <xf numFmtId="0" fontId="1" fillId="0" borderId="37" xfId="0" applyFont="1" applyBorder="1" applyAlignment="1">
      <alignment horizontal="center" wrapText="1"/>
    </xf>
    <xf numFmtId="0" fontId="1" fillId="0" borderId="39" xfId="0" applyFont="1" applyBorder="1" applyAlignment="1">
      <alignment horizontal="center" wrapText="1"/>
    </xf>
    <xf numFmtId="0" fontId="1" fillId="0" borderId="38"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49" fontId="24"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4"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4"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4"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6" fillId="15" borderId="21" xfId="0" applyFont="1" applyFill="1" applyBorder="1" applyAlignment="1" applyProtection="1">
      <alignment horizontal="center" vertical="center" wrapText="1"/>
      <protection locked="0"/>
    </xf>
    <xf numFmtId="0" fontId="29" fillId="0" borderId="22" xfId="0" applyFont="1" applyBorder="1" applyAlignment="1" applyProtection="1">
      <alignment vertical="center" wrapText="1"/>
      <protection locked="0"/>
    </xf>
    <xf numFmtId="0" fontId="29" fillId="0" borderId="23" xfId="0" applyFont="1" applyBorder="1" applyAlignment="1" applyProtection="1">
      <alignment vertical="center" wrapText="1"/>
      <protection locked="0"/>
    </xf>
    <xf numFmtId="0" fontId="26" fillId="15" borderId="27" xfId="0" applyFont="1" applyFill="1" applyBorder="1" applyAlignment="1" applyProtection="1">
      <alignment horizontal="center" vertical="center" wrapText="1"/>
      <protection locked="0"/>
    </xf>
    <xf numFmtId="0" fontId="29" fillId="0" borderId="0" xfId="0" applyFont="1" applyAlignment="1" applyProtection="1">
      <alignment vertical="center" wrapText="1"/>
      <protection locked="0"/>
    </xf>
    <xf numFmtId="0" fontId="29" fillId="0" borderId="28" xfId="0" applyFont="1" applyBorder="1" applyAlignment="1" applyProtection="1">
      <alignment vertical="center" wrapText="1"/>
      <protection locked="0"/>
    </xf>
    <xf numFmtId="0" fontId="29" fillId="0" borderId="24" xfId="0" applyFont="1" applyBorder="1" applyAlignment="1" applyProtection="1">
      <alignment vertical="center" wrapText="1"/>
      <protection locked="0"/>
    </xf>
    <xf numFmtId="0" fontId="29" fillId="0" borderId="25" xfId="0" applyFont="1" applyBorder="1" applyAlignment="1" applyProtection="1">
      <alignment vertical="center" wrapText="1"/>
      <protection locked="0"/>
    </xf>
    <xf numFmtId="0" fontId="29" fillId="0" borderId="26" xfId="0" applyFont="1" applyBorder="1" applyAlignment="1" applyProtection="1">
      <alignment vertical="center" wrapText="1"/>
      <protection locked="0"/>
    </xf>
    <xf numFmtId="0" fontId="26"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5" fillId="0" borderId="4" xfId="5" applyFont="1" applyBorder="1" applyAlignment="1">
      <alignment horizontal="center" wrapText="1"/>
    </xf>
    <xf numFmtId="0" fontId="26"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6" fillId="0" borderId="1" xfId="3" applyFont="1" applyBorder="1" applyAlignment="1" applyProtection="1">
      <alignment horizontal="right" vertical="center" indent="1"/>
    </xf>
    <xf numFmtId="0" fontId="7"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9" xfId="0" applyNumberFormat="1" applyFill="1" applyBorder="1" applyAlignment="1">
      <alignment horizontal="right" vertical="center"/>
    </xf>
    <xf numFmtId="170" fontId="0" fillId="18" borderId="38" xfId="0" applyNumberFormat="1" applyFill="1" applyBorder="1" applyAlignment="1">
      <alignment horizontal="right" vertical="center"/>
    </xf>
    <xf numFmtId="0" fontId="25" fillId="0" borderId="4" xfId="5" applyFont="1" applyBorder="1" applyAlignment="1">
      <alignment horizontal="left" wrapText="1"/>
    </xf>
    <xf numFmtId="0" fontId="0" fillId="0" borderId="5" xfId="0" applyBorder="1" applyAlignment="1">
      <alignment horizontal="left"/>
    </xf>
    <xf numFmtId="0" fontId="26" fillId="0" borderId="0" xfId="0" applyFont="1" applyAlignment="1">
      <alignment horizontal="right"/>
    </xf>
    <xf numFmtId="0" fontId="27" fillId="0" borderId="0" xfId="0" applyFont="1" applyAlignment="1">
      <alignment horizontal="center" vertical="center"/>
    </xf>
    <xf numFmtId="0" fontId="0" fillId="0" borderId="0" xfId="0" applyAlignment="1">
      <alignment vertical="center"/>
    </xf>
    <xf numFmtId="0" fontId="26" fillId="0" borderId="17" xfId="3" applyFont="1" applyAlignment="1">
      <alignment horizontal="left" vertical="center"/>
    </xf>
    <xf numFmtId="0" fontId="26" fillId="0" borderId="0" xfId="0" applyFont="1" applyAlignment="1">
      <alignment vertical="center"/>
    </xf>
    <xf numFmtId="0" fontId="27" fillId="0" borderId="9" xfId="0" applyFont="1" applyBorder="1" applyAlignment="1">
      <alignment horizontal="center"/>
    </xf>
    <xf numFmtId="0" fontId="16" fillId="0" borderId="0" xfId="3" applyFont="1" applyBorder="1" applyAlignment="1" applyProtection="1">
      <alignment horizontal="right" vertical="center" indent="1"/>
    </xf>
    <xf numFmtId="0" fontId="7"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4" fillId="18" borderId="41" xfId="0" applyFont="1" applyFill="1" applyBorder="1" applyAlignment="1">
      <alignment horizontal="center" vertical="center" wrapText="1"/>
    </xf>
    <xf numFmtId="0" fontId="1" fillId="18" borderId="36" xfId="0" applyFont="1" applyFill="1" applyBorder="1" applyAlignment="1">
      <alignment horizontal="center" vertical="center" wrapText="1"/>
    </xf>
    <xf numFmtId="0" fontId="14" fillId="2" borderId="41"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4" fillId="2" borderId="41"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6"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4" fillId="3" borderId="39" xfId="0" applyFont="1" applyFill="1" applyBorder="1" applyAlignment="1">
      <alignment horizontal="center"/>
    </xf>
    <xf numFmtId="0" fontId="4" fillId="3" borderId="38" xfId="0" applyFont="1" applyFill="1" applyBorder="1" applyAlignment="1">
      <alignment horizontal="center"/>
    </xf>
    <xf numFmtId="0" fontId="0" fillId="0" borderId="38" xfId="0" applyBorder="1" applyAlignment="1">
      <alignment horizontal="center" wrapText="1"/>
    </xf>
    <xf numFmtId="3" fontId="1" fillId="18" borderId="4" xfId="0" applyNumberFormat="1" applyFont="1" applyFill="1" applyBorder="1"/>
    <xf numFmtId="164" fontId="1" fillId="18" borderId="38" xfId="0" applyNumberFormat="1" applyFont="1" applyFill="1" applyBorder="1"/>
    <xf numFmtId="3" fontId="11" fillId="3" borderId="39" xfId="0" applyNumberFormat="1" applyFont="1" applyFill="1" applyBorder="1" applyAlignment="1">
      <alignment horizontal="center"/>
    </xf>
    <xf numFmtId="3" fontId="11" fillId="3" borderId="38" xfId="0" applyNumberFormat="1" applyFont="1" applyFill="1" applyBorder="1" applyAlignment="1">
      <alignment horizontal="center"/>
    </xf>
    <xf numFmtId="0" fontId="1" fillId="18" borderId="38" xfId="0" applyFont="1" applyFill="1" applyBorder="1" applyAlignment="1">
      <alignment horizontal="center" vertical="center" wrapText="1"/>
    </xf>
    <xf numFmtId="3" fontId="16" fillId="11" borderId="39" xfId="0" applyNumberFormat="1" applyFont="1" applyFill="1" applyBorder="1" applyAlignment="1">
      <alignment horizontal="center"/>
    </xf>
    <xf numFmtId="3" fontId="16" fillId="11" borderId="38"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88">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87"/>
      <tableStyleElement type="headerRow" dxfId="86"/>
      <tableStyleElement type="firstRowStripe" dxfId="85"/>
    </tableStyle>
    <tableStyle name="Gantt Table Style 2" pivot="0" count="3" xr9:uid="{188EAD57-0217-4B5E-8A07-C858B28862F4}">
      <tableStyleElement type="wholeTable" dxfId="84"/>
      <tableStyleElement type="headerRow" dxfId="83"/>
      <tableStyleElement type="firstRowStripe" dxfId="8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externalLink" Target="externalLinks/externalLink9.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externalLink" Target="externalLinks/externalLink7.xml"/><Relationship Id="rId45" Type="http://schemas.openxmlformats.org/officeDocument/2006/relationships/theme" Target="theme/theme1.xml"/><Relationship Id="rId53" Type="http://schemas.openxmlformats.org/officeDocument/2006/relationships/customXml" Target="../customXml/item1.xml"/><Relationship Id="rId58" Type="http://schemas.openxmlformats.org/officeDocument/2006/relationships/customXml" Target="../customXml/item6.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externalLink" Target="externalLinks/externalLink10.xml"/><Relationship Id="rId48" Type="http://schemas.openxmlformats.org/officeDocument/2006/relationships/sharedStrings" Target="sharedStrings.xml"/><Relationship Id="rId56" Type="http://schemas.openxmlformats.org/officeDocument/2006/relationships/customXml" Target="../customXml/item4.xml"/><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 Id="rId46" Type="http://schemas.openxmlformats.org/officeDocument/2006/relationships/connections" Target="connections.xml"/><Relationship Id="rId59" Type="http://schemas.openxmlformats.org/officeDocument/2006/relationships/customXml" Target="../customXml/item7.xml"/><Relationship Id="rId20" Type="http://schemas.openxmlformats.org/officeDocument/2006/relationships/worksheet" Target="worksheets/sheet20.xml"/><Relationship Id="rId41" Type="http://schemas.openxmlformats.org/officeDocument/2006/relationships/externalLink" Target="externalLinks/externalLink8.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49" Type="http://schemas.openxmlformats.org/officeDocument/2006/relationships/sheetMetadata" Target="metadata.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1.xml"/><Relationship Id="rId52" Type="http://schemas.openxmlformats.org/officeDocument/2006/relationships/calcChain" Target="calcChain.xml"/><Relationship Id="rId60" Type="http://schemas.microsoft.com/office/2006/relationships/vbaProject" Target="vbaProject.bin"/></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AB$24" horiz="1" max="365" page="0" val="0"/>
</file>

<file path=xl/drawings/_rels/drawing3.xml.rels><?xml version="1.0" encoding="UTF-8" standalone="yes"?>
<Relationships xmlns="http://schemas.openxmlformats.org/package/2006/relationships"><Relationship Id="rId26" Type="http://schemas.openxmlformats.org/officeDocument/2006/relationships/customXml" Target="../ink/ink21.xml"/><Relationship Id="rId21" Type="http://schemas.openxmlformats.org/officeDocument/2006/relationships/customXml" Target="../ink/ink16.xml"/><Relationship Id="rId42" Type="http://schemas.openxmlformats.org/officeDocument/2006/relationships/customXml" Target="../ink/ink37.xml"/><Relationship Id="rId47" Type="http://schemas.openxmlformats.org/officeDocument/2006/relationships/customXml" Target="../ink/ink42.xml"/><Relationship Id="rId63" Type="http://schemas.openxmlformats.org/officeDocument/2006/relationships/customXml" Target="../ink/ink58.xml"/><Relationship Id="rId68" Type="http://schemas.openxmlformats.org/officeDocument/2006/relationships/customXml" Target="../ink/ink63.xml"/><Relationship Id="rId84" Type="http://schemas.openxmlformats.org/officeDocument/2006/relationships/customXml" Target="../ink/ink79.xml"/><Relationship Id="rId89" Type="http://schemas.openxmlformats.org/officeDocument/2006/relationships/customXml" Target="../ink/ink84.xml"/><Relationship Id="rId16" Type="http://schemas.openxmlformats.org/officeDocument/2006/relationships/customXml" Target="../ink/ink12.xml"/><Relationship Id="rId11" Type="http://schemas.openxmlformats.org/officeDocument/2006/relationships/image" Target="../media/image10.png"/><Relationship Id="rId32" Type="http://schemas.openxmlformats.org/officeDocument/2006/relationships/customXml" Target="../ink/ink27.xml"/><Relationship Id="rId37" Type="http://schemas.openxmlformats.org/officeDocument/2006/relationships/customXml" Target="../ink/ink32.xml"/><Relationship Id="rId53" Type="http://schemas.openxmlformats.org/officeDocument/2006/relationships/customXml" Target="../ink/ink48.xml"/><Relationship Id="rId58" Type="http://schemas.openxmlformats.org/officeDocument/2006/relationships/customXml" Target="../ink/ink53.xml"/><Relationship Id="rId74" Type="http://schemas.openxmlformats.org/officeDocument/2006/relationships/customXml" Target="../ink/ink69.xml"/><Relationship Id="rId79" Type="http://schemas.openxmlformats.org/officeDocument/2006/relationships/customXml" Target="../ink/ink74.xml"/><Relationship Id="rId5" Type="http://schemas.openxmlformats.org/officeDocument/2006/relationships/customXml" Target="../ink/ink4.xml"/><Relationship Id="rId90" Type="http://schemas.openxmlformats.org/officeDocument/2006/relationships/customXml" Target="../ink/ink85.xml"/><Relationship Id="rId14" Type="http://schemas.openxmlformats.org/officeDocument/2006/relationships/customXml" Target="../ink/ink11.xml"/><Relationship Id="rId22" Type="http://schemas.openxmlformats.org/officeDocument/2006/relationships/customXml" Target="../ink/ink17.xml"/><Relationship Id="rId27" Type="http://schemas.openxmlformats.org/officeDocument/2006/relationships/customXml" Target="../ink/ink22.xml"/><Relationship Id="rId30" Type="http://schemas.openxmlformats.org/officeDocument/2006/relationships/customXml" Target="../ink/ink25.xml"/><Relationship Id="rId35" Type="http://schemas.openxmlformats.org/officeDocument/2006/relationships/customXml" Target="../ink/ink30.xml"/><Relationship Id="rId43" Type="http://schemas.openxmlformats.org/officeDocument/2006/relationships/customXml" Target="../ink/ink38.xml"/><Relationship Id="rId48" Type="http://schemas.openxmlformats.org/officeDocument/2006/relationships/customXml" Target="../ink/ink43.xml"/><Relationship Id="rId56" Type="http://schemas.openxmlformats.org/officeDocument/2006/relationships/customXml" Target="../ink/ink51.xml"/><Relationship Id="rId64" Type="http://schemas.openxmlformats.org/officeDocument/2006/relationships/customXml" Target="../ink/ink59.xml"/><Relationship Id="rId69" Type="http://schemas.openxmlformats.org/officeDocument/2006/relationships/customXml" Target="../ink/ink64.xml"/><Relationship Id="rId77" Type="http://schemas.openxmlformats.org/officeDocument/2006/relationships/customXml" Target="../ink/ink72.xml"/><Relationship Id="rId8" Type="http://schemas.openxmlformats.org/officeDocument/2006/relationships/image" Target="../media/image11.png"/><Relationship Id="rId51" Type="http://schemas.openxmlformats.org/officeDocument/2006/relationships/customXml" Target="../ink/ink46.xml"/><Relationship Id="rId72" Type="http://schemas.openxmlformats.org/officeDocument/2006/relationships/customXml" Target="../ink/ink67.xml"/><Relationship Id="rId80" Type="http://schemas.openxmlformats.org/officeDocument/2006/relationships/customXml" Target="../ink/ink75.xml"/><Relationship Id="rId85" Type="http://schemas.openxmlformats.org/officeDocument/2006/relationships/customXml" Target="../ink/ink80.xml"/><Relationship Id="rId3" Type="http://schemas.openxmlformats.org/officeDocument/2006/relationships/customXml" Target="../ink/ink2.xml"/><Relationship Id="rId12" Type="http://schemas.openxmlformats.org/officeDocument/2006/relationships/customXml" Target="../ink/ink9.xml"/><Relationship Id="rId17" Type="http://schemas.openxmlformats.org/officeDocument/2006/relationships/customXml" Target="../ink/ink13.xml"/><Relationship Id="rId25" Type="http://schemas.openxmlformats.org/officeDocument/2006/relationships/customXml" Target="../ink/ink20.xml"/><Relationship Id="rId33" Type="http://schemas.openxmlformats.org/officeDocument/2006/relationships/customXml" Target="../ink/ink28.xml"/><Relationship Id="rId38" Type="http://schemas.openxmlformats.org/officeDocument/2006/relationships/customXml" Target="../ink/ink33.xml"/><Relationship Id="rId46" Type="http://schemas.openxmlformats.org/officeDocument/2006/relationships/customXml" Target="../ink/ink41.xml"/><Relationship Id="rId59" Type="http://schemas.openxmlformats.org/officeDocument/2006/relationships/customXml" Target="../ink/ink54.xml"/><Relationship Id="rId67" Type="http://schemas.openxmlformats.org/officeDocument/2006/relationships/customXml" Target="../ink/ink62.xml"/><Relationship Id="rId20" Type="http://schemas.openxmlformats.org/officeDocument/2006/relationships/customXml" Target="../ink/ink15.xml"/><Relationship Id="rId41" Type="http://schemas.openxmlformats.org/officeDocument/2006/relationships/customXml" Target="../ink/ink36.xml"/><Relationship Id="rId54" Type="http://schemas.openxmlformats.org/officeDocument/2006/relationships/customXml" Target="../ink/ink49.xml"/><Relationship Id="rId62" Type="http://schemas.openxmlformats.org/officeDocument/2006/relationships/customXml" Target="../ink/ink57.xml"/><Relationship Id="rId70" Type="http://schemas.openxmlformats.org/officeDocument/2006/relationships/customXml" Target="../ink/ink65.xml"/><Relationship Id="rId75" Type="http://schemas.openxmlformats.org/officeDocument/2006/relationships/customXml" Target="../ink/ink70.xml"/><Relationship Id="rId83" Type="http://schemas.openxmlformats.org/officeDocument/2006/relationships/customXml" Target="../ink/ink78.xml"/><Relationship Id="rId88" Type="http://schemas.openxmlformats.org/officeDocument/2006/relationships/customXml" Target="../ink/ink83.xml"/><Relationship Id="rId1" Type="http://schemas.openxmlformats.org/officeDocument/2006/relationships/customXml" Target="../ink/ink1.xml"/><Relationship Id="rId6" Type="http://schemas.openxmlformats.org/officeDocument/2006/relationships/customXml" Target="../ink/ink5.xml"/><Relationship Id="rId15" Type="http://schemas.openxmlformats.org/officeDocument/2006/relationships/image" Target="../media/image110.png"/><Relationship Id="rId23" Type="http://schemas.openxmlformats.org/officeDocument/2006/relationships/customXml" Target="../ink/ink18.xml"/><Relationship Id="rId28" Type="http://schemas.openxmlformats.org/officeDocument/2006/relationships/customXml" Target="../ink/ink23.xml"/><Relationship Id="rId36" Type="http://schemas.openxmlformats.org/officeDocument/2006/relationships/customXml" Target="../ink/ink31.xml"/><Relationship Id="rId49" Type="http://schemas.openxmlformats.org/officeDocument/2006/relationships/customXml" Target="../ink/ink44.xml"/><Relationship Id="rId57" Type="http://schemas.openxmlformats.org/officeDocument/2006/relationships/customXml" Target="../ink/ink52.xml"/><Relationship Id="rId10" Type="http://schemas.openxmlformats.org/officeDocument/2006/relationships/customXml" Target="../ink/ink8.xml"/><Relationship Id="rId31" Type="http://schemas.openxmlformats.org/officeDocument/2006/relationships/customXml" Target="../ink/ink26.xml"/><Relationship Id="rId44" Type="http://schemas.openxmlformats.org/officeDocument/2006/relationships/customXml" Target="../ink/ink39.xml"/><Relationship Id="rId52" Type="http://schemas.openxmlformats.org/officeDocument/2006/relationships/customXml" Target="../ink/ink47.xml"/><Relationship Id="rId60" Type="http://schemas.openxmlformats.org/officeDocument/2006/relationships/customXml" Target="../ink/ink55.xml"/><Relationship Id="rId65" Type="http://schemas.openxmlformats.org/officeDocument/2006/relationships/customXml" Target="../ink/ink60.xml"/><Relationship Id="rId73" Type="http://schemas.openxmlformats.org/officeDocument/2006/relationships/customXml" Target="../ink/ink68.xml"/><Relationship Id="rId78" Type="http://schemas.openxmlformats.org/officeDocument/2006/relationships/customXml" Target="../ink/ink73.xml"/><Relationship Id="rId81" Type="http://schemas.openxmlformats.org/officeDocument/2006/relationships/customXml" Target="../ink/ink76.xml"/><Relationship Id="rId86" Type="http://schemas.openxmlformats.org/officeDocument/2006/relationships/customXml" Target="../ink/ink81.xml"/><Relationship Id="rId4" Type="http://schemas.openxmlformats.org/officeDocument/2006/relationships/customXml" Target="../ink/ink3.xml"/><Relationship Id="rId9" Type="http://schemas.openxmlformats.org/officeDocument/2006/relationships/customXml" Target="../ink/ink7.xml"/><Relationship Id="rId13" Type="http://schemas.openxmlformats.org/officeDocument/2006/relationships/customXml" Target="../ink/ink10.xml"/><Relationship Id="rId18" Type="http://schemas.openxmlformats.org/officeDocument/2006/relationships/image" Target="../media/image100.png"/><Relationship Id="rId39" Type="http://schemas.openxmlformats.org/officeDocument/2006/relationships/customXml" Target="../ink/ink34.xml"/><Relationship Id="rId34" Type="http://schemas.openxmlformats.org/officeDocument/2006/relationships/customXml" Target="../ink/ink29.xml"/><Relationship Id="rId50" Type="http://schemas.openxmlformats.org/officeDocument/2006/relationships/customXml" Target="../ink/ink45.xml"/><Relationship Id="rId55" Type="http://schemas.openxmlformats.org/officeDocument/2006/relationships/customXml" Target="../ink/ink50.xml"/><Relationship Id="rId76" Type="http://schemas.openxmlformats.org/officeDocument/2006/relationships/customXml" Target="../ink/ink71.xml"/><Relationship Id="rId7" Type="http://schemas.openxmlformats.org/officeDocument/2006/relationships/customXml" Target="../ink/ink6.xml"/><Relationship Id="rId71" Type="http://schemas.openxmlformats.org/officeDocument/2006/relationships/customXml" Target="../ink/ink66.xml"/><Relationship Id="rId2" Type="http://schemas.openxmlformats.org/officeDocument/2006/relationships/image" Target="../media/image1.png"/><Relationship Id="rId29" Type="http://schemas.openxmlformats.org/officeDocument/2006/relationships/customXml" Target="../ink/ink24.xml"/><Relationship Id="rId24" Type="http://schemas.openxmlformats.org/officeDocument/2006/relationships/customXml" Target="../ink/ink19.xml"/><Relationship Id="rId40" Type="http://schemas.openxmlformats.org/officeDocument/2006/relationships/customXml" Target="../ink/ink35.xml"/><Relationship Id="rId45" Type="http://schemas.openxmlformats.org/officeDocument/2006/relationships/customXml" Target="../ink/ink40.xml"/><Relationship Id="rId66" Type="http://schemas.openxmlformats.org/officeDocument/2006/relationships/customXml" Target="../ink/ink61.xml"/><Relationship Id="rId87" Type="http://schemas.openxmlformats.org/officeDocument/2006/relationships/customXml" Target="../ink/ink82.xml"/><Relationship Id="rId61" Type="http://schemas.openxmlformats.org/officeDocument/2006/relationships/customXml" Target="../ink/ink56.xml"/><Relationship Id="rId82" Type="http://schemas.openxmlformats.org/officeDocument/2006/relationships/customXml" Target="../ink/ink77.xml"/><Relationship Id="rId19" Type="http://schemas.openxmlformats.org/officeDocument/2006/relationships/customXml" Target="../ink/ink14.xml"/></Relationships>
</file>

<file path=xl/drawings/_rels/drawing5.xml.rels><?xml version="1.0" encoding="UTF-8" standalone="yes"?>
<Relationships xmlns="http://schemas.openxmlformats.org/package/2006/relationships"><Relationship Id="rId3" Type="http://schemas.openxmlformats.org/officeDocument/2006/relationships/customXml" Target="../ink/ink87.xml"/><Relationship Id="rId2" Type="http://schemas.openxmlformats.org/officeDocument/2006/relationships/image" Target="../media/image1.png"/><Relationship Id="rId1" Type="http://schemas.openxmlformats.org/officeDocument/2006/relationships/customXml" Target="../ink/ink86.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88.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89.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0.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9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114300</xdr:rowOff>
        </xdr:from>
        <xdr:to>
          <xdr:col>1</xdr:col>
          <xdr:colOff>390525</xdr:colOff>
          <xdr:row>42</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114300</xdr:rowOff>
        </xdr:from>
        <xdr:to>
          <xdr:col>1</xdr:col>
          <xdr:colOff>390525</xdr:colOff>
          <xdr:row>44</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114300</xdr:rowOff>
        </xdr:from>
        <xdr:to>
          <xdr:col>1</xdr:col>
          <xdr:colOff>390525</xdr:colOff>
          <xdr:row>43</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295275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238125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190500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0</xdr:row>
          <xdr:rowOff>0</xdr:rowOff>
        </xdr:from>
        <xdr:to>
          <xdr:col>11</xdr:col>
          <xdr:colOff>0</xdr:colOff>
          <xdr:row>1</xdr:row>
          <xdr:rowOff>0</xdr:rowOff>
        </xdr:to>
        <xdr:sp macro="" textlink="">
          <xdr:nvSpPr>
            <xdr:cNvPr id="59412" name="Option Button 20" hidden="1">
              <a:extLst>
                <a:ext uri="{63B3BB69-23CF-44E3-9099-C40C66FF867C}">
                  <a14:compatExt spid="_x0000_s59412"/>
                </a:ext>
                <a:ext uri="{FF2B5EF4-FFF2-40B4-BE49-F238E27FC236}">
                  <a16:creationId xmlns:a16="http://schemas.microsoft.com/office/drawing/2014/main" id="{00000000-0008-0000-0100-000014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0</xdr:rowOff>
        </xdr:from>
        <xdr:to>
          <xdr:col>12</xdr:col>
          <xdr:colOff>47625</xdr:colOff>
          <xdr:row>1</xdr:row>
          <xdr:rowOff>0</xdr:rowOff>
        </xdr:to>
        <xdr:sp macro="" textlink="">
          <xdr:nvSpPr>
            <xdr:cNvPr id="59413" name="Option Button 21" hidden="1">
              <a:extLst>
                <a:ext uri="{63B3BB69-23CF-44E3-9099-C40C66FF867C}">
                  <a14:compatExt spid="_x0000_s59413"/>
                </a:ext>
                <a:ext uri="{FF2B5EF4-FFF2-40B4-BE49-F238E27FC236}">
                  <a16:creationId xmlns:a16="http://schemas.microsoft.com/office/drawing/2014/main" id="{00000000-0008-0000-0100-000015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0</xdr:rowOff>
        </xdr:from>
        <xdr:to>
          <xdr:col>12</xdr:col>
          <xdr:colOff>428625</xdr:colOff>
          <xdr:row>1</xdr:row>
          <xdr:rowOff>19050</xdr:rowOff>
        </xdr:to>
        <xdr:sp macro="" textlink="">
          <xdr:nvSpPr>
            <xdr:cNvPr id="59414" name="Option Button 22" hidden="1">
              <a:extLst>
                <a:ext uri="{63B3BB69-23CF-44E3-9099-C40C66FF867C}">
                  <a14:compatExt spid="_x0000_s59414"/>
                </a:ext>
                <a:ext uri="{FF2B5EF4-FFF2-40B4-BE49-F238E27FC236}">
                  <a16:creationId xmlns:a16="http://schemas.microsoft.com/office/drawing/2014/main" id="{00000000-0008-0000-0100-000016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14</xdr:col>
      <xdr:colOff>359571</xdr:colOff>
      <xdr:row>55</xdr:row>
      <xdr:rowOff>155606</xdr:rowOff>
    </xdr:from>
    <xdr:to>
      <xdr:col>14</xdr:col>
      <xdr:colOff>403647</xdr:colOff>
      <xdr:row>56</xdr:row>
      <xdr:rowOff>8127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7" name="Ink 6">
              <a:extLst>
                <a:ext uri="{FF2B5EF4-FFF2-40B4-BE49-F238E27FC236}">
                  <a16:creationId xmlns:a16="http://schemas.microsoft.com/office/drawing/2014/main" id="{00000000-0008-0000-0200-000007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2</xdr:col>
      <xdr:colOff>359571</xdr:colOff>
      <xdr:row>45</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 name="Ink 1">
              <a:extLst>
                <a:ext uri="{FF2B5EF4-FFF2-40B4-BE49-F238E27FC236}">
                  <a16:creationId xmlns:a16="http://schemas.microsoft.com/office/drawing/2014/main" id="{00000000-0008-0000-02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3" name="Ink 2">
              <a:extLst>
                <a:ext uri="{FF2B5EF4-FFF2-40B4-BE49-F238E27FC236}">
                  <a16:creationId xmlns:a16="http://schemas.microsoft.com/office/drawing/2014/main" id="{00000000-0008-0000-02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0200-000004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5" name="Ink 4">
              <a:extLst>
                <a:ext uri="{FF2B5EF4-FFF2-40B4-BE49-F238E27FC236}">
                  <a16:creationId xmlns:a16="http://schemas.microsoft.com/office/drawing/2014/main" id="{00000000-0008-0000-0200-000005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6" name="Ink 5">
              <a:extLst>
                <a:ext uri="{FF2B5EF4-FFF2-40B4-BE49-F238E27FC236}">
                  <a16:creationId xmlns:a16="http://schemas.microsoft.com/office/drawing/2014/main" id="{00000000-0008-0000-0200-000006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8" name="Ink 7">
              <a:extLst>
                <a:ext uri="{FF2B5EF4-FFF2-40B4-BE49-F238E27FC236}">
                  <a16:creationId xmlns:a16="http://schemas.microsoft.com/office/drawing/2014/main" id="{00000000-0008-0000-0200-000008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9" name="Ink 8">
              <a:extLst>
                <a:ext uri="{FF2B5EF4-FFF2-40B4-BE49-F238E27FC236}">
                  <a16:creationId xmlns:a16="http://schemas.microsoft.com/office/drawing/2014/main" id="{00000000-0008-0000-0200-000009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0" name="Ink 9">
              <a:extLst>
                <a:ext uri="{FF2B5EF4-FFF2-40B4-BE49-F238E27FC236}">
                  <a16:creationId xmlns:a16="http://schemas.microsoft.com/office/drawing/2014/main" id="{00000000-0008-0000-0200-00000A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1"/>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1" name="Ink 10">
              <a:extLst>
                <a:ext uri="{FF2B5EF4-FFF2-40B4-BE49-F238E27FC236}">
                  <a16:creationId xmlns:a16="http://schemas.microsoft.com/office/drawing/2014/main" id="{00000000-0008-0000-0200-00000B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57</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2" name="Ink 11">
              <a:extLst>
                <a:ext uri="{FF2B5EF4-FFF2-40B4-BE49-F238E27FC236}">
                  <a16:creationId xmlns:a16="http://schemas.microsoft.com/office/drawing/2014/main" id="{AD395798-7B6E-4B06-8B0F-C93F67F9DCF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3" name="Ink 12">
              <a:extLst>
                <a:ext uri="{FF2B5EF4-FFF2-40B4-BE49-F238E27FC236}">
                  <a16:creationId xmlns:a16="http://schemas.microsoft.com/office/drawing/2014/main" id="{8FA6648B-39B8-430E-94C5-D18E9173A0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4" name="Ink 13">
              <a:extLst>
                <a:ext uri="{FF2B5EF4-FFF2-40B4-BE49-F238E27FC236}">
                  <a16:creationId xmlns:a16="http://schemas.microsoft.com/office/drawing/2014/main" id="{68BE22D2-7C6F-4BA1-AE17-2B1D4A4698A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5" name="Ink 14">
              <a:extLst>
                <a:ext uri="{FF2B5EF4-FFF2-40B4-BE49-F238E27FC236}">
                  <a16:creationId xmlns:a16="http://schemas.microsoft.com/office/drawing/2014/main" id="{6A136B98-2A74-4506-AEF7-CAA6E904E1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60</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6" name="Ink 15">
              <a:extLst>
                <a:ext uri="{FF2B5EF4-FFF2-40B4-BE49-F238E27FC236}">
                  <a16:creationId xmlns:a16="http://schemas.microsoft.com/office/drawing/2014/main" id="{3E3198DA-8D89-4D71-9C90-2C3552E2A12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7" name="Ink 16">
              <a:extLst>
                <a:ext uri="{FF2B5EF4-FFF2-40B4-BE49-F238E27FC236}">
                  <a16:creationId xmlns:a16="http://schemas.microsoft.com/office/drawing/2014/main" id="{0C015C19-E39A-415A-A248-F0683BF132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18" name="Ink 17">
              <a:extLst>
                <a:ext uri="{FF2B5EF4-FFF2-40B4-BE49-F238E27FC236}">
                  <a16:creationId xmlns:a16="http://schemas.microsoft.com/office/drawing/2014/main" id="{2F44F854-2DA2-4B35-9D6C-52658DEC642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9" name="Ink 18">
              <a:extLst>
                <a:ext uri="{FF2B5EF4-FFF2-40B4-BE49-F238E27FC236}">
                  <a16:creationId xmlns:a16="http://schemas.microsoft.com/office/drawing/2014/main" id="{E9F079B7-FBA7-4843-999F-170EE8E76D0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0" name="Ink 19">
              <a:extLst>
                <a:ext uri="{FF2B5EF4-FFF2-40B4-BE49-F238E27FC236}">
                  <a16:creationId xmlns:a16="http://schemas.microsoft.com/office/drawing/2014/main" id="{A2E124CB-3C67-4036-A63A-D8E9730679C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1" name="Ink 20">
              <a:extLst>
                <a:ext uri="{FF2B5EF4-FFF2-40B4-BE49-F238E27FC236}">
                  <a16:creationId xmlns:a16="http://schemas.microsoft.com/office/drawing/2014/main" id="{38026CF5-0DCF-4599-81B3-921B994D7C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2" name="Ink 21">
              <a:extLst>
                <a:ext uri="{FF2B5EF4-FFF2-40B4-BE49-F238E27FC236}">
                  <a16:creationId xmlns:a16="http://schemas.microsoft.com/office/drawing/2014/main" id="{DAC1B83E-140E-41F6-989C-7BC22EF106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61</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3" name="Ink 22">
              <a:extLst>
                <a:ext uri="{FF2B5EF4-FFF2-40B4-BE49-F238E27FC236}">
                  <a16:creationId xmlns:a16="http://schemas.microsoft.com/office/drawing/2014/main" id="{9033907E-A788-45A5-8793-BCEB009683F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4" name="Ink 23">
              <a:extLst>
                <a:ext uri="{FF2B5EF4-FFF2-40B4-BE49-F238E27FC236}">
                  <a16:creationId xmlns:a16="http://schemas.microsoft.com/office/drawing/2014/main" id="{C0DB3CBB-9BF8-498B-8DBD-768DDE30F9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5" name="Ink 24">
              <a:extLst>
                <a:ext uri="{FF2B5EF4-FFF2-40B4-BE49-F238E27FC236}">
                  <a16:creationId xmlns:a16="http://schemas.microsoft.com/office/drawing/2014/main" id="{2819E2C3-1633-423A-AD86-3435ADCABE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6" name="Ink 25">
              <a:extLst>
                <a:ext uri="{FF2B5EF4-FFF2-40B4-BE49-F238E27FC236}">
                  <a16:creationId xmlns:a16="http://schemas.microsoft.com/office/drawing/2014/main" id="{3F9ADA49-9108-4EF3-900D-E21D1300092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27" name="Ink 26">
              <a:extLst>
                <a:ext uri="{FF2B5EF4-FFF2-40B4-BE49-F238E27FC236}">
                  <a16:creationId xmlns:a16="http://schemas.microsoft.com/office/drawing/2014/main" id="{D8D8FB3F-1C40-4340-9A4E-3EF8CBDFA2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28" name="Ink 27">
              <a:extLst>
                <a:ext uri="{FF2B5EF4-FFF2-40B4-BE49-F238E27FC236}">
                  <a16:creationId xmlns:a16="http://schemas.microsoft.com/office/drawing/2014/main" id="{5A8551F9-9B31-4B8F-8ADB-4CB344F499A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29" name="Ink 28">
              <a:extLst>
                <a:ext uri="{FF2B5EF4-FFF2-40B4-BE49-F238E27FC236}">
                  <a16:creationId xmlns:a16="http://schemas.microsoft.com/office/drawing/2014/main" id="{E6C9A754-3F92-4DB4-BF67-48E80893A8F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0" name="Ink 29">
              <a:extLst>
                <a:ext uri="{FF2B5EF4-FFF2-40B4-BE49-F238E27FC236}">
                  <a16:creationId xmlns:a16="http://schemas.microsoft.com/office/drawing/2014/main" id="{F1579C2A-D52B-4EE6-AA19-9758776A94E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1" name="Ink 30">
              <a:extLst>
                <a:ext uri="{FF2B5EF4-FFF2-40B4-BE49-F238E27FC236}">
                  <a16:creationId xmlns:a16="http://schemas.microsoft.com/office/drawing/2014/main" id="{9BA4423F-9326-4189-B16A-96DB3DA60CE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2" name="Ink 31">
              <a:extLst>
                <a:ext uri="{FF2B5EF4-FFF2-40B4-BE49-F238E27FC236}">
                  <a16:creationId xmlns:a16="http://schemas.microsoft.com/office/drawing/2014/main" id="{BD9F074A-86F5-4E24-8888-D24984C9261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62</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3" name="Ink 32">
              <a:extLst>
                <a:ext uri="{FF2B5EF4-FFF2-40B4-BE49-F238E27FC236}">
                  <a16:creationId xmlns:a16="http://schemas.microsoft.com/office/drawing/2014/main" id="{82429A2A-8A3F-45EB-A4B3-373FC743323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4" name="Ink 33">
              <a:extLst>
                <a:ext uri="{FF2B5EF4-FFF2-40B4-BE49-F238E27FC236}">
                  <a16:creationId xmlns:a16="http://schemas.microsoft.com/office/drawing/2014/main" id="{D5B039C7-4BFC-4C78-8518-F3C8D34907F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5" name="Ink 34">
              <a:extLst>
                <a:ext uri="{FF2B5EF4-FFF2-40B4-BE49-F238E27FC236}">
                  <a16:creationId xmlns:a16="http://schemas.microsoft.com/office/drawing/2014/main" id="{ED22D1BA-94EF-42A7-8E7E-4D5F90E608A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36" name="Ink 35">
              <a:extLst>
                <a:ext uri="{FF2B5EF4-FFF2-40B4-BE49-F238E27FC236}">
                  <a16:creationId xmlns:a16="http://schemas.microsoft.com/office/drawing/2014/main" id="{1BC4B333-4699-4529-ABFA-FE0ED66CEF2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7" name="Ink 36">
              <a:extLst>
                <a:ext uri="{FF2B5EF4-FFF2-40B4-BE49-F238E27FC236}">
                  <a16:creationId xmlns:a16="http://schemas.microsoft.com/office/drawing/2014/main" id="{C87C3582-2741-4EC9-BBE8-2AFB0BDE9E6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38" name="Ink 37">
              <a:extLst>
                <a:ext uri="{FF2B5EF4-FFF2-40B4-BE49-F238E27FC236}">
                  <a16:creationId xmlns:a16="http://schemas.microsoft.com/office/drawing/2014/main" id="{A938AFB0-4DC7-4589-A8EA-39ABBD17B76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39" name="Ink 38">
              <a:extLst>
                <a:ext uri="{FF2B5EF4-FFF2-40B4-BE49-F238E27FC236}">
                  <a16:creationId xmlns:a16="http://schemas.microsoft.com/office/drawing/2014/main" id="{37105E04-3E74-40E1-9DD2-F952CECF1F1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0" name="Ink 39">
              <a:extLst>
                <a:ext uri="{FF2B5EF4-FFF2-40B4-BE49-F238E27FC236}">
                  <a16:creationId xmlns:a16="http://schemas.microsoft.com/office/drawing/2014/main" id="{53EFCF9F-A6D1-4AEB-B4E5-606A8DFA101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1" name="Ink 40">
              <a:extLst>
                <a:ext uri="{FF2B5EF4-FFF2-40B4-BE49-F238E27FC236}">
                  <a16:creationId xmlns:a16="http://schemas.microsoft.com/office/drawing/2014/main" id="{62742EBB-5014-480E-A89A-1E1C7444F68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2" name="Ink 41">
              <a:extLst>
                <a:ext uri="{FF2B5EF4-FFF2-40B4-BE49-F238E27FC236}">
                  <a16:creationId xmlns:a16="http://schemas.microsoft.com/office/drawing/2014/main" id="{824EB626-5860-4ACC-9B2E-A6BA9EDAD6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3" name="Ink 42">
              <a:extLst>
                <a:ext uri="{FF2B5EF4-FFF2-40B4-BE49-F238E27FC236}">
                  <a16:creationId xmlns:a16="http://schemas.microsoft.com/office/drawing/2014/main" id="{6B3F4FBE-7C53-49E3-96AB-0998BEE4451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4" name="Ink 43">
              <a:extLst>
                <a:ext uri="{FF2B5EF4-FFF2-40B4-BE49-F238E27FC236}">
                  <a16:creationId xmlns:a16="http://schemas.microsoft.com/office/drawing/2014/main" id="{A91A61EA-F84F-4DC7-9C4C-10AE126A47E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5" name="Ink 44">
              <a:extLst>
                <a:ext uri="{FF2B5EF4-FFF2-40B4-BE49-F238E27FC236}">
                  <a16:creationId xmlns:a16="http://schemas.microsoft.com/office/drawing/2014/main" id="{24D70E26-B798-4ABB-836D-B9CBE73024B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68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6" name="Ink 45">
              <a:extLst>
                <a:ext uri="{FF2B5EF4-FFF2-40B4-BE49-F238E27FC236}">
                  <a16:creationId xmlns:a16="http://schemas.microsoft.com/office/drawing/2014/main" id="{7AD398C5-4F66-4B46-934D-AED6C99B19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7" name="Ink 46">
              <a:extLst>
                <a:ext uri="{FF2B5EF4-FFF2-40B4-BE49-F238E27FC236}">
                  <a16:creationId xmlns:a16="http://schemas.microsoft.com/office/drawing/2014/main" id="{E296D5B1-FD03-488E-B9C2-C4558E8C04C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8" name="Ink 47">
              <a:extLst>
                <a:ext uri="{FF2B5EF4-FFF2-40B4-BE49-F238E27FC236}">
                  <a16:creationId xmlns:a16="http://schemas.microsoft.com/office/drawing/2014/main" id="{7F573365-99A7-4B49-B391-0D8C1FDE6C4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49" name="Ink 48">
              <a:extLst>
                <a:ext uri="{FF2B5EF4-FFF2-40B4-BE49-F238E27FC236}">
                  <a16:creationId xmlns:a16="http://schemas.microsoft.com/office/drawing/2014/main" id="{621A5206-5BA0-4846-A8D6-3C477A19C849}"/>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0" name="Ink 49">
              <a:extLst>
                <a:ext uri="{FF2B5EF4-FFF2-40B4-BE49-F238E27FC236}">
                  <a16:creationId xmlns:a16="http://schemas.microsoft.com/office/drawing/2014/main" id="{698F1FC6-45FB-473C-BAB0-18E21F8947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1" name="Ink 50">
              <a:extLst>
                <a:ext uri="{FF2B5EF4-FFF2-40B4-BE49-F238E27FC236}">
                  <a16:creationId xmlns:a16="http://schemas.microsoft.com/office/drawing/2014/main" id="{03A5A910-88D0-4CD8-9F54-CC82BA8D488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2" name="Ink 51">
              <a:extLst>
                <a:ext uri="{FF2B5EF4-FFF2-40B4-BE49-F238E27FC236}">
                  <a16:creationId xmlns:a16="http://schemas.microsoft.com/office/drawing/2014/main" id="{3D3DB101-C471-453B-82C3-63BA2891A91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3" name="Ink 52">
              <a:extLst>
                <a:ext uri="{FF2B5EF4-FFF2-40B4-BE49-F238E27FC236}">
                  <a16:creationId xmlns:a16="http://schemas.microsoft.com/office/drawing/2014/main" id="{C610934A-7346-410D-8E21-F0AD2DCD90C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4" name="Ink 53">
              <a:extLst>
                <a:ext uri="{FF2B5EF4-FFF2-40B4-BE49-F238E27FC236}">
                  <a16:creationId xmlns:a16="http://schemas.microsoft.com/office/drawing/2014/main" id="{75A2FFCC-B173-4804-B2D5-DDF3921E7B01}"/>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5" name="Ink 54">
              <a:extLst>
                <a:ext uri="{FF2B5EF4-FFF2-40B4-BE49-F238E27FC236}">
                  <a16:creationId xmlns:a16="http://schemas.microsoft.com/office/drawing/2014/main" id="{C9817FED-7D62-413D-98EE-7C96B1057FD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6" name="Ink 55">
              <a:extLst>
                <a:ext uri="{FF2B5EF4-FFF2-40B4-BE49-F238E27FC236}">
                  <a16:creationId xmlns:a16="http://schemas.microsoft.com/office/drawing/2014/main" id="{50A230F0-55A0-4261-9259-6A73C913991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7" name="Ink 56">
              <a:extLst>
                <a:ext uri="{FF2B5EF4-FFF2-40B4-BE49-F238E27FC236}">
                  <a16:creationId xmlns:a16="http://schemas.microsoft.com/office/drawing/2014/main" id="{D3CB355E-1B4B-4012-B42C-50D012EC164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8" name="Ink 57">
              <a:extLst>
                <a:ext uri="{FF2B5EF4-FFF2-40B4-BE49-F238E27FC236}">
                  <a16:creationId xmlns:a16="http://schemas.microsoft.com/office/drawing/2014/main" id="{99D96F81-22E6-4214-8283-1EA451D7A96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59" name="Ink 58">
              <a:extLst>
                <a:ext uri="{FF2B5EF4-FFF2-40B4-BE49-F238E27FC236}">
                  <a16:creationId xmlns:a16="http://schemas.microsoft.com/office/drawing/2014/main" id="{4F85DD82-4A09-4C9A-97AC-46151890FF6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0" name="Ink 59">
              <a:extLst>
                <a:ext uri="{FF2B5EF4-FFF2-40B4-BE49-F238E27FC236}">
                  <a16:creationId xmlns:a16="http://schemas.microsoft.com/office/drawing/2014/main" id="{B128AA74-E57A-41AE-827E-9D5940A948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1" name="Ink 60">
              <a:extLst>
                <a:ext uri="{FF2B5EF4-FFF2-40B4-BE49-F238E27FC236}">
                  <a16:creationId xmlns:a16="http://schemas.microsoft.com/office/drawing/2014/main" id="{386D4F90-EDBC-41C1-A440-744FC8DF458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2" name="Ink 61">
              <a:extLst>
                <a:ext uri="{FF2B5EF4-FFF2-40B4-BE49-F238E27FC236}">
                  <a16:creationId xmlns:a16="http://schemas.microsoft.com/office/drawing/2014/main" id="{E61506A8-3F00-498E-8CAD-0F40CEB0FE2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3" name="Ink 62">
              <a:extLst>
                <a:ext uri="{FF2B5EF4-FFF2-40B4-BE49-F238E27FC236}">
                  <a16:creationId xmlns:a16="http://schemas.microsoft.com/office/drawing/2014/main" id="{959DFF50-C009-474B-925B-BDC648D19E0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4" name="Ink 63">
              <a:extLst>
                <a:ext uri="{FF2B5EF4-FFF2-40B4-BE49-F238E27FC236}">
                  <a16:creationId xmlns:a16="http://schemas.microsoft.com/office/drawing/2014/main" id="{1ED71723-2910-4F23-96DF-62FFAD4EDC1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5" name="Ink 64">
              <a:extLst>
                <a:ext uri="{FF2B5EF4-FFF2-40B4-BE49-F238E27FC236}">
                  <a16:creationId xmlns:a16="http://schemas.microsoft.com/office/drawing/2014/main" id="{0B973C5B-E38B-431C-942C-E4CE01DA3EC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6" name="Ink 65">
              <a:extLst>
                <a:ext uri="{FF2B5EF4-FFF2-40B4-BE49-F238E27FC236}">
                  <a16:creationId xmlns:a16="http://schemas.microsoft.com/office/drawing/2014/main" id="{B7F25056-8CBF-40C6-AD21-50941A64AFC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7" name="Ink 66">
              <a:extLst>
                <a:ext uri="{FF2B5EF4-FFF2-40B4-BE49-F238E27FC236}">
                  <a16:creationId xmlns:a16="http://schemas.microsoft.com/office/drawing/2014/main" id="{52C84BA8-33FE-4AD1-81FB-70C025A9FE2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8" name="Ink 67">
              <a:extLst>
                <a:ext uri="{FF2B5EF4-FFF2-40B4-BE49-F238E27FC236}">
                  <a16:creationId xmlns:a16="http://schemas.microsoft.com/office/drawing/2014/main" id="{855AC7BB-FAE1-4C07-94CC-76B00764F1A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69" name="Ink 68">
              <a:extLst>
                <a:ext uri="{FF2B5EF4-FFF2-40B4-BE49-F238E27FC236}">
                  <a16:creationId xmlns:a16="http://schemas.microsoft.com/office/drawing/2014/main" id="{86318E33-EC0A-484A-A43C-EDCB4EB0FB3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0" name="Ink 69">
              <a:extLst>
                <a:ext uri="{FF2B5EF4-FFF2-40B4-BE49-F238E27FC236}">
                  <a16:creationId xmlns:a16="http://schemas.microsoft.com/office/drawing/2014/main" id="{8A53698F-A76B-4D44-83A3-091739DF985C}"/>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1" name="Ink 70">
              <a:extLst>
                <a:ext uri="{FF2B5EF4-FFF2-40B4-BE49-F238E27FC236}">
                  <a16:creationId xmlns:a16="http://schemas.microsoft.com/office/drawing/2014/main" id="{89A52475-1B72-4873-B62C-3A3062C922E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2" name="Ink 71">
              <a:extLst>
                <a:ext uri="{FF2B5EF4-FFF2-40B4-BE49-F238E27FC236}">
                  <a16:creationId xmlns:a16="http://schemas.microsoft.com/office/drawing/2014/main" id="{8C4C051C-996B-411C-8742-E07776A3AB8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3" name="Ink 72">
              <a:extLst>
                <a:ext uri="{FF2B5EF4-FFF2-40B4-BE49-F238E27FC236}">
                  <a16:creationId xmlns:a16="http://schemas.microsoft.com/office/drawing/2014/main" id="{A34ED099-DC97-4F95-BB9C-06C06F2FDD2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4" name="Ink 73">
              <a:extLst>
                <a:ext uri="{FF2B5EF4-FFF2-40B4-BE49-F238E27FC236}">
                  <a16:creationId xmlns:a16="http://schemas.microsoft.com/office/drawing/2014/main" id="{F58F19E4-3914-4FD9-8CF4-BD61A106B70E}"/>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5" name="Ink 74">
              <a:extLst>
                <a:ext uri="{FF2B5EF4-FFF2-40B4-BE49-F238E27FC236}">
                  <a16:creationId xmlns:a16="http://schemas.microsoft.com/office/drawing/2014/main" id="{FA1FBF88-0353-4298-B32A-311EACFCB63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6" name="Ink 75">
              <a:extLst>
                <a:ext uri="{FF2B5EF4-FFF2-40B4-BE49-F238E27FC236}">
                  <a16:creationId xmlns:a16="http://schemas.microsoft.com/office/drawing/2014/main" id="{E48C164D-8780-4F18-9A54-822A64F496D4}"/>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7" name="Ink 76">
              <a:extLst>
                <a:ext uri="{FF2B5EF4-FFF2-40B4-BE49-F238E27FC236}">
                  <a16:creationId xmlns:a16="http://schemas.microsoft.com/office/drawing/2014/main" id="{49BBFCBC-A5AF-44F9-91A6-E311721F5BC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8" name="Ink 77">
              <a:extLst>
                <a:ext uri="{FF2B5EF4-FFF2-40B4-BE49-F238E27FC236}">
                  <a16:creationId xmlns:a16="http://schemas.microsoft.com/office/drawing/2014/main" id="{8B20E583-4D73-4324-A462-A69FC87DC24A}"/>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79" name="Ink 78">
              <a:extLst>
                <a:ext uri="{FF2B5EF4-FFF2-40B4-BE49-F238E27FC236}">
                  <a16:creationId xmlns:a16="http://schemas.microsoft.com/office/drawing/2014/main" id="{0CEC2D6B-594E-4D27-8796-E5DCBFABBED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0" name="Ink 79">
              <a:extLst>
                <a:ext uri="{FF2B5EF4-FFF2-40B4-BE49-F238E27FC236}">
                  <a16:creationId xmlns:a16="http://schemas.microsoft.com/office/drawing/2014/main" id="{11934432-4C93-4C6F-BB34-B1927F6408E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58</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1" name="Ink 80">
              <a:extLst>
                <a:ext uri="{FF2B5EF4-FFF2-40B4-BE49-F238E27FC236}">
                  <a16:creationId xmlns:a16="http://schemas.microsoft.com/office/drawing/2014/main" id="{945BB64D-38CA-4785-85C7-665BA58B2458}"/>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2" name="Ink 81">
              <a:extLst>
                <a:ext uri="{FF2B5EF4-FFF2-40B4-BE49-F238E27FC236}">
                  <a16:creationId xmlns:a16="http://schemas.microsoft.com/office/drawing/2014/main" id="{894C1942-1C76-4678-B395-A066A18FCC7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5"/>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3" name="Ink 82">
              <a:extLst>
                <a:ext uri="{FF2B5EF4-FFF2-40B4-BE49-F238E27FC236}">
                  <a16:creationId xmlns:a16="http://schemas.microsoft.com/office/drawing/2014/main" id="{1353D364-4283-433D-997C-F4B9A24E957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4</xdr:col>
      <xdr:colOff>359571</xdr:colOff>
      <xdr:row>59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4" name="Ink 83">
              <a:extLst>
                <a:ext uri="{FF2B5EF4-FFF2-40B4-BE49-F238E27FC236}">
                  <a16:creationId xmlns:a16="http://schemas.microsoft.com/office/drawing/2014/main" id="{1EB1F341-F4FA-4F0F-AA22-0AF71F5EBFF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8"/>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49</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5" name="Ink 84">
              <a:extLst>
                <a:ext uri="{FF2B5EF4-FFF2-40B4-BE49-F238E27FC236}">
                  <a16:creationId xmlns:a16="http://schemas.microsoft.com/office/drawing/2014/main" id="{50A9815A-1FCC-42ED-AEEA-8CCEAAA74CFB}"/>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oneCellAnchor>
    <xdr:from>
      <xdr:col>2</xdr:col>
      <xdr:colOff>359571</xdr:colOff>
      <xdr:row>46</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6" name="Ink 85">
              <a:extLst>
                <a:ext uri="{FF2B5EF4-FFF2-40B4-BE49-F238E27FC236}">
                  <a16:creationId xmlns:a16="http://schemas.microsoft.com/office/drawing/2014/main" id="{2D2F9071-E400-4A53-A633-68E4346A8E6D}"/>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23_Project%20Management%20-%206316%20Willowdell%20Dr%204.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2325%20Cool%20Springs%20Rd%204.xlsm" TargetMode="External"/><Relationship Id="rId1" Type="http://schemas.openxmlformats.org/officeDocument/2006/relationships/externalLinkPath" Target="23_Project%20Management%20-%202325%20Cool%20Springs%20Rd%204.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2_Project%20Management%20-%201343%20Old%20Buckhorn%20Rd.xlsm" TargetMode="External"/><Relationship Id="rId1" Type="http://schemas.openxmlformats.org/officeDocument/2006/relationships/externalLinkPath" Target="22_Project%20Management%20-%201343%20Old%20Buckhorn%20Rd.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1_Project%20Management%20-%208225%20Burgwyn%20Ln.xlsx" TargetMode="External"/><Relationship Id="rId1" Type="http://schemas.openxmlformats.org/officeDocument/2006/relationships/externalLinkPath" Target="21_Project%20Management%20-%208225%20Burgwyn%20Ln.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0_Project%20Management%20-%20115%20Rosebrooks%20Dr.xlsx" TargetMode="External"/><Relationship Id="rId1" Type="http://schemas.openxmlformats.org/officeDocument/2006/relationships/externalLinkPath" Target="20_Project%20Management%20-%20115%20Rosebrooks%20Dr.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9_Project%20Management%20-%201426%20Pleasant%20Garden%20Ln.xlsx" TargetMode="External"/><Relationship Id="rId1" Type="http://schemas.openxmlformats.org/officeDocument/2006/relationships/externalLinkPath" Target="19_Project%20Management%20-%201426%20Pleasant%20Garden%20Ln.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7_Project%20Management%20-%203413%20Pinetree%20Ln.xlsx" TargetMode="External"/><Relationship Id="rId1" Type="http://schemas.openxmlformats.org/officeDocument/2006/relationships/externalLinkPath" Target="17_Project%20Management%20-%203413%20Pinetree%20Ln.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4_Project%20Management%20-%205008%20Larchmont%20Dr.xlsx" TargetMode="External"/><Relationship Id="rId1" Type="http://schemas.openxmlformats.org/officeDocument/2006/relationships/externalLinkPath" Target="14_Project%20Management%20-%205008%20Larchmont%20Dr.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13_Project%20Management%20%20-%203325%20Banks%20Rd.xlsx" TargetMode="External"/><Relationship Id="rId1" Type="http://schemas.openxmlformats.org/officeDocument/2006/relationships/externalLinkPath" Target="13_Project%20Management%20%20-%203325%20Banks%20Rd.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24_Project%20Management%20-%204121%20Tensity%20Dr%202.xlsm"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Credit%20Cards%20Sheet.xlsx" TargetMode="External"/><Relationship Id="rId1" Type="http://schemas.openxmlformats.org/officeDocument/2006/relationships/externalLinkPath" Target="Credit%20Cards%20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row r="4">
          <cell r="B4">
            <v>418900</v>
          </cell>
        </row>
        <row r="67">
          <cell r="H67">
            <v>45672</v>
          </cell>
        </row>
      </sheetData>
      <sheetData sheetId="1"/>
      <sheetData sheetId="2"/>
      <sheetData sheetId="3"/>
      <sheetData sheetId="4">
        <row r="44">
          <cell r="E44">
            <v>418900</v>
          </cell>
        </row>
        <row r="45">
          <cell r="E45">
            <v>283695.94</v>
          </cell>
        </row>
        <row r="46">
          <cell r="E46">
            <v>17662.479443010689</v>
          </cell>
        </row>
        <row r="47">
          <cell r="E47">
            <v>259340</v>
          </cell>
        </row>
        <row r="48">
          <cell r="E48">
            <v>1944.198333333333</v>
          </cell>
        </row>
        <row r="49">
          <cell r="E49">
            <v>0</v>
          </cell>
        </row>
        <row r="50">
          <cell r="E50">
            <v>81394.772556989323</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NVSURGFMGXNBZUOMLQBCSV4MU">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2024"/>
      <sheetName val="STR"/>
      <sheetName val="Landscape"/>
      <sheetName val="Exterior"/>
      <sheetName val="2023"/>
      <sheetName val="2022"/>
      <sheetName val="2021"/>
      <sheetName val="2020"/>
      <sheetName val="Furnishing"/>
      <sheetName val="23_Project Management - 2325 Co"/>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239000</v>
          </cell>
        </row>
        <row r="45">
          <cell r="E45">
            <v>204823.02</v>
          </cell>
        </row>
        <row r="46">
          <cell r="E46">
            <v>11744.259443010687</v>
          </cell>
        </row>
        <row r="47">
          <cell r="E47">
            <v>174164</v>
          </cell>
        </row>
        <row r="48">
          <cell r="E48">
            <v>1130.2861016949155</v>
          </cell>
        </row>
        <row r="49">
          <cell r="E49">
            <v>1559.8861016949156</v>
          </cell>
        </row>
        <row r="50">
          <cell r="E50">
            <v>80545.767573440957</v>
          </cell>
        </row>
        <row r="51">
          <cell r="E51"/>
        </row>
        <row r="52">
          <cell r="E52">
            <v>8054.5767573440962</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J3S5AVZASJNGLECZJKKVUGZBJ">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Exterior"/>
      <sheetName val="Demo &amp; Trash Haul"/>
      <sheetName val="Appliances"/>
      <sheetName val="Plumbing Fixtures"/>
      <sheetName val="Windows &amp; Doors"/>
      <sheetName val="Cabinets"/>
      <sheetName val="Paint"/>
      <sheetName val="Flooring"/>
      <sheetName val="HVAC"/>
      <sheetName val="Electrical Fixtures"/>
      <sheetName val="STR"/>
      <sheetName val="Landscape"/>
      <sheetName val="2024"/>
      <sheetName val="2023"/>
      <sheetName val="2022"/>
      <sheetName val="2021"/>
      <sheetName val="2020"/>
      <sheetName val="Furnishing"/>
      <sheetName val="22_Project Management - 1343 Ol"/>
      <sheetName val="Sheet1"/>
      <sheetName val="Sheet2"/>
    </sheetNames>
    <sheetDataSet>
      <sheetData sheetId="0"/>
      <sheetData sheetId="1"/>
      <sheetData sheetId="2"/>
      <sheetData sheetId="3"/>
      <sheetData sheetId="4">
        <row r="3">
          <cell r="C3" t="str">
            <v>Yes</v>
          </cell>
        </row>
        <row r="4">
          <cell r="C4" t="str">
            <v>Yes</v>
          </cell>
        </row>
        <row r="5">
          <cell r="C5" t="str">
            <v>Yes</v>
          </cell>
        </row>
        <row r="6">
          <cell r="C6" t="str">
            <v>yes</v>
          </cell>
        </row>
        <row r="7">
          <cell r="C7"/>
        </row>
        <row r="8">
          <cell r="C8"/>
        </row>
        <row r="9">
          <cell r="C9" t="str">
            <v>Yes</v>
          </cell>
        </row>
        <row r="10">
          <cell r="C10" t="str">
            <v>n/a</v>
          </cell>
        </row>
        <row r="11">
          <cell r="C11"/>
        </row>
        <row r="12">
          <cell r="C12"/>
        </row>
        <row r="13">
          <cell r="C13"/>
        </row>
        <row r="14">
          <cell r="C14"/>
        </row>
        <row r="15">
          <cell r="C15"/>
        </row>
        <row r="16">
          <cell r="C16"/>
        </row>
        <row r="17">
          <cell r="C17"/>
        </row>
        <row r="18">
          <cell r="C18"/>
        </row>
        <row r="19">
          <cell r="C19"/>
        </row>
        <row r="20">
          <cell r="C20"/>
        </row>
        <row r="21">
          <cell r="C21"/>
        </row>
        <row r="22">
          <cell r="C22"/>
        </row>
        <row r="23">
          <cell r="C23"/>
        </row>
        <row r="24">
          <cell r="C24"/>
        </row>
        <row r="25">
          <cell r="C25"/>
        </row>
        <row r="26">
          <cell r="C26"/>
        </row>
        <row r="27">
          <cell r="C27"/>
        </row>
        <row r="28">
          <cell r="C28"/>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366900</v>
          </cell>
        </row>
        <row r="45">
          <cell r="E45">
            <v>126799</v>
          </cell>
        </row>
        <row r="46">
          <cell r="E46">
            <v>181971.73416250001</v>
          </cell>
        </row>
        <row r="47">
          <cell r="E47">
            <v>197558</v>
          </cell>
        </row>
        <row r="48">
          <cell r="E48">
            <v>251.43667883211666</v>
          </cell>
        </row>
        <row r="49">
          <cell r="E49">
            <v>0</v>
          </cell>
        </row>
        <row r="50">
          <cell r="E50">
            <v>149896.56583749998</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STTUMVTACGFEIEW2L7G2XH3QH">
      <xxl21:absoluteUrl r:id="rId2"/>
    </xxl21:alternateUrls>
    <sheetNames>
      <sheetName val="Profit"/>
      <sheetName val="Refinance"/>
      <sheetName val="MOG"/>
      <sheetName val="Todo"/>
      <sheetName val="Contact"/>
      <sheetName val="Carrying"/>
      <sheetName val="Contract"/>
      <sheetName val="UpdateContract"/>
      <sheetName val="Gnatt Chart"/>
      <sheetName val="Recap"/>
      <sheetName val="Legal"/>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s>
    <sheetDataSet>
      <sheetData sheetId="0"/>
      <sheetData sheetId="1"/>
      <sheetData sheetId="2"/>
      <sheetData sheetId="3">
        <row r="3">
          <cell r="C3" t="str">
            <v>Yes</v>
          </cell>
        </row>
        <row r="4">
          <cell r="C4" t="str">
            <v>Yes</v>
          </cell>
        </row>
        <row r="5">
          <cell r="C5" t="str">
            <v>Yes</v>
          </cell>
        </row>
        <row r="6">
          <cell r="C6" t="str">
            <v>Yes</v>
          </cell>
        </row>
        <row r="7">
          <cell r="C7" t="str">
            <v>Yes</v>
          </cell>
        </row>
        <row r="8">
          <cell r="C8" t="str">
            <v>n/a</v>
          </cell>
        </row>
        <row r="9">
          <cell r="C9" t="str">
            <v>Yes</v>
          </cell>
        </row>
        <row r="10">
          <cell r="C10" t="str">
            <v>n/a</v>
          </cell>
        </row>
        <row r="11">
          <cell r="C11"/>
        </row>
        <row r="12">
          <cell r="C12"/>
        </row>
        <row r="13">
          <cell r="C13" t="str">
            <v>n/a</v>
          </cell>
        </row>
        <row r="14">
          <cell r="C14"/>
        </row>
        <row r="15">
          <cell r="C15" t="str">
            <v>N/a</v>
          </cell>
        </row>
        <row r="16">
          <cell r="C16" t="str">
            <v>Yes</v>
          </cell>
        </row>
        <row r="17">
          <cell r="C17"/>
        </row>
        <row r="18">
          <cell r="C18"/>
        </row>
        <row r="19">
          <cell r="C19"/>
        </row>
        <row r="20">
          <cell r="C20" t="str">
            <v>Yes</v>
          </cell>
        </row>
        <row r="21">
          <cell r="C21"/>
        </row>
        <row r="22">
          <cell r="C22"/>
        </row>
        <row r="23">
          <cell r="C23"/>
        </row>
        <row r="24">
          <cell r="C24" t="str">
            <v>yes</v>
          </cell>
        </row>
        <row r="25">
          <cell r="C25" t="str">
            <v>yes</v>
          </cell>
        </row>
        <row r="26">
          <cell r="C26" t="str">
            <v>yes</v>
          </cell>
        </row>
        <row r="27">
          <cell r="C27" t="str">
            <v>n/a</v>
          </cell>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2">
          <cell r="C42"/>
        </row>
        <row r="44">
          <cell r="E44">
            <v>470000</v>
          </cell>
        </row>
        <row r="45">
          <cell r="E45">
            <v>220401.85</v>
          </cell>
        </row>
        <row r="46">
          <cell r="E46">
            <v>57344.420874999996</v>
          </cell>
        </row>
        <row r="47">
          <cell r="E47">
            <v>35031</v>
          </cell>
        </row>
        <row r="48">
          <cell r="E48">
            <v>0</v>
          </cell>
        </row>
        <row r="49">
          <cell r="E49">
            <v>0</v>
          </cell>
        </row>
        <row r="50">
          <cell r="E50">
            <v>149981.58261184339</v>
          </cell>
        </row>
        <row r="51">
          <cell r="E51">
            <v>0</v>
          </cell>
        </row>
        <row r="52">
          <cell r="E52" t="str">
            <v>Averages for all Years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4XSAG27XHWRBZGUMAPNZGIIGX">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3"/>
      <sheetName val="2022"/>
      <sheetName val="2021"/>
      <sheetName val="2020"/>
      <sheetName val="20_Project Management - 115 Ros"/>
    </sheetNames>
    <sheetDataSet>
      <sheetData sheetId="0"/>
      <sheetData sheetId="1"/>
      <sheetData sheetId="2">
        <row r="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 xml:space="preserve"> </v>
          </cell>
        </row>
        <row r="15">
          <cell r="C15" t="str">
            <v>n/a</v>
          </cell>
        </row>
        <row r="16">
          <cell r="C16" t="str">
            <v xml:space="preserve"> n/a</v>
          </cell>
        </row>
        <row r="17">
          <cell r="C17" t="str">
            <v xml:space="preserve"> </v>
          </cell>
        </row>
        <row r="18">
          <cell r="C18" t="str">
            <v xml:space="preserve"> </v>
          </cell>
        </row>
        <row r="19">
          <cell r="C19" t="str">
            <v xml:space="preserve"> </v>
          </cell>
        </row>
        <row r="20">
          <cell r="C20" t="str">
            <v>yes</v>
          </cell>
        </row>
        <row r="21">
          <cell r="C21" t="str">
            <v xml:space="preserve"> </v>
          </cell>
        </row>
        <row r="22">
          <cell r="C22" t="str">
            <v xml:space="preserve"> </v>
          </cell>
        </row>
        <row r="23">
          <cell r="C23" t="str">
            <v xml:space="preserve"> </v>
          </cell>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289000</v>
          </cell>
        </row>
        <row r="45">
          <cell r="E45">
            <v>209324.05125000002</v>
          </cell>
        </row>
        <row r="46">
          <cell r="E46">
            <v>34441.813999999998</v>
          </cell>
        </row>
        <row r="47">
          <cell r="E47">
            <v>181057.16</v>
          </cell>
        </row>
        <row r="48">
          <cell r="E48">
            <v>1028.8555360281198</v>
          </cell>
        </row>
        <row r="49">
          <cell r="E49">
            <v>0</v>
          </cell>
        </row>
        <row r="50">
          <cell r="E50">
            <v>-32820.680769722196</v>
          </cell>
        </row>
        <row r="51">
          <cell r="E51"/>
        </row>
        <row r="52">
          <cell r="E52">
            <v>-3282.0680769722198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YSK4JAZNXNNHYSFLXXGA45WJR">
      <xxl21:absoluteUrl r:id="rId2"/>
    </xxl21:alternateUrls>
    <sheetNames>
      <sheetName val="Profit"/>
      <sheetName val="MOG"/>
      <sheetName val="Todo"/>
      <sheetName val="Contact"/>
      <sheetName val="Carrying"/>
      <sheetName val="Contract"/>
      <sheetName val="UpdateContract"/>
      <sheetName val="Gnatt Chart"/>
      <sheetName val="Recap"/>
      <sheetName val="Taxes"/>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9_Project Management - 1426 Pl"/>
    </sheetNames>
    <sheetDataSet>
      <sheetData sheetId="0"/>
      <sheetData sheetId="1"/>
      <sheetData sheetId="2">
        <row r="3">
          <cell r="A3"/>
          <cell r="C3" t="str">
            <v>Yes</v>
          </cell>
        </row>
        <row r="4">
          <cell r="C4" t="str">
            <v>Yes</v>
          </cell>
        </row>
        <row r="5">
          <cell r="C5" t="str">
            <v>Yes</v>
          </cell>
        </row>
        <row r="6">
          <cell r="C6" t="str">
            <v>yes</v>
          </cell>
        </row>
        <row r="7">
          <cell r="C7"/>
        </row>
        <row r="8">
          <cell r="C8"/>
        </row>
        <row r="9">
          <cell r="C9"/>
        </row>
        <row r="10">
          <cell r="C10" t="str">
            <v>yes</v>
          </cell>
        </row>
        <row r="11">
          <cell r="C11"/>
        </row>
        <row r="12">
          <cell r="C12"/>
        </row>
        <row r="13">
          <cell r="C13"/>
        </row>
        <row r="14">
          <cell r="C14" t="str">
            <v>yes</v>
          </cell>
        </row>
        <row r="15">
          <cell r="C15" t="str">
            <v>yes</v>
          </cell>
        </row>
        <row r="16">
          <cell r="C16" t="str">
            <v>yes</v>
          </cell>
        </row>
        <row r="17">
          <cell r="C17" t="str">
            <v>yes</v>
          </cell>
        </row>
        <row r="18">
          <cell r="C18" t="str">
            <v>yes</v>
          </cell>
        </row>
        <row r="19">
          <cell r="C19" t="str">
            <v xml:space="preserve"> na</v>
          </cell>
        </row>
        <row r="20">
          <cell r="C20" t="str">
            <v>yes</v>
          </cell>
        </row>
        <row r="21">
          <cell r="C21" t="str">
            <v>na</v>
          </cell>
        </row>
        <row r="22">
          <cell r="C22" t="str">
            <v>yes</v>
          </cell>
        </row>
        <row r="23">
          <cell r="C23" t="str">
            <v>yes</v>
          </cell>
        </row>
        <row r="24">
          <cell r="C24" t="str">
            <v>yes</v>
          </cell>
        </row>
        <row r="25">
          <cell r="C25" t="str">
            <v>yes</v>
          </cell>
        </row>
        <row r="26">
          <cell r="C26" t="str">
            <v>yes</v>
          </cell>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341700</v>
          </cell>
        </row>
        <row r="45">
          <cell r="E45">
            <v>182784</v>
          </cell>
        </row>
        <row r="46">
          <cell r="E46">
            <v>47412.056299999997</v>
          </cell>
        </row>
        <row r="47">
          <cell r="E47">
            <v>273784</v>
          </cell>
        </row>
        <row r="48">
          <cell r="E48">
            <v>2374.4743718592963</v>
          </cell>
        </row>
        <row r="49">
          <cell r="E49">
            <v>2225</v>
          </cell>
        </row>
        <row r="50">
          <cell r="E50">
            <v>132665.68604500001</v>
          </cell>
        </row>
        <row r="51">
          <cell r="E51">
            <v>13266.568604500002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POZ4WDEWUUXZEYUZSMQ2KG2W3J">
      <xxl21:absoluteUrl r:id="rId2"/>
    </xxl21:alternateUrls>
    <sheetNames>
      <sheetName val="Profit"/>
      <sheetName val="MOG"/>
      <sheetName val="Todo"/>
      <sheetName val="Contact"/>
      <sheetName val="Example Proposal"/>
      <sheetName val="Proposal"/>
      <sheetName val="ProposalUpdate"/>
      <sheetName val="Gnatt Chart"/>
      <sheetName val="Taxes"/>
      <sheetName val="Financing"/>
      <sheetName val="Seller Advance"/>
      <sheetName val="MISC 2"/>
      <sheetName val="Demo &amp; Trash Haul"/>
      <sheetName val="Appliances"/>
      <sheetName val="Plumbing Fixtures"/>
      <sheetName val="Sheet1"/>
      <sheetName val="Sheet2"/>
      <sheetName val="Windows &amp; Doors"/>
      <sheetName val="Cabinets"/>
      <sheetName val="Paint"/>
      <sheetName val="Flooring"/>
      <sheetName val="HVAC"/>
      <sheetName val="Electrical Fixtures"/>
      <sheetName val="Landscape"/>
      <sheetName val="Sheet5"/>
      <sheetName val="Exterior"/>
      <sheetName val="Sheet3"/>
      <sheetName val="Sheet4"/>
      <sheetName val="17_Project Management - 3413 Pi"/>
    </sheetNames>
    <sheetDataSet>
      <sheetData sheetId="0"/>
      <sheetData sheetId="1"/>
      <sheetData sheetId="2">
        <row r="3">
          <cell r="A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row>
        <row r="14">
          <cell r="C14"/>
        </row>
        <row r="15">
          <cell r="C15"/>
        </row>
        <row r="16">
          <cell r="C16"/>
        </row>
        <row r="17">
          <cell r="C17"/>
        </row>
        <row r="18">
          <cell r="C18"/>
        </row>
        <row r="19">
          <cell r="C19" t="str">
            <v xml:space="preserve"> </v>
          </cell>
        </row>
        <row r="20">
          <cell r="C20" t="str">
            <v>yes</v>
          </cell>
        </row>
        <row r="21">
          <cell r="C21"/>
        </row>
        <row r="22">
          <cell r="C22"/>
        </row>
        <row r="23">
          <cell r="C23"/>
        </row>
        <row r="24">
          <cell r="C24" t="str">
            <v>yes</v>
          </cell>
        </row>
        <row r="25">
          <cell r="C25"/>
        </row>
        <row r="26">
          <cell r="C26"/>
        </row>
        <row r="27">
          <cell r="C27"/>
        </row>
        <row r="28">
          <cell r="C28" t="str">
            <v>na</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287000</v>
          </cell>
        </row>
        <row r="45">
          <cell r="E45">
            <v>185424.13125000001</v>
          </cell>
        </row>
        <row r="46">
          <cell r="E46">
            <v>5676.2640000000001</v>
          </cell>
        </row>
        <row r="47">
          <cell r="E47">
            <v>142424</v>
          </cell>
        </row>
        <row r="48">
          <cell r="E48">
            <v>890.28000000000009</v>
          </cell>
        </row>
        <row r="49">
          <cell r="E49">
            <v>890.3</v>
          </cell>
        </row>
        <row r="50">
          <cell r="E50">
            <v>104394.49600000001</v>
          </cell>
        </row>
        <row r="51">
          <cell r="E51">
            <v>10439.449600000002</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KECSHPIH3RV5BKJKOSILSF6CPJ">
      <xxl21:absoluteUrl r:id="rId2"/>
    </xxl21:alternateUrls>
    <sheetNames>
      <sheetName val="Profit"/>
      <sheetName val="MOG"/>
      <sheetName val="Todo"/>
      <sheetName val="Contact"/>
      <sheetName val="Carrying"/>
      <sheetName val="Depreciation"/>
      <sheetName val="Rent"/>
      <sheetName val="Proposal"/>
      <sheetName val="ProposalUpdate"/>
      <sheetName val="1st Glassgow contract"/>
      <sheetName val="Gnatt Chart"/>
      <sheetName val="Legal"/>
      <sheetName val="Demo &amp; Trash Haul"/>
      <sheetName val="Appliances"/>
      <sheetName val="Plumbing"/>
      <sheetName val="Win-Doors"/>
      <sheetName val="Cabinets"/>
      <sheetName val="Paint"/>
      <sheetName val="Flooring"/>
      <sheetName val="HVAC"/>
      <sheetName val="Electrical Fixtures"/>
      <sheetName val="Landscape"/>
      <sheetName val="Exterior"/>
      <sheetName val="14_Project Management - 5008 La"/>
    </sheetNames>
    <sheetDataSet>
      <sheetData sheetId="0"/>
      <sheetData sheetId="1"/>
      <sheetData sheetId="2">
        <row r="3">
          <cell r="C3" t="str">
            <v>Yes</v>
          </cell>
        </row>
        <row r="4">
          <cell r="C4" t="str">
            <v>Yes (2)</v>
          </cell>
        </row>
        <row r="5">
          <cell r="C5" t="str">
            <v>Yes (2)</v>
          </cell>
        </row>
        <row r="6">
          <cell r="C6" t="str">
            <v>yes</v>
          </cell>
        </row>
        <row r="7">
          <cell r="C7" t="str">
            <v>yes</v>
          </cell>
        </row>
        <row r="8">
          <cell r="C8" t="str">
            <v>yes</v>
          </cell>
        </row>
        <row r="9">
          <cell r="C9" t="str">
            <v>yes</v>
          </cell>
        </row>
        <row r="10">
          <cell r="C10" t="str">
            <v>yes</v>
          </cell>
        </row>
        <row r="11">
          <cell r="C11"/>
        </row>
        <row r="12">
          <cell r="C12"/>
        </row>
        <row r="13">
          <cell r="C13" t="str">
            <v>yes</v>
          </cell>
        </row>
        <row r="14">
          <cell r="C14" t="str">
            <v>yes</v>
          </cell>
        </row>
        <row r="15">
          <cell r="C15" t="str">
            <v>yes</v>
          </cell>
        </row>
        <row r="16">
          <cell r="C16" t="str">
            <v>yes</v>
          </cell>
        </row>
        <row r="17">
          <cell r="C17" t="str">
            <v>yes</v>
          </cell>
        </row>
        <row r="18">
          <cell r="C18" t="str">
            <v>n/a</v>
          </cell>
        </row>
        <row r="19">
          <cell r="C19" t="str">
            <v>yes</v>
          </cell>
        </row>
        <row r="20">
          <cell r="C20" t="str">
            <v>yes</v>
          </cell>
        </row>
        <row r="21">
          <cell r="C21" t="str">
            <v>yes</v>
          </cell>
        </row>
        <row r="22">
          <cell r="C22" t="str">
            <v xml:space="preserve">yes  </v>
          </cell>
        </row>
        <row r="23">
          <cell r="C23" t="str">
            <v>yes</v>
          </cell>
        </row>
        <row r="24">
          <cell r="C24" t="str">
            <v>yes</v>
          </cell>
        </row>
        <row r="25">
          <cell r="C25" t="str">
            <v>yes</v>
          </cell>
        </row>
        <row r="26">
          <cell r="C26" t="str">
            <v>yes</v>
          </cell>
        </row>
        <row r="27">
          <cell r="C27" t="str">
            <v>yes</v>
          </cell>
        </row>
        <row r="28">
          <cell r="C28" t="str">
            <v>yes</v>
          </cell>
        </row>
        <row r="29">
          <cell r="C29"/>
        </row>
        <row r="30">
          <cell r="C30"/>
        </row>
        <row r="31">
          <cell r="C31"/>
        </row>
        <row r="32">
          <cell r="C32"/>
        </row>
        <row r="33">
          <cell r="C33"/>
        </row>
        <row r="34">
          <cell r="C34"/>
        </row>
        <row r="35">
          <cell r="C35"/>
        </row>
        <row r="36">
          <cell r="C36"/>
        </row>
        <row r="37">
          <cell r="C37"/>
        </row>
        <row r="38">
          <cell r="C38"/>
        </row>
        <row r="39">
          <cell r="C39"/>
        </row>
        <row r="40">
          <cell r="C40"/>
        </row>
        <row r="41">
          <cell r="C41"/>
        </row>
        <row r="44">
          <cell r="E44">
            <v>630000</v>
          </cell>
        </row>
        <row r="45">
          <cell r="E45">
            <v>352162.49</v>
          </cell>
        </row>
        <row r="46">
          <cell r="E46">
            <v>159759.01010000001</v>
          </cell>
        </row>
        <row r="47">
          <cell r="E47">
            <v>0</v>
          </cell>
        </row>
        <row r="48">
          <cell r="E48">
            <v>0</v>
          </cell>
        </row>
        <row r="49">
          <cell r="E49">
            <v>0</v>
          </cell>
        </row>
        <row r="50">
          <cell r="E50">
            <v>-19345.987196774222</v>
          </cell>
        </row>
        <row r="51">
          <cell r="E51"/>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WO5RG472LJRFJXGO6Y3E27XWB">
      <xxl21:absoluteUrl r:id="rId2"/>
    </xxl21:alternateUrls>
    <sheetNames>
      <sheetName val="Profit"/>
      <sheetName val="MOG"/>
      <sheetName val="Todo"/>
      <sheetName val="Contact"/>
      <sheetName val="Carrying"/>
      <sheetName val="Proposal"/>
      <sheetName val="ProposalUpdate"/>
      <sheetName val="Gnatt Chart"/>
      <sheetName val="Taxes"/>
      <sheetName val="Financing"/>
      <sheetName val="Seller Advance"/>
      <sheetName val="MISC 2"/>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13_Project Management  - 3325 B"/>
    </sheetNames>
    <sheetDataSet>
      <sheetData sheetId="0">
        <row r="4">
          <cell r="B4">
            <v>439000</v>
          </cell>
        </row>
      </sheetData>
      <sheetData sheetId="1"/>
      <sheetData sheetId="2">
        <row r="3">
          <cell r="C3" t="str">
            <v>Yes</v>
          </cell>
        </row>
        <row r="4">
          <cell r="C4" t="str">
            <v>Yes</v>
          </cell>
        </row>
        <row r="5">
          <cell r="C5" t="str">
            <v>Yes</v>
          </cell>
        </row>
        <row r="6">
          <cell r="C6" t="str">
            <v>Yes</v>
          </cell>
        </row>
        <row r="7">
          <cell r="C7" t="str">
            <v>yes</v>
          </cell>
        </row>
        <row r="8">
          <cell r="C8" t="str">
            <v>yes</v>
          </cell>
        </row>
        <row r="9">
          <cell r="C9" t="str">
            <v>na</v>
          </cell>
        </row>
        <row r="10">
          <cell r="C10" t="str">
            <v>na</v>
          </cell>
        </row>
        <row r="11">
          <cell r="C11"/>
        </row>
        <row r="12">
          <cell r="C12"/>
        </row>
        <row r="13">
          <cell r="C13" t="str">
            <v>na</v>
          </cell>
        </row>
        <row r="14">
          <cell r="C14" t="str">
            <v>na</v>
          </cell>
        </row>
        <row r="15">
          <cell r="C15" t="str">
            <v>na</v>
          </cell>
        </row>
        <row r="16">
          <cell r="C16" t="str">
            <v>yes</v>
          </cell>
        </row>
        <row r="17">
          <cell r="C17"/>
        </row>
        <row r="18">
          <cell r="C18" t="str">
            <v>yes</v>
          </cell>
        </row>
        <row r="19">
          <cell r="C19" t="str">
            <v>na</v>
          </cell>
        </row>
        <row r="20">
          <cell r="C20" t="str">
            <v>yes</v>
          </cell>
        </row>
        <row r="21">
          <cell r="C21" t="str">
            <v>na</v>
          </cell>
        </row>
        <row r="22">
          <cell r="C22" t="str">
            <v>yes</v>
          </cell>
        </row>
        <row r="23">
          <cell r="C23" t="str">
            <v>yes</v>
          </cell>
        </row>
        <row r="24">
          <cell r="C24" t="str">
            <v>yes</v>
          </cell>
        </row>
        <row r="25">
          <cell r="C25" t="str">
            <v>yes</v>
          </cell>
        </row>
        <row r="26">
          <cell r="C26" t="str">
            <v>na</v>
          </cell>
        </row>
        <row r="27">
          <cell r="C27"/>
        </row>
        <row r="28">
          <cell r="C28" t="str">
            <v>na</v>
          </cell>
        </row>
        <row r="29">
          <cell r="C29"/>
        </row>
        <row r="30">
          <cell r="C30"/>
        </row>
        <row r="31">
          <cell r="C31"/>
        </row>
        <row r="32">
          <cell r="C32"/>
        </row>
        <row r="33">
          <cell r="C33"/>
        </row>
        <row r="34">
          <cell r="C34"/>
        </row>
        <row r="38">
          <cell r="C38"/>
        </row>
        <row r="39">
          <cell r="C39"/>
        </row>
        <row r="40">
          <cell r="C40"/>
        </row>
        <row r="41">
          <cell r="C41"/>
        </row>
        <row r="44">
          <cell r="E44">
            <v>439000</v>
          </cell>
        </row>
        <row r="45">
          <cell r="E45">
            <v>147682.86124999999</v>
          </cell>
        </row>
        <row r="46">
          <cell r="E46">
            <v>31424.184000000001</v>
          </cell>
        </row>
        <row r="47">
          <cell r="E47">
            <v>200037.72999999998</v>
          </cell>
        </row>
        <row r="48">
          <cell r="E48">
            <v>714.98282469836772</v>
          </cell>
        </row>
        <row r="49">
          <cell r="E49">
            <v>0</v>
          </cell>
        </row>
        <row r="50">
          <cell r="E50">
            <v>179135.55933333334</v>
          </cell>
        </row>
        <row r="51">
          <cell r="E51">
            <v>17913.555933333333</v>
          </cell>
        </row>
        <row r="52">
          <cell r="E52"/>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QEWEPX3YGHZFYAFNBA3XOUXD4">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sheetData sheetId="2"/>
      <sheetData sheetId="3"/>
      <sheetData sheetId="4">
        <row r="44">
          <cell r="E44">
            <v>285000</v>
          </cell>
        </row>
        <row r="45">
          <cell r="E45">
            <v>130291.26</v>
          </cell>
        </row>
        <row r="46">
          <cell r="E46">
            <v>27991.342402099999</v>
          </cell>
        </row>
        <row r="47">
          <cell r="E47">
            <v>99694</v>
          </cell>
        </row>
        <row r="48">
          <cell r="E48">
            <v>624.7486721311476</v>
          </cell>
        </row>
        <row r="49">
          <cell r="E49">
            <v>1800</v>
          </cell>
        </row>
        <row r="50">
          <cell r="E50">
            <v>157514.10048280517</v>
          </cell>
        </row>
        <row r="51">
          <cell r="E51"/>
        </row>
        <row r="52">
          <cell r="E5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N5Z4V4SGGUH5DYEGSHEVYY7PSC">
      <xxl21:absoluteUrl r:id="rId2"/>
    </xxl21:alternateUrls>
    <sheetNames>
      <sheetName val="Cards"/>
      <sheetName val="Balances"/>
      <sheetName val="Mega Success"/>
      <sheetName val="Mortgages"/>
      <sheetName val="Private Lenders"/>
      <sheetName val="Projects"/>
      <sheetName val="Past Projects"/>
    </sheetNames>
    <sheetDataSet>
      <sheetData sheetId="0"/>
      <sheetData sheetId="1"/>
      <sheetData sheetId="2"/>
      <sheetData sheetId="3"/>
      <sheetData sheetId="4"/>
      <sheetData sheetId="5"/>
      <sheetData sheetId="6"/>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4-24T18:21:41.32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14T21:32:22.7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3:55:29.03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5:14:16.71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6-11T17:42:05.81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4:54:45.4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7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12-04T14:01:43.19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5:14.1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5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6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2"/>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3"/>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5T23:08:52.677"/>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2-06T11:59:44.4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2T20:43:49.531"/>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5" headerRowBorderDxfId="54">
  <autoFilter ref="A11:E34"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8" dataDxfId="47">
  <autoFilter ref="A4:N27"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6" dataDxfId="25">
  <sortState xmlns:xlrd2="http://schemas.microsoft.com/office/spreadsheetml/2017/richdata2" ref="A28:O50">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9">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5">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hyperlink" Target="https://insurancehub.com/" TargetMode="External"/><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printerSettings" Target="../printerSettings/printerSettings6.bin"/><Relationship Id="rId5" Type="http://schemas.openxmlformats.org/officeDocument/2006/relationships/hyperlink" Target="https://www.coastal24.com/" TargetMode="External"/><Relationship Id="rId4" Type="http://schemas.openxmlformats.org/officeDocument/2006/relationships/hyperlink" Target="mailto:BMiron@insurancehub.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3.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19"/>
  <sheetViews>
    <sheetView tabSelected="1" zoomScale="150" zoomScaleNormal="150" workbookViewId="0">
      <pane xSplit="1" ySplit="3" topLeftCell="B4" activePane="bottomRight" state="frozen"/>
      <selection pane="topRight" activeCell="C1" sqref="C1:E1"/>
      <selection pane="bottomLeft" activeCell="C1" sqref="C1:E1"/>
      <selection pane="bottomRight" activeCell="H6" sqref="H6"/>
    </sheetView>
  </sheetViews>
  <sheetFormatPr defaultColWidth="9.140625" defaultRowHeight="15" customHeight="1" x14ac:dyDescent="0.2"/>
  <cols>
    <col min="1" max="1" width="24.7109375" style="38" customWidth="1"/>
    <col min="2" max="2" width="7.7109375" style="38" customWidth="1"/>
    <col min="3" max="3" width="12" style="108"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08" bestFit="1" customWidth="1"/>
    <col min="10" max="10" width="11.5703125" style="37" customWidth="1"/>
    <col min="11" max="11" width="9.5703125" style="37" customWidth="1"/>
    <col min="12" max="12" width="5.28515625" style="37" customWidth="1"/>
    <col min="13" max="13" width="21.140625" style="484" bestFit="1" customWidth="1"/>
    <col min="14" max="14" width="7.42578125" style="141"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x14ac:dyDescent="0.35">
      <c r="A1" s="38" t="s">
        <v>789</v>
      </c>
      <c r="B1" s="442" t="str">
        <f>IF(R3=1,"Flip","")</f>
        <v/>
      </c>
      <c r="C1" s="443" t="str">
        <f>IF(R3=2,"Hold","")</f>
        <v>Hold</v>
      </c>
      <c r="D1" s="443" t="str">
        <f>IF(R3=3,"Slow Flip","")</f>
        <v/>
      </c>
      <c r="E1" s="520" t="s">
        <v>818</v>
      </c>
      <c r="F1" s="614" t="s">
        <v>822</v>
      </c>
      <c r="G1" s="615"/>
      <c r="H1" s="615"/>
      <c r="P1" s="38" t="s">
        <v>795</v>
      </c>
      <c r="Q1" s="37" t="b">
        <v>0</v>
      </c>
    </row>
    <row r="2" spans="1:18" ht="16.5" customHeight="1" thickBot="1" x14ac:dyDescent="0.3">
      <c r="A2" s="109"/>
      <c r="B2" s="714" t="s">
        <v>867</v>
      </c>
      <c r="C2" s="715"/>
      <c r="D2" s="715"/>
      <c r="E2" s="712" t="s">
        <v>817</v>
      </c>
      <c r="F2" s="713"/>
      <c r="G2" s="514" t="s">
        <v>819</v>
      </c>
      <c r="H2" s="624" t="s">
        <v>0</v>
      </c>
      <c r="I2" s="625"/>
      <c r="J2" s="622" t="s">
        <v>1</v>
      </c>
      <c r="K2" s="703">
        <v>45715</v>
      </c>
      <c r="M2" s="496" t="s">
        <v>2</v>
      </c>
      <c r="N2" s="496"/>
      <c r="P2" s="38" t="s">
        <v>794</v>
      </c>
      <c r="Q2" s="37" t="b">
        <v>0</v>
      </c>
    </row>
    <row r="3" spans="1:18" ht="12" customHeight="1" thickBot="1" x14ac:dyDescent="0.25">
      <c r="A3" s="111" t="s">
        <v>4</v>
      </c>
      <c r="B3" s="112"/>
      <c r="D3" s="628" t="s">
        <v>5</v>
      </c>
      <c r="E3" s="628"/>
      <c r="F3" s="628" t="s">
        <v>6</v>
      </c>
      <c r="G3" s="626"/>
      <c r="H3" s="626"/>
      <c r="I3" s="627"/>
      <c r="J3" s="623"/>
      <c r="K3" s="704"/>
      <c r="P3" s="138" t="s">
        <v>42</v>
      </c>
      <c r="Q3" s="37" t="b">
        <v>0</v>
      </c>
      <c r="R3" s="37">
        <v>2</v>
      </c>
    </row>
    <row r="4" spans="1:18" ht="12" customHeight="1" thickBot="1" x14ac:dyDescent="0.25">
      <c r="A4" s="38" t="s">
        <v>7</v>
      </c>
      <c r="B4" s="629">
        <v>399000</v>
      </c>
      <c r="C4" s="630"/>
      <c r="D4" s="401"/>
      <c r="E4" s="428"/>
      <c r="F4" s="425"/>
      <c r="G4" s="425"/>
      <c r="H4" s="119"/>
      <c r="I4" s="120"/>
      <c r="P4" s="138" t="s">
        <v>43</v>
      </c>
      <c r="Q4" s="37" t="b">
        <v>1</v>
      </c>
    </row>
    <row r="5" spans="1:18" ht="12" customHeight="1" thickBot="1" x14ac:dyDescent="0.25">
      <c r="A5" s="38" t="s">
        <v>9</v>
      </c>
      <c r="B5" s="500">
        <f>+Amortization!H1</f>
        <v>0.05</v>
      </c>
      <c r="C5" s="359">
        <v>0</v>
      </c>
      <c r="D5" s="429"/>
      <c r="E5" s="430"/>
      <c r="F5" s="425"/>
      <c r="G5" s="425"/>
      <c r="H5" s="122"/>
      <c r="I5" s="123"/>
      <c r="N5" s="141" t="s">
        <v>10</v>
      </c>
      <c r="O5" s="283"/>
      <c r="P5" s="138" t="s">
        <v>44</v>
      </c>
      <c r="Q5" s="37" t="b">
        <v>1</v>
      </c>
    </row>
    <row r="6" spans="1:18" ht="12" customHeight="1" thickBot="1" x14ac:dyDescent="0.25">
      <c r="A6" s="38" t="s">
        <v>11</v>
      </c>
      <c r="B6" s="631">
        <f>IF(B1="Flip",B4,IF(C1="hold",B4*(1+C5),+Amortization!O3))</f>
        <v>399000</v>
      </c>
      <c r="C6" s="632"/>
      <c r="D6" s="429"/>
      <c r="E6" s="430"/>
      <c r="F6" s="425"/>
      <c r="G6" s="433">
        <f>IF(OR(R3=1,R3=2),$B$6,0)</f>
        <v>399000</v>
      </c>
      <c r="H6" s="122">
        <v>2</v>
      </c>
      <c r="I6" s="123"/>
      <c r="O6" s="283"/>
      <c r="P6" s="495"/>
      <c r="Q6" s="37" t="b">
        <v>1</v>
      </c>
    </row>
    <row r="7" spans="1:18" ht="12" customHeight="1" thickBot="1" x14ac:dyDescent="0.25">
      <c r="A7" s="38" t="s">
        <v>13</v>
      </c>
      <c r="B7" s="500">
        <f>+Amortization!J3</f>
        <v>0.1</v>
      </c>
      <c r="C7" s="375">
        <f>+B6*B7</f>
        <v>39900</v>
      </c>
      <c r="D7" s="376"/>
      <c r="E7" s="377">
        <f>IF(R3=3,+C7,0)</f>
        <v>0</v>
      </c>
      <c r="F7" s="426"/>
      <c r="G7" s="425"/>
      <c r="H7" s="122"/>
      <c r="I7" s="123"/>
      <c r="J7" s="622" t="s">
        <v>12</v>
      </c>
      <c r="K7" s="633">
        <v>0.03</v>
      </c>
      <c r="O7" s="283"/>
      <c r="P7" s="495"/>
    </row>
    <row r="8" spans="1:18" ht="12" customHeight="1" thickBot="1" x14ac:dyDescent="0.25">
      <c r="A8" s="38" t="s">
        <v>767</v>
      </c>
      <c r="B8" s="364"/>
      <c r="C8" s="447"/>
      <c r="D8" s="376"/>
      <c r="E8" s="430"/>
      <c r="F8" s="426"/>
      <c r="G8" s="434">
        <f>+IF($C$1="hold",$K$7,0)*$C$45/12*B4</f>
        <v>35910.000000000007</v>
      </c>
      <c r="H8" s="448"/>
      <c r="I8" s="123"/>
      <c r="J8" s="623"/>
      <c r="K8" s="634"/>
    </row>
    <row r="9" spans="1:18" ht="12" customHeight="1" thickBot="1" x14ac:dyDescent="0.25">
      <c r="A9" s="137" t="str">
        <f>IF(R3=3,"Delta Mortgages","Monthly Rent:")</f>
        <v>Monthly Rent:</v>
      </c>
      <c r="B9" s="618">
        <v>0</v>
      </c>
      <c r="C9" s="619"/>
      <c r="D9" s="431"/>
      <c r="E9" s="432"/>
      <c r="F9" s="427"/>
      <c r="G9" s="435"/>
      <c r="H9" s="436"/>
      <c r="I9" s="444">
        <f>IF(OR(C1="Hold",D1="Slow Flip"),IF(C1="hold",+B9,+Amortization!AJ7),"")</f>
        <v>0</v>
      </c>
      <c r="J9" s="622" t="s">
        <v>14</v>
      </c>
      <c r="K9" s="707">
        <v>2360</v>
      </c>
    </row>
    <row r="10" spans="1:18" ht="12" customHeight="1" thickBot="1" x14ac:dyDescent="0.25">
      <c r="C10" s="645" t="s">
        <v>15</v>
      </c>
      <c r="D10" s="646" t="s">
        <v>15</v>
      </c>
      <c r="E10" s="113">
        <f>SUM(D4:E9)</f>
        <v>0</v>
      </c>
      <c r="F10" s="659">
        <f>+SUM(F4:G9)</f>
        <v>434910</v>
      </c>
      <c r="G10" s="660"/>
      <c r="H10" s="659">
        <f>SUM(H4:I9)</f>
        <v>2</v>
      </c>
      <c r="I10" s="660"/>
      <c r="J10" s="623"/>
      <c r="K10" s="708"/>
      <c r="M10" s="484" t="s">
        <v>782</v>
      </c>
      <c r="O10" s="555"/>
    </row>
    <row r="11" spans="1:18" ht="12" customHeight="1" thickBot="1" x14ac:dyDescent="0.3">
      <c r="C11" s="114"/>
      <c r="D11" s="115"/>
      <c r="E11" s="108"/>
      <c r="F11" s="709" t="str">
        <f>IF(R3=3,"Profit calcuations based on selling in 5 years","")</f>
        <v/>
      </c>
      <c r="G11" s="710"/>
      <c r="H11" s="710"/>
      <c r="I11" s="711"/>
      <c r="M11" s="484" t="s">
        <v>785</v>
      </c>
      <c r="N11" s="141">
        <v>250000</v>
      </c>
      <c r="O11" s="357" t="b">
        <f>+$B$4&gt;N11</f>
        <v>1</v>
      </c>
    </row>
    <row r="12" spans="1:18" ht="12" customHeight="1" thickTop="1" thickBot="1" x14ac:dyDescent="0.25">
      <c r="A12" s="116" t="s">
        <v>16</v>
      </c>
      <c r="B12" s="116"/>
      <c r="C12" s="117"/>
      <c r="D12" s="401"/>
      <c r="E12" s="402"/>
      <c r="F12" s="409"/>
      <c r="G12" s="456"/>
      <c r="H12" s="411"/>
      <c r="I12" s="446"/>
      <c r="M12" s="484" t="s">
        <v>786</v>
      </c>
      <c r="N12" s="141">
        <v>700000</v>
      </c>
      <c r="O12" s="357" t="b">
        <f>+$B$4&lt;N12</f>
        <v>1</v>
      </c>
    </row>
    <row r="13" spans="1:18" ht="12" customHeight="1" thickBot="1" x14ac:dyDescent="0.25">
      <c r="A13" s="38" t="s">
        <v>766</v>
      </c>
      <c r="B13" s="112"/>
      <c r="D13" s="429"/>
      <c r="E13" s="445"/>
      <c r="F13" s="381"/>
      <c r="G13" s="453">
        <f>IF(R3=3,+Amortization!AJ10,0)</f>
        <v>0</v>
      </c>
      <c r="H13" s="454"/>
      <c r="I13" s="455"/>
      <c r="J13" s="506" t="s">
        <v>8</v>
      </c>
      <c r="K13" s="508" t="b">
        <v>0</v>
      </c>
      <c r="M13" s="484" t="s">
        <v>784</v>
      </c>
      <c r="N13" s="141">
        <v>100000</v>
      </c>
      <c r="O13" s="357" t="b">
        <f>N13&lt;K56</f>
        <v>1</v>
      </c>
    </row>
    <row r="14" spans="1:18" ht="11.25" customHeight="1" thickBot="1" x14ac:dyDescent="0.3">
      <c r="A14" s="38" t="s">
        <v>17</v>
      </c>
      <c r="B14" s="353"/>
      <c r="C14" s="483">
        <v>35038.01</v>
      </c>
      <c r="D14" s="403">
        <f>-C14</f>
        <v>-35038.01</v>
      </c>
      <c r="E14" s="377"/>
      <c r="F14" s="410"/>
      <c r="G14" s="148">
        <f>IF(K13,0,0.3*C14)</f>
        <v>10511.403</v>
      </c>
      <c r="H14" s="661" t="s">
        <v>18</v>
      </c>
      <c r="I14" s="662"/>
      <c r="J14" s="639" t="s">
        <v>19</v>
      </c>
      <c r="K14" s="640"/>
      <c r="M14" s="484" t="s">
        <v>783</v>
      </c>
      <c r="N14" s="488">
        <v>0.35</v>
      </c>
      <c r="O14" s="357" t="b">
        <f>N14&lt;K56/B4</f>
        <v>1</v>
      </c>
    </row>
    <row r="15" spans="1:18" ht="12" customHeight="1" x14ac:dyDescent="0.2">
      <c r="A15" s="38" t="s">
        <v>20</v>
      </c>
      <c r="B15" s="260">
        <v>4.7500000000000001E-2</v>
      </c>
      <c r="C15" s="221">
        <v>83188.5</v>
      </c>
      <c r="D15" s="403">
        <f>-C15</f>
        <v>-83188.5</v>
      </c>
      <c r="E15" s="377">
        <f>+C15</f>
        <v>83188.5</v>
      </c>
      <c r="F15" s="381">
        <f>IF(OR($R$3=1,$R$3=2,$R$3=3),IF(OR($R$3=1,$R$3=2),-C15,Amortization!AI9),0)</f>
        <v>-83188.5</v>
      </c>
      <c r="G15" s="507"/>
      <c r="H15" s="418"/>
      <c r="I15" s="419"/>
      <c r="J15" s="641"/>
      <c r="K15" s="642"/>
      <c r="M15" s="484" t="s">
        <v>788</v>
      </c>
      <c r="N15" s="141">
        <v>30000</v>
      </c>
      <c r="O15" s="357" t="b">
        <f>+N15&gt;($C$14+$C$20)</f>
        <v>0</v>
      </c>
    </row>
    <row r="16" spans="1:18" ht="12" customHeight="1" x14ac:dyDescent="0.2">
      <c r="A16" s="38" t="s">
        <v>759</v>
      </c>
      <c r="B16" s="220"/>
      <c r="C16" s="221"/>
      <c r="D16" s="403"/>
      <c r="E16" s="377"/>
      <c r="F16" s="381">
        <f>-(120-C44)*(C16/120)</f>
        <v>0</v>
      </c>
      <c r="G16" s="382"/>
      <c r="H16" s="418">
        <f>-(C16*B16/12)</f>
        <v>0</v>
      </c>
      <c r="I16" s="419"/>
      <c r="J16" s="641"/>
      <c r="K16" s="642"/>
      <c r="M16" s="484" t="s">
        <v>787</v>
      </c>
      <c r="N16" s="141">
        <v>140000</v>
      </c>
      <c r="O16" s="357" t="b">
        <f>+N16&gt;($C$14+$C$20+E19)</f>
        <v>1</v>
      </c>
    </row>
    <row r="17" spans="1:17" ht="12" customHeight="1" thickBot="1" x14ac:dyDescent="0.25">
      <c r="A17" s="38" t="s">
        <v>21</v>
      </c>
      <c r="B17" s="220">
        <v>0</v>
      </c>
      <c r="C17" s="221">
        <v>18176.28</v>
      </c>
      <c r="D17" s="403">
        <f>-C17</f>
        <v>-18176.28</v>
      </c>
      <c r="E17" s="377">
        <f>+C17</f>
        <v>18176.28</v>
      </c>
      <c r="F17" s="381">
        <f>IF(OR($R$3=1,$R$3=2,$R$3=3),IF(OR($R$3=1,$R$3=2),-C17,),0)</f>
        <v>-18176.28</v>
      </c>
      <c r="G17" s="382"/>
      <c r="H17" s="418"/>
      <c r="I17" s="419"/>
      <c r="J17" s="643"/>
      <c r="K17" s="644"/>
      <c r="O17" s="357"/>
    </row>
    <row r="18" spans="1:17" ht="12" customHeight="1" thickBot="1" x14ac:dyDescent="0.25">
      <c r="A18" s="38" t="s">
        <v>22</v>
      </c>
      <c r="B18" s="198"/>
      <c r="C18" s="199">
        <v>21815.89</v>
      </c>
      <c r="D18" s="403"/>
      <c r="E18" s="377"/>
      <c r="F18" s="381">
        <f>-C18</f>
        <v>-21815.89</v>
      </c>
      <c r="G18" s="382"/>
      <c r="H18" s="418"/>
      <c r="I18" s="419"/>
      <c r="J18" s="40"/>
      <c r="K18" s="40"/>
      <c r="O18" s="357"/>
    </row>
    <row r="19" spans="1:17" ht="12" customHeight="1" thickBot="1" x14ac:dyDescent="0.25">
      <c r="A19" s="38" t="s">
        <v>739</v>
      </c>
      <c r="B19" s="374">
        <f>+B17</f>
        <v>0</v>
      </c>
      <c r="C19" s="375">
        <v>0</v>
      </c>
      <c r="D19" s="376">
        <f>-C19</f>
        <v>0</v>
      </c>
      <c r="E19" s="377">
        <f>+C19</f>
        <v>0</v>
      </c>
      <c r="F19" s="378">
        <f>IF(B1="flip",-C19,0)</f>
        <v>0</v>
      </c>
      <c r="G19" s="379"/>
      <c r="H19" s="418"/>
      <c r="I19" s="419"/>
      <c r="J19" s="40"/>
      <c r="K19" s="40"/>
      <c r="O19" s="357"/>
      <c r="P19" s="495"/>
    </row>
    <row r="20" spans="1:17" ht="12" customHeight="1" thickBot="1" x14ac:dyDescent="0.25">
      <c r="A20" s="137" t="s">
        <v>24</v>
      </c>
      <c r="B20" s="482"/>
      <c r="C20" s="364">
        <v>0</v>
      </c>
      <c r="D20" s="403">
        <f>-C20</f>
        <v>0</v>
      </c>
      <c r="E20" s="377"/>
      <c r="F20" s="381"/>
      <c r="G20" s="382"/>
      <c r="H20" s="421"/>
      <c r="I20" s="419"/>
      <c r="J20" s="40"/>
      <c r="K20" s="40"/>
      <c r="O20" s="556"/>
      <c r="P20" s="495"/>
    </row>
    <row r="21" spans="1:17" ht="12" customHeight="1" thickBot="1" x14ac:dyDescent="0.3">
      <c r="A21" s="38" t="s">
        <v>758</v>
      </c>
      <c r="B21" s="616">
        <f>-SUM(D14:D20)</f>
        <v>136402.79</v>
      </c>
      <c r="C21" s="617"/>
      <c r="D21" s="403"/>
      <c r="E21" s="377"/>
      <c r="F21" s="381"/>
      <c r="G21" s="382"/>
      <c r="H21" s="421"/>
      <c r="I21" s="419"/>
      <c r="P21" s="495"/>
    </row>
    <row r="22" spans="1:17" ht="12" customHeight="1" thickBot="1" x14ac:dyDescent="0.25">
      <c r="A22" s="38" t="s">
        <v>740</v>
      </c>
      <c r="B22" s="380">
        <v>0.9</v>
      </c>
      <c r="C22" s="375">
        <f>IF(C1="Hold",+B4*B22,0)</f>
        <v>359100</v>
      </c>
      <c r="D22" s="376"/>
      <c r="E22" s="377">
        <f>IF(AND(Q1,R3=2),C22+B21,0)</f>
        <v>0</v>
      </c>
      <c r="F22" s="381" t="str">
        <f>IF(AND(Q1,R3=2),-C22,"")</f>
        <v/>
      </c>
      <c r="G22" s="382"/>
      <c r="H22" s="420">
        <f>IF(AND(Q1,R3=2),IF(Q2,IPMT(B23/12,1,C23*12,C22),PMT(B23/12,12*C23,C22)),0)</f>
        <v>0</v>
      </c>
      <c r="I22" s="419"/>
      <c r="J22" s="674" t="s">
        <v>763</v>
      </c>
      <c r="K22" s="675"/>
      <c r="P22" s="495"/>
    </row>
    <row r="23" spans="1:17" ht="12" customHeight="1" thickBot="1" x14ac:dyDescent="0.25">
      <c r="A23" s="38" t="s">
        <v>741</v>
      </c>
      <c r="B23" s="383">
        <v>6.5000000000000002E-2</v>
      </c>
      <c r="C23" s="384">
        <v>30</v>
      </c>
      <c r="D23" s="376"/>
      <c r="E23" s="377"/>
      <c r="F23" s="381"/>
      <c r="G23" s="382"/>
      <c r="H23" s="421"/>
      <c r="I23" s="419"/>
      <c r="J23" s="674" t="s">
        <v>738</v>
      </c>
      <c r="K23" s="675"/>
      <c r="P23" s="495"/>
    </row>
    <row r="24" spans="1:17" ht="12" customHeight="1" thickBot="1" x14ac:dyDescent="0.25">
      <c r="A24" s="38" t="s">
        <v>742</v>
      </c>
      <c r="B24" s="663">
        <v>45566</v>
      </c>
      <c r="C24" s="664"/>
      <c r="D24" s="376"/>
      <c r="E24" s="377"/>
      <c r="F24" s="381"/>
      <c r="G24" s="382"/>
      <c r="H24" s="421"/>
      <c r="I24" s="419"/>
      <c r="K24" s="40"/>
      <c r="M24" s="484">
        <v>45680</v>
      </c>
      <c r="N24" s="141">
        <v>398800</v>
      </c>
      <c r="P24" s="495"/>
    </row>
    <row r="25" spans="1:17" ht="12" customHeight="1" thickBot="1" x14ac:dyDescent="0.25">
      <c r="A25" s="137" t="s">
        <v>23</v>
      </c>
      <c r="B25" s="182">
        <v>0</v>
      </c>
      <c r="C25" s="183"/>
      <c r="D25" s="403"/>
      <c r="E25" s="377"/>
      <c r="F25" s="381"/>
      <c r="G25" s="382"/>
      <c r="H25" s="420"/>
      <c r="I25" s="419"/>
      <c r="M25" s="484">
        <v>45694</v>
      </c>
      <c r="N25" s="141">
        <v>399400</v>
      </c>
      <c r="Q25" s="141"/>
    </row>
    <row r="26" spans="1:17" ht="12" customHeight="1" thickBot="1" x14ac:dyDescent="0.25">
      <c r="A26" s="137" t="s">
        <v>26</v>
      </c>
      <c r="B26" s="152"/>
      <c r="C26" s="183">
        <v>0</v>
      </c>
      <c r="D26" s="403">
        <f>-B26</f>
        <v>0</v>
      </c>
      <c r="E26" s="377"/>
      <c r="F26" s="381"/>
      <c r="G26" s="382"/>
      <c r="H26" s="421"/>
      <c r="I26" s="419"/>
      <c r="Q26" s="141"/>
    </row>
    <row r="27" spans="1:17" ht="12" customHeight="1" thickBot="1" x14ac:dyDescent="0.25">
      <c r="A27" s="137" t="s">
        <v>578</v>
      </c>
      <c r="B27" s="620">
        <v>5000</v>
      </c>
      <c r="C27" s="621">
        <v>5000</v>
      </c>
      <c r="D27" s="403">
        <f>-B27</f>
        <v>-5000</v>
      </c>
      <c r="E27" s="377"/>
      <c r="F27" s="381"/>
      <c r="G27" s="382"/>
      <c r="H27" s="421"/>
      <c r="I27" s="419"/>
    </row>
    <row r="28" spans="1:17" ht="12" customHeight="1" thickBot="1" x14ac:dyDescent="0.25">
      <c r="A28" s="137" t="s">
        <v>707</v>
      </c>
      <c r="B28" s="358">
        <f>+F67/30.42</f>
        <v>11.965811965811966</v>
      </c>
      <c r="C28" s="121"/>
      <c r="D28" s="403"/>
      <c r="E28" s="377"/>
      <c r="F28" s="381"/>
      <c r="G28" s="382"/>
      <c r="H28" s="420"/>
      <c r="I28" s="419"/>
      <c r="Q28" s="141"/>
    </row>
    <row r="29" spans="1:17" ht="12" customHeight="1" x14ac:dyDescent="0.2">
      <c r="A29" s="137" t="s">
        <v>702</v>
      </c>
      <c r="B29" s="356">
        <f>+STR!K17/12</f>
        <v>0</v>
      </c>
      <c r="C29" s="121"/>
      <c r="D29" s="403"/>
      <c r="E29" s="377"/>
      <c r="F29" s="381"/>
      <c r="G29" s="382"/>
      <c r="H29" s="420">
        <f>-B29</f>
        <v>0</v>
      </c>
      <c r="I29" s="419"/>
      <c r="J29" s="635" t="s">
        <v>25</v>
      </c>
      <c r="K29" s="636"/>
      <c r="Q29" s="141"/>
    </row>
    <row r="30" spans="1:17" ht="12" customHeight="1" thickBot="1" x14ac:dyDescent="0.25">
      <c r="A30" s="137" t="s">
        <v>706</v>
      </c>
      <c r="C30" s="357">
        <f>+B40/C45</f>
        <v>273.23729430555551</v>
      </c>
      <c r="D30" s="403"/>
      <c r="E30" s="377"/>
      <c r="F30" s="381"/>
      <c r="G30" s="382"/>
      <c r="H30" s="420"/>
      <c r="I30" s="419"/>
      <c r="J30" s="637"/>
      <c r="K30" s="638"/>
      <c r="O30" s="283"/>
      <c r="P30" s="495"/>
    </row>
    <row r="31" spans="1:17" ht="12" customHeight="1" x14ac:dyDescent="0.2">
      <c r="A31" s="137" t="s">
        <v>28</v>
      </c>
      <c r="B31" s="358">
        <f>+Carrying!F$25/Profit!$B$28</f>
        <v>1519.017685714286</v>
      </c>
      <c r="C31" s="121"/>
      <c r="D31" s="403"/>
      <c r="E31" s="377"/>
      <c r="F31" s="381"/>
      <c r="G31" s="382"/>
      <c r="H31" s="420">
        <f t="shared" ref="H31:H34" si="0">IF($R$3=3,-B31,0)</f>
        <v>0</v>
      </c>
      <c r="I31" s="419">
        <f t="shared" ref="I31:I34" si="1">IF($R$3=3,+B31,0)</f>
        <v>0</v>
      </c>
      <c r="J31" s="651" t="s">
        <v>27</v>
      </c>
      <c r="K31" s="652"/>
      <c r="P31" s="495"/>
    </row>
    <row r="32" spans="1:17" ht="12" customHeight="1" x14ac:dyDescent="0.2">
      <c r="A32" s="137" t="s">
        <v>714</v>
      </c>
      <c r="B32" s="358">
        <f>+Carrying!I$25/Profit!$B$28</f>
        <v>0</v>
      </c>
      <c r="C32" s="121"/>
      <c r="D32" s="403"/>
      <c r="E32" s="377"/>
      <c r="F32" s="381"/>
      <c r="G32" s="382"/>
      <c r="H32" s="420"/>
      <c r="I32" s="419"/>
      <c r="J32" s="653"/>
      <c r="K32" s="654"/>
      <c r="P32" s="495"/>
    </row>
    <row r="33" spans="1:11" ht="12" customHeight="1" x14ac:dyDescent="0.2">
      <c r="A33" s="137" t="s">
        <v>29</v>
      </c>
      <c r="B33" s="358">
        <f>+Carrying!L$25/Profit!$B$28</f>
        <v>0</v>
      </c>
      <c r="C33" s="121"/>
      <c r="D33" s="403"/>
      <c r="E33" s="377"/>
      <c r="F33" s="381"/>
      <c r="G33" s="382"/>
      <c r="H33" s="420">
        <f t="shared" si="0"/>
        <v>0</v>
      </c>
      <c r="I33" s="419">
        <f t="shared" si="1"/>
        <v>0</v>
      </c>
      <c r="J33" s="653"/>
      <c r="K33" s="654"/>
    </row>
    <row r="34" spans="1:11" ht="12" customHeight="1" thickBot="1" x14ac:dyDescent="0.25">
      <c r="A34" s="137" t="s">
        <v>30</v>
      </c>
      <c r="B34" s="358">
        <f>+Carrying!R25/B28</f>
        <v>0</v>
      </c>
      <c r="C34" s="121"/>
      <c r="D34" s="403"/>
      <c r="E34" s="377"/>
      <c r="F34" s="381"/>
      <c r="G34" s="382"/>
      <c r="H34" s="420">
        <f t="shared" si="0"/>
        <v>0</v>
      </c>
      <c r="I34" s="419">
        <f t="shared" si="1"/>
        <v>0</v>
      </c>
      <c r="J34" s="655"/>
      <c r="K34" s="656"/>
    </row>
    <row r="35" spans="1:11" ht="12" customHeight="1" x14ac:dyDescent="0.2">
      <c r="A35" s="137" t="s">
        <v>31</v>
      </c>
      <c r="B35" s="358">
        <f>+Carrying!C25/Profit!$B$28</f>
        <v>0</v>
      </c>
      <c r="C35" s="121"/>
      <c r="D35" s="403"/>
      <c r="E35" s="377"/>
      <c r="F35" s="381"/>
      <c r="G35" s="382"/>
      <c r="H35" s="420"/>
      <c r="I35" s="419"/>
    </row>
    <row r="36" spans="1:11" ht="12" customHeight="1" thickBot="1" x14ac:dyDescent="0.25">
      <c r="A36" s="137" t="s">
        <v>32</v>
      </c>
      <c r="B36" s="358">
        <f>+Carrying!O$25/Profit!$B$28</f>
        <v>0</v>
      </c>
      <c r="C36" s="125"/>
      <c r="D36" s="403"/>
      <c r="E36" s="377"/>
      <c r="F36" s="381"/>
      <c r="G36" s="382"/>
      <c r="H36" s="420"/>
      <c r="I36" s="419"/>
    </row>
    <row r="37" spans="1:11" ht="12" customHeight="1" thickBot="1" x14ac:dyDescent="0.25">
      <c r="A37" s="38" t="s">
        <v>33</v>
      </c>
      <c r="B37" s="657">
        <f>+B28*SUM(B31:B36)</f>
        <v>18176.280000000002</v>
      </c>
      <c r="C37" s="658"/>
      <c r="D37" s="403">
        <f>-B37</f>
        <v>-18176.280000000002</v>
      </c>
      <c r="E37" s="377"/>
      <c r="F37" s="381"/>
      <c r="G37" s="382"/>
      <c r="H37" s="420"/>
      <c r="I37" s="419"/>
    </row>
    <row r="38" spans="1:11" ht="12" customHeight="1" x14ac:dyDescent="0.2">
      <c r="A38" s="201" t="s">
        <v>35</v>
      </c>
      <c r="B38" s="139">
        <v>0.1</v>
      </c>
      <c r="C38" s="493" t="b">
        <v>1</v>
      </c>
      <c r="D38" s="403"/>
      <c r="E38" s="377"/>
      <c r="F38" s="381"/>
      <c r="G38" s="382"/>
      <c r="H38" s="420"/>
      <c r="I38" s="419"/>
    </row>
    <row r="39" spans="1:11" ht="12" customHeight="1" thickBot="1" x14ac:dyDescent="0.25">
      <c r="A39" s="138" t="s">
        <v>37</v>
      </c>
      <c r="B39" s="608">
        <v>100300</v>
      </c>
      <c r="C39" s="610">
        <f>+(B6*0.75)-SUM(C15:C19)-B390</f>
        <v>176069.33000000002</v>
      </c>
      <c r="D39" s="403"/>
      <c r="E39" s="377">
        <f>IF(C38,B39,0)</f>
        <v>100300</v>
      </c>
      <c r="F39" s="381">
        <f>IF(C38,-E39,0)</f>
        <v>-100300</v>
      </c>
      <c r="G39" s="382"/>
      <c r="H39" s="420">
        <f>IF($R$3=3,-E39*B38/12,0)</f>
        <v>0</v>
      </c>
      <c r="I39" s="419"/>
    </row>
    <row r="40" spans="1:11" ht="12" customHeight="1" thickBot="1" x14ac:dyDescent="0.25">
      <c r="A40" s="38" t="s">
        <v>39</v>
      </c>
      <c r="B40" s="657">
        <f>-D62</f>
        <v>9836.542594999999</v>
      </c>
      <c r="C40" s="658"/>
      <c r="D40" s="403">
        <f>-B40</f>
        <v>-9836.542594999999</v>
      </c>
      <c r="E40" s="377"/>
      <c r="F40" s="381"/>
      <c r="G40" s="382"/>
      <c r="H40" s="421"/>
      <c r="I40" s="419"/>
    </row>
    <row r="41" spans="1:11" ht="12" customHeight="1" thickBot="1" x14ac:dyDescent="0.25">
      <c r="A41" s="38" t="s">
        <v>40</v>
      </c>
      <c r="B41" s="670">
        <v>600</v>
      </c>
      <c r="C41" s="627"/>
      <c r="D41" s="403">
        <f>-B41</f>
        <v>-600</v>
      </c>
      <c r="E41" s="377"/>
      <c r="F41" s="381"/>
      <c r="G41" s="382"/>
      <c r="H41" s="421"/>
      <c r="I41" s="419"/>
    </row>
    <row r="42" spans="1:11" ht="12" customHeight="1" x14ac:dyDescent="0.2">
      <c r="A42" s="138" t="s">
        <v>42</v>
      </c>
      <c r="B42" s="457"/>
      <c r="C42" s="124">
        <v>500</v>
      </c>
      <c r="D42" s="403"/>
      <c r="E42" s="377"/>
      <c r="F42" s="381" t="str">
        <f>IF(Q3,-C42,"")</f>
        <v/>
      </c>
      <c r="G42" s="382"/>
      <c r="H42" s="421"/>
      <c r="I42" s="419"/>
      <c r="J42" s="649" t="s">
        <v>34</v>
      </c>
      <c r="K42" s="647">
        <f>+B21</f>
        <v>136402.79</v>
      </c>
    </row>
    <row r="43" spans="1:11" ht="12" customHeight="1" thickBot="1" x14ac:dyDescent="0.25">
      <c r="A43" s="138" t="s">
        <v>43</v>
      </c>
      <c r="B43" s="458"/>
      <c r="C43" s="140">
        <v>3.5999999999999997E-2</v>
      </c>
      <c r="D43" s="403"/>
      <c r="E43" s="377"/>
      <c r="F43" s="381">
        <f>IF(Q4,IF(OR(R3=1,R3=2),-C43*$F$10,0),"")</f>
        <v>-15656.759999999998</v>
      </c>
      <c r="G43" s="382"/>
      <c r="H43" s="421"/>
      <c r="I43" s="419"/>
      <c r="J43" s="650"/>
      <c r="K43" s="648"/>
    </row>
    <row r="44" spans="1:11" ht="12" customHeight="1" thickBot="1" x14ac:dyDescent="0.25">
      <c r="A44" s="138" t="s">
        <v>44</v>
      </c>
      <c r="B44" s="459"/>
      <c r="C44" s="203">
        <v>0.02</v>
      </c>
      <c r="D44" s="403"/>
      <c r="E44" s="377"/>
      <c r="F44" s="381">
        <f>IF(Q5,IF(OR(R3=1,R3=2),-C44*$F$10,0),"")</f>
        <v>-8698.2000000000007</v>
      </c>
      <c r="G44" s="382"/>
      <c r="H44" s="421"/>
      <c r="I44" s="419"/>
      <c r="J44" s="649" t="s">
        <v>38</v>
      </c>
      <c r="K44" s="647">
        <f>-E50</f>
        <v>-30709.167404999993</v>
      </c>
    </row>
    <row r="45" spans="1:11" ht="12" customHeight="1" thickBot="1" x14ac:dyDescent="0.25">
      <c r="A45" s="204" t="s">
        <v>45</v>
      </c>
      <c r="B45" s="202"/>
      <c r="C45" s="231">
        <v>36</v>
      </c>
      <c r="D45" s="403"/>
      <c r="E45" s="377"/>
      <c r="F45" s="381"/>
      <c r="G45" s="382"/>
      <c r="H45" s="421"/>
      <c r="I45" s="419"/>
      <c r="J45" s="650"/>
      <c r="K45" s="648"/>
    </row>
    <row r="46" spans="1:11" ht="12" customHeight="1" thickBot="1" x14ac:dyDescent="0.3">
      <c r="A46" s="38" t="s">
        <v>46</v>
      </c>
      <c r="B46" s="618"/>
      <c r="C46" s="673"/>
      <c r="D46" s="404"/>
      <c r="E46" s="377"/>
      <c r="F46" s="381">
        <f>-C46</f>
        <v>0</v>
      </c>
      <c r="G46" s="382"/>
      <c r="H46" s="422"/>
      <c r="I46" s="419"/>
      <c r="J46" s="694" t="s">
        <v>41</v>
      </c>
      <c r="K46" s="695"/>
    </row>
    <row r="47" spans="1:11" ht="12" customHeight="1" thickBot="1" x14ac:dyDescent="0.25">
      <c r="A47" s="38" t="s">
        <v>47</v>
      </c>
      <c r="B47" s="671">
        <f>+D82</f>
        <v>940</v>
      </c>
      <c r="C47" s="672"/>
      <c r="D47" s="403">
        <f>-B47</f>
        <v>-940</v>
      </c>
      <c r="E47" s="377"/>
      <c r="F47" s="381"/>
      <c r="G47" s="382"/>
      <c r="H47" s="422"/>
      <c r="I47" s="419"/>
      <c r="J47" s="696"/>
      <c r="K47" s="697"/>
    </row>
    <row r="48" spans="1:11" ht="12" customHeight="1" thickBot="1" x14ac:dyDescent="0.25">
      <c r="A48" s="38" t="s">
        <v>48</v>
      </c>
      <c r="B48" s="668">
        <f>+D93</f>
        <v>290</v>
      </c>
      <c r="C48" s="669"/>
      <c r="D48" s="405"/>
      <c r="E48" s="406"/>
      <c r="F48" s="407">
        <f>-B48</f>
        <v>-290</v>
      </c>
      <c r="G48" s="408"/>
      <c r="H48" s="423"/>
      <c r="I48" s="424"/>
    </row>
    <row r="49" spans="1:15" ht="12" customHeight="1" thickBot="1" x14ac:dyDescent="0.25">
      <c r="B49" s="667" t="s">
        <v>49</v>
      </c>
      <c r="C49" s="646"/>
      <c r="D49" s="213">
        <f>+SUM(D14:D48)</f>
        <v>-170955.61259500001</v>
      </c>
      <c r="E49" s="489"/>
      <c r="F49" s="490">
        <f>+SUM(F14:F48)</f>
        <v>-248125.63</v>
      </c>
      <c r="G49" s="489"/>
      <c r="H49" s="491">
        <f>SUM(H15:H48)</f>
        <v>0</v>
      </c>
      <c r="I49" s="492">
        <f>SUM(I15:I48)+H10</f>
        <v>2</v>
      </c>
    </row>
    <row r="50" spans="1:15" ht="12" customHeight="1" thickBot="1" x14ac:dyDescent="0.25">
      <c r="A50" s="39"/>
      <c r="B50" s="682" t="s">
        <v>50</v>
      </c>
      <c r="C50" s="683"/>
      <c r="D50" s="683"/>
      <c r="E50" s="145">
        <f>+SUM(D10:E48)</f>
        <v>30709.167404999993</v>
      </c>
      <c r="F50" s="705">
        <f>+SUM(F10:G48)</f>
        <v>197295.77299999999</v>
      </c>
      <c r="G50" s="706"/>
      <c r="H50" s="143"/>
      <c r="I50" s="147">
        <f>+SUM(H49:I49)</f>
        <v>2</v>
      </c>
      <c r="O50" s="108"/>
    </row>
    <row r="51" spans="1:15" ht="12" customHeight="1" x14ac:dyDescent="0.2">
      <c r="A51" s="39"/>
      <c r="B51" s="39"/>
      <c r="D51" s="39"/>
      <c r="E51" s="743" t="s">
        <v>51</v>
      </c>
      <c r="F51" s="744"/>
      <c r="G51" s="142">
        <f>SUM(E50:G50)</f>
        <v>228004.94040499997</v>
      </c>
      <c r="H51" s="143"/>
      <c r="I51" s="144"/>
      <c r="J51" s="726" t="s">
        <v>52</v>
      </c>
      <c r="K51" s="741" t="s">
        <v>53</v>
      </c>
      <c r="O51" s="108"/>
    </row>
    <row r="52" spans="1:15" ht="12" customHeight="1" thickBot="1" x14ac:dyDescent="0.25">
      <c r="A52" s="39"/>
      <c r="B52" s="39"/>
      <c r="E52" s="743" t="s">
        <v>54</v>
      </c>
      <c r="F52" s="744"/>
      <c r="G52" s="744"/>
      <c r="H52" s="494">
        <f>IF(OR(R3=2,R3=3),IF(R3=2,C45,60),0)</f>
        <v>36</v>
      </c>
      <c r="I52" s="214">
        <f>IF(OR(R3=2,R3=3),+H52*I50,0)</f>
        <v>72</v>
      </c>
      <c r="J52" s="727"/>
      <c r="K52" s="742"/>
    </row>
    <row r="53" spans="1:15" ht="12" customHeight="1" thickBot="1" x14ac:dyDescent="0.25">
      <c r="A53" s="39"/>
      <c r="B53" s="39"/>
      <c r="E53" s="146"/>
      <c r="F53" s="728" t="s">
        <v>768</v>
      </c>
      <c r="G53" s="729"/>
      <c r="H53" s="126"/>
      <c r="I53" s="126">
        <f>+I52+G51</f>
        <v>228076.94040499997</v>
      </c>
      <c r="J53" s="127">
        <f>$B$25*$I$53</f>
        <v>0</v>
      </c>
      <c r="K53" s="128">
        <f>+$I$53-J53</f>
        <v>228076.94040499997</v>
      </c>
    </row>
    <row r="54" spans="1:15" ht="12" customHeight="1" thickTop="1" thickBot="1" x14ac:dyDescent="0.3">
      <c r="A54" s="129" t="s">
        <v>55</v>
      </c>
      <c r="B54" s="680">
        <f>IF(OR(C1="Hold",D1="slow flip"),0.15,0)</f>
        <v>0.15</v>
      </c>
      <c r="C54" s="681"/>
      <c r="D54" s="129"/>
      <c r="E54" s="129"/>
      <c r="H54" s="360"/>
      <c r="I54" s="361" t="s">
        <v>743</v>
      </c>
      <c r="J54" s="142">
        <f>-I76</f>
        <v>0</v>
      </c>
      <c r="K54" s="187">
        <f>+I76</f>
        <v>0</v>
      </c>
    </row>
    <row r="55" spans="1:15" ht="12" customHeight="1" thickTop="1" thickBot="1" x14ac:dyDescent="0.3">
      <c r="A55" s="38" t="s">
        <v>57</v>
      </c>
      <c r="B55" s="676">
        <v>0.1</v>
      </c>
      <c r="C55" s="677">
        <v>0.15</v>
      </c>
      <c r="D55" s="678">
        <f>+K57*B55</f>
        <v>19386.539934425</v>
      </c>
      <c r="E55" s="679"/>
      <c r="H55" s="735" t="s">
        <v>56</v>
      </c>
      <c r="I55" s="736"/>
      <c r="J55" s="460" t="s">
        <v>551</v>
      </c>
      <c r="K55" s="187">
        <f>IF(B54="",0,-$B$54*SUM(K53:K54))</f>
        <v>-34211.541060749994</v>
      </c>
    </row>
    <row r="56" spans="1:15" ht="12" customHeight="1" x14ac:dyDescent="0.2">
      <c r="G56" s="39"/>
      <c r="H56" s="735" t="s">
        <v>704</v>
      </c>
      <c r="I56" s="736"/>
      <c r="J56" s="127">
        <f>SUM(J53:J55)</f>
        <v>0</v>
      </c>
      <c r="K56" s="128">
        <f>SUM(K53:K55)</f>
        <v>193865.39934424998</v>
      </c>
    </row>
    <row r="57" spans="1:15" ht="12" customHeight="1" thickBot="1" x14ac:dyDescent="0.25">
      <c r="A57" s="112"/>
      <c r="C57" s="38"/>
      <c r="D57" s="38"/>
      <c r="E57" s="38"/>
      <c r="H57" s="728" t="s">
        <v>769</v>
      </c>
      <c r="I57" s="729"/>
      <c r="J57" s="132"/>
      <c r="K57" s="352">
        <f>SUM(J56:K56)</f>
        <v>193865.39934424998</v>
      </c>
    </row>
    <row r="58" spans="1:15" ht="12" customHeight="1" thickTop="1" x14ac:dyDescent="0.2">
      <c r="A58" s="116" t="s">
        <v>58</v>
      </c>
    </row>
    <row r="59" spans="1:15" ht="12" customHeight="1" thickBot="1" x14ac:dyDescent="0.25">
      <c r="A59" s="38" t="s">
        <v>59</v>
      </c>
      <c r="B59" s="686">
        <f>+'Gnatt Chart'!J5</f>
        <v>8942.3114499999992</v>
      </c>
      <c r="C59" s="686"/>
      <c r="D59" s="686">
        <f>-B59</f>
        <v>-8942.3114499999992</v>
      </c>
      <c r="E59" s="686"/>
    </row>
    <row r="60" spans="1:15" ht="12" customHeight="1" thickBot="1" x14ac:dyDescent="0.25">
      <c r="A60" s="38" t="s">
        <v>60</v>
      </c>
      <c r="B60" s="130">
        <v>0.1</v>
      </c>
      <c r="D60" s="686"/>
      <c r="E60" s="686"/>
      <c r="G60" s="639" t="s">
        <v>61</v>
      </c>
      <c r="H60" s="737"/>
      <c r="I60" s="737"/>
      <c r="J60" s="636"/>
    </row>
    <row r="61" spans="1:15" ht="12" customHeight="1" thickBot="1" x14ac:dyDescent="0.25">
      <c r="A61" s="38" t="s">
        <v>62</v>
      </c>
      <c r="B61" s="698">
        <f>IF(Q12&lt;&gt;"Yes",+B60*SUM(B59:C59),0)</f>
        <v>894.23114499999997</v>
      </c>
      <c r="C61" s="698"/>
      <c r="D61" s="698">
        <f>-B61</f>
        <v>-894.23114499999997</v>
      </c>
      <c r="E61" s="698"/>
      <c r="G61" s="738"/>
      <c r="H61" s="739"/>
      <c r="I61" s="739"/>
      <c r="J61" s="740"/>
    </row>
    <row r="62" spans="1:15" ht="12" customHeight="1" thickBot="1" x14ac:dyDescent="0.25">
      <c r="A62" s="38" t="s">
        <v>63</v>
      </c>
      <c r="D62" s="690">
        <f>+SUM(D59:E61)</f>
        <v>-9836.542594999999</v>
      </c>
      <c r="E62" s="691"/>
      <c r="G62" s="723" t="s">
        <v>687</v>
      </c>
      <c r="H62" s="724"/>
      <c r="I62" s="724"/>
      <c r="J62" s="725"/>
    </row>
    <row r="63" spans="1:15" ht="12" customHeight="1" thickTop="1" thickBot="1" x14ac:dyDescent="0.25">
      <c r="A63" s="131" t="s">
        <v>64</v>
      </c>
      <c r="B63" s="129"/>
      <c r="C63" s="129"/>
      <c r="D63" s="38"/>
      <c r="E63" s="38"/>
      <c r="G63" s="720"/>
      <c r="H63" s="721"/>
      <c r="I63" s="721"/>
      <c r="J63" s="722"/>
    </row>
    <row r="64" spans="1:15" ht="12" customHeight="1" x14ac:dyDescent="0.2">
      <c r="A64" s="38" t="s">
        <v>65</v>
      </c>
      <c r="B64" s="684">
        <v>350</v>
      </c>
      <c r="C64" s="685"/>
      <c r="D64" s="686"/>
      <c r="E64" s="686"/>
      <c r="H64" s="37"/>
      <c r="I64" s="37"/>
    </row>
    <row r="65" spans="1:11" ht="12" customHeight="1" thickBot="1" x14ac:dyDescent="0.25">
      <c r="A65" s="38" t="s">
        <v>66</v>
      </c>
      <c r="B65" s="665">
        <v>0</v>
      </c>
      <c r="C65" s="666"/>
      <c r="D65" s="686"/>
      <c r="E65" s="686"/>
      <c r="H65" s="37"/>
      <c r="I65" s="37"/>
    </row>
    <row r="66" spans="1:11" ht="12" customHeight="1" thickBot="1" x14ac:dyDescent="0.25">
      <c r="A66" s="38" t="s">
        <v>67</v>
      </c>
      <c r="B66" s="665">
        <v>250</v>
      </c>
      <c r="C66" s="666"/>
      <c r="F66" s="716" t="s">
        <v>571</v>
      </c>
      <c r="G66" s="717"/>
      <c r="H66" s="717" t="s">
        <v>268</v>
      </c>
      <c r="I66" s="717"/>
      <c r="J66" s="330" t="s">
        <v>572</v>
      </c>
    </row>
    <row r="67" spans="1:11" ht="12" customHeight="1" thickBot="1" x14ac:dyDescent="0.3">
      <c r="A67" s="38" t="s">
        <v>67</v>
      </c>
      <c r="B67" s="665"/>
      <c r="C67" s="666"/>
      <c r="F67" s="747">
        <f>_xlfn.DAYS(J67,H67)</f>
        <v>364</v>
      </c>
      <c r="G67" s="748"/>
      <c r="H67" s="749">
        <v>45717</v>
      </c>
      <c r="I67" s="664"/>
      <c r="J67" s="554">
        <f>+H67+364</f>
        <v>46081</v>
      </c>
    </row>
    <row r="68" spans="1:11" ht="12" customHeight="1" x14ac:dyDescent="0.2">
      <c r="A68" s="38" t="s">
        <v>68</v>
      </c>
      <c r="B68" s="665"/>
      <c r="C68" s="666"/>
      <c r="D68" s="118"/>
      <c r="E68" s="110"/>
      <c r="F68" s="110"/>
      <c r="G68" s="110"/>
      <c r="H68" s="331"/>
      <c r="I68" s="332"/>
      <c r="J68" s="110"/>
      <c r="K68" s="730" t="s">
        <v>684</v>
      </c>
    </row>
    <row r="69" spans="1:11" ht="12" customHeight="1" x14ac:dyDescent="0.2">
      <c r="A69" s="38" t="s">
        <v>68</v>
      </c>
      <c r="B69" s="665"/>
      <c r="C69" s="666"/>
      <c r="D69" s="333"/>
      <c r="G69" s="733" t="s">
        <v>573</v>
      </c>
      <c r="H69" s="733" t="s">
        <v>574</v>
      </c>
      <c r="I69" s="733" t="s">
        <v>575</v>
      </c>
      <c r="J69" s="733" t="s">
        <v>576</v>
      </c>
      <c r="K69" s="731"/>
    </row>
    <row r="70" spans="1:11" ht="12" customHeight="1" thickBot="1" x14ac:dyDescent="0.25">
      <c r="A70" s="38" t="s">
        <v>69</v>
      </c>
      <c r="B70" s="665"/>
      <c r="C70" s="666"/>
      <c r="D70" s="111" t="s">
        <v>309</v>
      </c>
      <c r="E70" s="628" t="s">
        <v>577</v>
      </c>
      <c r="F70" s="628"/>
      <c r="G70" s="734"/>
      <c r="H70" s="734"/>
      <c r="I70" s="734"/>
      <c r="J70" s="734"/>
      <c r="K70" s="732"/>
    </row>
    <row r="71" spans="1:11" ht="12" customHeight="1" x14ac:dyDescent="0.25">
      <c r="A71" s="38" t="s">
        <v>70</v>
      </c>
      <c r="B71" s="665"/>
      <c r="C71" s="666"/>
      <c r="D71" s="412">
        <v>45397</v>
      </c>
      <c r="E71" s="699" t="s">
        <v>746</v>
      </c>
      <c r="F71" s="700"/>
      <c r="G71" s="413"/>
      <c r="H71" s="414">
        <f>+G71/$G$77</f>
        <v>0</v>
      </c>
      <c r="I71" s="415">
        <f>+$J$53*H71</f>
        <v>0</v>
      </c>
      <c r="J71" s="416">
        <f>+G71+I71</f>
        <v>0</v>
      </c>
      <c r="K71" s="417">
        <f>IF(G71="",0,+I71/G71*365/_xlfn.DAYS($J$67,D71))</f>
        <v>0</v>
      </c>
    </row>
    <row r="72" spans="1:11" ht="12" customHeight="1" x14ac:dyDescent="0.25">
      <c r="A72" s="38" t="s">
        <v>71</v>
      </c>
      <c r="B72" s="665"/>
      <c r="C72" s="666"/>
      <c r="D72" s="412">
        <f>+D71+90</f>
        <v>45487</v>
      </c>
      <c r="E72" s="699" t="str">
        <f>+E71</f>
        <v>unknown</v>
      </c>
      <c r="F72" s="700"/>
      <c r="G72" s="413"/>
      <c r="H72" s="414">
        <f>+G72/$G$77</f>
        <v>0</v>
      </c>
      <c r="I72" s="415">
        <f>+$J$53*H72</f>
        <v>0</v>
      </c>
      <c r="J72" s="416">
        <f>+G72+I72</f>
        <v>0</v>
      </c>
      <c r="K72" s="417">
        <f>IF(G72="",0,+I72/G72*365/_xlfn.DAYS($J$67,D72))</f>
        <v>0</v>
      </c>
    </row>
    <row r="73" spans="1:11" ht="12" customHeight="1" x14ac:dyDescent="0.25">
      <c r="A73" s="38" t="s">
        <v>72</v>
      </c>
      <c r="B73" s="665"/>
      <c r="C73" s="666"/>
      <c r="D73" s="412">
        <f>+D72+270</f>
        <v>45757</v>
      </c>
      <c r="E73" s="699" t="str">
        <f>+E72</f>
        <v>unknown</v>
      </c>
      <c r="F73" s="700"/>
      <c r="G73" s="413"/>
      <c r="H73" s="414">
        <f>+G73/$G$77</f>
        <v>0</v>
      </c>
      <c r="I73" s="415">
        <f>+$J$53*H73</f>
        <v>0</v>
      </c>
      <c r="J73" s="416">
        <f>+G73+I73</f>
        <v>0</v>
      </c>
      <c r="K73" s="417">
        <f>IF(G73="",0,+I73/G73*365/_xlfn.DAYS($J$67,D73))</f>
        <v>0</v>
      </c>
    </row>
    <row r="74" spans="1:11" ht="12" customHeight="1" thickBot="1" x14ac:dyDescent="0.3">
      <c r="A74" s="38" t="s">
        <v>73</v>
      </c>
      <c r="B74" s="665"/>
      <c r="C74" s="666"/>
      <c r="D74" s="412">
        <f>+J67-120</f>
        <v>45961</v>
      </c>
      <c r="E74" s="699" t="str">
        <f>+E73</f>
        <v>unknown</v>
      </c>
      <c r="F74" s="700"/>
      <c r="G74" s="413"/>
      <c r="H74" s="414">
        <f>+G74/$G$77</f>
        <v>0</v>
      </c>
      <c r="I74" s="415">
        <f>+$J$53*H74</f>
        <v>0</v>
      </c>
      <c r="J74" s="416">
        <f>+G74+I74</f>
        <v>0</v>
      </c>
      <c r="K74" s="417">
        <f>IF(G74="",0,+I74/G74*365/_xlfn.DAYS($J$67,D74))</f>
        <v>0</v>
      </c>
    </row>
    <row r="75" spans="1:11" ht="12" customHeight="1" thickBot="1" x14ac:dyDescent="0.3">
      <c r="A75" s="38" t="s">
        <v>74</v>
      </c>
      <c r="B75" s="665">
        <v>200</v>
      </c>
      <c r="C75" s="666"/>
      <c r="D75" s="385">
        <v>45422</v>
      </c>
      <c r="E75" s="701" t="str">
        <f>+F1</f>
        <v>Your Home, LLC</v>
      </c>
      <c r="F75" s="702"/>
      <c r="G75" s="386">
        <f>-D49-SUM(G70:G73)</f>
        <v>170955.61259500001</v>
      </c>
      <c r="H75" s="387">
        <f>+G75/$G$77</f>
        <v>1</v>
      </c>
      <c r="I75" s="386">
        <f>+$J$53*H75</f>
        <v>0</v>
      </c>
      <c r="J75" s="388">
        <f>+G75+I75</f>
        <v>170955.61259500001</v>
      </c>
      <c r="K75" s="389" t="e">
        <f>IF(G75=0,0,+I75/G75*$F$67/_xlfn.DAYS(J66,H66))</f>
        <v>#VALUE!</v>
      </c>
    </row>
    <row r="76" spans="1:11" ht="12" customHeight="1" thickBot="1" x14ac:dyDescent="0.3">
      <c r="A76" s="38" t="s">
        <v>75</v>
      </c>
      <c r="B76" s="665"/>
      <c r="C76" s="666"/>
      <c r="D76" s="390" t="str">
        <f>+J66</f>
        <v>End Date</v>
      </c>
      <c r="E76" s="745" t="s">
        <v>744</v>
      </c>
      <c r="F76" s="746"/>
      <c r="G76" s="391">
        <f>+SUM(G70:G73)</f>
        <v>0</v>
      </c>
      <c r="H76" s="392">
        <f>+SUM(H70:H73)</f>
        <v>0</v>
      </c>
      <c r="I76" s="391">
        <f>+SUM(I70:I73)</f>
        <v>0</v>
      </c>
      <c r="J76" s="391">
        <f>+SUM(J70:J73)</f>
        <v>0</v>
      </c>
      <c r="K76" s="393">
        <f>AVERAGE(K70:K73)</f>
        <v>0</v>
      </c>
    </row>
    <row r="77" spans="1:11" ht="12" customHeight="1" thickBot="1" x14ac:dyDescent="0.3">
      <c r="A77" s="38" t="s">
        <v>76</v>
      </c>
      <c r="B77" s="665"/>
      <c r="C77" s="666"/>
      <c r="D77" s="394"/>
      <c r="E77" s="395" t="s">
        <v>745</v>
      </c>
      <c r="F77" s="396"/>
      <c r="G77" s="397">
        <f>SUM(G70:G73)+G75</f>
        <v>170955.61259500001</v>
      </c>
      <c r="H77" s="398">
        <f>SUM(H70:H73)+H75</f>
        <v>1</v>
      </c>
      <c r="I77" s="397">
        <f>SUM(I73:I76)</f>
        <v>0</v>
      </c>
      <c r="J77" s="399">
        <f>SUM(J70:J73)</f>
        <v>0</v>
      </c>
      <c r="K77" s="400" t="e">
        <f>AVERAGE(K70:K76)</f>
        <v>#VALUE!</v>
      </c>
    </row>
    <row r="78" spans="1:11" ht="12" customHeight="1" x14ac:dyDescent="0.2">
      <c r="A78" s="38" t="s">
        <v>77</v>
      </c>
      <c r="B78" s="665">
        <v>90</v>
      </c>
      <c r="C78" s="666"/>
      <c r="D78" s="686"/>
      <c r="E78" s="686"/>
    </row>
    <row r="79" spans="1:11" ht="12" customHeight="1" x14ac:dyDescent="0.2">
      <c r="A79" s="38" t="s">
        <v>685</v>
      </c>
      <c r="B79" s="665">
        <v>20</v>
      </c>
      <c r="C79" s="666"/>
      <c r="D79" s="686"/>
      <c r="E79" s="686"/>
    </row>
    <row r="80" spans="1:11" ht="12" customHeight="1" x14ac:dyDescent="0.2">
      <c r="A80" s="38" t="s">
        <v>78</v>
      </c>
      <c r="B80" s="665">
        <v>30</v>
      </c>
      <c r="C80" s="666"/>
      <c r="D80" s="686"/>
      <c r="E80" s="686"/>
    </row>
    <row r="81" spans="1:10" ht="12" customHeight="1" thickBot="1" x14ac:dyDescent="0.25">
      <c r="A81" s="38" t="s">
        <v>79</v>
      </c>
      <c r="B81" s="687"/>
      <c r="C81" s="688"/>
      <c r="D81" s="689"/>
      <c r="E81" s="626"/>
    </row>
    <row r="82" spans="1:10" ht="12" customHeight="1" thickBot="1" x14ac:dyDescent="0.25">
      <c r="D82" s="690">
        <f>+SUM(B64:C81)</f>
        <v>940</v>
      </c>
      <c r="E82" s="691"/>
      <c r="G82" s="694" t="s">
        <v>80</v>
      </c>
      <c r="H82" s="718"/>
      <c r="I82" s="718"/>
      <c r="J82" s="719"/>
    </row>
    <row r="83" spans="1:10" ht="12" customHeight="1" thickBot="1" x14ac:dyDescent="0.25">
      <c r="G83" s="720"/>
      <c r="H83" s="721"/>
      <c r="I83" s="721"/>
      <c r="J83" s="722"/>
    </row>
    <row r="84" spans="1:10" ht="12" customHeight="1" thickTop="1" thickBot="1" x14ac:dyDescent="0.25">
      <c r="A84" s="131" t="s">
        <v>81</v>
      </c>
      <c r="B84" s="129"/>
      <c r="C84" s="129"/>
      <c r="D84" s="129"/>
      <c r="E84" s="129"/>
    </row>
    <row r="85" spans="1:10" ht="12" customHeight="1" x14ac:dyDescent="0.2">
      <c r="A85" s="38" t="s">
        <v>65</v>
      </c>
      <c r="B85" s="684"/>
      <c r="C85" s="685"/>
      <c r="D85" s="686"/>
      <c r="E85" s="686"/>
    </row>
    <row r="86" spans="1:10" ht="12" customHeight="1" x14ac:dyDescent="0.2">
      <c r="A86" s="38" t="s">
        <v>67</v>
      </c>
      <c r="B86" s="665">
        <v>250</v>
      </c>
      <c r="C86" s="666"/>
      <c r="D86" s="686"/>
      <c r="E86" s="686"/>
    </row>
    <row r="87" spans="1:10" ht="12" customHeight="1" x14ac:dyDescent="0.2">
      <c r="A87" s="38" t="s">
        <v>82</v>
      </c>
      <c r="B87" s="665">
        <v>0</v>
      </c>
      <c r="C87" s="666"/>
      <c r="D87" s="686"/>
      <c r="E87" s="686"/>
    </row>
    <row r="88" spans="1:10" ht="12" customHeight="1" x14ac:dyDescent="0.2">
      <c r="A88" s="38" t="s">
        <v>83</v>
      </c>
      <c r="B88" s="665"/>
      <c r="C88" s="666"/>
      <c r="D88" s="686"/>
      <c r="E88" s="686"/>
    </row>
    <row r="89" spans="1:10" ht="12" customHeight="1" x14ac:dyDescent="0.2">
      <c r="A89" s="38" t="s">
        <v>77</v>
      </c>
      <c r="B89" s="665"/>
      <c r="C89" s="666"/>
      <c r="D89" s="686"/>
      <c r="E89" s="686"/>
    </row>
    <row r="90" spans="1:10" ht="12" customHeight="1" x14ac:dyDescent="0.2">
      <c r="A90" s="38" t="s">
        <v>84</v>
      </c>
      <c r="B90" s="665">
        <v>40</v>
      </c>
      <c r="C90" s="666"/>
      <c r="D90" s="686"/>
      <c r="E90" s="686"/>
    </row>
    <row r="91" spans="1:10" ht="12" customHeight="1" x14ac:dyDescent="0.2">
      <c r="A91" s="38" t="s">
        <v>85</v>
      </c>
      <c r="B91" s="665"/>
      <c r="C91" s="666"/>
      <c r="D91" s="686"/>
      <c r="E91" s="686"/>
    </row>
    <row r="92" spans="1:10" ht="12" customHeight="1" thickBot="1" x14ac:dyDescent="0.25">
      <c r="A92" s="38" t="s">
        <v>79</v>
      </c>
      <c r="B92" s="692"/>
      <c r="C92" s="693"/>
      <c r="D92" s="689"/>
      <c r="E92" s="626"/>
    </row>
    <row r="93" spans="1:10" ht="12" customHeight="1" thickTop="1" thickBot="1" x14ac:dyDescent="0.25">
      <c r="D93" s="690">
        <f>+SUM(B85:C92)</f>
        <v>290</v>
      </c>
      <c r="E93" s="691"/>
      <c r="G93" s="694" t="s">
        <v>86</v>
      </c>
      <c r="H93" s="718"/>
      <c r="I93" s="718"/>
      <c r="J93" s="719"/>
    </row>
    <row r="94" spans="1:10" ht="12" customHeight="1" thickBot="1" x14ac:dyDescent="0.25">
      <c r="G94" s="720"/>
      <c r="H94" s="721"/>
      <c r="I94" s="721"/>
      <c r="J94" s="722"/>
    </row>
    <row r="95" spans="1:10" ht="12" customHeight="1" x14ac:dyDescent="0.2"/>
    <row r="96" spans="1:10" ht="12" customHeight="1" x14ac:dyDescent="0.2"/>
    <row r="97" ht="12" customHeight="1" x14ac:dyDescent="0.2"/>
    <row r="98" ht="12" customHeight="1" x14ac:dyDescent="0.2"/>
    <row r="99" ht="12" customHeight="1" x14ac:dyDescent="0.2"/>
    <row r="100" ht="12" customHeight="1" x14ac:dyDescent="0.2"/>
    <row r="101" ht="12" customHeight="1" x14ac:dyDescent="0.2"/>
    <row r="102" ht="12" customHeight="1" x14ac:dyDescent="0.2"/>
    <row r="103" ht="12" customHeight="1" x14ac:dyDescent="0.2"/>
    <row r="104" ht="12" customHeight="1" x14ac:dyDescent="0.2"/>
    <row r="105" ht="12" customHeight="1" x14ac:dyDescent="0.2"/>
    <row r="106" ht="12" customHeight="1" x14ac:dyDescent="0.2"/>
    <row r="107" ht="12" customHeight="1" x14ac:dyDescent="0.2"/>
    <row r="108" ht="12" customHeight="1" x14ac:dyDescent="0.2"/>
    <row r="109" ht="12" customHeight="1" x14ac:dyDescent="0.2"/>
    <row r="110" ht="12" customHeight="1" x14ac:dyDescent="0.2"/>
    <row r="111" ht="12" customHeight="1" x14ac:dyDescent="0.2"/>
    <row r="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sheetData>
  <mergeCells count="121">
    <mergeCell ref="G93:J94"/>
    <mergeCell ref="G62:J63"/>
    <mergeCell ref="J51:J52"/>
    <mergeCell ref="F53:G53"/>
    <mergeCell ref="K68:K70"/>
    <mergeCell ref="G69:G70"/>
    <mergeCell ref="H69:H70"/>
    <mergeCell ref="I69:I70"/>
    <mergeCell ref="J69:J70"/>
    <mergeCell ref="G82:J83"/>
    <mergeCell ref="H57:I57"/>
    <mergeCell ref="H55:I55"/>
    <mergeCell ref="G60:J61"/>
    <mergeCell ref="K51:K52"/>
    <mergeCell ref="E51:F51"/>
    <mergeCell ref="E52:G52"/>
    <mergeCell ref="H56:I56"/>
    <mergeCell ref="D93:E93"/>
    <mergeCell ref="D78:E78"/>
    <mergeCell ref="D87:E87"/>
    <mergeCell ref="E76:F76"/>
    <mergeCell ref="H66:I66"/>
    <mergeCell ref="F67:G67"/>
    <mergeCell ref="H67:I67"/>
    <mergeCell ref="B89:C89"/>
    <mergeCell ref="D89:E89"/>
    <mergeCell ref="B90:C90"/>
    <mergeCell ref="D90:E90"/>
    <mergeCell ref="B88:C88"/>
    <mergeCell ref="D88:E88"/>
    <mergeCell ref="K2:K3"/>
    <mergeCell ref="F10:G10"/>
    <mergeCell ref="F50:G50"/>
    <mergeCell ref="K9:K10"/>
    <mergeCell ref="J22:K22"/>
    <mergeCell ref="F11:I11"/>
    <mergeCell ref="E2:F2"/>
    <mergeCell ref="B2:D2"/>
    <mergeCell ref="B70:C70"/>
    <mergeCell ref="B87:C87"/>
    <mergeCell ref="B68:C68"/>
    <mergeCell ref="F66:G66"/>
    <mergeCell ref="B64:C64"/>
    <mergeCell ref="D60:E60"/>
    <mergeCell ref="D59:E59"/>
    <mergeCell ref="B59:C59"/>
    <mergeCell ref="B61:C61"/>
    <mergeCell ref="B76:C76"/>
    <mergeCell ref="B92:C92"/>
    <mergeCell ref="D92:E92"/>
    <mergeCell ref="J46:K47"/>
    <mergeCell ref="J44:J45"/>
    <mergeCell ref="B65:C65"/>
    <mergeCell ref="D64:E64"/>
    <mergeCell ref="D62:E62"/>
    <mergeCell ref="D61:E61"/>
    <mergeCell ref="B75:C75"/>
    <mergeCell ref="B67:C67"/>
    <mergeCell ref="E70:F70"/>
    <mergeCell ref="E71:F71"/>
    <mergeCell ref="E72:F72"/>
    <mergeCell ref="E73:F73"/>
    <mergeCell ref="E74:F74"/>
    <mergeCell ref="E75:F75"/>
    <mergeCell ref="D65:E65"/>
    <mergeCell ref="B71:C71"/>
    <mergeCell ref="B72:C72"/>
    <mergeCell ref="B73:C73"/>
    <mergeCell ref="B74:C74"/>
    <mergeCell ref="B69:C69"/>
    <mergeCell ref="B91:C91"/>
    <mergeCell ref="D91:E91"/>
    <mergeCell ref="B85:C85"/>
    <mergeCell ref="D85:E85"/>
    <mergeCell ref="B86:C86"/>
    <mergeCell ref="D86:E86"/>
    <mergeCell ref="B81:C81"/>
    <mergeCell ref="D81:E81"/>
    <mergeCell ref="B77:C77"/>
    <mergeCell ref="B78:C78"/>
    <mergeCell ref="B80:C80"/>
    <mergeCell ref="D82:E82"/>
    <mergeCell ref="D80:E80"/>
    <mergeCell ref="B79:C79"/>
    <mergeCell ref="D79:E79"/>
    <mergeCell ref="B66:C66"/>
    <mergeCell ref="B49:C49"/>
    <mergeCell ref="B48:C48"/>
    <mergeCell ref="B37:C37"/>
    <mergeCell ref="B41:C41"/>
    <mergeCell ref="B47:C47"/>
    <mergeCell ref="B46:C46"/>
    <mergeCell ref="J23:K23"/>
    <mergeCell ref="B55:C55"/>
    <mergeCell ref="D55:E55"/>
    <mergeCell ref="B54:C54"/>
    <mergeCell ref="B50:D50"/>
    <mergeCell ref="K44:K45"/>
    <mergeCell ref="K7:K8"/>
    <mergeCell ref="J29:K30"/>
    <mergeCell ref="J14:K17"/>
    <mergeCell ref="J7:J8"/>
    <mergeCell ref="J9:J10"/>
    <mergeCell ref="C10:D10"/>
    <mergeCell ref="K42:K43"/>
    <mergeCell ref="J42:J43"/>
    <mergeCell ref="J31:K34"/>
    <mergeCell ref="B40:C40"/>
    <mergeCell ref="H10:I10"/>
    <mergeCell ref="H14:I14"/>
    <mergeCell ref="B24:C24"/>
    <mergeCell ref="F1:H1"/>
    <mergeCell ref="B21:C21"/>
    <mergeCell ref="B9:C9"/>
    <mergeCell ref="B27:C27"/>
    <mergeCell ref="J2:J3"/>
    <mergeCell ref="H2:I3"/>
    <mergeCell ref="D3:E3"/>
    <mergeCell ref="F3:G3"/>
    <mergeCell ref="B4:C4"/>
    <mergeCell ref="B6:C6"/>
  </mergeCells>
  <conditionalFormatting sqref="F19">
    <cfRule type="expression" dxfId="81" priority="26">
      <formula>IF(B1="flip",-C19,0)</formula>
    </cfRule>
  </conditionalFormatting>
  <conditionalFormatting sqref="I9">
    <cfRule type="expression" dxfId="80" priority="24">
      <formula>IF(OR(C1="Hold",D1="Slow Flip"),+B9,"")</formula>
    </cfRule>
  </conditionalFormatting>
  <conditionalFormatting sqref="B54">
    <cfRule type="expression" dxfId="79" priority="21">
      <formula>IF(OR(C1="Hold",D1="slow flip"),0.15,0)</formula>
    </cfRule>
  </conditionalFormatting>
  <conditionalFormatting sqref="I52">
    <cfRule type="expression" dxfId="78" priority="19">
      <formula>+H52*H49</formula>
    </cfRule>
  </conditionalFormatting>
  <conditionalFormatting sqref="F15">
    <cfRule type="expression" dxfId="77" priority="15">
      <formula>IF(R3=3,-C15,0)</formula>
    </cfRule>
  </conditionalFormatting>
  <conditionalFormatting sqref="F44">
    <cfRule type="expression" dxfId="76" priority="11">
      <formula>OR(R3=1,R3=2)</formula>
    </cfRule>
  </conditionalFormatting>
  <conditionalFormatting sqref="F43">
    <cfRule type="expression" dxfId="75" priority="10">
      <formula>OR(R3=1,R3=2)</formula>
    </cfRule>
  </conditionalFormatting>
  <conditionalFormatting sqref="G6">
    <cfRule type="expression" dxfId="74" priority="8">
      <formula>IF(OR(R3=1,R3=2),$B$6,0)</formula>
    </cfRule>
  </conditionalFormatting>
  <conditionalFormatting sqref="G8">
    <cfRule type="expression" dxfId="73" priority="63">
      <formula>R3=2</formula>
    </cfRule>
  </conditionalFormatting>
  <conditionalFormatting sqref="C22 C7">
    <cfRule type="expression" dxfId="72" priority="93">
      <formula>IF(C1048562="Hold",+B1048565*B7,0)</formula>
    </cfRule>
  </conditionalFormatting>
  <conditionalFormatting sqref="F22">
    <cfRule type="expression" dxfId="71" priority="94">
      <formula>IF(OR(C1="hold",D1="slow flip"),-C22,"")</formula>
    </cfRule>
  </conditionalFormatting>
  <conditionalFormatting sqref="H22">
    <cfRule type="expression" dxfId="70" priority="95">
      <formula>IF(OR(C1="hold",C4="slow flip"),IPMT(B23/12,1,C23*12,C22),PMT(B23/12,12*C23,C22))</formula>
    </cfRule>
  </conditionalFormatting>
  <conditionalFormatting sqref="E22">
    <cfRule type="expression" dxfId="69" priority="97">
      <formula>IF(C1="hold",C22-C15-C19-C28-B40,0)</formula>
    </cfRule>
  </conditionalFormatting>
  <conditionalFormatting sqref="H52">
    <cfRule type="expression" dxfId="68" priority="98">
      <formula>IF(OR(C1="Hold",D1="slow Flip"),C45,0)</formula>
    </cfRule>
  </conditionalFormatting>
  <conditionalFormatting sqref="K55">
    <cfRule type="expression" dxfId="67" priority="99">
      <formula>IF(C1="Hold",-$B$54*K53,0)</formula>
    </cfRule>
  </conditionalFormatting>
  <conditionalFormatting sqref="D37">
    <cfRule type="expression" dxfId="66" priority="101">
      <formula>IF(OR(R3=1,R3=2),-B37,0)</formula>
    </cfRule>
  </conditionalFormatting>
  <conditionalFormatting sqref="D40">
    <cfRule type="expression" dxfId="65" priority="102">
      <formula>IF(OR(R3=1,R3=2),-B40,"")</formula>
    </cfRule>
  </conditionalFormatting>
  <conditionalFormatting sqref="E7">
    <cfRule type="expression" dxfId="64" priority="6">
      <formula>$R$3=3</formula>
    </cfRule>
  </conditionalFormatting>
  <conditionalFormatting sqref="A9">
    <cfRule type="expression" dxfId="63" priority="3">
      <formula>"(R3=3)"</formula>
    </cfRule>
  </conditionalFormatting>
  <conditionalFormatting sqref="F17:F18">
    <cfRule type="expression" dxfId="62" priority="1">
      <formula>IF(R5=3,-C17,0)</formula>
    </cfRule>
  </conditionalFormatting>
  <pageMargins left="0.25" right="0.25" top="0.75" bottom="0.75" header="0.3" footer="0.3"/>
  <pageSetup orientation="portrait" r:id="rId1"/>
  <rowBreaks count="1" manualBreakCount="1">
    <brk id="5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40</xdr:row>
                    <xdr:rowOff>114300</xdr:rowOff>
                  </from>
                  <to>
                    <xdr:col>1</xdr:col>
                    <xdr:colOff>390525</xdr:colOff>
                    <xdr:row>42</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42</xdr:row>
                    <xdr:rowOff>114300</xdr:rowOff>
                  </from>
                  <to>
                    <xdr:col>1</xdr:col>
                    <xdr:colOff>390525</xdr:colOff>
                    <xdr:row>44</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41</xdr:row>
                    <xdr:rowOff>114300</xdr:rowOff>
                  </from>
                  <to>
                    <xdr:col>1</xdr:col>
                    <xdr:colOff>390525</xdr:colOff>
                    <xdr:row>43</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W782"/>
  <sheetViews>
    <sheetView workbookViewId="0">
      <pane ySplit="14" topLeftCell="A15" activePane="bottomLeft" state="frozen"/>
      <selection pane="bottomLeft" activeCell="T9" sqref="T9"/>
    </sheetView>
  </sheetViews>
  <sheetFormatPr defaultRowHeight="15" x14ac:dyDescent="0.25"/>
  <cols>
    <col min="1" max="1" width="7.42578125" style="543" bestFit="1" customWidth="1"/>
    <col min="2" max="2" width="10.28515625" style="298" customWidth="1"/>
    <col min="3" max="3" width="9.7109375" style="14" bestFit="1" customWidth="1"/>
    <col min="4" max="5" width="6.5703125" style="14" bestFit="1" customWidth="1"/>
    <col min="6" max="6" width="9.140625" style="298" customWidth="1"/>
    <col min="7" max="7" width="8.28515625" style="298" customWidth="1"/>
    <col min="8" max="8" width="7.85546875" style="298" bestFit="1" customWidth="1"/>
    <col min="9" max="9" width="5" style="22" bestFit="1" customWidth="1"/>
    <col min="10" max="10" width="10.28515625" style="298" customWidth="1"/>
    <col min="11" max="11" width="8.85546875" style="14" bestFit="1" customWidth="1"/>
    <col min="12" max="12" width="8.7109375" style="14" customWidth="1"/>
    <col min="13" max="13" width="8.5703125" style="14" customWidth="1"/>
    <col min="14" max="14" width="8.42578125" style="298" customWidth="1"/>
    <col min="15" max="15" width="7.28515625" style="298" customWidth="1"/>
    <col min="16" max="16" width="7.85546875" style="298" bestFit="1" customWidth="1"/>
    <col min="17" max="17" width="8.28515625" style="543" bestFit="1" customWidth="1"/>
    <col min="18" max="18" width="9.140625" style="298" customWidth="1"/>
    <col min="19" max="19" width="7.5703125" style="535" customWidth="1"/>
    <col min="20" max="20" width="8.85546875" style="14" bestFit="1" customWidth="1"/>
    <col min="21" max="21" width="8.7109375" style="14" customWidth="1"/>
    <col min="22" max="22" width="8.5703125" style="14" customWidth="1"/>
    <col min="23" max="23" width="8.140625" style="14" customWidth="1"/>
    <col min="24" max="24" width="6.85546875" style="14" customWidth="1"/>
    <col min="25" max="25" width="6.7109375" style="14" customWidth="1"/>
    <col min="26" max="26" width="9.5703125" style="298" customWidth="1"/>
    <col min="27" max="27" width="9" style="298" customWidth="1"/>
    <col min="28" max="30" width="9.140625" style="298" customWidth="1"/>
    <col min="31" max="31" width="9" style="298" customWidth="1"/>
    <col min="32" max="32" width="8.5703125" style="298" customWidth="1"/>
    <col min="33" max="33" width="9.140625" style="14" customWidth="1"/>
    <col min="34" max="34" width="12.28515625" style="14" customWidth="1"/>
    <col min="35" max="35" width="8.28515625" bestFit="1" customWidth="1"/>
    <col min="36" max="36" width="8.7109375" style="14" customWidth="1"/>
    <col min="37" max="37" width="11.42578125" style="14" customWidth="1"/>
    <col min="38" max="38" width="11.7109375" style="298" bestFit="1" customWidth="1"/>
    <col min="39" max="39" width="10.5703125" style="298" customWidth="1"/>
    <col min="40" max="40" width="11.85546875" style="14" bestFit="1" customWidth="1"/>
    <col min="41" max="41" width="12.42578125" customWidth="1"/>
    <col min="43" max="43" width="12.7109375" customWidth="1"/>
  </cols>
  <sheetData>
    <row r="1" spans="1:49" ht="15.75" thickBot="1" x14ac:dyDescent="0.3">
      <c r="B1" s="368" t="s">
        <v>725</v>
      </c>
      <c r="G1" s="2" t="s">
        <v>800</v>
      </c>
      <c r="H1" s="509">
        <v>0.05</v>
      </c>
      <c r="T1" s="539">
        <v>1</v>
      </c>
      <c r="X1" s="13"/>
      <c r="Y1" s="13"/>
      <c r="AE1" s="546"/>
      <c r="AF1" s="13"/>
      <c r="AG1"/>
      <c r="AH1"/>
      <c r="AI1" s="782" t="s">
        <v>728</v>
      </c>
      <c r="AJ1" s="764"/>
      <c r="AK1" s="656"/>
      <c r="AL1" s="367">
        <v>0.03</v>
      </c>
      <c r="AM1" s="14"/>
      <c r="AN1"/>
      <c r="AO1" s="298"/>
      <c r="AP1" s="14"/>
    </row>
    <row r="2" spans="1:49" ht="15.75" thickBot="1" x14ac:dyDescent="0.3">
      <c r="B2" s="369" t="s">
        <v>721</v>
      </c>
      <c r="C2" s="437">
        <f>+Profit!C15</f>
        <v>83188.5</v>
      </c>
      <c r="F2" s="765" t="s">
        <v>797</v>
      </c>
      <c r="G2" s="751"/>
      <c r="H2" s="751"/>
      <c r="I2" s="751"/>
      <c r="K2" s="572">
        <v>0.03</v>
      </c>
      <c r="L2" s="573">
        <v>2.5000000000000001E-2</v>
      </c>
      <c r="M2" s="574">
        <v>1.4999999999999999E-2</v>
      </c>
      <c r="O2" s="773" t="s">
        <v>944</v>
      </c>
      <c r="P2" s="774"/>
      <c r="Q2" s="774"/>
      <c r="R2" s="774"/>
      <c r="S2" s="774"/>
      <c r="T2" s="774"/>
      <c r="U2" s="774"/>
      <c r="V2" s="774"/>
      <c r="W2" s="775"/>
      <c r="AE2" s="14"/>
      <c r="AF2" s="14"/>
      <c r="AI2" s="373" t="s">
        <v>734</v>
      </c>
      <c r="AJ2" s="373" t="s">
        <v>735</v>
      </c>
      <c r="AK2" s="373" t="s">
        <v>736</v>
      </c>
      <c r="AL2" s="546" t="s">
        <v>737</v>
      </c>
      <c r="AM2" s="14"/>
      <c r="AO2" s="298"/>
      <c r="AW2">
        <v>4</v>
      </c>
    </row>
    <row r="3" spans="1:49" ht="15.75" thickBot="1" x14ac:dyDescent="0.3">
      <c r="B3" s="369" t="s">
        <v>720</v>
      </c>
      <c r="C3" s="511">
        <f>+Profit!B15</f>
        <v>4.7500000000000001E-2</v>
      </c>
      <c r="F3" s="765" t="s">
        <v>945</v>
      </c>
      <c r="G3" s="751"/>
      <c r="H3" s="751"/>
      <c r="I3" s="751"/>
      <c r="J3" s="539">
        <f>IF($T$1=1,K3,IF($T$1=2,L3,IF($T$1=3,M3)))</f>
        <v>0.1</v>
      </c>
      <c r="K3" s="540">
        <v>0.1</v>
      </c>
      <c r="L3" s="540">
        <v>0.15</v>
      </c>
      <c r="M3" s="540">
        <v>0.2</v>
      </c>
      <c r="R3" s="366"/>
      <c r="S3" s="30" t="s">
        <v>730</v>
      </c>
      <c r="T3" s="575">
        <f>IF($T$1=1,U3,IF($T$1=2,V3,IF($T$1=3,W3)))</f>
        <v>0.1</v>
      </c>
      <c r="U3" s="576">
        <v>0.1</v>
      </c>
      <c r="V3" s="576">
        <v>0.15</v>
      </c>
      <c r="W3" s="576">
        <v>0.2</v>
      </c>
      <c r="AF3" s="14"/>
      <c r="AG3" s="30" t="s">
        <v>731</v>
      </c>
      <c r="AH3"/>
      <c r="AI3" s="577">
        <f>_xlfn.XLOOKUP(60,AC:AC,$AK:$AK)</f>
        <v>121538.96999999991</v>
      </c>
      <c r="AJ3" s="298">
        <f>_xlfn.XLOOKUP(10,$I:$I,$AK:$AK)</f>
        <v>305089.17000000022</v>
      </c>
      <c r="AK3" s="298">
        <f>_xlfn.XLOOKUP(20,$I:$I,$AK:$AK)</f>
        <v>511506.04999999958</v>
      </c>
      <c r="AL3" s="14">
        <f>_xlfn.XLOOKUP(29,$I:$I,$AK:$AK)</f>
        <v>478959.79999999871</v>
      </c>
      <c r="AM3" s="14"/>
    </row>
    <row r="4" spans="1:49" ht="15.75" thickBot="1" x14ac:dyDescent="0.3">
      <c r="B4" s="369" t="s">
        <v>722</v>
      </c>
      <c r="C4" s="549">
        <v>30</v>
      </c>
      <c r="D4" s="14">
        <f>+C4*12</f>
        <v>360</v>
      </c>
      <c r="G4" s="765" t="s">
        <v>729</v>
      </c>
      <c r="H4" s="751"/>
      <c r="I4" s="751"/>
      <c r="J4" s="437">
        <f>IF($T$1=1,K4,IF($T$1=2,L4,IF($T$1=3,M4)))</f>
        <v>418950</v>
      </c>
      <c r="K4" s="438">
        <f>+Profit!$B$4*(1+$H$1)</f>
        <v>418950</v>
      </c>
      <c r="L4" s="439">
        <f>+K4</f>
        <v>418950</v>
      </c>
      <c r="M4" s="440">
        <f>+L4</f>
        <v>418950</v>
      </c>
      <c r="O4" s="776">
        <v>68918</v>
      </c>
      <c r="P4" s="777"/>
      <c r="Q4" s="778"/>
      <c r="R4" s="771" t="s">
        <v>729</v>
      </c>
      <c r="S4" s="772"/>
      <c r="T4" s="437">
        <f>IF($T$1=1,U4,IF($T$1=2,V4,IF($T$1=3,W4)))</f>
        <v>487868</v>
      </c>
      <c r="U4" s="438">
        <f>+J4+O4</f>
        <v>487868</v>
      </c>
      <c r="V4" s="439">
        <f>+U4</f>
        <v>487868</v>
      </c>
      <c r="W4" s="440">
        <f>+V4</f>
        <v>487868</v>
      </c>
      <c r="AF4" s="14"/>
      <c r="AG4" s="30" t="s">
        <v>760</v>
      </c>
      <c r="AH4"/>
      <c r="AI4" s="298">
        <f>_xlfn.XLOOKUP(60,$AC:$AC,$AH:$AH)</f>
        <v>333490.53000000003</v>
      </c>
      <c r="AJ4" s="298">
        <f>_xlfn.XLOOKUP(120,$AC:$AC,$AH:$AH)</f>
        <v>236237.24999999994</v>
      </c>
      <c r="AK4" s="298">
        <f>_xlfn.XLOOKUP(240,$AC:$AC,$AH:$AH)</f>
        <v>61431.250000000116</v>
      </c>
      <c r="AL4" s="298">
        <f>_xlfn.XLOOKUP(360,$AC:$AC,$AH:$AH)</f>
        <v>0</v>
      </c>
      <c r="AM4" s="14"/>
    </row>
    <row r="5" spans="1:49" ht="15.75" thickBot="1" x14ac:dyDescent="0.3">
      <c r="B5" s="369" t="s">
        <v>719</v>
      </c>
      <c r="C5" s="14">
        <f>ROUND(PMT($C$3/12,$D$4,-$C$2,0), 2)</f>
        <v>433.95</v>
      </c>
      <c r="G5" s="765" t="s">
        <v>730</v>
      </c>
      <c r="H5" s="751"/>
      <c r="I5" s="751"/>
      <c r="J5" s="437">
        <f>IF($T$1=1,K5,IF($T$1=2,L5,IF($T$1=3,M5)))</f>
        <v>41895</v>
      </c>
      <c r="K5" s="438">
        <f>K3*J4</f>
        <v>41895</v>
      </c>
      <c r="L5" s="439">
        <f>+$J$4*L3</f>
        <v>62842.5</v>
      </c>
      <c r="M5" s="440">
        <f>+$J$4*M3</f>
        <v>83790</v>
      </c>
      <c r="O5" s="766" t="s">
        <v>946</v>
      </c>
      <c r="P5" s="767"/>
      <c r="Q5" s="768"/>
      <c r="R5" s="769" t="s">
        <v>721</v>
      </c>
      <c r="S5" s="770"/>
      <c r="T5" s="437">
        <f>IF($T$1=1,U5,IF($T$1=2,V5,IF($T$1=3,W5)))</f>
        <v>467868</v>
      </c>
      <c r="U5" s="438">
        <f>+U4-U6</f>
        <v>467868</v>
      </c>
      <c r="V5" s="439">
        <f>+V4-V6</f>
        <v>425025.5</v>
      </c>
      <c r="W5" s="440">
        <f>+W4-W6</f>
        <v>404078</v>
      </c>
      <c r="AE5" s="547"/>
      <c r="AF5" s="14"/>
      <c r="AG5" s="30" t="s">
        <v>732</v>
      </c>
      <c r="AH5"/>
      <c r="AI5" s="371">
        <f>_xlfn.XLOOKUP(60,AC:AC,$AM:$AM)</f>
        <v>68917.772967988072</v>
      </c>
      <c r="AJ5" s="371">
        <f>_xlfn.XLOOKUP(120,$AC:$AC,$AM:$AM)</f>
        <v>147757.31142053561</v>
      </c>
      <c r="AK5" s="371">
        <f>_xlfn.XLOOKUP(240,$AC:$AC,$AM:$AM)</f>
        <v>262755.13764632691</v>
      </c>
      <c r="AL5" s="371">
        <f>_xlfn.XLOOKUP(360,$AC:$AC,$AM:$AM)</f>
        <v>0</v>
      </c>
      <c r="AM5" s="14"/>
    </row>
    <row r="6" spans="1:49" ht="15.75" thickBot="1" x14ac:dyDescent="0.3">
      <c r="G6" s="765" t="s">
        <v>721</v>
      </c>
      <c r="H6" s="751"/>
      <c r="I6" s="751"/>
      <c r="J6" s="437">
        <f>IF($T$1=1,K6,IF($T$1=2,L6,IF($T$1=3,M6)))</f>
        <v>377055</v>
      </c>
      <c r="K6" s="438">
        <f>+K4-K5</f>
        <v>377055</v>
      </c>
      <c r="L6" s="439">
        <f>+L4-L5</f>
        <v>356107.5</v>
      </c>
      <c r="M6" s="440">
        <f>+M4-M5</f>
        <v>335160</v>
      </c>
      <c r="O6" s="766"/>
      <c r="P6" s="767"/>
      <c r="Q6" s="768"/>
      <c r="R6" s="771" t="s">
        <v>730</v>
      </c>
      <c r="S6" s="772"/>
      <c r="T6" s="437">
        <f>IF($T$1=1,U6,IF($T$1=2,V6,IF($T$1=3,W6)))</f>
        <v>20000</v>
      </c>
      <c r="U6" s="438">
        <v>20000</v>
      </c>
      <c r="V6" s="439">
        <f>+$J$4*V3</f>
        <v>62842.5</v>
      </c>
      <c r="W6" s="440">
        <f>+$J$4*W3</f>
        <v>83790</v>
      </c>
      <c r="Z6" s="578"/>
      <c r="AA6" s="21" t="s">
        <v>861</v>
      </c>
      <c r="AB6" s="21" t="s">
        <v>860</v>
      </c>
      <c r="AF6" s="547"/>
      <c r="AG6" s="30" t="s">
        <v>733</v>
      </c>
      <c r="AH6"/>
      <c r="AI6" s="372">
        <f>SUM(AI3:AI5)</f>
        <v>523947.27296798804</v>
      </c>
      <c r="AJ6" s="372">
        <f>SUM(AJ3:AJ5)</f>
        <v>689083.73142053583</v>
      </c>
      <c r="AK6" s="372">
        <f>SUM(AK3:AK5)</f>
        <v>835692.43764632661</v>
      </c>
      <c r="AL6" s="547">
        <f>SUM(AL3:AL5)</f>
        <v>478959.79999999871</v>
      </c>
      <c r="AM6" s="14"/>
    </row>
    <row r="7" spans="1:49" ht="15.75" thickBot="1" x14ac:dyDescent="0.3">
      <c r="J7" s="511">
        <f>IF($T$1=1,K7,IF($T$1=2,L7,IF($T$1=3,M7)))</f>
        <v>7.7499999999999999E-2</v>
      </c>
      <c r="K7" s="579">
        <f>+$C$3+K2</f>
        <v>7.7499999999999999E-2</v>
      </c>
      <c r="L7" s="497">
        <f>+$C$3+L2</f>
        <v>7.2500000000000009E-2</v>
      </c>
      <c r="M7" s="498">
        <f>+$C$3+M2</f>
        <v>6.25E-2</v>
      </c>
      <c r="O7" s="655"/>
      <c r="P7" s="764"/>
      <c r="Q7" s="656"/>
      <c r="R7" s="771" t="s">
        <v>947</v>
      </c>
      <c r="S7" s="772"/>
      <c r="U7" s="367">
        <f>+$C$3+K2</f>
        <v>7.7499999999999999E-2</v>
      </c>
      <c r="V7" s="497">
        <f>+$C$3+L2</f>
        <v>7.2500000000000009E-2</v>
      </c>
      <c r="W7" s="498">
        <f>+$C$3+M2</f>
        <v>6.25E-2</v>
      </c>
      <c r="Z7" s="369" t="s">
        <v>762</v>
      </c>
      <c r="AB7" s="298">
        <f>_xlfn.XLOOKUP(12,AC:AC,$AJ:$AJ)</f>
        <v>2006.6699999999998</v>
      </c>
      <c r="AF7" s="14"/>
      <c r="AG7" s="298"/>
      <c r="AH7" s="298"/>
      <c r="AI7" s="298"/>
      <c r="AL7"/>
    </row>
    <row r="8" spans="1:49" ht="15.75" thickBot="1" x14ac:dyDescent="0.3">
      <c r="J8" s="549">
        <v>30</v>
      </c>
      <c r="K8" s="539">
        <f>+J8*12</f>
        <v>360</v>
      </c>
      <c r="M8" s="298"/>
      <c r="S8" s="298" t="s">
        <v>256</v>
      </c>
      <c r="U8" s="549">
        <v>30</v>
      </c>
      <c r="Z8" s="369" t="s">
        <v>948</v>
      </c>
      <c r="AB8" s="298">
        <f>+AB7*60</f>
        <v>120400.2</v>
      </c>
      <c r="AF8" s="547"/>
      <c r="AH8" s="538" t="s">
        <v>949</v>
      </c>
      <c r="AI8" s="298">
        <f>-_xlfn.XLOOKUP(5,$I:$I,$G:$G)</f>
        <v>-32247.589999999997</v>
      </c>
      <c r="AJ8" s="547"/>
      <c r="AL8"/>
    </row>
    <row r="9" spans="1:49" ht="15.75" thickBot="1" x14ac:dyDescent="0.3">
      <c r="J9" s="539">
        <f>ROUND(PMT($J$7/12,$K$8,-$J$6,0), 2)</f>
        <v>2701.27</v>
      </c>
      <c r="M9" s="14">
        <v>134.16999999999999</v>
      </c>
      <c r="R9" s="518"/>
      <c r="S9" s="437">
        <f>ROUND(PMT($T$9/12,$V$9,-$U$9,0), 2)</f>
        <v>2440.62</v>
      </c>
      <c r="T9" s="511">
        <f>+C3</f>
        <v>4.7500000000000001E-2</v>
      </c>
      <c r="U9" s="437">
        <f>+T5</f>
        <v>467868</v>
      </c>
      <c r="V9" s="550">
        <f>+U8*12</f>
        <v>360</v>
      </c>
      <c r="Z9" s="369" t="s">
        <v>764</v>
      </c>
      <c r="AA9" s="298">
        <f>-_xlfn.XLOOKUP(60,AC:AC,$H:$H)</f>
        <v>-69437.389999999956</v>
      </c>
      <c r="AB9" s="298">
        <f>-_xlfn.XLOOKUP(60,AC:AC,$H:$H)</f>
        <v>-69437.389999999956</v>
      </c>
      <c r="AF9" s="14"/>
      <c r="AH9" s="538" t="s">
        <v>950</v>
      </c>
      <c r="AI9" s="371">
        <f>_xlfn.XLOOKUP(5,$I:$I,$O:$O)</f>
        <v>144958.89000000001</v>
      </c>
    </row>
    <row r="10" spans="1:49" ht="15" customHeight="1" thickBot="1" x14ac:dyDescent="0.3">
      <c r="B10" s="519" t="s">
        <v>951</v>
      </c>
      <c r="C10" s="580">
        <f>+[1]Profit!H67</f>
        <v>45672</v>
      </c>
      <c r="H10" s="22"/>
      <c r="J10" s="581">
        <v>45748</v>
      </c>
      <c r="M10" s="14">
        <v>188.55</v>
      </c>
      <c r="R10" s="518"/>
      <c r="S10" s="437">
        <f>ROUND(PMT($T$10/12,$V$10,-$U$10,0), 2)</f>
        <v>3493.12</v>
      </c>
      <c r="T10" s="511">
        <f>IF($T$1=1,U7,IF($T$1=2,V7,IF($T$1=3,W7)))</f>
        <v>7.7499999999999999E-2</v>
      </c>
      <c r="U10" s="582">
        <v>462464.08</v>
      </c>
      <c r="V10" s="550">
        <f>+V9-60</f>
        <v>300</v>
      </c>
      <c r="Z10" s="369" t="s">
        <v>765</v>
      </c>
      <c r="AA10" s="371">
        <f>_xlfn.XLOOKUP(60,AC:AC,$P:$P)</f>
        <v>357236.41999999975</v>
      </c>
      <c r="AB10" s="371">
        <f>_xlfn.XLOOKUP(60,AC:AC,$AB:$AB)</f>
        <v>311785.63000000018</v>
      </c>
      <c r="AF10" s="14"/>
      <c r="AH10" s="538" t="s">
        <v>830</v>
      </c>
      <c r="AI10" s="499">
        <f>SUM(AI8:AI9)</f>
        <v>112711.30000000002</v>
      </c>
    </row>
    <row r="11" spans="1:49" ht="15.75" thickBot="1" x14ac:dyDescent="0.3">
      <c r="R11" s="750"/>
      <c r="S11" s="751"/>
      <c r="V11" s="538"/>
      <c r="Z11" s="369" t="s">
        <v>798</v>
      </c>
      <c r="AA11" s="499">
        <f>SUM(AA8:AA10)</f>
        <v>287799.0299999998</v>
      </c>
      <c r="AB11" s="499">
        <f>SUM(AB8:AB10)</f>
        <v>362748.44000000024</v>
      </c>
      <c r="AF11" s="14"/>
      <c r="AG11" s="499"/>
      <c r="AH11" s="499"/>
      <c r="AI11" s="298"/>
    </row>
    <row r="12" spans="1:49" ht="15.75" thickBot="1" x14ac:dyDescent="0.3">
      <c r="J12" s="752" t="str">
        <f>"Mortgage Fixed at "&amp; TEXT(J7,"#.###%")</f>
        <v>Mortgage Fixed at 7.75%</v>
      </c>
      <c r="K12" s="753"/>
      <c r="L12" s="753"/>
      <c r="M12" s="753"/>
      <c r="N12" s="753"/>
      <c r="O12" s="753"/>
      <c r="P12" s="754"/>
      <c r="R12" s="752" t="str">
        <f>"Mortgage Reduced to " &amp; TEXT(T9,"#.###%") &amp;"% for 1st 5 years then "&amp; TEXT(T10,"#.###%")</f>
        <v>Mortgage Reduced to 4.75%% for 1st 5 years then 7.75%</v>
      </c>
      <c r="S12" s="755"/>
      <c r="T12" s="755"/>
      <c r="U12" s="755"/>
      <c r="V12" s="755"/>
      <c r="W12" s="755"/>
      <c r="X12" s="755"/>
      <c r="Y12" s="755"/>
      <c r="Z12" s="755"/>
      <c r="AA12" s="755"/>
      <c r="AB12" s="755"/>
      <c r="AC12" s="756"/>
      <c r="AD12" s="14"/>
      <c r="AE12" s="14"/>
      <c r="AF12" s="14"/>
    </row>
    <row r="13" spans="1:49" ht="15" customHeight="1" thickBot="1" x14ac:dyDescent="0.3">
      <c r="C13" s="757" t="s">
        <v>952</v>
      </c>
      <c r="D13" s="758"/>
      <c r="E13" s="759"/>
      <c r="F13" s="760" t="s">
        <v>831</v>
      </c>
      <c r="G13" s="748"/>
      <c r="J13" s="551"/>
      <c r="N13" s="761" t="s">
        <v>831</v>
      </c>
      <c r="O13" s="762"/>
      <c r="P13" s="551"/>
      <c r="R13" s="551"/>
      <c r="T13" s="761" t="s">
        <v>835</v>
      </c>
      <c r="U13" s="763"/>
      <c r="V13" s="764"/>
      <c r="W13" s="764"/>
      <c r="X13" s="764"/>
      <c r="Y13" s="656"/>
      <c r="Z13" s="761" t="s">
        <v>831</v>
      </c>
      <c r="AA13" s="762"/>
      <c r="AB13" s="31"/>
      <c r="AC13" s="551"/>
      <c r="AD13" s="760" t="s">
        <v>848</v>
      </c>
      <c r="AE13" s="779"/>
      <c r="AF13" s="748"/>
      <c r="AG13" s="760" t="s">
        <v>862</v>
      </c>
      <c r="AH13" s="748"/>
      <c r="AI13" s="583"/>
      <c r="AJ13" s="780" t="s">
        <v>727</v>
      </c>
      <c r="AK13" s="546" t="s">
        <v>831</v>
      </c>
      <c r="AL13" s="760" t="s">
        <v>846</v>
      </c>
      <c r="AM13" s="748"/>
    </row>
    <row r="14" spans="1:49" ht="15" customHeight="1" thickBot="1" x14ac:dyDescent="0.3">
      <c r="A14" s="544" t="s">
        <v>309</v>
      </c>
      <c r="B14" s="370" t="s">
        <v>842</v>
      </c>
      <c r="C14" s="541" t="s">
        <v>256</v>
      </c>
      <c r="D14" s="548" t="s">
        <v>839</v>
      </c>
      <c r="E14" s="541" t="s">
        <v>833</v>
      </c>
      <c r="F14" s="537" t="s">
        <v>839</v>
      </c>
      <c r="G14" s="537" t="s">
        <v>833</v>
      </c>
      <c r="H14" s="450" t="s">
        <v>845</v>
      </c>
      <c r="I14" s="441" t="s">
        <v>761</v>
      </c>
      <c r="J14" s="370" t="s">
        <v>842</v>
      </c>
      <c r="K14" s="541" t="s">
        <v>256</v>
      </c>
      <c r="L14" s="541" t="s">
        <v>839</v>
      </c>
      <c r="M14" s="541" t="s">
        <v>833</v>
      </c>
      <c r="N14" s="537" t="s">
        <v>832</v>
      </c>
      <c r="O14" s="537" t="s">
        <v>833</v>
      </c>
      <c r="P14" s="541" t="s">
        <v>845</v>
      </c>
      <c r="Q14" s="544" t="s">
        <v>309</v>
      </c>
      <c r="R14" s="541" t="s">
        <v>842</v>
      </c>
      <c r="S14" s="541" t="s">
        <v>834</v>
      </c>
      <c r="T14" s="541" t="s">
        <v>256</v>
      </c>
      <c r="U14" s="541" t="s">
        <v>839</v>
      </c>
      <c r="V14" s="541" t="s">
        <v>833</v>
      </c>
      <c r="W14" s="541" t="s">
        <v>844</v>
      </c>
      <c r="X14" s="541" t="s">
        <v>841</v>
      </c>
      <c r="Y14" s="541" t="s">
        <v>840</v>
      </c>
      <c r="Z14" s="537" t="s">
        <v>832</v>
      </c>
      <c r="AA14" s="537" t="s">
        <v>833</v>
      </c>
      <c r="AB14" s="537" t="s">
        <v>843</v>
      </c>
      <c r="AC14" s="441" t="s">
        <v>723</v>
      </c>
      <c r="AD14" s="537" t="s">
        <v>256</v>
      </c>
      <c r="AE14" s="537" t="s">
        <v>837</v>
      </c>
      <c r="AF14" s="537" t="s">
        <v>838</v>
      </c>
      <c r="AG14" s="537" t="s">
        <v>847</v>
      </c>
      <c r="AH14" s="537" t="s">
        <v>724</v>
      </c>
      <c r="AI14" s="537" t="s">
        <v>726</v>
      </c>
      <c r="AJ14" s="781"/>
      <c r="AK14" s="541" t="s">
        <v>727</v>
      </c>
      <c r="AL14" s="537" t="s">
        <v>835</v>
      </c>
      <c r="AM14" s="370" t="s">
        <v>836</v>
      </c>
    </row>
    <row r="15" spans="1:49" x14ac:dyDescent="0.25">
      <c r="A15" s="542">
        <v>44409</v>
      </c>
      <c r="B15" s="298">
        <f>+C2</f>
        <v>83188.5</v>
      </c>
      <c r="C15" s="14">
        <f t="shared" ref="C15:C78" si="0">IF(+$H14&lt;=0,0,$C$5)</f>
        <v>433.95</v>
      </c>
      <c r="D15" s="14">
        <f>+C15-E15</f>
        <v>104.65999999999997</v>
      </c>
      <c r="E15" s="14">
        <f t="shared" ref="E15:E78" si="1">ROUND($B15*($C$3/12), 2)</f>
        <v>329.29</v>
      </c>
      <c r="F15" s="298">
        <f>+C15</f>
        <v>433.95</v>
      </c>
      <c r="G15" s="298">
        <f>+E15</f>
        <v>329.29</v>
      </c>
      <c r="H15" s="298">
        <f t="shared" ref="H15:H78" si="2">+B15-D15</f>
        <v>83083.839999999997</v>
      </c>
      <c r="I15" s="451">
        <f t="shared" ref="I15:I78" si="3">IF(MOD(AC15,12)=0,AC15/12,I14)</f>
        <v>0</v>
      </c>
      <c r="J15" s="298">
        <f>+$J$6</f>
        <v>377055</v>
      </c>
      <c r="K15" s="298">
        <f>IF($J$10&lt;=A15,$J$9,0)</f>
        <v>0</v>
      </c>
      <c r="L15" s="298">
        <f>+K15-M15</f>
        <v>0</v>
      </c>
      <c r="M15" s="298">
        <f>IF($J$10&lt;=$A15,ROUND(J15*(J$7/12),2),0)</f>
        <v>0</v>
      </c>
      <c r="N15" s="298">
        <f>+L15</f>
        <v>0</v>
      </c>
      <c r="O15" s="298">
        <f>+M15</f>
        <v>0</v>
      </c>
      <c r="P15" s="298">
        <f t="shared" ref="P15:P78" si="4">+J15-L15</f>
        <v>377055</v>
      </c>
      <c r="Q15" s="542">
        <f t="shared" ref="Q15:Q78" si="5">+A15</f>
        <v>44409</v>
      </c>
      <c r="R15" s="298">
        <f t="shared" ref="R15:R59" si="6">IF(Q15&gt;$J$10,IF(+AB14&lt;0,0,+AB14),0)</f>
        <v>0</v>
      </c>
      <c r="S15" s="535">
        <f>IF(AC15&gt;60,$T$10,$T$9)</f>
        <v>4.7500000000000001E-2</v>
      </c>
      <c r="T15" s="298">
        <f t="shared" ref="T15:T78" si="7">IF($J$10&lt;=$A15,IF(+AB14&lt;=0,0,IF(S15=$T$9,$S$9,$S$10)),0)</f>
        <v>0</v>
      </c>
      <c r="U15" s="298">
        <f t="shared" ref="U15:U58" si="8">+T15-V15</f>
        <v>0</v>
      </c>
      <c r="V15" s="298">
        <f t="shared" ref="V15:V78" si="9">IF($J$10&lt;=$A15,ROUND(R15*(S15/12),2),0)</f>
        <v>0</v>
      </c>
      <c r="W15" s="298">
        <f t="shared" ref="W15:W59" si="10">IF(T15=0,0,$M$9)</f>
        <v>0</v>
      </c>
      <c r="X15" s="298">
        <f t="shared" ref="X15:X59" si="11">IF(U15=0,0,$M$10)</f>
        <v>0</v>
      </c>
      <c r="Y15" s="298">
        <f t="shared" ref="Y15:Y59" si="12">SUM(U15:X15)</f>
        <v>0</v>
      </c>
      <c r="Z15" s="298">
        <v>0</v>
      </c>
      <c r="AA15" s="298">
        <v>0</v>
      </c>
      <c r="AB15" s="298">
        <f t="shared" ref="AB15:AB78" si="13">IF(Q15&lt;$J$10,$J$6,+R15-U15)</f>
        <v>377055</v>
      </c>
      <c r="AC15" s="451">
        <v>0</v>
      </c>
      <c r="AD15" s="552">
        <f>SUM(U15:V15)-SUM(L15:M15)</f>
        <v>0</v>
      </c>
      <c r="AE15" s="552">
        <f t="shared" ref="AE15:AE59" si="14">AB15-P15</f>
        <v>0</v>
      </c>
      <c r="AF15" s="552"/>
      <c r="AG15" s="552">
        <f>IF($K15=0,0,+T15-$C15)</f>
        <v>0</v>
      </c>
      <c r="AH15" s="552"/>
      <c r="AI15" s="552"/>
      <c r="AJ15" s="14">
        <f>+AG15-AI15</f>
        <v>0</v>
      </c>
      <c r="AK15" s="14">
        <f>+AJ15</f>
        <v>0</v>
      </c>
      <c r="AL15" s="552">
        <f>IF(R15&lt;=0,0,+[1]Profit!$B$4*$AL$1/12)</f>
        <v>0</v>
      </c>
      <c r="AM15" s="14">
        <f>+AL15</f>
        <v>0</v>
      </c>
    </row>
    <row r="16" spans="1:49" x14ac:dyDescent="0.25">
      <c r="A16" s="542">
        <f t="shared" ref="A16:A79" si="15">IF(H16&lt;=0," ",+A15+30)</f>
        <v>44439</v>
      </c>
      <c r="B16" s="298">
        <f t="shared" ref="B16:B79" si="16">IF(+H15&lt;0,0,+H15)</f>
        <v>83083.839999999997</v>
      </c>
      <c r="C16" s="14">
        <f t="shared" si="0"/>
        <v>433.95</v>
      </c>
      <c r="D16" s="14">
        <f>+C16-E16</f>
        <v>105.07999999999998</v>
      </c>
      <c r="E16" s="14">
        <f t="shared" si="1"/>
        <v>328.87</v>
      </c>
      <c r="F16" s="298">
        <f t="shared" ref="F16:F79" si="17">$D16+$F15</f>
        <v>539.03</v>
      </c>
      <c r="G16" s="298">
        <f t="shared" ref="G16:G79" si="18">$E16+$G15</f>
        <v>658.16000000000008</v>
      </c>
      <c r="H16" s="298">
        <f t="shared" si="2"/>
        <v>82978.759999999995</v>
      </c>
      <c r="I16" s="451">
        <f t="shared" si="3"/>
        <v>0</v>
      </c>
      <c r="J16" s="298">
        <f t="shared" ref="J16:J79" si="19">IF(+P15&lt;0,0,+P15)</f>
        <v>377055</v>
      </c>
      <c r="K16" s="298">
        <f t="shared" ref="K16:K57" si="20">IF($J$10&lt;=A16,IF(+$P15&lt;=0,0,$J$9),0)</f>
        <v>0</v>
      </c>
      <c r="L16" s="298">
        <f>+K16-M16</f>
        <v>0</v>
      </c>
      <c r="M16" s="298">
        <f t="shared" ref="M16:M60" si="21">IF($J$10&lt;=A16,ROUND(J16*($J$7/12),2),0)</f>
        <v>0</v>
      </c>
      <c r="N16" s="298">
        <f t="shared" ref="N16:N79" si="22">+L16+N15</f>
        <v>0</v>
      </c>
      <c r="O16" s="298">
        <f t="shared" ref="O16:O79" si="23">+O15+M16</f>
        <v>0</v>
      </c>
      <c r="P16" s="298">
        <f t="shared" si="4"/>
        <v>377055</v>
      </c>
      <c r="Q16" s="542">
        <f t="shared" si="5"/>
        <v>44439</v>
      </c>
      <c r="R16" s="298">
        <f t="shared" si="6"/>
        <v>0</v>
      </c>
      <c r="S16" s="535">
        <f t="shared" ref="S16:S79" si="24">IF(AC16&gt;60,$T$10,$T$9)</f>
        <v>4.7500000000000001E-2</v>
      </c>
      <c r="T16" s="298">
        <f t="shared" si="7"/>
        <v>0</v>
      </c>
      <c r="U16" s="298">
        <f t="shared" si="8"/>
        <v>0</v>
      </c>
      <c r="V16" s="298">
        <f t="shared" si="9"/>
        <v>0</v>
      </c>
      <c r="W16" s="298">
        <f t="shared" si="10"/>
        <v>0</v>
      </c>
      <c r="X16" s="298">
        <f t="shared" si="11"/>
        <v>0</v>
      </c>
      <c r="Y16" s="298">
        <f t="shared" si="12"/>
        <v>0</v>
      </c>
      <c r="Z16" s="298">
        <f>+U16+Z15</f>
        <v>0</v>
      </c>
      <c r="AA16" s="298">
        <f>+AA15+V16</f>
        <v>0</v>
      </c>
      <c r="AB16" s="298">
        <f t="shared" si="13"/>
        <v>377055</v>
      </c>
      <c r="AC16" s="451">
        <f t="shared" ref="AC16:AC79" si="25">IF(J16&lt;&gt;"",IF(J16=$J$6,0,+AC15+1),0)</f>
        <v>0</v>
      </c>
      <c r="AD16" s="552">
        <f t="shared" ref="AD16:AD79" si="26">K16-T16+AD15</f>
        <v>0</v>
      </c>
      <c r="AE16" s="552">
        <f t="shared" si="14"/>
        <v>0</v>
      </c>
      <c r="AF16" s="552"/>
      <c r="AG16" s="552">
        <f t="shared" ref="AG16:AG79" si="27">IF(Q16&lt;=$C$10,0,+T16-$C16)</f>
        <v>0</v>
      </c>
      <c r="AH16" s="552">
        <f t="shared" ref="AH16:AH79" si="28">IF(P16&lt;=0,0,+$T$5-$C$2+F16-Z16)</f>
        <v>385218.53</v>
      </c>
      <c r="AI16" s="552"/>
      <c r="AJ16" s="14">
        <f t="shared" ref="AJ16:AJ60" si="29">+AG16-AI16</f>
        <v>0</v>
      </c>
      <c r="AK16" s="14">
        <f t="shared" ref="AK16:AK62" si="30">IF(P16&lt;=0,0,+AJ16+AK15)</f>
        <v>0</v>
      </c>
      <c r="AL16" s="552">
        <f>IF(R16&lt;=0,0,+([1]Profit!$B$4+AM15)*$AL$1/12)</f>
        <v>0</v>
      </c>
      <c r="AM16" s="14">
        <f t="shared" ref="AM16:AM79" si="31">IF(P16&lt;=0,0,+AM15+AL16)</f>
        <v>0</v>
      </c>
    </row>
    <row r="17" spans="1:39" x14ac:dyDescent="0.25">
      <c r="A17" s="542">
        <f t="shared" si="15"/>
        <v>44469</v>
      </c>
      <c r="B17" s="298">
        <f t="shared" si="16"/>
        <v>82978.759999999995</v>
      </c>
      <c r="C17" s="14">
        <f t="shared" si="0"/>
        <v>433.95</v>
      </c>
      <c r="D17" s="14">
        <f t="shared" ref="D17:D80" si="32">+C17-E17</f>
        <v>105.49000000000001</v>
      </c>
      <c r="E17" s="14">
        <f t="shared" si="1"/>
        <v>328.46</v>
      </c>
      <c r="F17" s="298">
        <f t="shared" si="17"/>
        <v>644.52</v>
      </c>
      <c r="G17" s="298">
        <f t="shared" si="18"/>
        <v>986.62000000000012</v>
      </c>
      <c r="H17" s="298">
        <f t="shared" si="2"/>
        <v>82873.26999999999</v>
      </c>
      <c r="I17" s="451">
        <f t="shared" si="3"/>
        <v>0</v>
      </c>
      <c r="J17" s="298">
        <f t="shared" si="19"/>
        <v>377055</v>
      </c>
      <c r="K17" s="298">
        <f t="shared" si="20"/>
        <v>0</v>
      </c>
      <c r="L17" s="298">
        <f t="shared" ref="L17:L80" si="33">+K17-M17</f>
        <v>0</v>
      </c>
      <c r="M17" s="298">
        <f t="shared" si="21"/>
        <v>0</v>
      </c>
      <c r="N17" s="298">
        <f t="shared" si="22"/>
        <v>0</v>
      </c>
      <c r="O17" s="298">
        <f t="shared" si="23"/>
        <v>0</v>
      </c>
      <c r="P17" s="298">
        <f t="shared" si="4"/>
        <v>377055</v>
      </c>
      <c r="Q17" s="542">
        <f t="shared" si="5"/>
        <v>44469</v>
      </c>
      <c r="R17" s="298">
        <f t="shared" si="6"/>
        <v>0</v>
      </c>
      <c r="S17" s="535">
        <f t="shared" si="24"/>
        <v>4.7500000000000001E-2</v>
      </c>
      <c r="T17" s="298">
        <f t="shared" si="7"/>
        <v>0</v>
      </c>
      <c r="U17" s="298">
        <f t="shared" si="8"/>
        <v>0</v>
      </c>
      <c r="V17" s="298">
        <f t="shared" si="9"/>
        <v>0</v>
      </c>
      <c r="W17" s="298">
        <f t="shared" si="10"/>
        <v>0</v>
      </c>
      <c r="X17" s="298">
        <f t="shared" si="11"/>
        <v>0</v>
      </c>
      <c r="Y17" s="298">
        <f t="shared" si="12"/>
        <v>0</v>
      </c>
      <c r="Z17" s="298">
        <f t="shared" ref="Z17:Z58" si="34">+U17+Z16</f>
        <v>0</v>
      </c>
      <c r="AA17" s="298">
        <f t="shared" ref="AA17:AA58" si="35">+AA16+V17</f>
        <v>0</v>
      </c>
      <c r="AB17" s="298">
        <f t="shared" si="13"/>
        <v>377055</v>
      </c>
      <c r="AC17" s="451">
        <f t="shared" si="25"/>
        <v>0</v>
      </c>
      <c r="AD17" s="552">
        <f t="shared" si="26"/>
        <v>0</v>
      </c>
      <c r="AE17" s="552">
        <f t="shared" si="14"/>
        <v>0</v>
      </c>
      <c r="AF17" s="552"/>
      <c r="AG17" s="552">
        <f t="shared" si="27"/>
        <v>0</v>
      </c>
      <c r="AH17" s="552">
        <f t="shared" si="28"/>
        <v>385324.02</v>
      </c>
      <c r="AI17" s="552"/>
      <c r="AJ17" s="14">
        <f t="shared" si="29"/>
        <v>0</v>
      </c>
      <c r="AK17" s="14">
        <f t="shared" si="30"/>
        <v>0</v>
      </c>
      <c r="AL17" s="552">
        <f>IF(R17&lt;=0,0,+([1]Profit!$B$4+AM16)*$AL$1/12)</f>
        <v>0</v>
      </c>
      <c r="AM17" s="14">
        <f t="shared" si="31"/>
        <v>0</v>
      </c>
    </row>
    <row r="18" spans="1:39" x14ac:dyDescent="0.25">
      <c r="A18" s="542">
        <f t="shared" si="15"/>
        <v>44499</v>
      </c>
      <c r="B18" s="298">
        <f t="shared" si="16"/>
        <v>82873.26999999999</v>
      </c>
      <c r="C18" s="14">
        <f t="shared" si="0"/>
        <v>433.95</v>
      </c>
      <c r="D18" s="14">
        <f t="shared" si="32"/>
        <v>105.90999999999997</v>
      </c>
      <c r="E18" s="14">
        <f t="shared" si="1"/>
        <v>328.04</v>
      </c>
      <c r="F18" s="298">
        <f t="shared" si="17"/>
        <v>750.43</v>
      </c>
      <c r="G18" s="298">
        <f t="shared" si="18"/>
        <v>1314.66</v>
      </c>
      <c r="H18" s="298">
        <f t="shared" si="2"/>
        <v>82767.359999999986</v>
      </c>
      <c r="I18" s="451">
        <f t="shared" si="3"/>
        <v>0</v>
      </c>
      <c r="J18" s="298">
        <f t="shared" si="19"/>
        <v>377055</v>
      </c>
      <c r="K18" s="298">
        <f t="shared" si="20"/>
        <v>0</v>
      </c>
      <c r="L18" s="298">
        <f t="shared" si="33"/>
        <v>0</v>
      </c>
      <c r="M18" s="298">
        <f t="shared" si="21"/>
        <v>0</v>
      </c>
      <c r="N18" s="298">
        <f t="shared" si="22"/>
        <v>0</v>
      </c>
      <c r="O18" s="298">
        <f t="shared" si="23"/>
        <v>0</v>
      </c>
      <c r="P18" s="298">
        <f t="shared" si="4"/>
        <v>377055</v>
      </c>
      <c r="Q18" s="542">
        <f t="shared" si="5"/>
        <v>44499</v>
      </c>
      <c r="R18" s="298">
        <f t="shared" si="6"/>
        <v>0</v>
      </c>
      <c r="S18" s="535">
        <f t="shared" si="24"/>
        <v>4.7500000000000001E-2</v>
      </c>
      <c r="T18" s="298">
        <f t="shared" si="7"/>
        <v>0</v>
      </c>
      <c r="U18" s="298">
        <f t="shared" si="8"/>
        <v>0</v>
      </c>
      <c r="V18" s="298">
        <f t="shared" si="9"/>
        <v>0</v>
      </c>
      <c r="W18" s="298">
        <f t="shared" si="10"/>
        <v>0</v>
      </c>
      <c r="X18" s="298">
        <f t="shared" si="11"/>
        <v>0</v>
      </c>
      <c r="Y18" s="298">
        <f t="shared" si="12"/>
        <v>0</v>
      </c>
      <c r="Z18" s="298">
        <f t="shared" si="34"/>
        <v>0</v>
      </c>
      <c r="AA18" s="298">
        <f t="shared" si="35"/>
        <v>0</v>
      </c>
      <c r="AB18" s="298">
        <f t="shared" si="13"/>
        <v>377055</v>
      </c>
      <c r="AC18" s="451">
        <f t="shared" si="25"/>
        <v>0</v>
      </c>
      <c r="AD18" s="552">
        <f>K18-T18+AD17</f>
        <v>0</v>
      </c>
      <c r="AE18" s="552">
        <f t="shared" si="14"/>
        <v>0</v>
      </c>
      <c r="AF18" s="552"/>
      <c r="AG18" s="552">
        <f t="shared" si="27"/>
        <v>0</v>
      </c>
      <c r="AH18" s="552">
        <f t="shared" si="28"/>
        <v>385429.93</v>
      </c>
      <c r="AI18" s="552"/>
      <c r="AJ18" s="14">
        <f t="shared" si="29"/>
        <v>0</v>
      </c>
      <c r="AK18" s="14">
        <f t="shared" si="30"/>
        <v>0</v>
      </c>
      <c r="AL18" s="552">
        <f>IF(R18&lt;=0,0,+([1]Profit!$B$4+AM17)*$AL$1/12)</f>
        <v>0</v>
      </c>
      <c r="AM18" s="14">
        <f t="shared" si="31"/>
        <v>0</v>
      </c>
    </row>
    <row r="19" spans="1:39" x14ac:dyDescent="0.25">
      <c r="A19" s="542">
        <f t="shared" si="15"/>
        <v>44529</v>
      </c>
      <c r="B19" s="298">
        <f t="shared" si="16"/>
        <v>82767.359999999986</v>
      </c>
      <c r="C19" s="14">
        <f t="shared" si="0"/>
        <v>433.95</v>
      </c>
      <c r="D19" s="14">
        <f t="shared" si="32"/>
        <v>106.32999999999998</v>
      </c>
      <c r="E19" s="14">
        <f t="shared" si="1"/>
        <v>327.62</v>
      </c>
      <c r="F19" s="298">
        <f t="shared" si="17"/>
        <v>856.76</v>
      </c>
      <c r="G19" s="298">
        <f t="shared" si="18"/>
        <v>1642.2800000000002</v>
      </c>
      <c r="H19" s="298">
        <f t="shared" si="2"/>
        <v>82661.029999999984</v>
      </c>
      <c r="I19" s="451">
        <f t="shared" si="3"/>
        <v>0</v>
      </c>
      <c r="J19" s="298">
        <f t="shared" si="19"/>
        <v>377055</v>
      </c>
      <c r="K19" s="298">
        <f t="shared" si="20"/>
        <v>0</v>
      </c>
      <c r="L19" s="298">
        <f t="shared" si="33"/>
        <v>0</v>
      </c>
      <c r="M19" s="298">
        <f t="shared" si="21"/>
        <v>0</v>
      </c>
      <c r="N19" s="298">
        <f t="shared" si="22"/>
        <v>0</v>
      </c>
      <c r="O19" s="298">
        <f t="shared" si="23"/>
        <v>0</v>
      </c>
      <c r="P19" s="298">
        <f t="shared" si="4"/>
        <v>377055</v>
      </c>
      <c r="Q19" s="542">
        <f t="shared" si="5"/>
        <v>44529</v>
      </c>
      <c r="R19" s="298">
        <f t="shared" si="6"/>
        <v>0</v>
      </c>
      <c r="S19" s="535">
        <f t="shared" si="24"/>
        <v>4.7500000000000001E-2</v>
      </c>
      <c r="T19" s="298">
        <f t="shared" si="7"/>
        <v>0</v>
      </c>
      <c r="U19" s="298">
        <f t="shared" si="8"/>
        <v>0</v>
      </c>
      <c r="V19" s="298">
        <f t="shared" si="9"/>
        <v>0</v>
      </c>
      <c r="W19" s="298">
        <f t="shared" si="10"/>
        <v>0</v>
      </c>
      <c r="X19" s="298">
        <f t="shared" si="11"/>
        <v>0</v>
      </c>
      <c r="Y19" s="298">
        <f t="shared" si="12"/>
        <v>0</v>
      </c>
      <c r="Z19" s="298">
        <f t="shared" si="34"/>
        <v>0</v>
      </c>
      <c r="AA19" s="298">
        <f t="shared" si="35"/>
        <v>0</v>
      </c>
      <c r="AB19" s="298">
        <f t="shared" si="13"/>
        <v>377055</v>
      </c>
      <c r="AC19" s="451">
        <f t="shared" si="25"/>
        <v>0</v>
      </c>
      <c r="AD19" s="552">
        <f t="shared" si="26"/>
        <v>0</v>
      </c>
      <c r="AE19" s="552">
        <f t="shared" si="14"/>
        <v>0</v>
      </c>
      <c r="AF19" s="552"/>
      <c r="AG19" s="552">
        <f t="shared" si="27"/>
        <v>0</v>
      </c>
      <c r="AH19" s="552">
        <f t="shared" si="28"/>
        <v>385536.26</v>
      </c>
      <c r="AI19" s="552"/>
      <c r="AJ19" s="14">
        <f t="shared" si="29"/>
        <v>0</v>
      </c>
      <c r="AK19" s="14">
        <f t="shared" si="30"/>
        <v>0</v>
      </c>
      <c r="AL19" s="552">
        <f>IF(R19&lt;=0,0,+([1]Profit!$B$4+AM18)*$AL$1/12)</f>
        <v>0</v>
      </c>
      <c r="AM19" s="14">
        <f t="shared" si="31"/>
        <v>0</v>
      </c>
    </row>
    <row r="20" spans="1:39" x14ac:dyDescent="0.25">
      <c r="A20" s="542">
        <f t="shared" si="15"/>
        <v>44559</v>
      </c>
      <c r="B20" s="298">
        <f t="shared" si="16"/>
        <v>82661.029999999984</v>
      </c>
      <c r="C20" s="14">
        <f t="shared" si="0"/>
        <v>433.95</v>
      </c>
      <c r="D20" s="14">
        <f t="shared" si="32"/>
        <v>106.75</v>
      </c>
      <c r="E20" s="14">
        <f t="shared" si="1"/>
        <v>327.2</v>
      </c>
      <c r="F20" s="298">
        <f t="shared" si="17"/>
        <v>963.51</v>
      </c>
      <c r="G20" s="298">
        <f t="shared" si="18"/>
        <v>1969.4800000000002</v>
      </c>
      <c r="H20" s="298">
        <f t="shared" si="2"/>
        <v>82554.279999999984</v>
      </c>
      <c r="I20" s="451">
        <f t="shared" si="3"/>
        <v>0</v>
      </c>
      <c r="J20" s="298">
        <f t="shared" si="19"/>
        <v>377055</v>
      </c>
      <c r="K20" s="298">
        <f t="shared" si="20"/>
        <v>0</v>
      </c>
      <c r="L20" s="298">
        <f t="shared" si="33"/>
        <v>0</v>
      </c>
      <c r="M20" s="298">
        <f t="shared" si="21"/>
        <v>0</v>
      </c>
      <c r="N20" s="298">
        <f t="shared" si="22"/>
        <v>0</v>
      </c>
      <c r="O20" s="298">
        <f t="shared" si="23"/>
        <v>0</v>
      </c>
      <c r="P20" s="298">
        <f t="shared" si="4"/>
        <v>377055</v>
      </c>
      <c r="Q20" s="542">
        <f t="shared" si="5"/>
        <v>44559</v>
      </c>
      <c r="R20" s="298">
        <f t="shared" si="6"/>
        <v>0</v>
      </c>
      <c r="S20" s="535">
        <f t="shared" si="24"/>
        <v>4.7500000000000001E-2</v>
      </c>
      <c r="T20" s="298">
        <f t="shared" si="7"/>
        <v>0</v>
      </c>
      <c r="U20" s="298">
        <f t="shared" si="8"/>
        <v>0</v>
      </c>
      <c r="V20" s="298">
        <f t="shared" si="9"/>
        <v>0</v>
      </c>
      <c r="W20" s="298">
        <f t="shared" si="10"/>
        <v>0</v>
      </c>
      <c r="X20" s="298">
        <f t="shared" si="11"/>
        <v>0</v>
      </c>
      <c r="Y20" s="298">
        <f t="shared" si="12"/>
        <v>0</v>
      </c>
      <c r="Z20" s="298">
        <f t="shared" si="34"/>
        <v>0</v>
      </c>
      <c r="AA20" s="298">
        <f t="shared" si="35"/>
        <v>0</v>
      </c>
      <c r="AB20" s="298">
        <f t="shared" si="13"/>
        <v>377055</v>
      </c>
      <c r="AC20" s="451">
        <f t="shared" si="25"/>
        <v>0</v>
      </c>
      <c r="AD20" s="552">
        <f t="shared" si="26"/>
        <v>0</v>
      </c>
      <c r="AE20" s="552">
        <f t="shared" si="14"/>
        <v>0</v>
      </c>
      <c r="AF20" s="552"/>
      <c r="AG20" s="552">
        <f t="shared" si="27"/>
        <v>0</v>
      </c>
      <c r="AH20" s="552">
        <f t="shared" si="28"/>
        <v>385643.01</v>
      </c>
      <c r="AI20" s="552"/>
      <c r="AJ20" s="14">
        <f t="shared" si="29"/>
        <v>0</v>
      </c>
      <c r="AK20" s="14">
        <f t="shared" si="30"/>
        <v>0</v>
      </c>
      <c r="AL20" s="552">
        <f>IF(R20&lt;=0,0,+([1]Profit!$B$4+AM19)*$AL$1/12)</f>
        <v>0</v>
      </c>
      <c r="AM20" s="14">
        <f t="shared" si="31"/>
        <v>0</v>
      </c>
    </row>
    <row r="21" spans="1:39" x14ac:dyDescent="0.25">
      <c r="A21" s="542">
        <f t="shared" si="15"/>
        <v>44589</v>
      </c>
      <c r="B21" s="298">
        <f t="shared" si="16"/>
        <v>82554.279999999984</v>
      </c>
      <c r="C21" s="14">
        <f t="shared" si="0"/>
        <v>433.95</v>
      </c>
      <c r="D21" s="14">
        <f t="shared" si="32"/>
        <v>107.17000000000002</v>
      </c>
      <c r="E21" s="14">
        <f t="shared" si="1"/>
        <v>326.77999999999997</v>
      </c>
      <c r="F21" s="298">
        <f t="shared" si="17"/>
        <v>1070.68</v>
      </c>
      <c r="G21" s="298">
        <f t="shared" si="18"/>
        <v>2296.2600000000002</v>
      </c>
      <c r="H21" s="298">
        <f t="shared" si="2"/>
        <v>82447.109999999986</v>
      </c>
      <c r="I21" s="451">
        <f t="shared" si="3"/>
        <v>0</v>
      </c>
      <c r="J21" s="298">
        <f t="shared" si="19"/>
        <v>377055</v>
      </c>
      <c r="K21" s="298">
        <f t="shared" si="20"/>
        <v>0</v>
      </c>
      <c r="L21" s="298">
        <f t="shared" si="33"/>
        <v>0</v>
      </c>
      <c r="M21" s="298">
        <f t="shared" si="21"/>
        <v>0</v>
      </c>
      <c r="N21" s="298">
        <f t="shared" si="22"/>
        <v>0</v>
      </c>
      <c r="O21" s="298">
        <f t="shared" si="23"/>
        <v>0</v>
      </c>
      <c r="P21" s="298">
        <f t="shared" si="4"/>
        <v>377055</v>
      </c>
      <c r="Q21" s="542">
        <f t="shared" si="5"/>
        <v>44589</v>
      </c>
      <c r="R21" s="298">
        <f t="shared" si="6"/>
        <v>0</v>
      </c>
      <c r="S21" s="535">
        <f t="shared" si="24"/>
        <v>4.7500000000000001E-2</v>
      </c>
      <c r="T21" s="298">
        <f t="shared" si="7"/>
        <v>0</v>
      </c>
      <c r="U21" s="298">
        <f t="shared" si="8"/>
        <v>0</v>
      </c>
      <c r="V21" s="298">
        <f t="shared" si="9"/>
        <v>0</v>
      </c>
      <c r="W21" s="298">
        <f t="shared" si="10"/>
        <v>0</v>
      </c>
      <c r="X21" s="298">
        <f t="shared" si="11"/>
        <v>0</v>
      </c>
      <c r="Y21" s="298">
        <f t="shared" si="12"/>
        <v>0</v>
      </c>
      <c r="Z21" s="298">
        <f t="shared" si="34"/>
        <v>0</v>
      </c>
      <c r="AA21" s="298">
        <f t="shared" si="35"/>
        <v>0</v>
      </c>
      <c r="AB21" s="298">
        <f t="shared" si="13"/>
        <v>377055</v>
      </c>
      <c r="AC21" s="451">
        <f t="shared" si="25"/>
        <v>0</v>
      </c>
      <c r="AD21" s="552">
        <f t="shared" si="26"/>
        <v>0</v>
      </c>
      <c r="AE21" s="552">
        <f t="shared" si="14"/>
        <v>0</v>
      </c>
      <c r="AF21" s="552"/>
      <c r="AG21" s="552">
        <f t="shared" si="27"/>
        <v>0</v>
      </c>
      <c r="AH21" s="552">
        <f t="shared" si="28"/>
        <v>385750.18</v>
      </c>
      <c r="AI21" s="552"/>
      <c r="AJ21" s="14">
        <f t="shared" si="29"/>
        <v>0</v>
      </c>
      <c r="AK21" s="14">
        <f t="shared" si="30"/>
        <v>0</v>
      </c>
      <c r="AL21" s="552">
        <f>IF(R21&lt;=0,0,+([1]Profit!$B$4+AM20)*$AL$1/12)</f>
        <v>0</v>
      </c>
      <c r="AM21" s="14">
        <f t="shared" si="31"/>
        <v>0</v>
      </c>
    </row>
    <row r="22" spans="1:39" x14ac:dyDescent="0.25">
      <c r="A22" s="542">
        <f t="shared" si="15"/>
        <v>44619</v>
      </c>
      <c r="B22" s="298">
        <f t="shared" si="16"/>
        <v>82447.109999999986</v>
      </c>
      <c r="C22" s="14">
        <f t="shared" si="0"/>
        <v>433.95</v>
      </c>
      <c r="D22" s="14">
        <f t="shared" si="32"/>
        <v>107.59999999999997</v>
      </c>
      <c r="E22" s="14">
        <f t="shared" si="1"/>
        <v>326.35000000000002</v>
      </c>
      <c r="F22" s="298">
        <f t="shared" si="17"/>
        <v>1178.28</v>
      </c>
      <c r="G22" s="298">
        <f t="shared" si="18"/>
        <v>2622.61</v>
      </c>
      <c r="H22" s="298">
        <f t="shared" si="2"/>
        <v>82339.50999999998</v>
      </c>
      <c r="I22" s="451">
        <f t="shared" si="3"/>
        <v>0</v>
      </c>
      <c r="J22" s="298">
        <f t="shared" si="19"/>
        <v>377055</v>
      </c>
      <c r="K22" s="298">
        <f t="shared" si="20"/>
        <v>0</v>
      </c>
      <c r="L22" s="298">
        <f t="shared" si="33"/>
        <v>0</v>
      </c>
      <c r="M22" s="298">
        <f t="shared" si="21"/>
        <v>0</v>
      </c>
      <c r="N22" s="298">
        <f t="shared" si="22"/>
        <v>0</v>
      </c>
      <c r="O22" s="298">
        <f t="shared" si="23"/>
        <v>0</v>
      </c>
      <c r="P22" s="298">
        <f t="shared" si="4"/>
        <v>377055</v>
      </c>
      <c r="Q22" s="542">
        <f t="shared" si="5"/>
        <v>44619</v>
      </c>
      <c r="R22" s="298">
        <f t="shared" si="6"/>
        <v>0</v>
      </c>
      <c r="S22" s="535">
        <f t="shared" si="24"/>
        <v>4.7500000000000001E-2</v>
      </c>
      <c r="T22" s="298">
        <f t="shared" si="7"/>
        <v>0</v>
      </c>
      <c r="U22" s="298">
        <f t="shared" si="8"/>
        <v>0</v>
      </c>
      <c r="V22" s="298">
        <f t="shared" si="9"/>
        <v>0</v>
      </c>
      <c r="W22" s="298">
        <f t="shared" si="10"/>
        <v>0</v>
      </c>
      <c r="X22" s="298">
        <f t="shared" si="11"/>
        <v>0</v>
      </c>
      <c r="Y22" s="298">
        <f t="shared" si="12"/>
        <v>0</v>
      </c>
      <c r="Z22" s="298">
        <f t="shared" si="34"/>
        <v>0</v>
      </c>
      <c r="AA22" s="298">
        <f t="shared" si="35"/>
        <v>0</v>
      </c>
      <c r="AB22" s="298">
        <f t="shared" si="13"/>
        <v>377055</v>
      </c>
      <c r="AC22" s="451">
        <f t="shared" si="25"/>
        <v>0</v>
      </c>
      <c r="AD22" s="552">
        <f t="shared" si="26"/>
        <v>0</v>
      </c>
      <c r="AE22" s="552">
        <f t="shared" si="14"/>
        <v>0</v>
      </c>
      <c r="AF22" s="552"/>
      <c r="AG22" s="552">
        <f t="shared" si="27"/>
        <v>0</v>
      </c>
      <c r="AH22" s="552">
        <f t="shared" si="28"/>
        <v>385857.78</v>
      </c>
      <c r="AI22" s="552"/>
      <c r="AJ22" s="14">
        <f t="shared" si="29"/>
        <v>0</v>
      </c>
      <c r="AK22" s="14">
        <f t="shared" si="30"/>
        <v>0</v>
      </c>
      <c r="AL22" s="552">
        <f>IF(R22&lt;=0,0,+([1]Profit!$B$4+AM21)*$AL$1/12)</f>
        <v>0</v>
      </c>
      <c r="AM22" s="14">
        <f t="shared" si="31"/>
        <v>0</v>
      </c>
    </row>
    <row r="23" spans="1:39" x14ac:dyDescent="0.25">
      <c r="A23" s="542">
        <f t="shared" si="15"/>
        <v>44649</v>
      </c>
      <c r="B23" s="298">
        <f t="shared" si="16"/>
        <v>82339.50999999998</v>
      </c>
      <c r="C23" s="14">
        <f t="shared" si="0"/>
        <v>433.95</v>
      </c>
      <c r="D23" s="14">
        <f t="shared" si="32"/>
        <v>108.01999999999998</v>
      </c>
      <c r="E23" s="14">
        <f t="shared" si="1"/>
        <v>325.93</v>
      </c>
      <c r="F23" s="298">
        <f t="shared" si="17"/>
        <v>1286.3</v>
      </c>
      <c r="G23" s="298">
        <f t="shared" si="18"/>
        <v>2948.54</v>
      </c>
      <c r="H23" s="298">
        <f t="shared" si="2"/>
        <v>82231.489999999976</v>
      </c>
      <c r="I23" s="451">
        <f t="shared" si="3"/>
        <v>0</v>
      </c>
      <c r="J23" s="298">
        <f t="shared" si="19"/>
        <v>377055</v>
      </c>
      <c r="K23" s="298">
        <f t="shared" si="20"/>
        <v>0</v>
      </c>
      <c r="L23" s="298">
        <f t="shared" si="33"/>
        <v>0</v>
      </c>
      <c r="M23" s="298">
        <f t="shared" si="21"/>
        <v>0</v>
      </c>
      <c r="N23" s="298">
        <f t="shared" si="22"/>
        <v>0</v>
      </c>
      <c r="O23" s="298">
        <f t="shared" si="23"/>
        <v>0</v>
      </c>
      <c r="P23" s="298">
        <f t="shared" si="4"/>
        <v>377055</v>
      </c>
      <c r="Q23" s="542">
        <f t="shared" si="5"/>
        <v>44649</v>
      </c>
      <c r="R23" s="298">
        <f t="shared" si="6"/>
        <v>0</v>
      </c>
      <c r="S23" s="535">
        <f t="shared" si="24"/>
        <v>4.7500000000000001E-2</v>
      </c>
      <c r="T23" s="298">
        <f t="shared" si="7"/>
        <v>0</v>
      </c>
      <c r="U23" s="298">
        <f t="shared" si="8"/>
        <v>0</v>
      </c>
      <c r="V23" s="298">
        <f t="shared" si="9"/>
        <v>0</v>
      </c>
      <c r="W23" s="298">
        <f t="shared" si="10"/>
        <v>0</v>
      </c>
      <c r="X23" s="298">
        <f t="shared" si="11"/>
        <v>0</v>
      </c>
      <c r="Y23" s="298">
        <f t="shared" si="12"/>
        <v>0</v>
      </c>
      <c r="Z23" s="298">
        <f t="shared" si="34"/>
        <v>0</v>
      </c>
      <c r="AA23" s="298">
        <f t="shared" si="35"/>
        <v>0</v>
      </c>
      <c r="AB23" s="298">
        <f t="shared" si="13"/>
        <v>377055</v>
      </c>
      <c r="AC23" s="451">
        <f t="shared" si="25"/>
        <v>0</v>
      </c>
      <c r="AD23" s="552">
        <f t="shared" si="26"/>
        <v>0</v>
      </c>
      <c r="AE23" s="552">
        <f t="shared" si="14"/>
        <v>0</v>
      </c>
      <c r="AF23" s="552"/>
      <c r="AG23" s="552">
        <f t="shared" si="27"/>
        <v>0</v>
      </c>
      <c r="AH23" s="552">
        <f t="shared" si="28"/>
        <v>385965.8</v>
      </c>
      <c r="AI23" s="552"/>
      <c r="AJ23" s="14">
        <f t="shared" si="29"/>
        <v>0</v>
      </c>
      <c r="AK23" s="14">
        <f t="shared" si="30"/>
        <v>0</v>
      </c>
      <c r="AL23" s="552">
        <f>IF(R23&lt;=0,0,+([1]Profit!$B$4+AM22)*$AL$1/12)</f>
        <v>0</v>
      </c>
      <c r="AM23" s="14">
        <f t="shared" si="31"/>
        <v>0</v>
      </c>
    </row>
    <row r="24" spans="1:39" x14ac:dyDescent="0.25">
      <c r="A24" s="542">
        <f t="shared" si="15"/>
        <v>44679</v>
      </c>
      <c r="B24" s="298">
        <f t="shared" si="16"/>
        <v>82231.489999999976</v>
      </c>
      <c r="C24" s="14">
        <f t="shared" si="0"/>
        <v>433.95</v>
      </c>
      <c r="D24" s="14">
        <f t="shared" si="32"/>
        <v>108.44999999999999</v>
      </c>
      <c r="E24" s="14">
        <f t="shared" si="1"/>
        <v>325.5</v>
      </c>
      <c r="F24" s="298">
        <f t="shared" si="17"/>
        <v>1394.75</v>
      </c>
      <c r="G24" s="298">
        <f t="shared" si="18"/>
        <v>3274.04</v>
      </c>
      <c r="H24" s="298">
        <f t="shared" si="2"/>
        <v>82123.039999999979</v>
      </c>
      <c r="I24" s="451">
        <f t="shared" si="3"/>
        <v>0</v>
      </c>
      <c r="J24" s="298">
        <f t="shared" si="19"/>
        <v>377055</v>
      </c>
      <c r="K24" s="298">
        <f t="shared" si="20"/>
        <v>0</v>
      </c>
      <c r="L24" s="298">
        <f t="shared" si="33"/>
        <v>0</v>
      </c>
      <c r="M24" s="298">
        <f t="shared" si="21"/>
        <v>0</v>
      </c>
      <c r="N24" s="298">
        <f t="shared" si="22"/>
        <v>0</v>
      </c>
      <c r="O24" s="298">
        <f t="shared" si="23"/>
        <v>0</v>
      </c>
      <c r="P24" s="298">
        <f t="shared" si="4"/>
        <v>377055</v>
      </c>
      <c r="Q24" s="542">
        <f t="shared" si="5"/>
        <v>44679</v>
      </c>
      <c r="R24" s="298">
        <f t="shared" si="6"/>
        <v>0</v>
      </c>
      <c r="S24" s="535">
        <f t="shared" si="24"/>
        <v>4.7500000000000001E-2</v>
      </c>
      <c r="T24" s="298">
        <f t="shared" si="7"/>
        <v>0</v>
      </c>
      <c r="U24" s="298">
        <f t="shared" si="8"/>
        <v>0</v>
      </c>
      <c r="V24" s="298">
        <f t="shared" si="9"/>
        <v>0</v>
      </c>
      <c r="W24" s="298">
        <f t="shared" si="10"/>
        <v>0</v>
      </c>
      <c r="X24" s="298">
        <f t="shared" si="11"/>
        <v>0</v>
      </c>
      <c r="Y24" s="298">
        <f t="shared" si="12"/>
        <v>0</v>
      </c>
      <c r="Z24" s="298">
        <f t="shared" si="34"/>
        <v>0</v>
      </c>
      <c r="AA24" s="298">
        <f t="shared" si="35"/>
        <v>0</v>
      </c>
      <c r="AB24" s="298">
        <f t="shared" si="13"/>
        <v>377055</v>
      </c>
      <c r="AC24" s="451">
        <f t="shared" si="25"/>
        <v>0</v>
      </c>
      <c r="AD24" s="552">
        <f t="shared" si="26"/>
        <v>0</v>
      </c>
      <c r="AE24" s="552">
        <f t="shared" si="14"/>
        <v>0</v>
      </c>
      <c r="AF24" s="552"/>
      <c r="AG24" s="552">
        <f t="shared" si="27"/>
        <v>0</v>
      </c>
      <c r="AH24" s="552">
        <f t="shared" si="28"/>
        <v>386074.25</v>
      </c>
      <c r="AI24" s="552"/>
      <c r="AJ24" s="14">
        <f t="shared" si="29"/>
        <v>0</v>
      </c>
      <c r="AK24" s="14">
        <f t="shared" si="30"/>
        <v>0</v>
      </c>
      <c r="AL24" s="552">
        <f>IF(R24&lt;=0,0,+([1]Profit!$B$4+AM23)*$AL$1/12)</f>
        <v>0</v>
      </c>
      <c r="AM24" s="14">
        <f t="shared" si="31"/>
        <v>0</v>
      </c>
    </row>
    <row r="25" spans="1:39" x14ac:dyDescent="0.25">
      <c r="A25" s="542">
        <f t="shared" si="15"/>
        <v>44709</v>
      </c>
      <c r="B25" s="298">
        <f t="shared" si="16"/>
        <v>82123.039999999979</v>
      </c>
      <c r="C25" s="14">
        <f t="shared" si="0"/>
        <v>433.95</v>
      </c>
      <c r="D25" s="14">
        <f t="shared" si="32"/>
        <v>108.88</v>
      </c>
      <c r="E25" s="14">
        <f t="shared" si="1"/>
        <v>325.07</v>
      </c>
      <c r="F25" s="298">
        <f t="shared" si="17"/>
        <v>1503.63</v>
      </c>
      <c r="G25" s="298">
        <f t="shared" si="18"/>
        <v>3599.11</v>
      </c>
      <c r="H25" s="298">
        <f t="shared" si="2"/>
        <v>82014.159999999974</v>
      </c>
      <c r="I25" s="451">
        <f t="shared" si="3"/>
        <v>0</v>
      </c>
      <c r="J25" s="298">
        <f t="shared" si="19"/>
        <v>377055</v>
      </c>
      <c r="K25" s="298">
        <f t="shared" si="20"/>
        <v>0</v>
      </c>
      <c r="L25" s="298">
        <f t="shared" si="33"/>
        <v>0</v>
      </c>
      <c r="M25" s="298">
        <f t="shared" si="21"/>
        <v>0</v>
      </c>
      <c r="N25" s="298">
        <f t="shared" si="22"/>
        <v>0</v>
      </c>
      <c r="O25" s="298">
        <f t="shared" si="23"/>
        <v>0</v>
      </c>
      <c r="P25" s="298">
        <f t="shared" si="4"/>
        <v>377055</v>
      </c>
      <c r="Q25" s="542">
        <f t="shared" si="5"/>
        <v>44709</v>
      </c>
      <c r="R25" s="298">
        <f t="shared" si="6"/>
        <v>0</v>
      </c>
      <c r="S25" s="535">
        <f t="shared" si="24"/>
        <v>4.7500000000000001E-2</v>
      </c>
      <c r="T25" s="298">
        <f t="shared" si="7"/>
        <v>0</v>
      </c>
      <c r="U25" s="298">
        <f t="shared" si="8"/>
        <v>0</v>
      </c>
      <c r="V25" s="298">
        <f t="shared" si="9"/>
        <v>0</v>
      </c>
      <c r="W25" s="298">
        <f t="shared" si="10"/>
        <v>0</v>
      </c>
      <c r="X25" s="298">
        <f t="shared" si="11"/>
        <v>0</v>
      </c>
      <c r="Y25" s="298">
        <f t="shared" si="12"/>
        <v>0</v>
      </c>
      <c r="Z25" s="298">
        <f t="shared" si="34"/>
        <v>0</v>
      </c>
      <c r="AA25" s="298">
        <f t="shared" si="35"/>
        <v>0</v>
      </c>
      <c r="AB25" s="298">
        <f t="shared" si="13"/>
        <v>377055</v>
      </c>
      <c r="AC25" s="451">
        <f t="shared" si="25"/>
        <v>0</v>
      </c>
      <c r="AD25" s="552">
        <f t="shared" si="26"/>
        <v>0</v>
      </c>
      <c r="AE25" s="552">
        <f t="shared" si="14"/>
        <v>0</v>
      </c>
      <c r="AF25" s="552"/>
      <c r="AG25" s="552">
        <f t="shared" si="27"/>
        <v>0</v>
      </c>
      <c r="AH25" s="552">
        <f t="shared" si="28"/>
        <v>386183.13</v>
      </c>
      <c r="AI25" s="552"/>
      <c r="AJ25" s="14">
        <f t="shared" si="29"/>
        <v>0</v>
      </c>
      <c r="AK25" s="14">
        <f t="shared" si="30"/>
        <v>0</v>
      </c>
      <c r="AL25" s="552">
        <f>IF(R25&lt;=0,0,+([1]Profit!$B$4+AM24)*$AL$1/12)</f>
        <v>0</v>
      </c>
      <c r="AM25" s="14">
        <f t="shared" si="31"/>
        <v>0</v>
      </c>
    </row>
    <row r="26" spans="1:39" ht="15.75" thickBot="1" x14ac:dyDescent="0.3">
      <c r="A26" s="545">
        <f t="shared" si="15"/>
        <v>44739</v>
      </c>
      <c r="B26" s="371">
        <f t="shared" si="16"/>
        <v>82014.159999999974</v>
      </c>
      <c r="C26" s="21">
        <f t="shared" si="0"/>
        <v>433.95</v>
      </c>
      <c r="D26" s="21">
        <f t="shared" si="32"/>
        <v>109.31</v>
      </c>
      <c r="E26" s="21">
        <f t="shared" si="1"/>
        <v>324.64</v>
      </c>
      <c r="F26" s="371">
        <f t="shared" si="17"/>
        <v>1612.94</v>
      </c>
      <c r="G26" s="371">
        <f t="shared" si="18"/>
        <v>3923.75</v>
      </c>
      <c r="H26" s="371">
        <f t="shared" si="2"/>
        <v>81904.849999999977</v>
      </c>
      <c r="I26" s="452">
        <f t="shared" si="3"/>
        <v>0</v>
      </c>
      <c r="J26" s="371">
        <f t="shared" si="19"/>
        <v>377055</v>
      </c>
      <c r="K26" s="371">
        <f t="shared" si="20"/>
        <v>0</v>
      </c>
      <c r="L26" s="371">
        <f t="shared" si="33"/>
        <v>0</v>
      </c>
      <c r="M26" s="371">
        <f t="shared" si="21"/>
        <v>0</v>
      </c>
      <c r="N26" s="371">
        <f t="shared" si="22"/>
        <v>0</v>
      </c>
      <c r="O26" s="371">
        <f t="shared" si="23"/>
        <v>0</v>
      </c>
      <c r="P26" s="371">
        <f t="shared" si="4"/>
        <v>377055</v>
      </c>
      <c r="Q26" s="545">
        <f t="shared" si="5"/>
        <v>44739</v>
      </c>
      <c r="R26" s="371">
        <f t="shared" si="6"/>
        <v>0</v>
      </c>
      <c r="S26" s="536">
        <f t="shared" si="24"/>
        <v>4.7500000000000001E-2</v>
      </c>
      <c r="T26" s="371">
        <f t="shared" si="7"/>
        <v>0</v>
      </c>
      <c r="U26" s="371">
        <f t="shared" si="8"/>
        <v>0</v>
      </c>
      <c r="V26" s="371">
        <f t="shared" si="9"/>
        <v>0</v>
      </c>
      <c r="W26" s="371">
        <f t="shared" si="10"/>
        <v>0</v>
      </c>
      <c r="X26" s="371">
        <f t="shared" si="11"/>
        <v>0</v>
      </c>
      <c r="Y26" s="371">
        <f t="shared" si="12"/>
        <v>0</v>
      </c>
      <c r="Z26" s="371">
        <f t="shared" si="34"/>
        <v>0</v>
      </c>
      <c r="AA26" s="371">
        <f t="shared" si="35"/>
        <v>0</v>
      </c>
      <c r="AB26" s="371">
        <f t="shared" si="13"/>
        <v>377055</v>
      </c>
      <c r="AC26" s="452">
        <f t="shared" si="25"/>
        <v>0</v>
      </c>
      <c r="AD26" s="553">
        <f t="shared" si="26"/>
        <v>0</v>
      </c>
      <c r="AE26" s="553">
        <f t="shared" si="14"/>
        <v>0</v>
      </c>
      <c r="AF26" s="553"/>
      <c r="AG26" s="553">
        <f t="shared" si="27"/>
        <v>0</v>
      </c>
      <c r="AH26" s="553">
        <f t="shared" si="28"/>
        <v>386292.44</v>
      </c>
      <c r="AI26" s="553"/>
      <c r="AJ26" s="21">
        <f t="shared" si="29"/>
        <v>0</v>
      </c>
      <c r="AK26" s="21">
        <f t="shared" si="30"/>
        <v>0</v>
      </c>
      <c r="AL26" s="553">
        <f>IF(R26&lt;=0,0,+([1]Profit!$B$4+AM25)*$AL$1/12)</f>
        <v>0</v>
      </c>
      <c r="AM26" s="21">
        <f t="shared" si="31"/>
        <v>0</v>
      </c>
    </row>
    <row r="27" spans="1:39" x14ac:dyDescent="0.25">
      <c r="A27" s="542">
        <f t="shared" si="15"/>
        <v>44769</v>
      </c>
      <c r="B27" s="298">
        <f t="shared" si="16"/>
        <v>81904.849999999977</v>
      </c>
      <c r="C27" s="14">
        <f t="shared" si="0"/>
        <v>433.95</v>
      </c>
      <c r="D27" s="14">
        <f t="shared" si="32"/>
        <v>109.74000000000001</v>
      </c>
      <c r="E27" s="14">
        <f t="shared" si="1"/>
        <v>324.20999999999998</v>
      </c>
      <c r="F27" s="298">
        <f t="shared" si="17"/>
        <v>1722.68</v>
      </c>
      <c r="G27" s="298">
        <f t="shared" si="18"/>
        <v>4247.96</v>
      </c>
      <c r="H27" s="298">
        <f t="shared" si="2"/>
        <v>81795.109999999971</v>
      </c>
      <c r="I27" s="451">
        <f t="shared" si="3"/>
        <v>0</v>
      </c>
      <c r="J27" s="298">
        <f t="shared" si="19"/>
        <v>377055</v>
      </c>
      <c r="K27" s="298">
        <f t="shared" si="20"/>
        <v>0</v>
      </c>
      <c r="L27" s="298">
        <f t="shared" si="33"/>
        <v>0</v>
      </c>
      <c r="M27" s="298">
        <f t="shared" si="21"/>
        <v>0</v>
      </c>
      <c r="N27" s="298">
        <f t="shared" si="22"/>
        <v>0</v>
      </c>
      <c r="O27" s="298">
        <f t="shared" si="23"/>
        <v>0</v>
      </c>
      <c r="P27" s="298">
        <f t="shared" si="4"/>
        <v>377055</v>
      </c>
      <c r="Q27" s="542">
        <f t="shared" si="5"/>
        <v>44769</v>
      </c>
      <c r="R27" s="298">
        <f t="shared" si="6"/>
        <v>0</v>
      </c>
      <c r="S27" s="535">
        <f t="shared" si="24"/>
        <v>4.7500000000000001E-2</v>
      </c>
      <c r="T27" s="298">
        <f t="shared" si="7"/>
        <v>0</v>
      </c>
      <c r="U27" s="298">
        <f t="shared" si="8"/>
        <v>0</v>
      </c>
      <c r="V27" s="298">
        <f t="shared" si="9"/>
        <v>0</v>
      </c>
      <c r="W27" s="298">
        <f t="shared" si="10"/>
        <v>0</v>
      </c>
      <c r="X27" s="298">
        <f t="shared" si="11"/>
        <v>0</v>
      </c>
      <c r="Y27" s="298">
        <f t="shared" si="12"/>
        <v>0</v>
      </c>
      <c r="Z27" s="298">
        <f t="shared" si="34"/>
        <v>0</v>
      </c>
      <c r="AA27" s="298">
        <f t="shared" si="35"/>
        <v>0</v>
      </c>
      <c r="AB27" s="298">
        <f t="shared" si="13"/>
        <v>377055</v>
      </c>
      <c r="AC27" s="451">
        <f t="shared" si="25"/>
        <v>0</v>
      </c>
      <c r="AD27" s="552">
        <f t="shared" si="26"/>
        <v>0</v>
      </c>
      <c r="AE27" s="552">
        <f t="shared" si="14"/>
        <v>0</v>
      </c>
      <c r="AF27" s="552"/>
      <c r="AG27" s="552">
        <f t="shared" si="27"/>
        <v>0</v>
      </c>
      <c r="AH27" s="552">
        <f t="shared" si="28"/>
        <v>386402.18</v>
      </c>
      <c r="AI27" s="552"/>
      <c r="AJ27" s="14">
        <f t="shared" si="29"/>
        <v>0</v>
      </c>
      <c r="AK27" s="14">
        <f t="shared" si="30"/>
        <v>0</v>
      </c>
      <c r="AL27" s="552">
        <f>IF(R27&lt;=0,0,+([1]Profit!$B$4+AM26)*$AL$1/12)</f>
        <v>0</v>
      </c>
      <c r="AM27" s="14">
        <f t="shared" si="31"/>
        <v>0</v>
      </c>
    </row>
    <row r="28" spans="1:39" x14ac:dyDescent="0.25">
      <c r="A28" s="542">
        <f t="shared" si="15"/>
        <v>44799</v>
      </c>
      <c r="B28" s="298">
        <f t="shared" si="16"/>
        <v>81795.109999999971</v>
      </c>
      <c r="C28" s="14">
        <f t="shared" si="0"/>
        <v>433.95</v>
      </c>
      <c r="D28" s="14">
        <f t="shared" si="32"/>
        <v>110.18</v>
      </c>
      <c r="E28" s="14">
        <f t="shared" si="1"/>
        <v>323.77</v>
      </c>
      <c r="F28" s="298">
        <f t="shared" si="17"/>
        <v>1832.8600000000001</v>
      </c>
      <c r="G28" s="298">
        <f t="shared" si="18"/>
        <v>4571.7299999999996</v>
      </c>
      <c r="H28" s="298">
        <f t="shared" si="2"/>
        <v>81684.929999999978</v>
      </c>
      <c r="I28" s="451">
        <f t="shared" si="3"/>
        <v>0</v>
      </c>
      <c r="J28" s="298">
        <f t="shared" si="19"/>
        <v>377055</v>
      </c>
      <c r="K28" s="298">
        <f t="shared" si="20"/>
        <v>0</v>
      </c>
      <c r="L28" s="298">
        <f t="shared" si="33"/>
        <v>0</v>
      </c>
      <c r="M28" s="298">
        <f t="shared" si="21"/>
        <v>0</v>
      </c>
      <c r="N28" s="298">
        <f t="shared" si="22"/>
        <v>0</v>
      </c>
      <c r="O28" s="298">
        <f t="shared" si="23"/>
        <v>0</v>
      </c>
      <c r="P28" s="298">
        <f t="shared" si="4"/>
        <v>377055</v>
      </c>
      <c r="Q28" s="542">
        <f t="shared" si="5"/>
        <v>44799</v>
      </c>
      <c r="R28" s="298">
        <f t="shared" si="6"/>
        <v>0</v>
      </c>
      <c r="S28" s="535">
        <f t="shared" si="24"/>
        <v>4.7500000000000001E-2</v>
      </c>
      <c r="T28" s="298">
        <f t="shared" si="7"/>
        <v>0</v>
      </c>
      <c r="U28" s="298">
        <f t="shared" si="8"/>
        <v>0</v>
      </c>
      <c r="V28" s="298">
        <f t="shared" si="9"/>
        <v>0</v>
      </c>
      <c r="W28" s="298">
        <f t="shared" si="10"/>
        <v>0</v>
      </c>
      <c r="X28" s="298">
        <f t="shared" si="11"/>
        <v>0</v>
      </c>
      <c r="Y28" s="298">
        <f t="shared" si="12"/>
        <v>0</v>
      </c>
      <c r="Z28" s="298">
        <f t="shared" si="34"/>
        <v>0</v>
      </c>
      <c r="AA28" s="298">
        <f t="shared" si="35"/>
        <v>0</v>
      </c>
      <c r="AB28" s="298">
        <f t="shared" si="13"/>
        <v>377055</v>
      </c>
      <c r="AC28" s="451">
        <f t="shared" si="25"/>
        <v>0</v>
      </c>
      <c r="AD28" s="552">
        <f t="shared" si="26"/>
        <v>0</v>
      </c>
      <c r="AE28" s="552">
        <f t="shared" si="14"/>
        <v>0</v>
      </c>
      <c r="AF28" s="552"/>
      <c r="AG28" s="552">
        <f t="shared" si="27"/>
        <v>0</v>
      </c>
      <c r="AH28" s="552">
        <f t="shared" si="28"/>
        <v>386512.36</v>
      </c>
      <c r="AI28" s="552"/>
      <c r="AJ28" s="14">
        <f t="shared" si="29"/>
        <v>0</v>
      </c>
      <c r="AK28" s="14">
        <f t="shared" si="30"/>
        <v>0</v>
      </c>
      <c r="AL28" s="552">
        <f>IF(R28&lt;=0,0,+([1]Profit!$B$4+AM27)*$AL$1/12)</f>
        <v>0</v>
      </c>
      <c r="AM28" s="14">
        <f t="shared" si="31"/>
        <v>0</v>
      </c>
    </row>
    <row r="29" spans="1:39" x14ac:dyDescent="0.25">
      <c r="A29" s="542">
        <f t="shared" si="15"/>
        <v>44829</v>
      </c>
      <c r="B29" s="298">
        <f t="shared" si="16"/>
        <v>81684.929999999978</v>
      </c>
      <c r="C29" s="14">
        <f t="shared" si="0"/>
        <v>433.95</v>
      </c>
      <c r="D29" s="14">
        <f t="shared" si="32"/>
        <v>110.61000000000001</v>
      </c>
      <c r="E29" s="14">
        <f t="shared" si="1"/>
        <v>323.33999999999997</v>
      </c>
      <c r="F29" s="298">
        <f t="shared" si="17"/>
        <v>1943.4700000000003</v>
      </c>
      <c r="G29" s="298">
        <f t="shared" si="18"/>
        <v>4895.07</v>
      </c>
      <c r="H29" s="298">
        <f t="shared" si="2"/>
        <v>81574.319999999978</v>
      </c>
      <c r="I29" s="451">
        <f t="shared" si="3"/>
        <v>0</v>
      </c>
      <c r="J29" s="298">
        <f t="shared" si="19"/>
        <v>377055</v>
      </c>
      <c r="K29" s="298">
        <f t="shared" si="20"/>
        <v>0</v>
      </c>
      <c r="L29" s="298">
        <f t="shared" si="33"/>
        <v>0</v>
      </c>
      <c r="M29" s="298">
        <f t="shared" si="21"/>
        <v>0</v>
      </c>
      <c r="N29" s="298">
        <f t="shared" si="22"/>
        <v>0</v>
      </c>
      <c r="O29" s="298">
        <f t="shared" si="23"/>
        <v>0</v>
      </c>
      <c r="P29" s="298">
        <f t="shared" si="4"/>
        <v>377055</v>
      </c>
      <c r="Q29" s="542">
        <f t="shared" si="5"/>
        <v>44829</v>
      </c>
      <c r="R29" s="298">
        <f t="shared" si="6"/>
        <v>0</v>
      </c>
      <c r="S29" s="535">
        <f t="shared" si="24"/>
        <v>4.7500000000000001E-2</v>
      </c>
      <c r="T29" s="298">
        <f t="shared" si="7"/>
        <v>0</v>
      </c>
      <c r="U29" s="298">
        <f t="shared" si="8"/>
        <v>0</v>
      </c>
      <c r="V29" s="298">
        <f t="shared" si="9"/>
        <v>0</v>
      </c>
      <c r="W29" s="298">
        <f t="shared" si="10"/>
        <v>0</v>
      </c>
      <c r="X29" s="298">
        <f t="shared" si="11"/>
        <v>0</v>
      </c>
      <c r="Y29" s="298">
        <f t="shared" si="12"/>
        <v>0</v>
      </c>
      <c r="Z29" s="298">
        <f t="shared" si="34"/>
        <v>0</v>
      </c>
      <c r="AA29" s="298">
        <f t="shared" si="35"/>
        <v>0</v>
      </c>
      <c r="AB29" s="298">
        <f t="shared" si="13"/>
        <v>377055</v>
      </c>
      <c r="AC29" s="451">
        <f t="shared" si="25"/>
        <v>0</v>
      </c>
      <c r="AD29" s="552">
        <f t="shared" si="26"/>
        <v>0</v>
      </c>
      <c r="AE29" s="552">
        <f t="shared" si="14"/>
        <v>0</v>
      </c>
      <c r="AF29" s="552"/>
      <c r="AG29" s="552">
        <f t="shared" si="27"/>
        <v>0</v>
      </c>
      <c r="AH29" s="552">
        <f t="shared" si="28"/>
        <v>386622.97</v>
      </c>
      <c r="AI29" s="552"/>
      <c r="AJ29" s="14">
        <f t="shared" si="29"/>
        <v>0</v>
      </c>
      <c r="AK29" s="14">
        <f t="shared" si="30"/>
        <v>0</v>
      </c>
      <c r="AL29" s="552">
        <f>IF(R29&lt;=0,0,+([1]Profit!$B$4+AM28)*$AL$1/12)</f>
        <v>0</v>
      </c>
      <c r="AM29" s="14">
        <f t="shared" si="31"/>
        <v>0</v>
      </c>
    </row>
    <row r="30" spans="1:39" x14ac:dyDescent="0.25">
      <c r="A30" s="542">
        <f t="shared" si="15"/>
        <v>44859</v>
      </c>
      <c r="B30" s="298">
        <f t="shared" si="16"/>
        <v>81574.319999999978</v>
      </c>
      <c r="C30" s="14">
        <f t="shared" si="0"/>
        <v>433.95</v>
      </c>
      <c r="D30" s="14">
        <f t="shared" si="32"/>
        <v>111.05000000000001</v>
      </c>
      <c r="E30" s="14">
        <f t="shared" si="1"/>
        <v>322.89999999999998</v>
      </c>
      <c r="F30" s="298">
        <f t="shared" si="17"/>
        <v>2054.5200000000004</v>
      </c>
      <c r="G30" s="298">
        <f t="shared" si="18"/>
        <v>5217.9699999999993</v>
      </c>
      <c r="H30" s="298">
        <f t="shared" si="2"/>
        <v>81463.269999999975</v>
      </c>
      <c r="I30" s="451">
        <f t="shared" si="3"/>
        <v>0</v>
      </c>
      <c r="J30" s="298">
        <f t="shared" si="19"/>
        <v>377055</v>
      </c>
      <c r="K30" s="298">
        <f t="shared" si="20"/>
        <v>0</v>
      </c>
      <c r="L30" s="298">
        <f t="shared" si="33"/>
        <v>0</v>
      </c>
      <c r="M30" s="298">
        <f t="shared" si="21"/>
        <v>0</v>
      </c>
      <c r="N30" s="298">
        <f t="shared" si="22"/>
        <v>0</v>
      </c>
      <c r="O30" s="298">
        <f t="shared" si="23"/>
        <v>0</v>
      </c>
      <c r="P30" s="298">
        <f t="shared" si="4"/>
        <v>377055</v>
      </c>
      <c r="Q30" s="542">
        <f t="shared" si="5"/>
        <v>44859</v>
      </c>
      <c r="R30" s="298">
        <f t="shared" si="6"/>
        <v>0</v>
      </c>
      <c r="S30" s="535">
        <f t="shared" si="24"/>
        <v>4.7500000000000001E-2</v>
      </c>
      <c r="T30" s="298">
        <f t="shared" si="7"/>
        <v>0</v>
      </c>
      <c r="U30" s="298">
        <f t="shared" si="8"/>
        <v>0</v>
      </c>
      <c r="V30" s="298">
        <f t="shared" si="9"/>
        <v>0</v>
      </c>
      <c r="W30" s="298">
        <f t="shared" si="10"/>
        <v>0</v>
      </c>
      <c r="X30" s="298">
        <f t="shared" si="11"/>
        <v>0</v>
      </c>
      <c r="Y30" s="298">
        <f t="shared" si="12"/>
        <v>0</v>
      </c>
      <c r="Z30" s="298">
        <f t="shared" si="34"/>
        <v>0</v>
      </c>
      <c r="AA30" s="298">
        <f t="shared" si="35"/>
        <v>0</v>
      </c>
      <c r="AB30" s="298">
        <f t="shared" si="13"/>
        <v>377055</v>
      </c>
      <c r="AC30" s="451">
        <f t="shared" si="25"/>
        <v>0</v>
      </c>
      <c r="AD30" s="552">
        <f t="shared" si="26"/>
        <v>0</v>
      </c>
      <c r="AE30" s="552">
        <f t="shared" si="14"/>
        <v>0</v>
      </c>
      <c r="AF30" s="552"/>
      <c r="AG30" s="552">
        <f t="shared" si="27"/>
        <v>0</v>
      </c>
      <c r="AH30" s="552">
        <f t="shared" si="28"/>
        <v>386734.02</v>
      </c>
      <c r="AI30" s="552"/>
      <c r="AJ30" s="14">
        <f t="shared" si="29"/>
        <v>0</v>
      </c>
      <c r="AK30" s="14">
        <f t="shared" si="30"/>
        <v>0</v>
      </c>
      <c r="AL30" s="552">
        <f>IF(R30&lt;=0,0,+([1]Profit!$B$4+AM29)*$AL$1/12)</f>
        <v>0</v>
      </c>
      <c r="AM30" s="14">
        <f t="shared" si="31"/>
        <v>0</v>
      </c>
    </row>
    <row r="31" spans="1:39" x14ac:dyDescent="0.25">
      <c r="A31" s="542">
        <f t="shared" si="15"/>
        <v>44889</v>
      </c>
      <c r="B31" s="298">
        <f t="shared" si="16"/>
        <v>81463.269999999975</v>
      </c>
      <c r="C31" s="14">
        <f t="shared" si="0"/>
        <v>433.95</v>
      </c>
      <c r="D31" s="14">
        <f t="shared" si="32"/>
        <v>111.49000000000001</v>
      </c>
      <c r="E31" s="14">
        <f t="shared" si="1"/>
        <v>322.45999999999998</v>
      </c>
      <c r="F31" s="298">
        <f t="shared" si="17"/>
        <v>2166.0100000000002</v>
      </c>
      <c r="G31" s="298">
        <f t="shared" si="18"/>
        <v>5540.4299999999994</v>
      </c>
      <c r="H31" s="298">
        <f t="shared" si="2"/>
        <v>81351.77999999997</v>
      </c>
      <c r="I31" s="451">
        <f t="shared" si="3"/>
        <v>0</v>
      </c>
      <c r="J31" s="298">
        <f t="shared" si="19"/>
        <v>377055</v>
      </c>
      <c r="K31" s="298">
        <f t="shared" si="20"/>
        <v>0</v>
      </c>
      <c r="L31" s="298">
        <f t="shared" si="33"/>
        <v>0</v>
      </c>
      <c r="M31" s="298">
        <f t="shared" si="21"/>
        <v>0</v>
      </c>
      <c r="N31" s="298">
        <f t="shared" si="22"/>
        <v>0</v>
      </c>
      <c r="O31" s="298">
        <f t="shared" si="23"/>
        <v>0</v>
      </c>
      <c r="P31" s="298">
        <f t="shared" si="4"/>
        <v>377055</v>
      </c>
      <c r="Q31" s="542">
        <f t="shared" si="5"/>
        <v>44889</v>
      </c>
      <c r="R31" s="298">
        <f t="shared" si="6"/>
        <v>0</v>
      </c>
      <c r="S31" s="535">
        <f t="shared" si="24"/>
        <v>4.7500000000000001E-2</v>
      </c>
      <c r="T31" s="298">
        <f t="shared" si="7"/>
        <v>0</v>
      </c>
      <c r="U31" s="298">
        <f t="shared" si="8"/>
        <v>0</v>
      </c>
      <c r="V31" s="298">
        <f t="shared" si="9"/>
        <v>0</v>
      </c>
      <c r="W31" s="298">
        <f t="shared" si="10"/>
        <v>0</v>
      </c>
      <c r="X31" s="298">
        <f t="shared" si="11"/>
        <v>0</v>
      </c>
      <c r="Y31" s="298">
        <f t="shared" si="12"/>
        <v>0</v>
      </c>
      <c r="Z31" s="298">
        <f t="shared" si="34"/>
        <v>0</v>
      </c>
      <c r="AA31" s="298">
        <f t="shared" si="35"/>
        <v>0</v>
      </c>
      <c r="AB31" s="298">
        <f t="shared" si="13"/>
        <v>377055</v>
      </c>
      <c r="AC31" s="451">
        <f t="shared" si="25"/>
        <v>0</v>
      </c>
      <c r="AD31" s="552">
        <f t="shared" si="26"/>
        <v>0</v>
      </c>
      <c r="AE31" s="552">
        <f t="shared" si="14"/>
        <v>0</v>
      </c>
      <c r="AF31" s="552"/>
      <c r="AG31" s="552">
        <f t="shared" si="27"/>
        <v>0</v>
      </c>
      <c r="AH31" s="552">
        <f t="shared" si="28"/>
        <v>386845.51</v>
      </c>
      <c r="AI31" s="552"/>
      <c r="AJ31" s="14">
        <f t="shared" si="29"/>
        <v>0</v>
      </c>
      <c r="AK31" s="14">
        <f t="shared" si="30"/>
        <v>0</v>
      </c>
      <c r="AL31" s="552">
        <f>IF(R31&lt;=0,0,+([1]Profit!$B$4+AM30)*$AL$1/12)</f>
        <v>0</v>
      </c>
      <c r="AM31" s="14">
        <f t="shared" si="31"/>
        <v>0</v>
      </c>
    </row>
    <row r="32" spans="1:39" x14ac:dyDescent="0.25">
      <c r="A32" s="542">
        <f t="shared" si="15"/>
        <v>44919</v>
      </c>
      <c r="B32" s="298">
        <f t="shared" si="16"/>
        <v>81351.77999999997</v>
      </c>
      <c r="C32" s="14">
        <f t="shared" si="0"/>
        <v>433.95</v>
      </c>
      <c r="D32" s="14">
        <f t="shared" si="32"/>
        <v>111.93</v>
      </c>
      <c r="E32" s="14">
        <f t="shared" si="1"/>
        <v>322.02</v>
      </c>
      <c r="F32" s="298">
        <f t="shared" si="17"/>
        <v>2277.94</v>
      </c>
      <c r="G32" s="298">
        <f t="shared" si="18"/>
        <v>5862.4499999999989</v>
      </c>
      <c r="H32" s="298">
        <f t="shared" si="2"/>
        <v>81239.849999999977</v>
      </c>
      <c r="I32" s="451">
        <f t="shared" si="3"/>
        <v>0</v>
      </c>
      <c r="J32" s="298">
        <f t="shared" si="19"/>
        <v>377055</v>
      </c>
      <c r="K32" s="298">
        <f t="shared" si="20"/>
        <v>0</v>
      </c>
      <c r="L32" s="298">
        <f t="shared" si="33"/>
        <v>0</v>
      </c>
      <c r="M32" s="298">
        <f t="shared" si="21"/>
        <v>0</v>
      </c>
      <c r="N32" s="298">
        <f t="shared" si="22"/>
        <v>0</v>
      </c>
      <c r="O32" s="298">
        <f t="shared" si="23"/>
        <v>0</v>
      </c>
      <c r="P32" s="298">
        <f t="shared" si="4"/>
        <v>377055</v>
      </c>
      <c r="Q32" s="542">
        <f t="shared" si="5"/>
        <v>44919</v>
      </c>
      <c r="R32" s="298">
        <f t="shared" si="6"/>
        <v>0</v>
      </c>
      <c r="S32" s="535">
        <f t="shared" si="24"/>
        <v>4.7500000000000001E-2</v>
      </c>
      <c r="T32" s="298">
        <f t="shared" si="7"/>
        <v>0</v>
      </c>
      <c r="U32" s="298">
        <f t="shared" si="8"/>
        <v>0</v>
      </c>
      <c r="V32" s="298">
        <f t="shared" si="9"/>
        <v>0</v>
      </c>
      <c r="W32" s="298">
        <f t="shared" si="10"/>
        <v>0</v>
      </c>
      <c r="X32" s="298">
        <f t="shared" si="11"/>
        <v>0</v>
      </c>
      <c r="Y32" s="298">
        <f t="shared" si="12"/>
        <v>0</v>
      </c>
      <c r="Z32" s="298">
        <f t="shared" si="34"/>
        <v>0</v>
      </c>
      <c r="AA32" s="298">
        <f t="shared" si="35"/>
        <v>0</v>
      </c>
      <c r="AB32" s="298">
        <f t="shared" si="13"/>
        <v>377055</v>
      </c>
      <c r="AC32" s="451">
        <f t="shared" si="25"/>
        <v>0</v>
      </c>
      <c r="AD32" s="552">
        <f t="shared" si="26"/>
        <v>0</v>
      </c>
      <c r="AE32" s="552">
        <f t="shared" si="14"/>
        <v>0</v>
      </c>
      <c r="AF32" s="552"/>
      <c r="AG32" s="552">
        <f t="shared" si="27"/>
        <v>0</v>
      </c>
      <c r="AH32" s="552">
        <f t="shared" si="28"/>
        <v>386957.44</v>
      </c>
      <c r="AI32" s="552"/>
      <c r="AJ32" s="14">
        <f t="shared" si="29"/>
        <v>0</v>
      </c>
      <c r="AK32" s="14">
        <f t="shared" si="30"/>
        <v>0</v>
      </c>
      <c r="AL32" s="552">
        <f>IF(R32&lt;=0,0,+([1]Profit!$B$4+AM31)*$AL$1/12)</f>
        <v>0</v>
      </c>
      <c r="AM32" s="14">
        <f t="shared" si="31"/>
        <v>0</v>
      </c>
    </row>
    <row r="33" spans="1:39" x14ac:dyDescent="0.25">
      <c r="A33" s="542">
        <f t="shared" si="15"/>
        <v>44949</v>
      </c>
      <c r="B33" s="298">
        <f t="shared" si="16"/>
        <v>81239.849999999977</v>
      </c>
      <c r="C33" s="14">
        <f t="shared" si="0"/>
        <v>433.95</v>
      </c>
      <c r="D33" s="14">
        <f t="shared" si="32"/>
        <v>112.38</v>
      </c>
      <c r="E33" s="14">
        <f t="shared" si="1"/>
        <v>321.57</v>
      </c>
      <c r="F33" s="298">
        <f t="shared" si="17"/>
        <v>2390.3200000000002</v>
      </c>
      <c r="G33" s="298">
        <f t="shared" si="18"/>
        <v>6184.0199999999986</v>
      </c>
      <c r="H33" s="298">
        <f t="shared" si="2"/>
        <v>81127.469999999972</v>
      </c>
      <c r="I33" s="451">
        <f t="shared" si="3"/>
        <v>0</v>
      </c>
      <c r="J33" s="298">
        <f t="shared" si="19"/>
        <v>377055</v>
      </c>
      <c r="K33" s="298">
        <f t="shared" si="20"/>
        <v>0</v>
      </c>
      <c r="L33" s="298">
        <f t="shared" si="33"/>
        <v>0</v>
      </c>
      <c r="M33" s="298">
        <f t="shared" si="21"/>
        <v>0</v>
      </c>
      <c r="N33" s="298">
        <f t="shared" si="22"/>
        <v>0</v>
      </c>
      <c r="O33" s="298">
        <f t="shared" si="23"/>
        <v>0</v>
      </c>
      <c r="P33" s="298">
        <f t="shared" si="4"/>
        <v>377055</v>
      </c>
      <c r="Q33" s="542">
        <f t="shared" si="5"/>
        <v>44949</v>
      </c>
      <c r="R33" s="298">
        <f t="shared" si="6"/>
        <v>0</v>
      </c>
      <c r="S33" s="535">
        <f t="shared" si="24"/>
        <v>4.7500000000000001E-2</v>
      </c>
      <c r="T33" s="298">
        <f t="shared" si="7"/>
        <v>0</v>
      </c>
      <c r="U33" s="298">
        <f t="shared" si="8"/>
        <v>0</v>
      </c>
      <c r="V33" s="298">
        <f t="shared" si="9"/>
        <v>0</v>
      </c>
      <c r="W33" s="298">
        <f t="shared" si="10"/>
        <v>0</v>
      </c>
      <c r="X33" s="298">
        <f t="shared" si="11"/>
        <v>0</v>
      </c>
      <c r="Y33" s="298">
        <f t="shared" si="12"/>
        <v>0</v>
      </c>
      <c r="Z33" s="298">
        <f t="shared" si="34"/>
        <v>0</v>
      </c>
      <c r="AA33" s="298">
        <f t="shared" si="35"/>
        <v>0</v>
      </c>
      <c r="AB33" s="298">
        <f t="shared" si="13"/>
        <v>377055</v>
      </c>
      <c r="AC33" s="451">
        <f t="shared" si="25"/>
        <v>0</v>
      </c>
      <c r="AD33" s="552">
        <f t="shared" si="26"/>
        <v>0</v>
      </c>
      <c r="AE33" s="552">
        <f t="shared" si="14"/>
        <v>0</v>
      </c>
      <c r="AF33" s="552"/>
      <c r="AG33" s="552">
        <f t="shared" si="27"/>
        <v>0</v>
      </c>
      <c r="AH33" s="552">
        <f t="shared" si="28"/>
        <v>387069.82</v>
      </c>
      <c r="AI33" s="552"/>
      <c r="AJ33" s="14">
        <f t="shared" si="29"/>
        <v>0</v>
      </c>
      <c r="AK33" s="14">
        <f t="shared" si="30"/>
        <v>0</v>
      </c>
      <c r="AL33" s="552">
        <f>IF(R33&lt;=0,0,+([1]Profit!$B$4+AM32)*$AL$1/12)</f>
        <v>0</v>
      </c>
      <c r="AM33" s="14">
        <f t="shared" si="31"/>
        <v>0</v>
      </c>
    </row>
    <row r="34" spans="1:39" x14ac:dyDescent="0.25">
      <c r="A34" s="542">
        <f t="shared" si="15"/>
        <v>44979</v>
      </c>
      <c r="B34" s="298">
        <f t="shared" si="16"/>
        <v>81127.469999999972</v>
      </c>
      <c r="C34" s="14">
        <f t="shared" si="0"/>
        <v>433.95</v>
      </c>
      <c r="D34" s="14">
        <f t="shared" si="32"/>
        <v>112.82</v>
      </c>
      <c r="E34" s="14">
        <f t="shared" si="1"/>
        <v>321.13</v>
      </c>
      <c r="F34" s="298">
        <f t="shared" si="17"/>
        <v>2503.1400000000003</v>
      </c>
      <c r="G34" s="298">
        <f t="shared" si="18"/>
        <v>6505.1499999999987</v>
      </c>
      <c r="H34" s="298">
        <f t="shared" si="2"/>
        <v>81014.649999999965</v>
      </c>
      <c r="I34" s="451">
        <f t="shared" si="3"/>
        <v>0</v>
      </c>
      <c r="J34" s="298">
        <f t="shared" si="19"/>
        <v>377055</v>
      </c>
      <c r="K34" s="298">
        <f t="shared" si="20"/>
        <v>0</v>
      </c>
      <c r="L34" s="298">
        <f t="shared" si="33"/>
        <v>0</v>
      </c>
      <c r="M34" s="298">
        <f t="shared" si="21"/>
        <v>0</v>
      </c>
      <c r="N34" s="298">
        <f t="shared" si="22"/>
        <v>0</v>
      </c>
      <c r="O34" s="298">
        <f t="shared" si="23"/>
        <v>0</v>
      </c>
      <c r="P34" s="298">
        <f t="shared" si="4"/>
        <v>377055</v>
      </c>
      <c r="Q34" s="542">
        <f t="shared" si="5"/>
        <v>44979</v>
      </c>
      <c r="R34" s="298">
        <f t="shared" si="6"/>
        <v>0</v>
      </c>
      <c r="S34" s="535">
        <f t="shared" si="24"/>
        <v>4.7500000000000001E-2</v>
      </c>
      <c r="T34" s="298">
        <f t="shared" si="7"/>
        <v>0</v>
      </c>
      <c r="U34" s="298">
        <f t="shared" si="8"/>
        <v>0</v>
      </c>
      <c r="V34" s="298">
        <f t="shared" si="9"/>
        <v>0</v>
      </c>
      <c r="W34" s="298">
        <f t="shared" si="10"/>
        <v>0</v>
      </c>
      <c r="X34" s="298">
        <f t="shared" si="11"/>
        <v>0</v>
      </c>
      <c r="Y34" s="298">
        <f t="shared" si="12"/>
        <v>0</v>
      </c>
      <c r="Z34" s="298">
        <f t="shared" si="34"/>
        <v>0</v>
      </c>
      <c r="AA34" s="298">
        <f t="shared" si="35"/>
        <v>0</v>
      </c>
      <c r="AB34" s="298">
        <f t="shared" si="13"/>
        <v>377055</v>
      </c>
      <c r="AC34" s="451">
        <f t="shared" si="25"/>
        <v>0</v>
      </c>
      <c r="AD34" s="552">
        <f t="shared" si="26"/>
        <v>0</v>
      </c>
      <c r="AE34" s="552">
        <f t="shared" si="14"/>
        <v>0</v>
      </c>
      <c r="AF34" s="552"/>
      <c r="AG34" s="552">
        <f t="shared" si="27"/>
        <v>0</v>
      </c>
      <c r="AH34" s="552">
        <f t="shared" si="28"/>
        <v>387182.64</v>
      </c>
      <c r="AI34" s="552"/>
      <c r="AJ34" s="14">
        <f t="shared" si="29"/>
        <v>0</v>
      </c>
      <c r="AK34" s="14">
        <f t="shared" si="30"/>
        <v>0</v>
      </c>
      <c r="AL34" s="552">
        <f>IF(R34&lt;=0,0,+([1]Profit!$B$4+AM33)*$AL$1/12)</f>
        <v>0</v>
      </c>
      <c r="AM34" s="14">
        <f t="shared" si="31"/>
        <v>0</v>
      </c>
    </row>
    <row r="35" spans="1:39" x14ac:dyDescent="0.25">
      <c r="A35" s="542">
        <f t="shared" si="15"/>
        <v>45009</v>
      </c>
      <c r="B35" s="298">
        <f t="shared" si="16"/>
        <v>81014.649999999965</v>
      </c>
      <c r="C35" s="14">
        <f t="shared" si="0"/>
        <v>433.95</v>
      </c>
      <c r="D35" s="14">
        <f t="shared" si="32"/>
        <v>113.26999999999998</v>
      </c>
      <c r="E35" s="14">
        <f t="shared" si="1"/>
        <v>320.68</v>
      </c>
      <c r="F35" s="298">
        <f t="shared" si="17"/>
        <v>2616.4100000000003</v>
      </c>
      <c r="G35" s="298">
        <f t="shared" si="18"/>
        <v>6825.829999999999</v>
      </c>
      <c r="H35" s="298">
        <f t="shared" si="2"/>
        <v>80901.379999999961</v>
      </c>
      <c r="I35" s="451">
        <f t="shared" si="3"/>
        <v>0</v>
      </c>
      <c r="J35" s="298">
        <f t="shared" si="19"/>
        <v>377055</v>
      </c>
      <c r="K35" s="298">
        <f t="shared" si="20"/>
        <v>0</v>
      </c>
      <c r="L35" s="298">
        <f t="shared" si="33"/>
        <v>0</v>
      </c>
      <c r="M35" s="298">
        <f t="shared" si="21"/>
        <v>0</v>
      </c>
      <c r="N35" s="298">
        <f t="shared" si="22"/>
        <v>0</v>
      </c>
      <c r="O35" s="298">
        <f t="shared" si="23"/>
        <v>0</v>
      </c>
      <c r="P35" s="298">
        <f t="shared" si="4"/>
        <v>377055</v>
      </c>
      <c r="Q35" s="542">
        <f t="shared" si="5"/>
        <v>45009</v>
      </c>
      <c r="R35" s="298">
        <f t="shared" si="6"/>
        <v>0</v>
      </c>
      <c r="S35" s="535">
        <f t="shared" si="24"/>
        <v>4.7500000000000001E-2</v>
      </c>
      <c r="T35" s="298">
        <f t="shared" si="7"/>
        <v>0</v>
      </c>
      <c r="U35" s="298">
        <f t="shared" si="8"/>
        <v>0</v>
      </c>
      <c r="V35" s="298">
        <f t="shared" si="9"/>
        <v>0</v>
      </c>
      <c r="W35" s="298">
        <f t="shared" si="10"/>
        <v>0</v>
      </c>
      <c r="X35" s="298">
        <f t="shared" si="11"/>
        <v>0</v>
      </c>
      <c r="Y35" s="298">
        <f t="shared" si="12"/>
        <v>0</v>
      </c>
      <c r="Z35" s="298">
        <f t="shared" si="34"/>
        <v>0</v>
      </c>
      <c r="AA35" s="298">
        <f t="shared" si="35"/>
        <v>0</v>
      </c>
      <c r="AB35" s="298">
        <f t="shared" si="13"/>
        <v>377055</v>
      </c>
      <c r="AC35" s="451">
        <f t="shared" si="25"/>
        <v>0</v>
      </c>
      <c r="AD35" s="552">
        <f t="shared" si="26"/>
        <v>0</v>
      </c>
      <c r="AE35" s="552">
        <f t="shared" si="14"/>
        <v>0</v>
      </c>
      <c r="AF35" s="552"/>
      <c r="AG35" s="552">
        <f t="shared" si="27"/>
        <v>0</v>
      </c>
      <c r="AH35" s="552">
        <f t="shared" si="28"/>
        <v>387295.91</v>
      </c>
      <c r="AI35" s="552"/>
      <c r="AJ35" s="14">
        <f t="shared" si="29"/>
        <v>0</v>
      </c>
      <c r="AK35" s="14">
        <f t="shared" si="30"/>
        <v>0</v>
      </c>
      <c r="AL35" s="552">
        <f>IF(R35&lt;=0,0,+([1]Profit!$B$4+AM34)*$AL$1/12)</f>
        <v>0</v>
      </c>
      <c r="AM35" s="14">
        <f t="shared" si="31"/>
        <v>0</v>
      </c>
    </row>
    <row r="36" spans="1:39" x14ac:dyDescent="0.25">
      <c r="A36" s="542">
        <f t="shared" si="15"/>
        <v>45039</v>
      </c>
      <c r="B36" s="298">
        <f t="shared" si="16"/>
        <v>80901.379999999961</v>
      </c>
      <c r="C36" s="14">
        <f t="shared" si="0"/>
        <v>433.95</v>
      </c>
      <c r="D36" s="14">
        <f t="shared" si="32"/>
        <v>113.71999999999997</v>
      </c>
      <c r="E36" s="14">
        <f t="shared" si="1"/>
        <v>320.23</v>
      </c>
      <c r="F36" s="298">
        <f t="shared" si="17"/>
        <v>2730.13</v>
      </c>
      <c r="G36" s="298">
        <f t="shared" si="18"/>
        <v>7146.0599999999995</v>
      </c>
      <c r="H36" s="298">
        <f t="shared" si="2"/>
        <v>80787.65999999996</v>
      </c>
      <c r="I36" s="451">
        <f t="shared" si="3"/>
        <v>0</v>
      </c>
      <c r="J36" s="298">
        <f t="shared" si="19"/>
        <v>377055</v>
      </c>
      <c r="K36" s="298">
        <f t="shared" si="20"/>
        <v>0</v>
      </c>
      <c r="L36" s="298">
        <f t="shared" si="33"/>
        <v>0</v>
      </c>
      <c r="M36" s="298">
        <f t="shared" si="21"/>
        <v>0</v>
      </c>
      <c r="N36" s="298">
        <f t="shared" si="22"/>
        <v>0</v>
      </c>
      <c r="O36" s="298">
        <f t="shared" si="23"/>
        <v>0</v>
      </c>
      <c r="P36" s="298">
        <f t="shared" si="4"/>
        <v>377055</v>
      </c>
      <c r="Q36" s="542">
        <f t="shared" si="5"/>
        <v>45039</v>
      </c>
      <c r="R36" s="298">
        <f t="shared" si="6"/>
        <v>0</v>
      </c>
      <c r="S36" s="535">
        <f t="shared" si="24"/>
        <v>4.7500000000000001E-2</v>
      </c>
      <c r="T36" s="298">
        <f t="shared" si="7"/>
        <v>0</v>
      </c>
      <c r="U36" s="298">
        <f t="shared" si="8"/>
        <v>0</v>
      </c>
      <c r="V36" s="298">
        <f t="shared" si="9"/>
        <v>0</v>
      </c>
      <c r="W36" s="298">
        <f t="shared" si="10"/>
        <v>0</v>
      </c>
      <c r="X36" s="298">
        <f t="shared" si="11"/>
        <v>0</v>
      </c>
      <c r="Y36" s="298">
        <f t="shared" si="12"/>
        <v>0</v>
      </c>
      <c r="Z36" s="298">
        <f t="shared" si="34"/>
        <v>0</v>
      </c>
      <c r="AA36" s="298">
        <f t="shared" si="35"/>
        <v>0</v>
      </c>
      <c r="AB36" s="298">
        <f t="shared" si="13"/>
        <v>377055</v>
      </c>
      <c r="AC36" s="451">
        <f t="shared" si="25"/>
        <v>0</v>
      </c>
      <c r="AD36" s="552">
        <f t="shared" si="26"/>
        <v>0</v>
      </c>
      <c r="AE36" s="552">
        <f t="shared" si="14"/>
        <v>0</v>
      </c>
      <c r="AF36" s="552"/>
      <c r="AG36" s="552">
        <f t="shared" si="27"/>
        <v>0</v>
      </c>
      <c r="AH36" s="552">
        <f t="shared" si="28"/>
        <v>387409.63</v>
      </c>
      <c r="AI36" s="552"/>
      <c r="AJ36" s="14">
        <f t="shared" si="29"/>
        <v>0</v>
      </c>
      <c r="AK36" s="14">
        <f t="shared" si="30"/>
        <v>0</v>
      </c>
      <c r="AL36" s="552">
        <f>IF(R36&lt;=0,0,+([1]Profit!$B$4+AM35)*$AL$1/12)</f>
        <v>0</v>
      </c>
      <c r="AM36" s="14">
        <f t="shared" si="31"/>
        <v>0</v>
      </c>
    </row>
    <row r="37" spans="1:39" x14ac:dyDescent="0.25">
      <c r="A37" s="542">
        <f t="shared" si="15"/>
        <v>45069</v>
      </c>
      <c r="B37" s="298">
        <f t="shared" si="16"/>
        <v>80787.65999999996</v>
      </c>
      <c r="C37" s="14">
        <f t="shared" si="0"/>
        <v>433.95</v>
      </c>
      <c r="D37" s="14">
        <f t="shared" si="32"/>
        <v>114.17000000000002</v>
      </c>
      <c r="E37" s="14">
        <f t="shared" si="1"/>
        <v>319.77999999999997</v>
      </c>
      <c r="F37" s="298">
        <f t="shared" si="17"/>
        <v>2844.3</v>
      </c>
      <c r="G37" s="298">
        <f t="shared" si="18"/>
        <v>7465.8399999999992</v>
      </c>
      <c r="H37" s="298">
        <f t="shared" si="2"/>
        <v>80673.489999999962</v>
      </c>
      <c r="I37" s="451">
        <f t="shared" si="3"/>
        <v>0</v>
      </c>
      <c r="J37" s="298">
        <f t="shared" si="19"/>
        <v>377055</v>
      </c>
      <c r="K37" s="298">
        <f t="shared" si="20"/>
        <v>0</v>
      </c>
      <c r="L37" s="298">
        <f t="shared" si="33"/>
        <v>0</v>
      </c>
      <c r="M37" s="298">
        <f t="shared" si="21"/>
        <v>0</v>
      </c>
      <c r="N37" s="298">
        <f t="shared" si="22"/>
        <v>0</v>
      </c>
      <c r="O37" s="298">
        <f t="shared" si="23"/>
        <v>0</v>
      </c>
      <c r="P37" s="298">
        <f t="shared" si="4"/>
        <v>377055</v>
      </c>
      <c r="Q37" s="542">
        <f t="shared" si="5"/>
        <v>45069</v>
      </c>
      <c r="R37" s="298">
        <f t="shared" si="6"/>
        <v>0</v>
      </c>
      <c r="S37" s="535">
        <f t="shared" si="24"/>
        <v>4.7500000000000001E-2</v>
      </c>
      <c r="T37" s="298">
        <f t="shared" si="7"/>
        <v>0</v>
      </c>
      <c r="U37" s="298">
        <f t="shared" si="8"/>
        <v>0</v>
      </c>
      <c r="V37" s="298">
        <f t="shared" si="9"/>
        <v>0</v>
      </c>
      <c r="W37" s="298">
        <f t="shared" si="10"/>
        <v>0</v>
      </c>
      <c r="X37" s="298">
        <f t="shared" si="11"/>
        <v>0</v>
      </c>
      <c r="Y37" s="298">
        <f t="shared" si="12"/>
        <v>0</v>
      </c>
      <c r="Z37" s="298">
        <f t="shared" si="34"/>
        <v>0</v>
      </c>
      <c r="AA37" s="298">
        <f t="shared" si="35"/>
        <v>0</v>
      </c>
      <c r="AB37" s="298">
        <f t="shared" si="13"/>
        <v>377055</v>
      </c>
      <c r="AC37" s="451">
        <f t="shared" si="25"/>
        <v>0</v>
      </c>
      <c r="AD37" s="552">
        <f t="shared" si="26"/>
        <v>0</v>
      </c>
      <c r="AE37" s="552">
        <f t="shared" si="14"/>
        <v>0</v>
      </c>
      <c r="AF37" s="552"/>
      <c r="AG37" s="552">
        <f t="shared" si="27"/>
        <v>0</v>
      </c>
      <c r="AH37" s="552">
        <f t="shared" si="28"/>
        <v>387523.8</v>
      </c>
      <c r="AI37" s="552"/>
      <c r="AJ37" s="14">
        <f t="shared" si="29"/>
        <v>0</v>
      </c>
      <c r="AK37" s="14">
        <f t="shared" si="30"/>
        <v>0</v>
      </c>
      <c r="AL37" s="552">
        <f>IF(R37&lt;=0,0,+([1]Profit!$B$4+AM36)*$AL$1/12)</f>
        <v>0</v>
      </c>
      <c r="AM37" s="14">
        <f t="shared" si="31"/>
        <v>0</v>
      </c>
    </row>
    <row r="38" spans="1:39" ht="15.75" thickBot="1" x14ac:dyDescent="0.3">
      <c r="A38" s="545">
        <f t="shared" si="15"/>
        <v>45099</v>
      </c>
      <c r="B38" s="371">
        <f t="shared" si="16"/>
        <v>80673.489999999962</v>
      </c>
      <c r="C38" s="21">
        <f t="shared" si="0"/>
        <v>433.95</v>
      </c>
      <c r="D38" s="21">
        <f t="shared" si="32"/>
        <v>114.62</v>
      </c>
      <c r="E38" s="21">
        <f t="shared" si="1"/>
        <v>319.33</v>
      </c>
      <c r="F38" s="371">
        <f t="shared" si="17"/>
        <v>2958.92</v>
      </c>
      <c r="G38" s="371">
        <f t="shared" si="18"/>
        <v>7785.1699999999992</v>
      </c>
      <c r="H38" s="371">
        <f t="shared" si="2"/>
        <v>80558.869999999966</v>
      </c>
      <c r="I38" s="452">
        <f t="shared" si="3"/>
        <v>0</v>
      </c>
      <c r="J38" s="371">
        <f t="shared" si="19"/>
        <v>377055</v>
      </c>
      <c r="K38" s="371">
        <f t="shared" si="20"/>
        <v>0</v>
      </c>
      <c r="L38" s="371">
        <f t="shared" si="33"/>
        <v>0</v>
      </c>
      <c r="M38" s="371">
        <f t="shared" si="21"/>
        <v>0</v>
      </c>
      <c r="N38" s="371">
        <f t="shared" si="22"/>
        <v>0</v>
      </c>
      <c r="O38" s="371">
        <f t="shared" si="23"/>
        <v>0</v>
      </c>
      <c r="P38" s="371">
        <f t="shared" si="4"/>
        <v>377055</v>
      </c>
      <c r="Q38" s="545">
        <f t="shared" si="5"/>
        <v>45099</v>
      </c>
      <c r="R38" s="371">
        <f t="shared" si="6"/>
        <v>0</v>
      </c>
      <c r="S38" s="536">
        <f t="shared" si="24"/>
        <v>4.7500000000000001E-2</v>
      </c>
      <c r="T38" s="371">
        <f t="shared" si="7"/>
        <v>0</v>
      </c>
      <c r="U38" s="371">
        <f t="shared" si="8"/>
        <v>0</v>
      </c>
      <c r="V38" s="371">
        <f t="shared" si="9"/>
        <v>0</v>
      </c>
      <c r="W38" s="371">
        <f t="shared" si="10"/>
        <v>0</v>
      </c>
      <c r="X38" s="371">
        <f t="shared" si="11"/>
        <v>0</v>
      </c>
      <c r="Y38" s="371">
        <f t="shared" si="12"/>
        <v>0</v>
      </c>
      <c r="Z38" s="371">
        <f t="shared" si="34"/>
        <v>0</v>
      </c>
      <c r="AA38" s="371">
        <f t="shared" si="35"/>
        <v>0</v>
      </c>
      <c r="AB38" s="371">
        <f t="shared" si="13"/>
        <v>377055</v>
      </c>
      <c r="AC38" s="452">
        <f t="shared" si="25"/>
        <v>0</v>
      </c>
      <c r="AD38" s="553">
        <f t="shared" si="26"/>
        <v>0</v>
      </c>
      <c r="AE38" s="553">
        <f t="shared" si="14"/>
        <v>0</v>
      </c>
      <c r="AF38" s="553"/>
      <c r="AG38" s="553">
        <f t="shared" si="27"/>
        <v>0</v>
      </c>
      <c r="AH38" s="553">
        <f t="shared" si="28"/>
        <v>387638.42</v>
      </c>
      <c r="AI38" s="553"/>
      <c r="AJ38" s="21">
        <f t="shared" si="29"/>
        <v>0</v>
      </c>
      <c r="AK38" s="21">
        <f t="shared" si="30"/>
        <v>0</v>
      </c>
      <c r="AL38" s="553">
        <f>IF(R38&lt;=0,0,+([1]Profit!$B$4+AM37)*$AL$1/12)</f>
        <v>0</v>
      </c>
      <c r="AM38" s="21">
        <f t="shared" si="31"/>
        <v>0</v>
      </c>
    </row>
    <row r="39" spans="1:39" x14ac:dyDescent="0.25">
      <c r="A39" s="542">
        <f t="shared" si="15"/>
        <v>45129</v>
      </c>
      <c r="B39" s="298">
        <f t="shared" si="16"/>
        <v>80558.869999999966</v>
      </c>
      <c r="C39" s="14">
        <f t="shared" si="0"/>
        <v>433.95</v>
      </c>
      <c r="D39" s="14">
        <f t="shared" si="32"/>
        <v>115.07</v>
      </c>
      <c r="E39" s="14">
        <f t="shared" si="1"/>
        <v>318.88</v>
      </c>
      <c r="F39" s="298">
        <f t="shared" si="17"/>
        <v>3073.9900000000002</v>
      </c>
      <c r="G39" s="298">
        <f t="shared" si="18"/>
        <v>8104.0499999999993</v>
      </c>
      <c r="H39" s="298">
        <f t="shared" si="2"/>
        <v>80443.799999999959</v>
      </c>
      <c r="I39" s="451">
        <f t="shared" si="3"/>
        <v>0</v>
      </c>
      <c r="J39" s="298">
        <f t="shared" si="19"/>
        <v>377055</v>
      </c>
      <c r="K39" s="298">
        <f t="shared" si="20"/>
        <v>0</v>
      </c>
      <c r="L39" s="298">
        <f t="shared" si="33"/>
        <v>0</v>
      </c>
      <c r="M39" s="298">
        <f t="shared" si="21"/>
        <v>0</v>
      </c>
      <c r="N39" s="298">
        <f t="shared" si="22"/>
        <v>0</v>
      </c>
      <c r="O39" s="298">
        <f t="shared" si="23"/>
        <v>0</v>
      </c>
      <c r="P39" s="298">
        <f t="shared" si="4"/>
        <v>377055</v>
      </c>
      <c r="Q39" s="542">
        <f t="shared" si="5"/>
        <v>45129</v>
      </c>
      <c r="R39" s="298">
        <f t="shared" si="6"/>
        <v>0</v>
      </c>
      <c r="S39" s="535">
        <f t="shared" si="24"/>
        <v>4.7500000000000001E-2</v>
      </c>
      <c r="T39" s="298">
        <f t="shared" si="7"/>
        <v>0</v>
      </c>
      <c r="U39" s="298">
        <f t="shared" si="8"/>
        <v>0</v>
      </c>
      <c r="V39" s="298">
        <f t="shared" si="9"/>
        <v>0</v>
      </c>
      <c r="W39" s="298">
        <f t="shared" si="10"/>
        <v>0</v>
      </c>
      <c r="X39" s="298">
        <f t="shared" si="11"/>
        <v>0</v>
      </c>
      <c r="Y39" s="298">
        <f t="shared" si="12"/>
        <v>0</v>
      </c>
      <c r="Z39" s="298">
        <f t="shared" si="34"/>
        <v>0</v>
      </c>
      <c r="AA39" s="298">
        <f t="shared" si="35"/>
        <v>0</v>
      </c>
      <c r="AB39" s="298">
        <f t="shared" si="13"/>
        <v>377055</v>
      </c>
      <c r="AC39" s="451">
        <f t="shared" si="25"/>
        <v>0</v>
      </c>
      <c r="AD39" s="552">
        <f t="shared" si="26"/>
        <v>0</v>
      </c>
      <c r="AE39" s="552">
        <f t="shared" si="14"/>
        <v>0</v>
      </c>
      <c r="AF39" s="552"/>
      <c r="AG39" s="552">
        <f t="shared" si="27"/>
        <v>0</v>
      </c>
      <c r="AH39" s="552">
        <f t="shared" si="28"/>
        <v>387753.49</v>
      </c>
      <c r="AI39" s="552"/>
      <c r="AJ39" s="14">
        <f t="shared" si="29"/>
        <v>0</v>
      </c>
      <c r="AK39" s="14">
        <f t="shared" si="30"/>
        <v>0</v>
      </c>
      <c r="AL39" s="552">
        <f>IF(R39&lt;=0,0,+([1]Profit!$B$4+AM38)*$AL$1/12)</f>
        <v>0</v>
      </c>
      <c r="AM39" s="14">
        <f t="shared" si="31"/>
        <v>0</v>
      </c>
    </row>
    <row r="40" spans="1:39" x14ac:dyDescent="0.25">
      <c r="A40" s="542">
        <f t="shared" si="15"/>
        <v>45159</v>
      </c>
      <c r="B40" s="298">
        <f t="shared" si="16"/>
        <v>80443.799999999959</v>
      </c>
      <c r="C40" s="14">
        <f t="shared" si="0"/>
        <v>433.95</v>
      </c>
      <c r="D40" s="14">
        <f t="shared" si="32"/>
        <v>115.52999999999997</v>
      </c>
      <c r="E40" s="14">
        <f t="shared" si="1"/>
        <v>318.42</v>
      </c>
      <c r="F40" s="298">
        <f t="shared" si="17"/>
        <v>3189.5200000000004</v>
      </c>
      <c r="G40" s="298">
        <f t="shared" si="18"/>
        <v>8422.4699999999993</v>
      </c>
      <c r="H40" s="298">
        <f t="shared" si="2"/>
        <v>80328.26999999996</v>
      </c>
      <c r="I40" s="451">
        <f t="shared" si="3"/>
        <v>0</v>
      </c>
      <c r="J40" s="298">
        <f t="shared" si="19"/>
        <v>377055</v>
      </c>
      <c r="K40" s="298">
        <f t="shared" si="20"/>
        <v>0</v>
      </c>
      <c r="L40" s="298">
        <f t="shared" si="33"/>
        <v>0</v>
      </c>
      <c r="M40" s="298">
        <f t="shared" si="21"/>
        <v>0</v>
      </c>
      <c r="N40" s="298">
        <f t="shared" si="22"/>
        <v>0</v>
      </c>
      <c r="O40" s="298">
        <f t="shared" si="23"/>
        <v>0</v>
      </c>
      <c r="P40" s="298">
        <f t="shared" si="4"/>
        <v>377055</v>
      </c>
      <c r="Q40" s="542">
        <f t="shared" si="5"/>
        <v>45159</v>
      </c>
      <c r="R40" s="298">
        <f t="shared" si="6"/>
        <v>0</v>
      </c>
      <c r="S40" s="535">
        <f t="shared" si="24"/>
        <v>4.7500000000000001E-2</v>
      </c>
      <c r="T40" s="298">
        <f t="shared" si="7"/>
        <v>0</v>
      </c>
      <c r="U40" s="298">
        <f t="shared" si="8"/>
        <v>0</v>
      </c>
      <c r="V40" s="298">
        <f t="shared" si="9"/>
        <v>0</v>
      </c>
      <c r="W40" s="298">
        <f t="shared" si="10"/>
        <v>0</v>
      </c>
      <c r="X40" s="298">
        <f t="shared" si="11"/>
        <v>0</v>
      </c>
      <c r="Y40" s="298">
        <f t="shared" si="12"/>
        <v>0</v>
      </c>
      <c r="Z40" s="298">
        <f t="shared" si="34"/>
        <v>0</v>
      </c>
      <c r="AA40" s="298">
        <f t="shared" si="35"/>
        <v>0</v>
      </c>
      <c r="AB40" s="298">
        <f t="shared" si="13"/>
        <v>377055</v>
      </c>
      <c r="AC40" s="451">
        <f t="shared" si="25"/>
        <v>0</v>
      </c>
      <c r="AD40" s="552">
        <f t="shared" si="26"/>
        <v>0</v>
      </c>
      <c r="AE40" s="552">
        <f t="shared" si="14"/>
        <v>0</v>
      </c>
      <c r="AF40" s="552"/>
      <c r="AG40" s="552">
        <f t="shared" si="27"/>
        <v>0</v>
      </c>
      <c r="AH40" s="552">
        <f t="shared" si="28"/>
        <v>387869.02</v>
      </c>
      <c r="AI40" s="552"/>
      <c r="AJ40" s="14">
        <f t="shared" si="29"/>
        <v>0</v>
      </c>
      <c r="AK40" s="14">
        <f t="shared" si="30"/>
        <v>0</v>
      </c>
      <c r="AL40" s="552">
        <f>IF(R40&lt;=0,0,+([1]Profit!$B$4+AM39)*$AL$1/12)</f>
        <v>0</v>
      </c>
      <c r="AM40" s="14">
        <f t="shared" si="31"/>
        <v>0</v>
      </c>
    </row>
    <row r="41" spans="1:39" x14ac:dyDescent="0.25">
      <c r="A41" s="542">
        <f t="shared" si="15"/>
        <v>45189</v>
      </c>
      <c r="B41" s="298">
        <f t="shared" si="16"/>
        <v>80328.26999999996</v>
      </c>
      <c r="C41" s="14">
        <f t="shared" si="0"/>
        <v>433.95</v>
      </c>
      <c r="D41" s="14">
        <f t="shared" si="32"/>
        <v>115.97999999999996</v>
      </c>
      <c r="E41" s="14">
        <f t="shared" si="1"/>
        <v>317.97000000000003</v>
      </c>
      <c r="F41" s="298">
        <f t="shared" si="17"/>
        <v>3305.5000000000005</v>
      </c>
      <c r="G41" s="298">
        <f t="shared" si="18"/>
        <v>8740.4399999999987</v>
      </c>
      <c r="H41" s="298">
        <f t="shared" si="2"/>
        <v>80212.289999999964</v>
      </c>
      <c r="I41" s="451">
        <f t="shared" si="3"/>
        <v>0</v>
      </c>
      <c r="J41" s="298">
        <f t="shared" si="19"/>
        <v>377055</v>
      </c>
      <c r="K41" s="298">
        <f t="shared" si="20"/>
        <v>0</v>
      </c>
      <c r="L41" s="298">
        <f t="shared" si="33"/>
        <v>0</v>
      </c>
      <c r="M41" s="298">
        <f t="shared" si="21"/>
        <v>0</v>
      </c>
      <c r="N41" s="298">
        <f t="shared" si="22"/>
        <v>0</v>
      </c>
      <c r="O41" s="298">
        <f t="shared" si="23"/>
        <v>0</v>
      </c>
      <c r="P41" s="298">
        <f t="shared" si="4"/>
        <v>377055</v>
      </c>
      <c r="Q41" s="542">
        <f t="shared" si="5"/>
        <v>45189</v>
      </c>
      <c r="R41" s="298">
        <f t="shared" si="6"/>
        <v>0</v>
      </c>
      <c r="S41" s="535">
        <f t="shared" si="24"/>
        <v>4.7500000000000001E-2</v>
      </c>
      <c r="T41" s="298">
        <f t="shared" si="7"/>
        <v>0</v>
      </c>
      <c r="U41" s="298">
        <f t="shared" si="8"/>
        <v>0</v>
      </c>
      <c r="V41" s="298">
        <f t="shared" si="9"/>
        <v>0</v>
      </c>
      <c r="W41" s="298">
        <f t="shared" si="10"/>
        <v>0</v>
      </c>
      <c r="X41" s="298">
        <f t="shared" si="11"/>
        <v>0</v>
      </c>
      <c r="Y41" s="298">
        <f t="shared" si="12"/>
        <v>0</v>
      </c>
      <c r="Z41" s="298">
        <f t="shared" si="34"/>
        <v>0</v>
      </c>
      <c r="AA41" s="298">
        <f t="shared" si="35"/>
        <v>0</v>
      </c>
      <c r="AB41" s="298">
        <f t="shared" si="13"/>
        <v>377055</v>
      </c>
      <c r="AC41" s="451">
        <f t="shared" si="25"/>
        <v>0</v>
      </c>
      <c r="AD41" s="552">
        <f t="shared" si="26"/>
        <v>0</v>
      </c>
      <c r="AE41" s="552">
        <f t="shared" si="14"/>
        <v>0</v>
      </c>
      <c r="AF41" s="552"/>
      <c r="AG41" s="552">
        <f t="shared" si="27"/>
        <v>0</v>
      </c>
      <c r="AH41" s="552">
        <f t="shared" si="28"/>
        <v>387985</v>
      </c>
      <c r="AI41" s="552"/>
      <c r="AJ41" s="14">
        <f t="shared" si="29"/>
        <v>0</v>
      </c>
      <c r="AK41" s="14">
        <f t="shared" si="30"/>
        <v>0</v>
      </c>
      <c r="AL41" s="552">
        <f>IF(R41&lt;=0,0,+([1]Profit!$B$4+AM40)*$AL$1/12)</f>
        <v>0</v>
      </c>
      <c r="AM41" s="14">
        <f t="shared" si="31"/>
        <v>0</v>
      </c>
    </row>
    <row r="42" spans="1:39" x14ac:dyDescent="0.25">
      <c r="A42" s="542">
        <f t="shared" si="15"/>
        <v>45219</v>
      </c>
      <c r="B42" s="298">
        <f t="shared" si="16"/>
        <v>80212.289999999964</v>
      </c>
      <c r="C42" s="14">
        <f t="shared" si="0"/>
        <v>433.95</v>
      </c>
      <c r="D42" s="14">
        <f t="shared" si="32"/>
        <v>116.44</v>
      </c>
      <c r="E42" s="14">
        <f t="shared" si="1"/>
        <v>317.51</v>
      </c>
      <c r="F42" s="298">
        <f t="shared" si="17"/>
        <v>3421.9400000000005</v>
      </c>
      <c r="G42" s="298">
        <f t="shared" si="18"/>
        <v>9057.9499999999989</v>
      </c>
      <c r="H42" s="298">
        <f t="shared" si="2"/>
        <v>80095.849999999962</v>
      </c>
      <c r="I42" s="451">
        <f t="shared" si="3"/>
        <v>0</v>
      </c>
      <c r="J42" s="298">
        <f t="shared" si="19"/>
        <v>377055</v>
      </c>
      <c r="K42" s="298">
        <f t="shared" si="20"/>
        <v>0</v>
      </c>
      <c r="L42" s="298">
        <f t="shared" si="33"/>
        <v>0</v>
      </c>
      <c r="M42" s="298">
        <f t="shared" si="21"/>
        <v>0</v>
      </c>
      <c r="N42" s="298">
        <f t="shared" si="22"/>
        <v>0</v>
      </c>
      <c r="O42" s="298">
        <f t="shared" si="23"/>
        <v>0</v>
      </c>
      <c r="P42" s="298">
        <f t="shared" si="4"/>
        <v>377055</v>
      </c>
      <c r="Q42" s="542">
        <f t="shared" si="5"/>
        <v>45219</v>
      </c>
      <c r="R42" s="298">
        <f t="shared" si="6"/>
        <v>0</v>
      </c>
      <c r="S42" s="535">
        <f t="shared" si="24"/>
        <v>4.7500000000000001E-2</v>
      </c>
      <c r="T42" s="298">
        <f t="shared" si="7"/>
        <v>0</v>
      </c>
      <c r="U42" s="298">
        <f t="shared" si="8"/>
        <v>0</v>
      </c>
      <c r="V42" s="298">
        <f t="shared" si="9"/>
        <v>0</v>
      </c>
      <c r="W42" s="298">
        <f t="shared" si="10"/>
        <v>0</v>
      </c>
      <c r="X42" s="298">
        <f t="shared" si="11"/>
        <v>0</v>
      </c>
      <c r="Y42" s="298">
        <f t="shared" si="12"/>
        <v>0</v>
      </c>
      <c r="Z42" s="298">
        <f t="shared" si="34"/>
        <v>0</v>
      </c>
      <c r="AA42" s="298">
        <f t="shared" si="35"/>
        <v>0</v>
      </c>
      <c r="AB42" s="298">
        <f t="shared" si="13"/>
        <v>377055</v>
      </c>
      <c r="AC42" s="451">
        <f t="shared" si="25"/>
        <v>0</v>
      </c>
      <c r="AD42" s="552">
        <f t="shared" si="26"/>
        <v>0</v>
      </c>
      <c r="AE42" s="552">
        <f t="shared" si="14"/>
        <v>0</v>
      </c>
      <c r="AF42" s="552"/>
      <c r="AG42" s="552">
        <f t="shared" si="27"/>
        <v>0</v>
      </c>
      <c r="AH42" s="552">
        <f t="shared" si="28"/>
        <v>388101.44</v>
      </c>
      <c r="AI42" s="552"/>
      <c r="AJ42" s="14">
        <f t="shared" si="29"/>
        <v>0</v>
      </c>
      <c r="AK42" s="14">
        <f t="shared" si="30"/>
        <v>0</v>
      </c>
      <c r="AL42" s="552">
        <f>IF(R42&lt;=0,0,+([1]Profit!$B$4+AM41)*$AL$1/12)</f>
        <v>0</v>
      </c>
      <c r="AM42" s="14">
        <f t="shared" si="31"/>
        <v>0</v>
      </c>
    </row>
    <row r="43" spans="1:39" x14ac:dyDescent="0.25">
      <c r="A43" s="542">
        <f t="shared" si="15"/>
        <v>45249</v>
      </c>
      <c r="B43" s="298">
        <f t="shared" si="16"/>
        <v>80095.849999999962</v>
      </c>
      <c r="C43" s="14">
        <f t="shared" si="0"/>
        <v>433.95</v>
      </c>
      <c r="D43" s="14">
        <f t="shared" si="32"/>
        <v>116.89999999999998</v>
      </c>
      <c r="E43" s="14">
        <f t="shared" si="1"/>
        <v>317.05</v>
      </c>
      <c r="F43" s="298">
        <f t="shared" si="17"/>
        <v>3538.8400000000006</v>
      </c>
      <c r="G43" s="298">
        <f t="shared" si="18"/>
        <v>9374.9999999999982</v>
      </c>
      <c r="H43" s="298">
        <f t="shared" si="2"/>
        <v>79978.949999999968</v>
      </c>
      <c r="I43" s="451">
        <f t="shared" si="3"/>
        <v>0</v>
      </c>
      <c r="J43" s="298">
        <f t="shared" si="19"/>
        <v>377055</v>
      </c>
      <c r="K43" s="298">
        <f t="shared" si="20"/>
        <v>0</v>
      </c>
      <c r="L43" s="298">
        <f t="shared" si="33"/>
        <v>0</v>
      </c>
      <c r="M43" s="298">
        <f t="shared" si="21"/>
        <v>0</v>
      </c>
      <c r="N43" s="298">
        <f t="shared" si="22"/>
        <v>0</v>
      </c>
      <c r="O43" s="298">
        <f t="shared" si="23"/>
        <v>0</v>
      </c>
      <c r="P43" s="298">
        <f t="shared" si="4"/>
        <v>377055</v>
      </c>
      <c r="Q43" s="542">
        <f t="shared" si="5"/>
        <v>45249</v>
      </c>
      <c r="R43" s="298">
        <f t="shared" si="6"/>
        <v>0</v>
      </c>
      <c r="S43" s="535">
        <f t="shared" si="24"/>
        <v>4.7500000000000001E-2</v>
      </c>
      <c r="T43" s="298">
        <f t="shared" si="7"/>
        <v>0</v>
      </c>
      <c r="U43" s="298">
        <f t="shared" si="8"/>
        <v>0</v>
      </c>
      <c r="V43" s="298">
        <f t="shared" si="9"/>
        <v>0</v>
      </c>
      <c r="W43" s="298">
        <f t="shared" si="10"/>
        <v>0</v>
      </c>
      <c r="X43" s="298">
        <f t="shared" si="11"/>
        <v>0</v>
      </c>
      <c r="Y43" s="298">
        <f t="shared" si="12"/>
        <v>0</v>
      </c>
      <c r="Z43" s="298">
        <f t="shared" si="34"/>
        <v>0</v>
      </c>
      <c r="AA43" s="298">
        <f t="shared" si="35"/>
        <v>0</v>
      </c>
      <c r="AB43" s="298">
        <f t="shared" si="13"/>
        <v>377055</v>
      </c>
      <c r="AC43" s="451">
        <f t="shared" si="25"/>
        <v>0</v>
      </c>
      <c r="AD43" s="552">
        <f t="shared" si="26"/>
        <v>0</v>
      </c>
      <c r="AE43" s="552">
        <f t="shared" si="14"/>
        <v>0</v>
      </c>
      <c r="AF43" s="552"/>
      <c r="AG43" s="552">
        <f t="shared" si="27"/>
        <v>0</v>
      </c>
      <c r="AH43" s="552">
        <f t="shared" si="28"/>
        <v>388218.34</v>
      </c>
      <c r="AI43" s="552"/>
      <c r="AJ43" s="14">
        <f t="shared" si="29"/>
        <v>0</v>
      </c>
      <c r="AK43" s="14">
        <f t="shared" si="30"/>
        <v>0</v>
      </c>
      <c r="AL43" s="552">
        <f>IF(R43&lt;=0,0,+([1]Profit!$B$4+AM42)*$AL$1/12)</f>
        <v>0</v>
      </c>
      <c r="AM43" s="14">
        <f t="shared" si="31"/>
        <v>0</v>
      </c>
    </row>
    <row r="44" spans="1:39" x14ac:dyDescent="0.25">
      <c r="A44" s="542">
        <f t="shared" si="15"/>
        <v>45279</v>
      </c>
      <c r="B44" s="298">
        <f t="shared" si="16"/>
        <v>79978.949999999968</v>
      </c>
      <c r="C44" s="14">
        <f t="shared" si="0"/>
        <v>433.95</v>
      </c>
      <c r="D44" s="14">
        <f t="shared" si="32"/>
        <v>117.37</v>
      </c>
      <c r="E44" s="14">
        <f t="shared" si="1"/>
        <v>316.58</v>
      </c>
      <c r="F44" s="298">
        <f t="shared" si="17"/>
        <v>3656.2100000000005</v>
      </c>
      <c r="G44" s="298">
        <f t="shared" si="18"/>
        <v>9691.5799999999981</v>
      </c>
      <c r="H44" s="298">
        <f t="shared" si="2"/>
        <v>79861.579999999973</v>
      </c>
      <c r="I44" s="451">
        <f t="shared" si="3"/>
        <v>0</v>
      </c>
      <c r="J44" s="298">
        <f t="shared" si="19"/>
        <v>377055</v>
      </c>
      <c r="K44" s="298">
        <f t="shared" si="20"/>
        <v>0</v>
      </c>
      <c r="L44" s="298">
        <f t="shared" si="33"/>
        <v>0</v>
      </c>
      <c r="M44" s="298">
        <f t="shared" si="21"/>
        <v>0</v>
      </c>
      <c r="N44" s="298">
        <f t="shared" si="22"/>
        <v>0</v>
      </c>
      <c r="O44" s="298">
        <f t="shared" si="23"/>
        <v>0</v>
      </c>
      <c r="P44" s="298">
        <f t="shared" si="4"/>
        <v>377055</v>
      </c>
      <c r="Q44" s="542">
        <f t="shared" si="5"/>
        <v>45279</v>
      </c>
      <c r="R44" s="298">
        <f t="shared" si="6"/>
        <v>0</v>
      </c>
      <c r="S44" s="535">
        <f t="shared" si="24"/>
        <v>4.7500000000000001E-2</v>
      </c>
      <c r="T44" s="298">
        <f t="shared" si="7"/>
        <v>0</v>
      </c>
      <c r="U44" s="298">
        <f t="shared" si="8"/>
        <v>0</v>
      </c>
      <c r="V44" s="298">
        <f t="shared" si="9"/>
        <v>0</v>
      </c>
      <c r="W44" s="298">
        <f t="shared" si="10"/>
        <v>0</v>
      </c>
      <c r="X44" s="298">
        <f t="shared" si="11"/>
        <v>0</v>
      </c>
      <c r="Y44" s="298">
        <f t="shared" si="12"/>
        <v>0</v>
      </c>
      <c r="Z44" s="298">
        <f t="shared" si="34"/>
        <v>0</v>
      </c>
      <c r="AA44" s="298">
        <f t="shared" si="35"/>
        <v>0</v>
      </c>
      <c r="AB44" s="298">
        <f t="shared" si="13"/>
        <v>377055</v>
      </c>
      <c r="AC44" s="451">
        <f t="shared" si="25"/>
        <v>0</v>
      </c>
      <c r="AD44" s="552">
        <f t="shared" si="26"/>
        <v>0</v>
      </c>
      <c r="AE44" s="552">
        <f t="shared" si="14"/>
        <v>0</v>
      </c>
      <c r="AF44" s="552"/>
      <c r="AG44" s="552">
        <f t="shared" si="27"/>
        <v>0</v>
      </c>
      <c r="AH44" s="552">
        <f t="shared" si="28"/>
        <v>388335.71</v>
      </c>
      <c r="AI44" s="552"/>
      <c r="AJ44" s="14">
        <f t="shared" si="29"/>
        <v>0</v>
      </c>
      <c r="AK44" s="14">
        <f t="shared" si="30"/>
        <v>0</v>
      </c>
      <c r="AL44" s="552">
        <f>IF(R44&lt;=0,0,+([1]Profit!$B$4+AM43)*$AL$1/12)</f>
        <v>0</v>
      </c>
      <c r="AM44" s="14">
        <f t="shared" si="31"/>
        <v>0</v>
      </c>
    </row>
    <row r="45" spans="1:39" x14ac:dyDescent="0.25">
      <c r="A45" s="542">
        <f t="shared" si="15"/>
        <v>45309</v>
      </c>
      <c r="B45" s="298">
        <f t="shared" si="16"/>
        <v>79861.579999999973</v>
      </c>
      <c r="C45" s="14">
        <f t="shared" si="0"/>
        <v>433.95</v>
      </c>
      <c r="D45" s="14">
        <f t="shared" si="32"/>
        <v>117.82999999999998</v>
      </c>
      <c r="E45" s="14">
        <f t="shared" si="1"/>
        <v>316.12</v>
      </c>
      <c r="F45" s="298">
        <f t="shared" si="17"/>
        <v>3774.0400000000004</v>
      </c>
      <c r="G45" s="298">
        <f t="shared" si="18"/>
        <v>10007.699999999999</v>
      </c>
      <c r="H45" s="298">
        <f t="shared" si="2"/>
        <v>79743.749999999971</v>
      </c>
      <c r="I45" s="451">
        <f t="shared" si="3"/>
        <v>0</v>
      </c>
      <c r="J45" s="298">
        <f t="shared" si="19"/>
        <v>377055</v>
      </c>
      <c r="K45" s="298">
        <f t="shared" si="20"/>
        <v>0</v>
      </c>
      <c r="L45" s="298">
        <f t="shared" si="33"/>
        <v>0</v>
      </c>
      <c r="M45" s="298">
        <f t="shared" si="21"/>
        <v>0</v>
      </c>
      <c r="N45" s="298">
        <f t="shared" si="22"/>
        <v>0</v>
      </c>
      <c r="O45" s="298">
        <f t="shared" si="23"/>
        <v>0</v>
      </c>
      <c r="P45" s="298">
        <f t="shared" si="4"/>
        <v>377055</v>
      </c>
      <c r="Q45" s="542">
        <f t="shared" si="5"/>
        <v>45309</v>
      </c>
      <c r="R45" s="298">
        <f t="shared" si="6"/>
        <v>0</v>
      </c>
      <c r="S45" s="535">
        <f t="shared" si="24"/>
        <v>4.7500000000000001E-2</v>
      </c>
      <c r="T45" s="298">
        <f t="shared" si="7"/>
        <v>0</v>
      </c>
      <c r="U45" s="298">
        <f t="shared" si="8"/>
        <v>0</v>
      </c>
      <c r="V45" s="298">
        <f t="shared" si="9"/>
        <v>0</v>
      </c>
      <c r="W45" s="298">
        <f t="shared" si="10"/>
        <v>0</v>
      </c>
      <c r="X45" s="298">
        <f t="shared" si="11"/>
        <v>0</v>
      </c>
      <c r="Y45" s="298">
        <f t="shared" si="12"/>
        <v>0</v>
      </c>
      <c r="Z45" s="298">
        <f t="shared" si="34"/>
        <v>0</v>
      </c>
      <c r="AA45" s="298">
        <f t="shared" si="35"/>
        <v>0</v>
      </c>
      <c r="AB45" s="298">
        <f t="shared" si="13"/>
        <v>377055</v>
      </c>
      <c r="AC45" s="451">
        <f t="shared" si="25"/>
        <v>0</v>
      </c>
      <c r="AD45" s="552">
        <f t="shared" si="26"/>
        <v>0</v>
      </c>
      <c r="AE45" s="552">
        <f t="shared" si="14"/>
        <v>0</v>
      </c>
      <c r="AF45" s="552"/>
      <c r="AG45" s="552">
        <f t="shared" si="27"/>
        <v>0</v>
      </c>
      <c r="AH45" s="552">
        <f t="shared" si="28"/>
        <v>388453.54</v>
      </c>
      <c r="AI45" s="552"/>
      <c r="AJ45" s="14">
        <f t="shared" si="29"/>
        <v>0</v>
      </c>
      <c r="AK45" s="14">
        <f t="shared" si="30"/>
        <v>0</v>
      </c>
      <c r="AL45" s="552">
        <f>IF(R45&lt;=0,0,+([1]Profit!$B$4+AM44)*$AL$1/12)</f>
        <v>0</v>
      </c>
      <c r="AM45" s="14">
        <f t="shared" si="31"/>
        <v>0</v>
      </c>
    </row>
    <row r="46" spans="1:39" x14ac:dyDescent="0.25">
      <c r="A46" s="542">
        <f t="shared" si="15"/>
        <v>45339</v>
      </c>
      <c r="B46" s="298">
        <f t="shared" si="16"/>
        <v>79743.749999999971</v>
      </c>
      <c r="C46" s="14">
        <f t="shared" si="0"/>
        <v>433.95</v>
      </c>
      <c r="D46" s="14">
        <f t="shared" si="32"/>
        <v>118.30000000000001</v>
      </c>
      <c r="E46" s="14">
        <f t="shared" si="1"/>
        <v>315.64999999999998</v>
      </c>
      <c r="F46" s="298">
        <f t="shared" si="17"/>
        <v>3892.3400000000006</v>
      </c>
      <c r="G46" s="298">
        <f t="shared" si="18"/>
        <v>10323.349999999999</v>
      </c>
      <c r="H46" s="298">
        <f t="shared" si="2"/>
        <v>79625.449999999968</v>
      </c>
      <c r="I46" s="451">
        <f t="shared" si="3"/>
        <v>0</v>
      </c>
      <c r="J46" s="298">
        <f t="shared" si="19"/>
        <v>377055</v>
      </c>
      <c r="K46" s="298">
        <f t="shared" si="20"/>
        <v>0</v>
      </c>
      <c r="L46" s="298">
        <f t="shared" si="33"/>
        <v>0</v>
      </c>
      <c r="M46" s="298">
        <f t="shared" si="21"/>
        <v>0</v>
      </c>
      <c r="N46" s="298">
        <f t="shared" si="22"/>
        <v>0</v>
      </c>
      <c r="O46" s="298">
        <f t="shared" si="23"/>
        <v>0</v>
      </c>
      <c r="P46" s="298">
        <f t="shared" si="4"/>
        <v>377055</v>
      </c>
      <c r="Q46" s="542">
        <f t="shared" si="5"/>
        <v>45339</v>
      </c>
      <c r="R46" s="298">
        <f t="shared" si="6"/>
        <v>0</v>
      </c>
      <c r="S46" s="535">
        <f t="shared" si="24"/>
        <v>4.7500000000000001E-2</v>
      </c>
      <c r="T46" s="298">
        <f t="shared" si="7"/>
        <v>0</v>
      </c>
      <c r="U46" s="298">
        <f t="shared" si="8"/>
        <v>0</v>
      </c>
      <c r="V46" s="298">
        <f t="shared" si="9"/>
        <v>0</v>
      </c>
      <c r="W46" s="298">
        <f t="shared" si="10"/>
        <v>0</v>
      </c>
      <c r="X46" s="298">
        <f t="shared" si="11"/>
        <v>0</v>
      </c>
      <c r="Y46" s="298">
        <f t="shared" si="12"/>
        <v>0</v>
      </c>
      <c r="Z46" s="298">
        <f t="shared" si="34"/>
        <v>0</v>
      </c>
      <c r="AA46" s="298">
        <f t="shared" si="35"/>
        <v>0</v>
      </c>
      <c r="AB46" s="298">
        <f t="shared" si="13"/>
        <v>377055</v>
      </c>
      <c r="AC46" s="451">
        <f t="shared" si="25"/>
        <v>0</v>
      </c>
      <c r="AD46" s="552">
        <f t="shared" si="26"/>
        <v>0</v>
      </c>
      <c r="AE46" s="552">
        <f t="shared" si="14"/>
        <v>0</v>
      </c>
      <c r="AF46" s="552"/>
      <c r="AG46" s="552">
        <f t="shared" si="27"/>
        <v>0</v>
      </c>
      <c r="AH46" s="552">
        <f t="shared" si="28"/>
        <v>388571.84</v>
      </c>
      <c r="AI46" s="552"/>
      <c r="AJ46" s="14">
        <f t="shared" si="29"/>
        <v>0</v>
      </c>
      <c r="AK46" s="14">
        <f t="shared" si="30"/>
        <v>0</v>
      </c>
      <c r="AL46" s="552">
        <f>IF(R46&lt;=0,0,+([1]Profit!$B$4+AM45)*$AL$1/12)</f>
        <v>0</v>
      </c>
      <c r="AM46" s="14">
        <f t="shared" si="31"/>
        <v>0</v>
      </c>
    </row>
    <row r="47" spans="1:39" x14ac:dyDescent="0.25">
      <c r="A47" s="542">
        <f t="shared" si="15"/>
        <v>45369</v>
      </c>
      <c r="B47" s="298">
        <f t="shared" si="16"/>
        <v>79625.449999999968</v>
      </c>
      <c r="C47" s="14">
        <f t="shared" si="0"/>
        <v>433.95</v>
      </c>
      <c r="D47" s="14">
        <f t="shared" si="32"/>
        <v>118.76999999999998</v>
      </c>
      <c r="E47" s="14">
        <f t="shared" si="1"/>
        <v>315.18</v>
      </c>
      <c r="F47" s="298">
        <f t="shared" si="17"/>
        <v>4011.1100000000006</v>
      </c>
      <c r="G47" s="298">
        <f t="shared" si="18"/>
        <v>10638.529999999999</v>
      </c>
      <c r="H47" s="298">
        <f t="shared" si="2"/>
        <v>79506.679999999964</v>
      </c>
      <c r="I47" s="451">
        <f t="shared" si="3"/>
        <v>0</v>
      </c>
      <c r="J47" s="298">
        <f t="shared" si="19"/>
        <v>377055</v>
      </c>
      <c r="K47" s="298">
        <f t="shared" si="20"/>
        <v>0</v>
      </c>
      <c r="L47" s="298">
        <f t="shared" si="33"/>
        <v>0</v>
      </c>
      <c r="M47" s="298">
        <f t="shared" si="21"/>
        <v>0</v>
      </c>
      <c r="N47" s="298">
        <f t="shared" si="22"/>
        <v>0</v>
      </c>
      <c r="O47" s="298">
        <f t="shared" si="23"/>
        <v>0</v>
      </c>
      <c r="P47" s="298">
        <f t="shared" si="4"/>
        <v>377055</v>
      </c>
      <c r="Q47" s="542">
        <f t="shared" si="5"/>
        <v>45369</v>
      </c>
      <c r="R47" s="298">
        <f t="shared" si="6"/>
        <v>0</v>
      </c>
      <c r="S47" s="535">
        <f t="shared" si="24"/>
        <v>4.7500000000000001E-2</v>
      </c>
      <c r="T47" s="298">
        <f t="shared" si="7"/>
        <v>0</v>
      </c>
      <c r="U47" s="298">
        <f t="shared" si="8"/>
        <v>0</v>
      </c>
      <c r="V47" s="298">
        <f t="shared" si="9"/>
        <v>0</v>
      </c>
      <c r="W47" s="298">
        <f t="shared" si="10"/>
        <v>0</v>
      </c>
      <c r="X47" s="298">
        <f t="shared" si="11"/>
        <v>0</v>
      </c>
      <c r="Y47" s="298">
        <f t="shared" si="12"/>
        <v>0</v>
      </c>
      <c r="Z47" s="298">
        <f t="shared" si="34"/>
        <v>0</v>
      </c>
      <c r="AA47" s="298">
        <f t="shared" si="35"/>
        <v>0</v>
      </c>
      <c r="AB47" s="298">
        <f t="shared" si="13"/>
        <v>377055</v>
      </c>
      <c r="AC47" s="451">
        <f t="shared" si="25"/>
        <v>0</v>
      </c>
      <c r="AD47" s="552">
        <f t="shared" si="26"/>
        <v>0</v>
      </c>
      <c r="AE47" s="552">
        <f t="shared" si="14"/>
        <v>0</v>
      </c>
      <c r="AF47" s="552"/>
      <c r="AG47" s="552">
        <f t="shared" si="27"/>
        <v>0</v>
      </c>
      <c r="AH47" s="552">
        <f t="shared" si="28"/>
        <v>388690.61</v>
      </c>
      <c r="AI47" s="552"/>
      <c r="AJ47" s="14">
        <f t="shared" si="29"/>
        <v>0</v>
      </c>
      <c r="AK47" s="14">
        <f t="shared" si="30"/>
        <v>0</v>
      </c>
      <c r="AL47" s="552">
        <f>IF(R47&lt;=0,0,+([1]Profit!$B$4+AM46)*$AL$1/12)</f>
        <v>0</v>
      </c>
      <c r="AM47" s="14">
        <f t="shared" si="31"/>
        <v>0</v>
      </c>
    </row>
    <row r="48" spans="1:39" x14ac:dyDescent="0.25">
      <c r="A48" s="542">
        <f t="shared" si="15"/>
        <v>45399</v>
      </c>
      <c r="B48" s="298">
        <f t="shared" si="16"/>
        <v>79506.679999999964</v>
      </c>
      <c r="C48" s="14">
        <f t="shared" si="0"/>
        <v>433.95</v>
      </c>
      <c r="D48" s="14">
        <f t="shared" si="32"/>
        <v>119.24000000000001</v>
      </c>
      <c r="E48" s="14">
        <f t="shared" si="1"/>
        <v>314.70999999999998</v>
      </c>
      <c r="F48" s="298">
        <f t="shared" si="17"/>
        <v>4130.3500000000004</v>
      </c>
      <c r="G48" s="298">
        <f t="shared" si="18"/>
        <v>10953.239999999998</v>
      </c>
      <c r="H48" s="298">
        <f t="shared" si="2"/>
        <v>79387.439999999959</v>
      </c>
      <c r="I48" s="451">
        <f t="shared" si="3"/>
        <v>0</v>
      </c>
      <c r="J48" s="298">
        <f t="shared" si="19"/>
        <v>377055</v>
      </c>
      <c r="K48" s="298">
        <f t="shared" si="20"/>
        <v>0</v>
      </c>
      <c r="L48" s="298">
        <f t="shared" si="33"/>
        <v>0</v>
      </c>
      <c r="M48" s="298">
        <f t="shared" si="21"/>
        <v>0</v>
      </c>
      <c r="N48" s="298">
        <f t="shared" si="22"/>
        <v>0</v>
      </c>
      <c r="O48" s="298">
        <f t="shared" si="23"/>
        <v>0</v>
      </c>
      <c r="P48" s="298">
        <f t="shared" si="4"/>
        <v>377055</v>
      </c>
      <c r="Q48" s="542">
        <f t="shared" si="5"/>
        <v>45399</v>
      </c>
      <c r="R48" s="298">
        <f t="shared" si="6"/>
        <v>0</v>
      </c>
      <c r="S48" s="535">
        <f t="shared" si="24"/>
        <v>4.7500000000000001E-2</v>
      </c>
      <c r="T48" s="298">
        <f t="shared" si="7"/>
        <v>0</v>
      </c>
      <c r="U48" s="298">
        <f t="shared" si="8"/>
        <v>0</v>
      </c>
      <c r="V48" s="298">
        <f t="shared" si="9"/>
        <v>0</v>
      </c>
      <c r="W48" s="298">
        <f t="shared" si="10"/>
        <v>0</v>
      </c>
      <c r="X48" s="298">
        <f t="shared" si="11"/>
        <v>0</v>
      </c>
      <c r="Y48" s="298">
        <f t="shared" si="12"/>
        <v>0</v>
      </c>
      <c r="Z48" s="298">
        <f t="shared" si="34"/>
        <v>0</v>
      </c>
      <c r="AA48" s="298">
        <f t="shared" si="35"/>
        <v>0</v>
      </c>
      <c r="AB48" s="298">
        <f t="shared" si="13"/>
        <v>377055</v>
      </c>
      <c r="AC48" s="451">
        <f t="shared" si="25"/>
        <v>0</v>
      </c>
      <c r="AD48" s="552">
        <f t="shared" si="26"/>
        <v>0</v>
      </c>
      <c r="AE48" s="552">
        <f t="shared" si="14"/>
        <v>0</v>
      </c>
      <c r="AF48" s="552"/>
      <c r="AG48" s="552">
        <f t="shared" si="27"/>
        <v>0</v>
      </c>
      <c r="AH48" s="552">
        <f t="shared" si="28"/>
        <v>388809.85</v>
      </c>
      <c r="AI48" s="552"/>
      <c r="AJ48" s="14">
        <f t="shared" si="29"/>
        <v>0</v>
      </c>
      <c r="AK48" s="14">
        <f t="shared" si="30"/>
        <v>0</v>
      </c>
      <c r="AL48" s="552">
        <f>IF(R48&lt;=0,0,+([1]Profit!$B$4+AM47)*$AL$1/12)</f>
        <v>0</v>
      </c>
      <c r="AM48" s="14">
        <f t="shared" si="31"/>
        <v>0</v>
      </c>
    </row>
    <row r="49" spans="1:41" x14ac:dyDescent="0.25">
      <c r="A49" s="542">
        <f t="shared" si="15"/>
        <v>45429</v>
      </c>
      <c r="B49" s="298">
        <f t="shared" si="16"/>
        <v>79387.439999999959</v>
      </c>
      <c r="C49" s="14">
        <f t="shared" si="0"/>
        <v>433.95</v>
      </c>
      <c r="D49" s="14">
        <f t="shared" si="32"/>
        <v>119.70999999999998</v>
      </c>
      <c r="E49" s="14">
        <f t="shared" si="1"/>
        <v>314.24</v>
      </c>
      <c r="F49" s="298">
        <f t="shared" si="17"/>
        <v>4250.0600000000004</v>
      </c>
      <c r="G49" s="298">
        <f t="shared" si="18"/>
        <v>11267.479999999998</v>
      </c>
      <c r="H49" s="298">
        <f t="shared" si="2"/>
        <v>79267.729999999952</v>
      </c>
      <c r="I49" s="451">
        <f t="shared" si="3"/>
        <v>0</v>
      </c>
      <c r="J49" s="298">
        <f t="shared" si="19"/>
        <v>377055</v>
      </c>
      <c r="K49" s="298">
        <f t="shared" si="20"/>
        <v>0</v>
      </c>
      <c r="L49" s="298">
        <f t="shared" si="33"/>
        <v>0</v>
      </c>
      <c r="M49" s="298">
        <f t="shared" si="21"/>
        <v>0</v>
      </c>
      <c r="N49" s="298">
        <f t="shared" si="22"/>
        <v>0</v>
      </c>
      <c r="O49" s="298">
        <f t="shared" si="23"/>
        <v>0</v>
      </c>
      <c r="P49" s="298">
        <f t="shared" si="4"/>
        <v>377055</v>
      </c>
      <c r="Q49" s="542">
        <f t="shared" si="5"/>
        <v>45429</v>
      </c>
      <c r="R49" s="298">
        <f t="shared" si="6"/>
        <v>0</v>
      </c>
      <c r="S49" s="535">
        <f t="shared" si="24"/>
        <v>4.7500000000000001E-2</v>
      </c>
      <c r="T49" s="298">
        <f t="shared" si="7"/>
        <v>0</v>
      </c>
      <c r="U49" s="298">
        <f t="shared" si="8"/>
        <v>0</v>
      </c>
      <c r="V49" s="298">
        <f t="shared" si="9"/>
        <v>0</v>
      </c>
      <c r="W49" s="298">
        <f t="shared" si="10"/>
        <v>0</v>
      </c>
      <c r="X49" s="298">
        <f t="shared" si="11"/>
        <v>0</v>
      </c>
      <c r="Y49" s="298">
        <f t="shared" si="12"/>
        <v>0</v>
      </c>
      <c r="Z49" s="298">
        <f t="shared" si="34"/>
        <v>0</v>
      </c>
      <c r="AA49" s="298">
        <f t="shared" si="35"/>
        <v>0</v>
      </c>
      <c r="AB49" s="298">
        <f t="shared" si="13"/>
        <v>377055</v>
      </c>
      <c r="AC49" s="451">
        <f t="shared" si="25"/>
        <v>0</v>
      </c>
      <c r="AD49" s="552">
        <f t="shared" si="26"/>
        <v>0</v>
      </c>
      <c r="AE49" s="552">
        <f t="shared" si="14"/>
        <v>0</v>
      </c>
      <c r="AF49" s="552"/>
      <c r="AG49" s="552">
        <f t="shared" si="27"/>
        <v>0</v>
      </c>
      <c r="AH49" s="552">
        <f t="shared" si="28"/>
        <v>388929.56</v>
      </c>
      <c r="AI49" s="552"/>
      <c r="AJ49" s="14">
        <f t="shared" si="29"/>
        <v>0</v>
      </c>
      <c r="AK49" s="14">
        <f t="shared" si="30"/>
        <v>0</v>
      </c>
      <c r="AL49" s="552">
        <f>IF(R49&lt;=0,0,+([1]Profit!$B$4+AM48)*$AL$1/12)</f>
        <v>0</v>
      </c>
      <c r="AM49" s="14">
        <f t="shared" si="31"/>
        <v>0</v>
      </c>
    </row>
    <row r="50" spans="1:41" ht="15.75" thickBot="1" x14ac:dyDescent="0.3">
      <c r="A50" s="545">
        <f t="shared" si="15"/>
        <v>45459</v>
      </c>
      <c r="B50" s="371">
        <f t="shared" si="16"/>
        <v>79267.729999999952</v>
      </c>
      <c r="C50" s="21">
        <f t="shared" si="0"/>
        <v>433.95</v>
      </c>
      <c r="D50" s="21">
        <f t="shared" si="32"/>
        <v>120.18</v>
      </c>
      <c r="E50" s="21">
        <f t="shared" si="1"/>
        <v>313.77</v>
      </c>
      <c r="F50" s="371">
        <f t="shared" si="17"/>
        <v>4370.2400000000007</v>
      </c>
      <c r="G50" s="371">
        <f t="shared" si="18"/>
        <v>11581.249999999998</v>
      </c>
      <c r="H50" s="371">
        <f t="shared" si="2"/>
        <v>79147.549999999959</v>
      </c>
      <c r="I50" s="452">
        <f t="shared" si="3"/>
        <v>0</v>
      </c>
      <c r="J50" s="371">
        <f t="shared" si="19"/>
        <v>377055</v>
      </c>
      <c r="K50" s="371">
        <f t="shared" si="20"/>
        <v>0</v>
      </c>
      <c r="L50" s="371">
        <f t="shared" si="33"/>
        <v>0</v>
      </c>
      <c r="M50" s="371">
        <f t="shared" si="21"/>
        <v>0</v>
      </c>
      <c r="N50" s="371">
        <f t="shared" si="22"/>
        <v>0</v>
      </c>
      <c r="O50" s="371">
        <f t="shared" si="23"/>
        <v>0</v>
      </c>
      <c r="P50" s="371">
        <f t="shared" si="4"/>
        <v>377055</v>
      </c>
      <c r="Q50" s="545">
        <f t="shared" si="5"/>
        <v>45459</v>
      </c>
      <c r="R50" s="371">
        <f t="shared" si="6"/>
        <v>0</v>
      </c>
      <c r="S50" s="536">
        <f t="shared" si="24"/>
        <v>4.7500000000000001E-2</v>
      </c>
      <c r="T50" s="371">
        <f t="shared" si="7"/>
        <v>0</v>
      </c>
      <c r="U50" s="371">
        <f t="shared" si="8"/>
        <v>0</v>
      </c>
      <c r="V50" s="371">
        <f t="shared" si="9"/>
        <v>0</v>
      </c>
      <c r="W50" s="371">
        <f t="shared" si="10"/>
        <v>0</v>
      </c>
      <c r="X50" s="371">
        <f t="shared" si="11"/>
        <v>0</v>
      </c>
      <c r="Y50" s="371">
        <f t="shared" si="12"/>
        <v>0</v>
      </c>
      <c r="Z50" s="371">
        <f t="shared" si="34"/>
        <v>0</v>
      </c>
      <c r="AA50" s="371">
        <f t="shared" si="35"/>
        <v>0</v>
      </c>
      <c r="AB50" s="371">
        <f t="shared" si="13"/>
        <v>377055</v>
      </c>
      <c r="AC50" s="452">
        <f t="shared" si="25"/>
        <v>0</v>
      </c>
      <c r="AD50" s="553">
        <f t="shared" si="26"/>
        <v>0</v>
      </c>
      <c r="AE50" s="553">
        <f t="shared" si="14"/>
        <v>0</v>
      </c>
      <c r="AF50" s="553"/>
      <c r="AG50" s="553">
        <f t="shared" si="27"/>
        <v>0</v>
      </c>
      <c r="AH50" s="553">
        <f t="shared" si="28"/>
        <v>389049.74</v>
      </c>
      <c r="AI50" s="553"/>
      <c r="AJ50" s="21">
        <f t="shared" si="29"/>
        <v>0</v>
      </c>
      <c r="AK50" s="21">
        <f t="shared" si="30"/>
        <v>0</v>
      </c>
      <c r="AL50" s="553">
        <f>IF(R50&lt;=0,0,+([1]Profit!$B$4+AM49)*$AL$1/12)</f>
        <v>0</v>
      </c>
      <c r="AM50" s="21">
        <f t="shared" si="31"/>
        <v>0</v>
      </c>
    </row>
    <row r="51" spans="1:41" x14ac:dyDescent="0.25">
      <c r="A51" s="542">
        <f t="shared" si="15"/>
        <v>45489</v>
      </c>
      <c r="B51" s="298">
        <f t="shared" si="16"/>
        <v>79147.549999999959</v>
      </c>
      <c r="C51" s="14">
        <f t="shared" si="0"/>
        <v>433.95</v>
      </c>
      <c r="D51" s="14">
        <f t="shared" si="32"/>
        <v>120.65999999999997</v>
      </c>
      <c r="E51" s="14">
        <f t="shared" si="1"/>
        <v>313.29000000000002</v>
      </c>
      <c r="F51" s="298">
        <f t="shared" si="17"/>
        <v>4490.9000000000005</v>
      </c>
      <c r="G51" s="298">
        <f t="shared" si="18"/>
        <v>11894.539999999999</v>
      </c>
      <c r="H51" s="298">
        <f t="shared" si="2"/>
        <v>79026.889999999956</v>
      </c>
      <c r="I51" s="451">
        <f t="shared" si="3"/>
        <v>0</v>
      </c>
      <c r="J51" s="298">
        <f t="shared" si="19"/>
        <v>377055</v>
      </c>
      <c r="K51" s="298">
        <f t="shared" si="20"/>
        <v>0</v>
      </c>
      <c r="L51" s="298">
        <f t="shared" si="33"/>
        <v>0</v>
      </c>
      <c r="M51" s="298">
        <f t="shared" si="21"/>
        <v>0</v>
      </c>
      <c r="N51" s="298">
        <f t="shared" si="22"/>
        <v>0</v>
      </c>
      <c r="O51" s="298">
        <f t="shared" si="23"/>
        <v>0</v>
      </c>
      <c r="P51" s="298">
        <f t="shared" si="4"/>
        <v>377055</v>
      </c>
      <c r="Q51" s="542">
        <f t="shared" si="5"/>
        <v>45489</v>
      </c>
      <c r="R51" s="298">
        <f t="shared" si="6"/>
        <v>0</v>
      </c>
      <c r="S51" s="535">
        <f t="shared" si="24"/>
        <v>4.7500000000000001E-2</v>
      </c>
      <c r="T51" s="298">
        <f t="shared" si="7"/>
        <v>0</v>
      </c>
      <c r="U51" s="298">
        <f t="shared" si="8"/>
        <v>0</v>
      </c>
      <c r="V51" s="298">
        <f t="shared" si="9"/>
        <v>0</v>
      </c>
      <c r="W51" s="298">
        <f t="shared" si="10"/>
        <v>0</v>
      </c>
      <c r="X51" s="298">
        <f t="shared" si="11"/>
        <v>0</v>
      </c>
      <c r="Y51" s="298">
        <f t="shared" si="12"/>
        <v>0</v>
      </c>
      <c r="Z51" s="298">
        <f t="shared" si="34"/>
        <v>0</v>
      </c>
      <c r="AA51" s="298">
        <f t="shared" si="35"/>
        <v>0</v>
      </c>
      <c r="AB51" s="298">
        <f t="shared" si="13"/>
        <v>377055</v>
      </c>
      <c r="AC51" s="451">
        <f t="shared" si="25"/>
        <v>0</v>
      </c>
      <c r="AD51" s="552">
        <f t="shared" si="26"/>
        <v>0</v>
      </c>
      <c r="AE51" s="552">
        <f t="shared" si="14"/>
        <v>0</v>
      </c>
      <c r="AF51" s="552"/>
      <c r="AG51" s="552">
        <f t="shared" si="27"/>
        <v>0</v>
      </c>
      <c r="AH51" s="552">
        <f t="shared" si="28"/>
        <v>389170.4</v>
      </c>
      <c r="AI51" s="552"/>
      <c r="AJ51" s="14">
        <f t="shared" si="29"/>
        <v>0</v>
      </c>
      <c r="AK51" s="14">
        <f t="shared" si="30"/>
        <v>0</v>
      </c>
      <c r="AL51" s="552">
        <f>IF(R51&lt;=0,0,+([1]Profit!$B$4+AM50)*$AL$1/12)</f>
        <v>0</v>
      </c>
      <c r="AM51" s="14">
        <f t="shared" si="31"/>
        <v>0</v>
      </c>
    </row>
    <row r="52" spans="1:41" x14ac:dyDescent="0.25">
      <c r="A52" s="542">
        <f t="shared" si="15"/>
        <v>45519</v>
      </c>
      <c r="B52" s="298">
        <f t="shared" si="16"/>
        <v>79026.889999999956</v>
      </c>
      <c r="C52" s="14">
        <f t="shared" si="0"/>
        <v>433.95</v>
      </c>
      <c r="D52" s="14">
        <f t="shared" si="32"/>
        <v>121.13999999999999</v>
      </c>
      <c r="E52" s="14">
        <f t="shared" si="1"/>
        <v>312.81</v>
      </c>
      <c r="F52" s="298">
        <f t="shared" si="17"/>
        <v>4612.0400000000009</v>
      </c>
      <c r="G52" s="298">
        <f t="shared" si="18"/>
        <v>12207.349999999999</v>
      </c>
      <c r="H52" s="298">
        <f t="shared" si="2"/>
        <v>78905.749999999956</v>
      </c>
      <c r="I52" s="451">
        <f t="shared" si="3"/>
        <v>0</v>
      </c>
      <c r="J52" s="298">
        <f t="shared" si="19"/>
        <v>377055</v>
      </c>
      <c r="K52" s="298">
        <f t="shared" si="20"/>
        <v>0</v>
      </c>
      <c r="L52" s="298">
        <f t="shared" si="33"/>
        <v>0</v>
      </c>
      <c r="M52" s="298">
        <f t="shared" si="21"/>
        <v>0</v>
      </c>
      <c r="N52" s="298">
        <f t="shared" si="22"/>
        <v>0</v>
      </c>
      <c r="O52" s="298">
        <f t="shared" si="23"/>
        <v>0</v>
      </c>
      <c r="P52" s="298">
        <f t="shared" si="4"/>
        <v>377055</v>
      </c>
      <c r="Q52" s="542">
        <f t="shared" si="5"/>
        <v>45519</v>
      </c>
      <c r="R52" s="298">
        <f t="shared" si="6"/>
        <v>0</v>
      </c>
      <c r="S52" s="535">
        <f t="shared" si="24"/>
        <v>4.7500000000000001E-2</v>
      </c>
      <c r="T52" s="298">
        <f t="shared" si="7"/>
        <v>0</v>
      </c>
      <c r="U52" s="298">
        <f t="shared" si="8"/>
        <v>0</v>
      </c>
      <c r="V52" s="298">
        <f t="shared" si="9"/>
        <v>0</v>
      </c>
      <c r="W52" s="298">
        <f t="shared" si="10"/>
        <v>0</v>
      </c>
      <c r="X52" s="298">
        <f t="shared" si="11"/>
        <v>0</v>
      </c>
      <c r="Y52" s="298">
        <f t="shared" si="12"/>
        <v>0</v>
      </c>
      <c r="Z52" s="298">
        <f t="shared" si="34"/>
        <v>0</v>
      </c>
      <c r="AA52" s="298">
        <f t="shared" si="35"/>
        <v>0</v>
      </c>
      <c r="AB52" s="298">
        <f t="shared" si="13"/>
        <v>377055</v>
      </c>
      <c r="AC52" s="451">
        <f t="shared" si="25"/>
        <v>0</v>
      </c>
      <c r="AD52" s="552">
        <f t="shared" si="26"/>
        <v>0</v>
      </c>
      <c r="AE52" s="552">
        <f t="shared" si="14"/>
        <v>0</v>
      </c>
      <c r="AF52" s="552"/>
      <c r="AG52" s="552">
        <f t="shared" si="27"/>
        <v>0</v>
      </c>
      <c r="AH52" s="552">
        <f t="shared" si="28"/>
        <v>389291.54</v>
      </c>
      <c r="AI52" s="552"/>
      <c r="AJ52" s="14">
        <f t="shared" si="29"/>
        <v>0</v>
      </c>
      <c r="AK52" s="14">
        <f t="shared" si="30"/>
        <v>0</v>
      </c>
      <c r="AL52" s="552">
        <f>IF(R52&lt;=0,0,+([1]Profit!$B$4+AM51)*$AL$1/12)</f>
        <v>0</v>
      </c>
      <c r="AM52" s="14">
        <f t="shared" si="31"/>
        <v>0</v>
      </c>
    </row>
    <row r="53" spans="1:41" x14ac:dyDescent="0.25">
      <c r="A53" s="542">
        <f t="shared" si="15"/>
        <v>45549</v>
      </c>
      <c r="B53" s="298">
        <f t="shared" si="16"/>
        <v>78905.749999999956</v>
      </c>
      <c r="C53" s="14">
        <f t="shared" si="0"/>
        <v>433.95</v>
      </c>
      <c r="D53" s="14">
        <f t="shared" si="32"/>
        <v>121.61000000000001</v>
      </c>
      <c r="E53" s="14">
        <f t="shared" si="1"/>
        <v>312.33999999999997</v>
      </c>
      <c r="F53" s="298">
        <f t="shared" si="17"/>
        <v>4733.6500000000005</v>
      </c>
      <c r="G53" s="298">
        <f t="shared" si="18"/>
        <v>12519.689999999999</v>
      </c>
      <c r="H53" s="298">
        <f t="shared" si="2"/>
        <v>78784.139999999956</v>
      </c>
      <c r="I53" s="451">
        <f t="shared" si="3"/>
        <v>0</v>
      </c>
      <c r="J53" s="298">
        <f t="shared" si="19"/>
        <v>377055</v>
      </c>
      <c r="K53" s="298">
        <f t="shared" si="20"/>
        <v>0</v>
      </c>
      <c r="L53" s="298">
        <f t="shared" si="33"/>
        <v>0</v>
      </c>
      <c r="M53" s="298">
        <f t="shared" si="21"/>
        <v>0</v>
      </c>
      <c r="N53" s="298">
        <f t="shared" si="22"/>
        <v>0</v>
      </c>
      <c r="O53" s="298">
        <f t="shared" si="23"/>
        <v>0</v>
      </c>
      <c r="P53" s="298">
        <f t="shared" si="4"/>
        <v>377055</v>
      </c>
      <c r="Q53" s="542">
        <f t="shared" si="5"/>
        <v>45549</v>
      </c>
      <c r="R53" s="298">
        <f t="shared" si="6"/>
        <v>0</v>
      </c>
      <c r="S53" s="535">
        <f t="shared" si="24"/>
        <v>4.7500000000000001E-2</v>
      </c>
      <c r="T53" s="298">
        <f t="shared" si="7"/>
        <v>0</v>
      </c>
      <c r="U53" s="298">
        <f t="shared" si="8"/>
        <v>0</v>
      </c>
      <c r="V53" s="298">
        <f t="shared" si="9"/>
        <v>0</v>
      </c>
      <c r="W53" s="298">
        <f t="shared" si="10"/>
        <v>0</v>
      </c>
      <c r="X53" s="298">
        <f t="shared" si="11"/>
        <v>0</v>
      </c>
      <c r="Y53" s="298">
        <f t="shared" si="12"/>
        <v>0</v>
      </c>
      <c r="Z53" s="298">
        <f t="shared" si="34"/>
        <v>0</v>
      </c>
      <c r="AA53" s="298">
        <f t="shared" si="35"/>
        <v>0</v>
      </c>
      <c r="AB53" s="298">
        <f t="shared" si="13"/>
        <v>377055</v>
      </c>
      <c r="AC53" s="451">
        <f t="shared" si="25"/>
        <v>0</v>
      </c>
      <c r="AD53" s="552">
        <f t="shared" si="26"/>
        <v>0</v>
      </c>
      <c r="AE53" s="552">
        <f t="shared" si="14"/>
        <v>0</v>
      </c>
      <c r="AF53" s="552"/>
      <c r="AG53" s="552">
        <f t="shared" si="27"/>
        <v>0</v>
      </c>
      <c r="AH53" s="552">
        <f t="shared" si="28"/>
        <v>389413.15</v>
      </c>
      <c r="AI53" s="552"/>
      <c r="AJ53" s="14">
        <f t="shared" si="29"/>
        <v>0</v>
      </c>
      <c r="AK53" s="14">
        <f t="shared" si="30"/>
        <v>0</v>
      </c>
      <c r="AL53" s="552">
        <f>IF(R53&lt;=0,0,+([1]Profit!$B$4+AM52)*$AL$1/12)</f>
        <v>0</v>
      </c>
      <c r="AM53" s="14">
        <f t="shared" si="31"/>
        <v>0</v>
      </c>
    </row>
    <row r="54" spans="1:41" x14ac:dyDescent="0.25">
      <c r="A54" s="542">
        <f t="shared" si="15"/>
        <v>45579</v>
      </c>
      <c r="B54" s="298">
        <f t="shared" si="16"/>
        <v>78784.139999999956</v>
      </c>
      <c r="C54" s="14">
        <f t="shared" si="0"/>
        <v>433.95</v>
      </c>
      <c r="D54" s="14">
        <f t="shared" si="32"/>
        <v>122.09999999999997</v>
      </c>
      <c r="E54" s="14">
        <f t="shared" si="1"/>
        <v>311.85000000000002</v>
      </c>
      <c r="F54" s="298">
        <f t="shared" si="17"/>
        <v>4855.7500000000009</v>
      </c>
      <c r="G54" s="298">
        <f t="shared" si="18"/>
        <v>12831.539999999999</v>
      </c>
      <c r="H54" s="298">
        <f t="shared" si="2"/>
        <v>78662.03999999995</v>
      </c>
      <c r="I54" s="451">
        <f t="shared" si="3"/>
        <v>0</v>
      </c>
      <c r="J54" s="298">
        <f t="shared" si="19"/>
        <v>377055</v>
      </c>
      <c r="K54" s="298">
        <f t="shared" si="20"/>
        <v>0</v>
      </c>
      <c r="L54" s="298">
        <f t="shared" si="33"/>
        <v>0</v>
      </c>
      <c r="M54" s="298">
        <f t="shared" si="21"/>
        <v>0</v>
      </c>
      <c r="N54" s="298">
        <f t="shared" si="22"/>
        <v>0</v>
      </c>
      <c r="O54" s="298">
        <f t="shared" si="23"/>
        <v>0</v>
      </c>
      <c r="P54" s="298">
        <f t="shared" si="4"/>
        <v>377055</v>
      </c>
      <c r="Q54" s="542">
        <f t="shared" si="5"/>
        <v>45579</v>
      </c>
      <c r="R54" s="298">
        <f t="shared" si="6"/>
        <v>0</v>
      </c>
      <c r="S54" s="535">
        <f t="shared" si="24"/>
        <v>4.7500000000000001E-2</v>
      </c>
      <c r="T54" s="298">
        <f t="shared" si="7"/>
        <v>0</v>
      </c>
      <c r="U54" s="298">
        <f t="shared" si="8"/>
        <v>0</v>
      </c>
      <c r="V54" s="298">
        <f t="shared" si="9"/>
        <v>0</v>
      </c>
      <c r="W54" s="298">
        <f t="shared" si="10"/>
        <v>0</v>
      </c>
      <c r="X54" s="298">
        <f t="shared" si="11"/>
        <v>0</v>
      </c>
      <c r="Y54" s="298">
        <f t="shared" si="12"/>
        <v>0</v>
      </c>
      <c r="Z54" s="298">
        <f t="shared" si="34"/>
        <v>0</v>
      </c>
      <c r="AA54" s="298">
        <f t="shared" si="35"/>
        <v>0</v>
      </c>
      <c r="AB54" s="298">
        <f t="shared" si="13"/>
        <v>377055</v>
      </c>
      <c r="AC54" s="451">
        <f t="shared" si="25"/>
        <v>0</v>
      </c>
      <c r="AD54" s="552">
        <f t="shared" si="26"/>
        <v>0</v>
      </c>
      <c r="AE54" s="552">
        <f t="shared" si="14"/>
        <v>0</v>
      </c>
      <c r="AF54" s="552"/>
      <c r="AG54" s="552">
        <f t="shared" si="27"/>
        <v>0</v>
      </c>
      <c r="AH54" s="552">
        <f t="shared" si="28"/>
        <v>389535.25</v>
      </c>
      <c r="AI54" s="552"/>
      <c r="AJ54" s="14">
        <f t="shared" si="29"/>
        <v>0</v>
      </c>
      <c r="AK54" s="14">
        <f t="shared" si="30"/>
        <v>0</v>
      </c>
      <c r="AL54" s="552">
        <f>IF(R54&lt;=0,0,+([1]Profit!$B$4+AM53)*$AL$1/12)</f>
        <v>0</v>
      </c>
      <c r="AM54" s="14">
        <f t="shared" si="31"/>
        <v>0</v>
      </c>
    </row>
    <row r="55" spans="1:41" x14ac:dyDescent="0.25">
      <c r="A55" s="542">
        <f t="shared" si="15"/>
        <v>45609</v>
      </c>
      <c r="B55" s="298">
        <f t="shared" si="16"/>
        <v>78662.03999999995</v>
      </c>
      <c r="C55" s="14">
        <f t="shared" si="0"/>
        <v>433.95</v>
      </c>
      <c r="D55" s="14">
        <f t="shared" si="32"/>
        <v>122.57999999999998</v>
      </c>
      <c r="E55" s="14">
        <f t="shared" si="1"/>
        <v>311.37</v>
      </c>
      <c r="F55" s="298">
        <f t="shared" si="17"/>
        <v>4978.3300000000008</v>
      </c>
      <c r="G55" s="298">
        <f t="shared" si="18"/>
        <v>13142.91</v>
      </c>
      <c r="H55" s="298">
        <f t="shared" si="2"/>
        <v>78539.459999999948</v>
      </c>
      <c r="I55" s="451">
        <f t="shared" si="3"/>
        <v>0</v>
      </c>
      <c r="J55" s="298">
        <f t="shared" si="19"/>
        <v>377055</v>
      </c>
      <c r="K55" s="298">
        <f t="shared" si="20"/>
        <v>0</v>
      </c>
      <c r="L55" s="298">
        <f t="shared" si="33"/>
        <v>0</v>
      </c>
      <c r="M55" s="298">
        <f t="shared" si="21"/>
        <v>0</v>
      </c>
      <c r="N55" s="298">
        <f t="shared" si="22"/>
        <v>0</v>
      </c>
      <c r="O55" s="298">
        <f t="shared" si="23"/>
        <v>0</v>
      </c>
      <c r="P55" s="298">
        <f t="shared" si="4"/>
        <v>377055</v>
      </c>
      <c r="Q55" s="542">
        <f t="shared" si="5"/>
        <v>45609</v>
      </c>
      <c r="R55" s="298">
        <f t="shared" si="6"/>
        <v>0</v>
      </c>
      <c r="S55" s="535">
        <f t="shared" si="24"/>
        <v>4.7500000000000001E-2</v>
      </c>
      <c r="T55" s="298">
        <f t="shared" si="7"/>
        <v>0</v>
      </c>
      <c r="U55" s="298">
        <f t="shared" si="8"/>
        <v>0</v>
      </c>
      <c r="V55" s="298">
        <f t="shared" si="9"/>
        <v>0</v>
      </c>
      <c r="W55" s="298">
        <f t="shared" si="10"/>
        <v>0</v>
      </c>
      <c r="X55" s="298">
        <f t="shared" si="11"/>
        <v>0</v>
      </c>
      <c r="Y55" s="298">
        <f t="shared" si="12"/>
        <v>0</v>
      </c>
      <c r="Z55" s="298">
        <f t="shared" si="34"/>
        <v>0</v>
      </c>
      <c r="AA55" s="298">
        <f t="shared" si="35"/>
        <v>0</v>
      </c>
      <c r="AB55" s="298">
        <f t="shared" si="13"/>
        <v>377055</v>
      </c>
      <c r="AC55" s="451">
        <f t="shared" si="25"/>
        <v>0</v>
      </c>
      <c r="AD55" s="552">
        <f t="shared" si="26"/>
        <v>0</v>
      </c>
      <c r="AE55" s="552">
        <f t="shared" si="14"/>
        <v>0</v>
      </c>
      <c r="AF55" s="552"/>
      <c r="AG55" s="552">
        <f t="shared" si="27"/>
        <v>0</v>
      </c>
      <c r="AH55" s="552">
        <f t="shared" si="28"/>
        <v>389657.83</v>
      </c>
      <c r="AI55" s="552"/>
      <c r="AJ55" s="14">
        <f t="shared" si="29"/>
        <v>0</v>
      </c>
      <c r="AK55" s="14">
        <f t="shared" si="30"/>
        <v>0</v>
      </c>
      <c r="AL55" s="552">
        <f>IF(R55&lt;=0,0,+([1]Profit!$B$4+AM54)*$AL$1/12)</f>
        <v>0</v>
      </c>
      <c r="AM55" s="14">
        <f t="shared" si="31"/>
        <v>0</v>
      </c>
    </row>
    <row r="56" spans="1:41" x14ac:dyDescent="0.25">
      <c r="A56" s="542">
        <f t="shared" si="15"/>
        <v>45639</v>
      </c>
      <c r="B56" s="298">
        <f t="shared" si="16"/>
        <v>78539.459999999948</v>
      </c>
      <c r="C56" s="14">
        <f t="shared" si="0"/>
        <v>433.95</v>
      </c>
      <c r="D56" s="14">
        <f t="shared" si="32"/>
        <v>123.06</v>
      </c>
      <c r="E56" s="14">
        <f t="shared" si="1"/>
        <v>310.89</v>
      </c>
      <c r="F56" s="298">
        <f t="shared" si="17"/>
        <v>5101.3900000000012</v>
      </c>
      <c r="G56" s="298">
        <f t="shared" si="18"/>
        <v>13453.8</v>
      </c>
      <c r="H56" s="298">
        <f t="shared" si="2"/>
        <v>78416.399999999951</v>
      </c>
      <c r="I56" s="451">
        <f t="shared" si="3"/>
        <v>0</v>
      </c>
      <c r="J56" s="298">
        <f t="shared" si="19"/>
        <v>377055</v>
      </c>
      <c r="K56" s="298">
        <f t="shared" si="20"/>
        <v>0</v>
      </c>
      <c r="L56" s="298">
        <f t="shared" si="33"/>
        <v>0</v>
      </c>
      <c r="M56" s="298">
        <f t="shared" si="21"/>
        <v>0</v>
      </c>
      <c r="N56" s="298">
        <f t="shared" si="22"/>
        <v>0</v>
      </c>
      <c r="O56" s="298">
        <f t="shared" si="23"/>
        <v>0</v>
      </c>
      <c r="P56" s="298">
        <f t="shared" si="4"/>
        <v>377055</v>
      </c>
      <c r="Q56" s="542">
        <f t="shared" si="5"/>
        <v>45639</v>
      </c>
      <c r="R56" s="298">
        <f t="shared" si="6"/>
        <v>0</v>
      </c>
      <c r="S56" s="535">
        <f t="shared" si="24"/>
        <v>4.7500000000000001E-2</v>
      </c>
      <c r="T56" s="298">
        <f t="shared" si="7"/>
        <v>0</v>
      </c>
      <c r="U56" s="298">
        <f t="shared" si="8"/>
        <v>0</v>
      </c>
      <c r="V56" s="298">
        <f t="shared" si="9"/>
        <v>0</v>
      </c>
      <c r="W56" s="298">
        <f t="shared" si="10"/>
        <v>0</v>
      </c>
      <c r="X56" s="298">
        <f t="shared" si="11"/>
        <v>0</v>
      </c>
      <c r="Y56" s="298">
        <f t="shared" si="12"/>
        <v>0</v>
      </c>
      <c r="Z56" s="298">
        <f t="shared" si="34"/>
        <v>0</v>
      </c>
      <c r="AA56" s="298">
        <f t="shared" si="35"/>
        <v>0</v>
      </c>
      <c r="AB56" s="298">
        <f t="shared" si="13"/>
        <v>377055</v>
      </c>
      <c r="AC56" s="451">
        <f t="shared" si="25"/>
        <v>0</v>
      </c>
      <c r="AD56" s="552">
        <f t="shared" si="26"/>
        <v>0</v>
      </c>
      <c r="AE56" s="552">
        <f t="shared" si="14"/>
        <v>0</v>
      </c>
      <c r="AF56" s="552"/>
      <c r="AG56" s="552">
        <f t="shared" si="27"/>
        <v>0</v>
      </c>
      <c r="AH56" s="552">
        <f t="shared" si="28"/>
        <v>389780.89</v>
      </c>
      <c r="AI56" s="552"/>
      <c r="AJ56" s="14">
        <f t="shared" si="29"/>
        <v>0</v>
      </c>
      <c r="AK56" s="14">
        <f t="shared" si="30"/>
        <v>0</v>
      </c>
      <c r="AL56" s="552">
        <f>IF(R56&lt;=0,0,+([1]Profit!$B$4+AM55)*$AL$1/12)</f>
        <v>0</v>
      </c>
      <c r="AM56" s="14">
        <f t="shared" si="31"/>
        <v>0</v>
      </c>
    </row>
    <row r="57" spans="1:41" x14ac:dyDescent="0.25">
      <c r="A57" s="542">
        <f t="shared" si="15"/>
        <v>45669</v>
      </c>
      <c r="B57" s="298">
        <f t="shared" si="16"/>
        <v>78416.399999999951</v>
      </c>
      <c r="C57" s="14">
        <f t="shared" si="0"/>
        <v>433.95</v>
      </c>
      <c r="D57" s="14">
        <f t="shared" si="32"/>
        <v>123.55000000000001</v>
      </c>
      <c r="E57" s="14">
        <f t="shared" si="1"/>
        <v>310.39999999999998</v>
      </c>
      <c r="F57" s="298">
        <f t="shared" si="17"/>
        <v>5224.9400000000014</v>
      </c>
      <c r="G57" s="298">
        <f t="shared" si="18"/>
        <v>13764.199999999999</v>
      </c>
      <c r="H57" s="298">
        <f t="shared" si="2"/>
        <v>78292.849999999948</v>
      </c>
      <c r="I57" s="451">
        <f t="shared" si="3"/>
        <v>0</v>
      </c>
      <c r="J57" s="298">
        <f t="shared" si="19"/>
        <v>377055</v>
      </c>
      <c r="K57" s="298">
        <f t="shared" si="20"/>
        <v>0</v>
      </c>
      <c r="L57" s="298">
        <f t="shared" si="33"/>
        <v>0</v>
      </c>
      <c r="M57" s="298">
        <f t="shared" si="21"/>
        <v>0</v>
      </c>
      <c r="N57" s="298">
        <f t="shared" si="22"/>
        <v>0</v>
      </c>
      <c r="O57" s="298">
        <f t="shared" si="23"/>
        <v>0</v>
      </c>
      <c r="P57" s="298">
        <f t="shared" si="4"/>
        <v>377055</v>
      </c>
      <c r="Q57" s="542">
        <f t="shared" si="5"/>
        <v>45669</v>
      </c>
      <c r="R57" s="298">
        <f t="shared" si="6"/>
        <v>0</v>
      </c>
      <c r="S57" s="535">
        <f t="shared" si="24"/>
        <v>4.7500000000000001E-2</v>
      </c>
      <c r="T57" s="298">
        <f t="shared" si="7"/>
        <v>0</v>
      </c>
      <c r="U57" s="298">
        <f t="shared" si="8"/>
        <v>0</v>
      </c>
      <c r="V57" s="298">
        <f t="shared" si="9"/>
        <v>0</v>
      </c>
      <c r="W57" s="298">
        <f t="shared" si="10"/>
        <v>0</v>
      </c>
      <c r="X57" s="298">
        <f t="shared" si="11"/>
        <v>0</v>
      </c>
      <c r="Y57" s="298">
        <f t="shared" si="12"/>
        <v>0</v>
      </c>
      <c r="Z57" s="298">
        <f t="shared" si="34"/>
        <v>0</v>
      </c>
      <c r="AA57" s="298">
        <f t="shared" si="35"/>
        <v>0</v>
      </c>
      <c r="AB57" s="298">
        <f t="shared" si="13"/>
        <v>377055</v>
      </c>
      <c r="AC57" s="451">
        <f t="shared" si="25"/>
        <v>0</v>
      </c>
      <c r="AD57" s="552">
        <f t="shared" si="26"/>
        <v>0</v>
      </c>
      <c r="AE57" s="552">
        <f t="shared" si="14"/>
        <v>0</v>
      </c>
      <c r="AF57" s="552"/>
      <c r="AG57" s="552">
        <f t="shared" si="27"/>
        <v>0</v>
      </c>
      <c r="AH57" s="552">
        <f t="shared" si="28"/>
        <v>389904.44</v>
      </c>
      <c r="AI57" s="552"/>
      <c r="AJ57" s="14">
        <f t="shared" si="29"/>
        <v>0</v>
      </c>
      <c r="AK57" s="14">
        <f t="shared" si="30"/>
        <v>0</v>
      </c>
      <c r="AL57" s="552">
        <f>IF(R57&lt;=0,0,+([1]Profit!$B$4+AM56)*$AL$1/12)</f>
        <v>0</v>
      </c>
      <c r="AM57" s="14">
        <f t="shared" si="31"/>
        <v>0</v>
      </c>
    </row>
    <row r="58" spans="1:41" x14ac:dyDescent="0.25">
      <c r="A58" s="542">
        <f t="shared" si="15"/>
        <v>45699</v>
      </c>
      <c r="B58" s="298">
        <f t="shared" si="16"/>
        <v>78292.849999999948</v>
      </c>
      <c r="C58" s="14">
        <f t="shared" si="0"/>
        <v>433.95</v>
      </c>
      <c r="D58" s="14">
        <f t="shared" si="32"/>
        <v>124.03999999999996</v>
      </c>
      <c r="E58" s="14">
        <f t="shared" si="1"/>
        <v>309.91000000000003</v>
      </c>
      <c r="F58" s="298">
        <f t="shared" si="17"/>
        <v>5348.9800000000014</v>
      </c>
      <c r="G58" s="298">
        <f t="shared" si="18"/>
        <v>14074.109999999999</v>
      </c>
      <c r="H58" s="298">
        <f t="shared" si="2"/>
        <v>78168.809999999954</v>
      </c>
      <c r="I58" s="451">
        <f t="shared" si="3"/>
        <v>0</v>
      </c>
      <c r="J58" s="298">
        <f t="shared" si="19"/>
        <v>377055</v>
      </c>
      <c r="K58" s="298">
        <f>IF($J$10&lt;=$A58,IF(+$P57&lt;=0,0,$J$9),0)</f>
        <v>0</v>
      </c>
      <c r="L58" s="298">
        <f t="shared" si="33"/>
        <v>0</v>
      </c>
      <c r="M58" s="298">
        <f t="shared" si="21"/>
        <v>0</v>
      </c>
      <c r="N58" s="298">
        <f t="shared" si="22"/>
        <v>0</v>
      </c>
      <c r="O58" s="298">
        <f t="shared" si="23"/>
        <v>0</v>
      </c>
      <c r="P58" s="298">
        <f t="shared" si="4"/>
        <v>377055</v>
      </c>
      <c r="Q58" s="542">
        <f t="shared" si="5"/>
        <v>45699</v>
      </c>
      <c r="R58" s="298">
        <f t="shared" si="6"/>
        <v>0</v>
      </c>
      <c r="S58" s="535">
        <f t="shared" si="24"/>
        <v>4.7500000000000001E-2</v>
      </c>
      <c r="T58" s="298">
        <f t="shared" si="7"/>
        <v>0</v>
      </c>
      <c r="U58" s="298">
        <f t="shared" si="8"/>
        <v>0</v>
      </c>
      <c r="V58" s="298">
        <f t="shared" si="9"/>
        <v>0</v>
      </c>
      <c r="W58" s="298">
        <f t="shared" si="10"/>
        <v>0</v>
      </c>
      <c r="X58" s="298">
        <f t="shared" si="11"/>
        <v>0</v>
      </c>
      <c r="Y58" s="298">
        <f t="shared" si="12"/>
        <v>0</v>
      </c>
      <c r="Z58" s="298">
        <f t="shared" si="34"/>
        <v>0</v>
      </c>
      <c r="AA58" s="298">
        <f t="shared" si="35"/>
        <v>0</v>
      </c>
      <c r="AB58" s="298">
        <f t="shared" si="13"/>
        <v>377055</v>
      </c>
      <c r="AC58" s="451">
        <f t="shared" si="25"/>
        <v>0</v>
      </c>
      <c r="AD58" s="552">
        <f t="shared" si="26"/>
        <v>0</v>
      </c>
      <c r="AE58" s="552">
        <f t="shared" si="14"/>
        <v>0</v>
      </c>
      <c r="AF58" s="552"/>
      <c r="AG58" s="552">
        <f t="shared" si="27"/>
        <v>-433.95</v>
      </c>
      <c r="AH58" s="552">
        <f t="shared" si="28"/>
        <v>390028.48</v>
      </c>
      <c r="AI58" s="552"/>
      <c r="AJ58" s="14">
        <f t="shared" si="29"/>
        <v>-433.95</v>
      </c>
      <c r="AK58" s="14">
        <f t="shared" si="30"/>
        <v>-433.95</v>
      </c>
      <c r="AL58" s="552">
        <f>IF(R58&lt;=0,0,+([1]Profit!$B$4+AM57)*$AL$1/12)</f>
        <v>0</v>
      </c>
      <c r="AM58" s="14">
        <f t="shared" si="31"/>
        <v>0</v>
      </c>
    </row>
    <row r="59" spans="1:41" x14ac:dyDescent="0.25">
      <c r="A59" s="542">
        <f t="shared" si="15"/>
        <v>45729</v>
      </c>
      <c r="B59" s="298">
        <f t="shared" si="16"/>
        <v>78168.809999999954</v>
      </c>
      <c r="C59" s="14">
        <f t="shared" si="0"/>
        <v>433.95</v>
      </c>
      <c r="D59" s="14">
        <f t="shared" si="32"/>
        <v>124.52999999999997</v>
      </c>
      <c r="E59" s="14">
        <f t="shared" si="1"/>
        <v>309.42</v>
      </c>
      <c r="F59" s="298">
        <f t="shared" si="17"/>
        <v>5473.5100000000011</v>
      </c>
      <c r="G59" s="298">
        <f t="shared" si="18"/>
        <v>14383.529999999999</v>
      </c>
      <c r="H59" s="298">
        <f t="shared" si="2"/>
        <v>78044.279999999955</v>
      </c>
      <c r="I59" s="451">
        <f t="shared" si="3"/>
        <v>0</v>
      </c>
      <c r="J59" s="298">
        <f t="shared" si="19"/>
        <v>377055</v>
      </c>
      <c r="K59" s="298">
        <f>IF($J$10&lt;=A59,IF(+$P58&lt;=0,0,$J$9),0)</f>
        <v>0</v>
      </c>
      <c r="L59" s="298">
        <f t="shared" si="33"/>
        <v>0</v>
      </c>
      <c r="M59" s="298">
        <f t="shared" si="21"/>
        <v>0</v>
      </c>
      <c r="N59" s="298">
        <f t="shared" si="22"/>
        <v>0</v>
      </c>
      <c r="O59" s="298">
        <f t="shared" si="23"/>
        <v>0</v>
      </c>
      <c r="P59" s="298">
        <f t="shared" si="4"/>
        <v>377055</v>
      </c>
      <c r="Q59" s="542">
        <f t="shared" si="5"/>
        <v>45729</v>
      </c>
      <c r="R59" s="298">
        <f t="shared" si="6"/>
        <v>0</v>
      </c>
      <c r="S59" s="535">
        <f t="shared" si="24"/>
        <v>4.7500000000000001E-2</v>
      </c>
      <c r="T59" s="298">
        <f t="shared" si="7"/>
        <v>0</v>
      </c>
      <c r="U59" s="298">
        <f>+T59-V59</f>
        <v>0</v>
      </c>
      <c r="V59" s="298">
        <f t="shared" si="9"/>
        <v>0</v>
      </c>
      <c r="W59" s="298">
        <f t="shared" si="10"/>
        <v>0</v>
      </c>
      <c r="X59" s="298">
        <f t="shared" si="11"/>
        <v>0</v>
      </c>
      <c r="Y59" s="298">
        <f t="shared" si="12"/>
        <v>0</v>
      </c>
      <c r="Z59" s="298">
        <f>+U59+Z58</f>
        <v>0</v>
      </c>
      <c r="AA59" s="298">
        <f>+AA58+V59</f>
        <v>0</v>
      </c>
      <c r="AB59" s="298">
        <f t="shared" si="13"/>
        <v>377055</v>
      </c>
      <c r="AC59" s="451">
        <f t="shared" si="25"/>
        <v>0</v>
      </c>
      <c r="AD59" s="552">
        <f t="shared" si="26"/>
        <v>0</v>
      </c>
      <c r="AE59" s="552">
        <f t="shared" si="14"/>
        <v>0</v>
      </c>
      <c r="AF59" s="552">
        <f>SUM(AD59:AE59)</f>
        <v>0</v>
      </c>
      <c r="AG59" s="552">
        <f t="shared" si="27"/>
        <v>-433.95</v>
      </c>
      <c r="AH59" s="552">
        <f t="shared" si="28"/>
        <v>390153.01</v>
      </c>
      <c r="AI59" s="552"/>
      <c r="AJ59" s="14">
        <f t="shared" si="29"/>
        <v>-433.95</v>
      </c>
      <c r="AK59" s="14">
        <f t="shared" si="30"/>
        <v>-867.9</v>
      </c>
      <c r="AL59" s="552">
        <f>IF(R59&lt;=0,0,+([1]Profit!$B$4+AM58)*$AL$1/12)</f>
        <v>0</v>
      </c>
      <c r="AM59" s="14">
        <f t="shared" si="31"/>
        <v>0</v>
      </c>
      <c r="AO59" s="512"/>
    </row>
    <row r="60" spans="1:41" x14ac:dyDescent="0.25">
      <c r="A60" s="542">
        <f t="shared" si="15"/>
        <v>45759</v>
      </c>
      <c r="B60" s="298">
        <f t="shared" si="16"/>
        <v>78044.279999999955</v>
      </c>
      <c r="C60" s="14">
        <f t="shared" si="0"/>
        <v>433.95</v>
      </c>
      <c r="D60" s="14">
        <f t="shared" si="32"/>
        <v>125.01999999999998</v>
      </c>
      <c r="E60" s="14">
        <f t="shared" si="1"/>
        <v>308.93</v>
      </c>
      <c r="F60" s="298">
        <f t="shared" si="17"/>
        <v>5598.5300000000007</v>
      </c>
      <c r="G60" s="298">
        <f t="shared" si="18"/>
        <v>14692.46</v>
      </c>
      <c r="H60" s="298">
        <f t="shared" si="2"/>
        <v>77919.259999999951</v>
      </c>
      <c r="I60" s="451">
        <f t="shared" si="3"/>
        <v>0</v>
      </c>
      <c r="J60" s="298">
        <f t="shared" si="19"/>
        <v>377055</v>
      </c>
      <c r="K60" s="298">
        <f>IF($J$10&lt;=A60,IF(+$P59&lt;=0,0,$J$9),0)</f>
        <v>2701.27</v>
      </c>
      <c r="L60" s="298">
        <f t="shared" si="33"/>
        <v>266.11999999999989</v>
      </c>
      <c r="M60" s="298">
        <f t="shared" si="21"/>
        <v>2435.15</v>
      </c>
      <c r="N60" s="298">
        <f t="shared" si="22"/>
        <v>266.11999999999989</v>
      </c>
      <c r="O60" s="298">
        <f t="shared" si="23"/>
        <v>2435.15</v>
      </c>
      <c r="P60" s="298">
        <f t="shared" si="4"/>
        <v>376788.88</v>
      </c>
      <c r="Q60" s="542">
        <f t="shared" si="5"/>
        <v>45759</v>
      </c>
      <c r="R60" s="298">
        <f>IF(Q60&gt;$J$10,IF(+AB59&lt;0,0,+AB59),0)</f>
        <v>377055</v>
      </c>
      <c r="S60" s="535">
        <f t="shared" si="24"/>
        <v>4.7500000000000001E-2</v>
      </c>
      <c r="T60" s="298">
        <f t="shared" si="7"/>
        <v>2440.62</v>
      </c>
      <c r="U60" s="298">
        <f>+T60-V60</f>
        <v>948.1099999999999</v>
      </c>
      <c r="V60" s="298">
        <f t="shared" si="9"/>
        <v>1492.51</v>
      </c>
      <c r="W60" s="298">
        <f t="shared" ref="W60:X75" si="36">+W59</f>
        <v>0</v>
      </c>
      <c r="X60" s="298">
        <f t="shared" si="36"/>
        <v>0</v>
      </c>
      <c r="Y60" s="298">
        <f>SUM(U60:X60)</f>
        <v>2440.62</v>
      </c>
      <c r="Z60" s="298">
        <f>+U60+Z59</f>
        <v>948.1099999999999</v>
      </c>
      <c r="AA60" s="298">
        <f>+AA59+V60</f>
        <v>1492.51</v>
      </c>
      <c r="AB60" s="298">
        <f t="shared" si="13"/>
        <v>376106.89</v>
      </c>
      <c r="AC60" s="451">
        <f t="shared" si="25"/>
        <v>0</v>
      </c>
      <c r="AD60" s="552">
        <f t="shared" si="26"/>
        <v>260.65000000000009</v>
      </c>
      <c r="AE60" s="552">
        <f t="shared" ref="AE60:AE123" si="37">AB60-H60</f>
        <v>298187.63000000006</v>
      </c>
      <c r="AF60" s="552">
        <f t="shared" ref="AF60:AF123" si="38">SUM(AD60:AE60)</f>
        <v>298448.28000000009</v>
      </c>
      <c r="AG60" s="552">
        <f t="shared" si="27"/>
        <v>2006.6699999999998</v>
      </c>
      <c r="AH60" s="552">
        <f t="shared" si="28"/>
        <v>389329.92000000004</v>
      </c>
      <c r="AI60" s="552"/>
      <c r="AJ60" s="14">
        <f t="shared" si="29"/>
        <v>2006.6699999999998</v>
      </c>
      <c r="AK60" s="14">
        <f t="shared" si="30"/>
        <v>1138.77</v>
      </c>
      <c r="AL60" s="552">
        <f>IF(R60&lt;=0,0,+([1]Profit!$B$4+AM59)*$AL$1/12)</f>
        <v>1047.25</v>
      </c>
      <c r="AM60" s="14">
        <f t="shared" si="31"/>
        <v>1047.25</v>
      </c>
    </row>
    <row r="61" spans="1:41" x14ac:dyDescent="0.25">
      <c r="A61" s="542">
        <f t="shared" si="15"/>
        <v>45789</v>
      </c>
      <c r="B61" s="298">
        <f t="shared" si="16"/>
        <v>77919.259999999951</v>
      </c>
      <c r="C61" s="14">
        <f t="shared" si="0"/>
        <v>433.95</v>
      </c>
      <c r="D61" s="14">
        <f t="shared" si="32"/>
        <v>125.51999999999998</v>
      </c>
      <c r="E61" s="14">
        <f t="shared" si="1"/>
        <v>308.43</v>
      </c>
      <c r="F61" s="298">
        <f t="shared" si="17"/>
        <v>5724.0500000000011</v>
      </c>
      <c r="G61" s="298">
        <f t="shared" si="18"/>
        <v>15000.89</v>
      </c>
      <c r="H61" s="298">
        <f t="shared" si="2"/>
        <v>77793.739999999947</v>
      </c>
      <c r="I61" s="451">
        <f t="shared" si="3"/>
        <v>0</v>
      </c>
      <c r="J61" s="298">
        <f t="shared" si="19"/>
        <v>376788.88</v>
      </c>
      <c r="K61" s="298">
        <f>IF($J10&lt;=$A61,IF(+P60&lt;=0,0,J$9),0)</f>
        <v>2701.27</v>
      </c>
      <c r="L61" s="298">
        <f t="shared" si="33"/>
        <v>267.84000000000015</v>
      </c>
      <c r="M61" s="298">
        <f>IF($J$10&lt;=$A61,ROUND(J61*(J$7/12),2),0)</f>
        <v>2433.4299999999998</v>
      </c>
      <c r="N61" s="298">
        <f t="shared" si="22"/>
        <v>533.96</v>
      </c>
      <c r="O61" s="298">
        <f t="shared" si="23"/>
        <v>4868.58</v>
      </c>
      <c r="P61" s="298">
        <f t="shared" si="4"/>
        <v>376521.04</v>
      </c>
      <c r="Q61" s="542">
        <f t="shared" si="5"/>
        <v>45789</v>
      </c>
      <c r="R61" s="298">
        <f t="shared" ref="R61:R124" si="39">IF(Q61&gt;$J$10,IF(+AB60&lt;0,0,+AB60),0)</f>
        <v>376106.89</v>
      </c>
      <c r="S61" s="535">
        <f t="shared" si="24"/>
        <v>4.7500000000000001E-2</v>
      </c>
      <c r="T61" s="298">
        <f t="shared" si="7"/>
        <v>2440.62</v>
      </c>
      <c r="U61" s="298">
        <f>+T61-V61</f>
        <v>951.8599999999999</v>
      </c>
      <c r="V61" s="298">
        <f t="shared" si="9"/>
        <v>1488.76</v>
      </c>
      <c r="W61" s="298">
        <f t="shared" si="36"/>
        <v>0</v>
      </c>
      <c r="X61" s="298">
        <f t="shared" si="36"/>
        <v>0</v>
      </c>
      <c r="Y61" s="298">
        <f>SUM(U61:X61)</f>
        <v>2440.62</v>
      </c>
      <c r="Z61" s="298">
        <f>+U61+Z60</f>
        <v>1899.9699999999998</v>
      </c>
      <c r="AA61" s="298">
        <f>+AA60+V61</f>
        <v>2981.27</v>
      </c>
      <c r="AB61" s="298">
        <f t="shared" si="13"/>
        <v>375155.03</v>
      </c>
      <c r="AC61" s="451">
        <f t="shared" si="25"/>
        <v>1</v>
      </c>
      <c r="AD61" s="552">
        <f t="shared" si="26"/>
        <v>521.30000000000018</v>
      </c>
      <c r="AE61" s="552">
        <f t="shared" si="37"/>
        <v>297361.2900000001</v>
      </c>
      <c r="AF61" s="552">
        <f t="shared" si="38"/>
        <v>297882.59000000008</v>
      </c>
      <c r="AG61" s="552">
        <f t="shared" si="27"/>
        <v>2006.6699999999998</v>
      </c>
      <c r="AH61" s="552">
        <f t="shared" si="28"/>
        <v>388503.58</v>
      </c>
      <c r="AI61" s="552"/>
      <c r="AJ61" s="14">
        <f>+AG61-AI61</f>
        <v>2006.6699999999998</v>
      </c>
      <c r="AK61" s="14">
        <f t="shared" si="30"/>
        <v>3145.4399999999996</v>
      </c>
      <c r="AL61" s="552">
        <f>IF(R61&lt;=0,0,+([1]Profit!$B$4+AM60)*$AL$1/12)</f>
        <v>1049.868125</v>
      </c>
      <c r="AM61" s="14">
        <f t="shared" si="31"/>
        <v>2097.118125</v>
      </c>
    </row>
    <row r="62" spans="1:41" ht="15.75" thickBot="1" x14ac:dyDescent="0.3">
      <c r="A62" s="545">
        <f t="shared" si="15"/>
        <v>45819</v>
      </c>
      <c r="B62" s="371">
        <f t="shared" si="16"/>
        <v>77793.739999999947</v>
      </c>
      <c r="C62" s="21">
        <f t="shared" si="0"/>
        <v>433.95</v>
      </c>
      <c r="D62" s="21">
        <f t="shared" si="32"/>
        <v>126.01999999999998</v>
      </c>
      <c r="E62" s="21">
        <f t="shared" si="1"/>
        <v>307.93</v>
      </c>
      <c r="F62" s="371">
        <f t="shared" si="17"/>
        <v>5850.0700000000015</v>
      </c>
      <c r="G62" s="371">
        <f t="shared" si="18"/>
        <v>15308.82</v>
      </c>
      <c r="H62" s="371">
        <f t="shared" si="2"/>
        <v>77667.719999999943</v>
      </c>
      <c r="I62" s="452">
        <f t="shared" si="3"/>
        <v>0</v>
      </c>
      <c r="J62" s="371">
        <f t="shared" si="19"/>
        <v>376521.04</v>
      </c>
      <c r="K62" s="371">
        <f t="shared" ref="K62:K125" si="40">IF($J$10&lt;=A62,IF(+$P61&lt;=0,0,$J$9),0)</f>
        <v>2701.27</v>
      </c>
      <c r="L62" s="371">
        <f t="shared" si="33"/>
        <v>269.57000000000016</v>
      </c>
      <c r="M62" s="371">
        <f t="shared" ref="M62:M125" si="41">IF($J$10&lt;=A62,ROUND(J62*($J$7/12),2),0)</f>
        <v>2431.6999999999998</v>
      </c>
      <c r="N62" s="371">
        <f t="shared" si="22"/>
        <v>803.5300000000002</v>
      </c>
      <c r="O62" s="371">
        <f t="shared" si="23"/>
        <v>7300.28</v>
      </c>
      <c r="P62" s="371">
        <f t="shared" si="4"/>
        <v>376251.47</v>
      </c>
      <c r="Q62" s="545">
        <f t="shared" si="5"/>
        <v>45819</v>
      </c>
      <c r="R62" s="371">
        <f t="shared" si="39"/>
        <v>375155.03</v>
      </c>
      <c r="S62" s="536">
        <f t="shared" si="24"/>
        <v>4.7500000000000001E-2</v>
      </c>
      <c r="T62" s="371">
        <f t="shared" si="7"/>
        <v>2440.62</v>
      </c>
      <c r="U62" s="371">
        <f t="shared" ref="U62:U125" si="42">+T62-V62</f>
        <v>955.62999999999988</v>
      </c>
      <c r="V62" s="371">
        <f t="shared" si="9"/>
        <v>1484.99</v>
      </c>
      <c r="W62" s="371">
        <f t="shared" si="36"/>
        <v>0</v>
      </c>
      <c r="X62" s="371">
        <f t="shared" si="36"/>
        <v>0</v>
      </c>
      <c r="Y62" s="371">
        <f t="shared" ref="Y62:Y125" si="43">SUM(U62:X62)</f>
        <v>2440.62</v>
      </c>
      <c r="Z62" s="371">
        <f t="shared" ref="Z62:Z125" si="44">+U62+Z61</f>
        <v>2855.5999999999995</v>
      </c>
      <c r="AA62" s="371">
        <f t="shared" ref="AA62:AA125" si="45">+AA61+V62</f>
        <v>4466.26</v>
      </c>
      <c r="AB62" s="371">
        <f t="shared" si="13"/>
        <v>374199.4</v>
      </c>
      <c r="AC62" s="452">
        <f t="shared" si="25"/>
        <v>2</v>
      </c>
      <c r="AD62" s="553">
        <f t="shared" si="26"/>
        <v>781.95000000000027</v>
      </c>
      <c r="AE62" s="553">
        <f t="shared" si="37"/>
        <v>296531.68000000005</v>
      </c>
      <c r="AF62" s="553">
        <f t="shared" si="38"/>
        <v>297313.63000000006</v>
      </c>
      <c r="AG62" s="553">
        <f t="shared" si="27"/>
        <v>2006.6699999999998</v>
      </c>
      <c r="AH62" s="553">
        <f t="shared" si="28"/>
        <v>387673.97000000003</v>
      </c>
      <c r="AI62" s="553"/>
      <c r="AJ62" s="21">
        <f t="shared" ref="AJ62:AJ125" si="46">+AG62-AI62</f>
        <v>2006.6699999999998</v>
      </c>
      <c r="AK62" s="21">
        <f t="shared" si="30"/>
        <v>5152.1099999999997</v>
      </c>
      <c r="AL62" s="553">
        <f>IF(R62&lt;=0,0,+([1]Profit!$B$4+AM61)*$AL$1/12)</f>
        <v>1052.4927953125</v>
      </c>
      <c r="AM62" s="21">
        <f t="shared" si="31"/>
        <v>3149.6109203124997</v>
      </c>
    </row>
    <row r="63" spans="1:41" x14ac:dyDescent="0.25">
      <c r="A63" s="542">
        <f t="shared" si="15"/>
        <v>45849</v>
      </c>
      <c r="B63" s="298">
        <f t="shared" si="16"/>
        <v>77667.719999999943</v>
      </c>
      <c r="C63" s="14">
        <f t="shared" si="0"/>
        <v>433.95</v>
      </c>
      <c r="D63" s="14">
        <f t="shared" si="32"/>
        <v>126.51999999999998</v>
      </c>
      <c r="E63" s="14">
        <f t="shared" si="1"/>
        <v>307.43</v>
      </c>
      <c r="F63" s="298">
        <f t="shared" si="17"/>
        <v>5976.590000000002</v>
      </c>
      <c r="G63" s="298">
        <f t="shared" si="18"/>
        <v>15616.25</v>
      </c>
      <c r="H63" s="298">
        <f t="shared" si="2"/>
        <v>77541.199999999939</v>
      </c>
      <c r="I63" s="451">
        <f t="shared" si="3"/>
        <v>0</v>
      </c>
      <c r="J63" s="298">
        <f t="shared" si="19"/>
        <v>376251.47</v>
      </c>
      <c r="K63" s="298">
        <f t="shared" si="40"/>
        <v>2701.27</v>
      </c>
      <c r="L63" s="298">
        <f t="shared" si="33"/>
        <v>271.30999999999995</v>
      </c>
      <c r="M63" s="298">
        <f t="shared" si="41"/>
        <v>2429.96</v>
      </c>
      <c r="N63" s="298">
        <f t="shared" si="22"/>
        <v>1074.8400000000001</v>
      </c>
      <c r="O63" s="298">
        <f t="shared" si="23"/>
        <v>9730.24</v>
      </c>
      <c r="P63" s="298">
        <f t="shared" si="4"/>
        <v>375980.16</v>
      </c>
      <c r="Q63" s="542">
        <f t="shared" si="5"/>
        <v>45849</v>
      </c>
      <c r="R63" s="298">
        <f t="shared" si="39"/>
        <v>374199.4</v>
      </c>
      <c r="S63" s="535">
        <f t="shared" si="24"/>
        <v>4.7500000000000001E-2</v>
      </c>
      <c r="T63" s="298">
        <f t="shared" si="7"/>
        <v>2440.62</v>
      </c>
      <c r="U63" s="298">
        <f t="shared" si="42"/>
        <v>959.40999999999985</v>
      </c>
      <c r="V63" s="298">
        <f t="shared" si="9"/>
        <v>1481.21</v>
      </c>
      <c r="W63" s="298">
        <f t="shared" si="36"/>
        <v>0</v>
      </c>
      <c r="X63" s="298">
        <f t="shared" si="36"/>
        <v>0</v>
      </c>
      <c r="Y63" s="298">
        <f t="shared" si="43"/>
        <v>2440.62</v>
      </c>
      <c r="Z63" s="298">
        <f t="shared" si="44"/>
        <v>3815.0099999999993</v>
      </c>
      <c r="AA63" s="298">
        <f t="shared" si="45"/>
        <v>5947.47</v>
      </c>
      <c r="AB63" s="298">
        <f t="shared" si="13"/>
        <v>373239.99000000005</v>
      </c>
      <c r="AC63" s="451">
        <f t="shared" si="25"/>
        <v>3</v>
      </c>
      <c r="AD63" s="552">
        <f t="shared" si="26"/>
        <v>1042.6000000000004</v>
      </c>
      <c r="AE63" s="552">
        <f t="shared" si="37"/>
        <v>295698.7900000001</v>
      </c>
      <c r="AF63" s="552">
        <f t="shared" si="38"/>
        <v>296741.39000000007</v>
      </c>
      <c r="AG63" s="552">
        <f t="shared" si="27"/>
        <v>2006.6699999999998</v>
      </c>
      <c r="AH63" s="552">
        <f t="shared" si="28"/>
        <v>386841.08</v>
      </c>
      <c r="AI63" s="552"/>
      <c r="AJ63" s="14">
        <f t="shared" si="46"/>
        <v>2006.6699999999998</v>
      </c>
      <c r="AK63" s="14">
        <f t="shared" ref="AK63:AK65" si="47">IF(P63&lt;=0,0,+AJ63+AK62)</f>
        <v>7158.78</v>
      </c>
      <c r="AL63" s="552">
        <f>IF(R63&lt;=0,0,+([1]Profit!$B$4+AM62)*$AL$1/12)</f>
        <v>1055.1240273007813</v>
      </c>
      <c r="AM63" s="14">
        <f t="shared" si="31"/>
        <v>4204.7349476132813</v>
      </c>
    </row>
    <row r="64" spans="1:41" x14ac:dyDescent="0.25">
      <c r="A64" s="542">
        <f t="shared" si="15"/>
        <v>45879</v>
      </c>
      <c r="B64" s="298">
        <f t="shared" si="16"/>
        <v>77541.199999999939</v>
      </c>
      <c r="C64" s="14">
        <f t="shared" si="0"/>
        <v>433.95</v>
      </c>
      <c r="D64" s="14">
        <f t="shared" si="32"/>
        <v>127.01999999999998</v>
      </c>
      <c r="E64" s="14">
        <f t="shared" si="1"/>
        <v>306.93</v>
      </c>
      <c r="F64" s="298">
        <f t="shared" si="17"/>
        <v>6103.6100000000024</v>
      </c>
      <c r="G64" s="298">
        <f t="shared" si="18"/>
        <v>15923.18</v>
      </c>
      <c r="H64" s="298">
        <f t="shared" si="2"/>
        <v>77414.179999999935</v>
      </c>
      <c r="I64" s="451">
        <f t="shared" si="3"/>
        <v>0</v>
      </c>
      <c r="J64" s="298">
        <f t="shared" si="19"/>
        <v>375980.16</v>
      </c>
      <c r="K64" s="298">
        <f t="shared" si="40"/>
        <v>2701.27</v>
      </c>
      <c r="L64" s="298">
        <f t="shared" si="33"/>
        <v>273.05999999999995</v>
      </c>
      <c r="M64" s="298">
        <f t="shared" si="41"/>
        <v>2428.21</v>
      </c>
      <c r="N64" s="298">
        <f t="shared" si="22"/>
        <v>1347.9</v>
      </c>
      <c r="O64" s="298">
        <f t="shared" si="23"/>
        <v>12158.45</v>
      </c>
      <c r="P64" s="298">
        <f t="shared" si="4"/>
        <v>375707.1</v>
      </c>
      <c r="Q64" s="542">
        <f t="shared" si="5"/>
        <v>45879</v>
      </c>
      <c r="R64" s="298">
        <f t="shared" si="39"/>
        <v>373239.99000000005</v>
      </c>
      <c r="S64" s="535">
        <f t="shared" si="24"/>
        <v>4.7500000000000001E-2</v>
      </c>
      <c r="T64" s="298">
        <f t="shared" si="7"/>
        <v>2440.62</v>
      </c>
      <c r="U64" s="298">
        <f t="shared" si="42"/>
        <v>963.20999999999981</v>
      </c>
      <c r="V64" s="298">
        <f t="shared" si="9"/>
        <v>1477.41</v>
      </c>
      <c r="W64" s="298">
        <f t="shared" si="36"/>
        <v>0</v>
      </c>
      <c r="X64" s="298">
        <f t="shared" si="36"/>
        <v>0</v>
      </c>
      <c r="Y64" s="298">
        <f t="shared" si="43"/>
        <v>2440.62</v>
      </c>
      <c r="Z64" s="298">
        <f t="shared" si="44"/>
        <v>4778.2199999999993</v>
      </c>
      <c r="AA64" s="298">
        <f t="shared" si="45"/>
        <v>7424.88</v>
      </c>
      <c r="AB64" s="298">
        <f t="shared" si="13"/>
        <v>372276.78</v>
      </c>
      <c r="AC64" s="451">
        <f t="shared" si="25"/>
        <v>4</v>
      </c>
      <c r="AD64" s="552">
        <f t="shared" si="26"/>
        <v>1303.2500000000005</v>
      </c>
      <c r="AE64" s="552">
        <f t="shared" si="37"/>
        <v>294862.60000000009</v>
      </c>
      <c r="AF64" s="552">
        <f t="shared" si="38"/>
        <v>296165.85000000009</v>
      </c>
      <c r="AG64" s="552">
        <f t="shared" si="27"/>
        <v>2006.6699999999998</v>
      </c>
      <c r="AH64" s="552">
        <f t="shared" si="28"/>
        <v>386004.89</v>
      </c>
      <c r="AI64" s="552"/>
      <c r="AJ64" s="14">
        <f t="shared" si="46"/>
        <v>2006.6699999999998</v>
      </c>
      <c r="AK64" s="14">
        <f t="shared" si="47"/>
        <v>9165.4499999999989</v>
      </c>
      <c r="AL64" s="552">
        <f>IF(R64&lt;=0,0,+([1]Profit!$B$4+AM63)*$AL$1/12)</f>
        <v>1057.7618373690332</v>
      </c>
      <c r="AM64" s="14">
        <f t="shared" si="31"/>
        <v>5262.4967849823142</v>
      </c>
    </row>
    <row r="65" spans="1:41" x14ac:dyDescent="0.25">
      <c r="A65" s="542">
        <f t="shared" si="15"/>
        <v>45909</v>
      </c>
      <c r="B65" s="298">
        <f t="shared" si="16"/>
        <v>77414.179999999935</v>
      </c>
      <c r="C65" s="14">
        <f t="shared" si="0"/>
        <v>433.95</v>
      </c>
      <c r="D65" s="14">
        <f t="shared" si="32"/>
        <v>127.51999999999998</v>
      </c>
      <c r="E65" s="14">
        <f t="shared" si="1"/>
        <v>306.43</v>
      </c>
      <c r="F65" s="298">
        <f t="shared" si="17"/>
        <v>6231.1300000000028</v>
      </c>
      <c r="G65" s="298">
        <f t="shared" si="18"/>
        <v>16229.61</v>
      </c>
      <c r="H65" s="298">
        <f t="shared" si="2"/>
        <v>77286.659999999931</v>
      </c>
      <c r="I65" s="451">
        <f t="shared" si="3"/>
        <v>0</v>
      </c>
      <c r="J65" s="298">
        <f t="shared" si="19"/>
        <v>375707.1</v>
      </c>
      <c r="K65" s="298">
        <f t="shared" si="40"/>
        <v>2701.27</v>
      </c>
      <c r="L65" s="298">
        <f t="shared" si="33"/>
        <v>274.82999999999993</v>
      </c>
      <c r="M65" s="298">
        <f t="shared" si="41"/>
        <v>2426.44</v>
      </c>
      <c r="N65" s="298">
        <f t="shared" si="22"/>
        <v>1622.73</v>
      </c>
      <c r="O65" s="298">
        <f t="shared" si="23"/>
        <v>14584.890000000001</v>
      </c>
      <c r="P65" s="298">
        <f t="shared" si="4"/>
        <v>375432.26999999996</v>
      </c>
      <c r="Q65" s="542">
        <f t="shared" si="5"/>
        <v>45909</v>
      </c>
      <c r="R65" s="298">
        <f t="shared" si="39"/>
        <v>372276.78</v>
      </c>
      <c r="S65" s="535">
        <f t="shared" si="24"/>
        <v>4.7500000000000001E-2</v>
      </c>
      <c r="T65" s="298">
        <f t="shared" si="7"/>
        <v>2440.62</v>
      </c>
      <c r="U65" s="298">
        <f t="shared" si="42"/>
        <v>967.02</v>
      </c>
      <c r="V65" s="298">
        <f t="shared" si="9"/>
        <v>1473.6</v>
      </c>
      <c r="W65" s="298">
        <f t="shared" si="36"/>
        <v>0</v>
      </c>
      <c r="X65" s="298">
        <f t="shared" si="36"/>
        <v>0</v>
      </c>
      <c r="Y65" s="298">
        <f t="shared" si="43"/>
        <v>2440.62</v>
      </c>
      <c r="Z65" s="298">
        <f t="shared" si="44"/>
        <v>5745.24</v>
      </c>
      <c r="AA65" s="298">
        <f t="shared" si="45"/>
        <v>8898.48</v>
      </c>
      <c r="AB65" s="298">
        <f t="shared" si="13"/>
        <v>371309.76</v>
      </c>
      <c r="AC65" s="451">
        <f t="shared" si="25"/>
        <v>5</v>
      </c>
      <c r="AD65" s="552">
        <f t="shared" si="26"/>
        <v>1563.9000000000005</v>
      </c>
      <c r="AE65" s="552">
        <f t="shared" si="37"/>
        <v>294023.10000000009</v>
      </c>
      <c r="AF65" s="552">
        <f t="shared" si="38"/>
        <v>295587.00000000012</v>
      </c>
      <c r="AG65" s="552">
        <f t="shared" si="27"/>
        <v>2006.6699999999998</v>
      </c>
      <c r="AH65" s="552">
        <f t="shared" si="28"/>
        <v>385165.39</v>
      </c>
      <c r="AI65" s="552"/>
      <c r="AJ65" s="14">
        <f t="shared" si="46"/>
        <v>2006.6699999999998</v>
      </c>
      <c r="AK65" s="14">
        <f t="shared" si="47"/>
        <v>11172.119999999999</v>
      </c>
      <c r="AL65" s="552">
        <f>IF(R65&lt;=0,0,+([1]Profit!$B$4+AM64)*$AL$1/12)</f>
        <v>1060.4062419624559</v>
      </c>
      <c r="AM65" s="14">
        <f t="shared" si="31"/>
        <v>6322.9030269447703</v>
      </c>
    </row>
    <row r="66" spans="1:41" x14ac:dyDescent="0.25">
      <c r="A66" s="542">
        <f t="shared" si="15"/>
        <v>45939</v>
      </c>
      <c r="B66" s="298">
        <f t="shared" si="16"/>
        <v>77286.659999999931</v>
      </c>
      <c r="C66" s="14">
        <f t="shared" si="0"/>
        <v>433.95</v>
      </c>
      <c r="D66" s="14">
        <f t="shared" si="32"/>
        <v>128.01999999999998</v>
      </c>
      <c r="E66" s="14">
        <f t="shared" si="1"/>
        <v>305.93</v>
      </c>
      <c r="F66" s="298">
        <f t="shared" si="17"/>
        <v>6359.1500000000033</v>
      </c>
      <c r="G66" s="298">
        <f t="shared" si="18"/>
        <v>16535.54</v>
      </c>
      <c r="H66" s="298">
        <f t="shared" si="2"/>
        <v>77158.639999999927</v>
      </c>
      <c r="I66" s="451">
        <f t="shared" si="3"/>
        <v>0</v>
      </c>
      <c r="J66" s="298">
        <f t="shared" si="19"/>
        <v>375432.26999999996</v>
      </c>
      <c r="K66" s="298">
        <f t="shared" si="40"/>
        <v>2701.27</v>
      </c>
      <c r="L66" s="298">
        <f t="shared" si="33"/>
        <v>276.59999999999991</v>
      </c>
      <c r="M66" s="298">
        <f t="shared" si="41"/>
        <v>2424.67</v>
      </c>
      <c r="N66" s="298">
        <f t="shared" si="22"/>
        <v>1899.33</v>
      </c>
      <c r="O66" s="298">
        <f t="shared" si="23"/>
        <v>17009.560000000001</v>
      </c>
      <c r="P66" s="298">
        <f t="shared" si="4"/>
        <v>375155.67</v>
      </c>
      <c r="Q66" s="542">
        <f t="shared" si="5"/>
        <v>45939</v>
      </c>
      <c r="R66" s="298">
        <f t="shared" si="39"/>
        <v>371309.76</v>
      </c>
      <c r="S66" s="535">
        <f t="shared" si="24"/>
        <v>4.7500000000000001E-2</v>
      </c>
      <c r="T66" s="298">
        <f t="shared" si="7"/>
        <v>2440.62</v>
      </c>
      <c r="U66" s="298">
        <f t="shared" si="42"/>
        <v>970.84999999999991</v>
      </c>
      <c r="V66" s="298">
        <f t="shared" si="9"/>
        <v>1469.77</v>
      </c>
      <c r="W66" s="298">
        <f t="shared" si="36"/>
        <v>0</v>
      </c>
      <c r="X66" s="298">
        <f t="shared" si="36"/>
        <v>0</v>
      </c>
      <c r="Y66" s="298">
        <f t="shared" si="43"/>
        <v>2440.62</v>
      </c>
      <c r="Z66" s="298">
        <f t="shared" si="44"/>
        <v>6716.09</v>
      </c>
      <c r="AA66" s="298">
        <f t="shared" si="45"/>
        <v>10368.25</v>
      </c>
      <c r="AB66" s="298">
        <f t="shared" si="13"/>
        <v>370338.91000000003</v>
      </c>
      <c r="AC66" s="451">
        <f t="shared" si="25"/>
        <v>6</v>
      </c>
      <c r="AD66" s="552">
        <f t="shared" si="26"/>
        <v>1824.5500000000006</v>
      </c>
      <c r="AE66" s="552">
        <f t="shared" si="37"/>
        <v>293180.27000000014</v>
      </c>
      <c r="AF66" s="552">
        <f t="shared" si="38"/>
        <v>295004.82000000012</v>
      </c>
      <c r="AG66" s="552">
        <f t="shared" si="27"/>
        <v>2006.6699999999998</v>
      </c>
      <c r="AH66" s="552">
        <f t="shared" si="28"/>
        <v>384322.56</v>
      </c>
      <c r="AI66" s="552"/>
      <c r="AJ66" s="14">
        <f t="shared" si="46"/>
        <v>2006.6699999999998</v>
      </c>
      <c r="AK66" s="14">
        <f t="shared" ref="AK66:AK129" si="48">IF(P66&lt;=0,0,+AJ66+AK65)</f>
        <v>13178.789999999999</v>
      </c>
      <c r="AL66" s="552">
        <f>IF(R66&lt;=0,0,+([1]Profit!$B$4+AM65)*$AL$1/12)</f>
        <v>1063.0572575673621</v>
      </c>
      <c r="AM66" s="14">
        <f t="shared" si="31"/>
        <v>7385.9602845121326</v>
      </c>
    </row>
    <row r="67" spans="1:41" x14ac:dyDescent="0.25">
      <c r="A67" s="542">
        <f t="shared" si="15"/>
        <v>45969</v>
      </c>
      <c r="B67" s="298">
        <f t="shared" si="16"/>
        <v>77158.639999999927</v>
      </c>
      <c r="C67" s="14">
        <f t="shared" si="0"/>
        <v>433.95</v>
      </c>
      <c r="D67" s="14">
        <f t="shared" si="32"/>
        <v>128.52999999999997</v>
      </c>
      <c r="E67" s="14">
        <f t="shared" si="1"/>
        <v>305.42</v>
      </c>
      <c r="F67" s="298">
        <f t="shared" si="17"/>
        <v>6487.680000000003</v>
      </c>
      <c r="G67" s="298">
        <f t="shared" si="18"/>
        <v>16840.96</v>
      </c>
      <c r="H67" s="298">
        <f t="shared" si="2"/>
        <v>77030.109999999928</v>
      </c>
      <c r="I67" s="451">
        <f t="shared" si="3"/>
        <v>0</v>
      </c>
      <c r="J67" s="298">
        <f t="shared" si="19"/>
        <v>375155.67</v>
      </c>
      <c r="K67" s="298">
        <f t="shared" si="40"/>
        <v>2701.27</v>
      </c>
      <c r="L67" s="298">
        <f t="shared" si="33"/>
        <v>278.38999999999987</v>
      </c>
      <c r="M67" s="298">
        <f t="shared" si="41"/>
        <v>2422.88</v>
      </c>
      <c r="N67" s="298">
        <f t="shared" si="22"/>
        <v>2177.7199999999998</v>
      </c>
      <c r="O67" s="298">
        <f t="shared" si="23"/>
        <v>19432.440000000002</v>
      </c>
      <c r="P67" s="298">
        <f t="shared" si="4"/>
        <v>374877.27999999997</v>
      </c>
      <c r="Q67" s="542">
        <f t="shared" si="5"/>
        <v>45969</v>
      </c>
      <c r="R67" s="298">
        <f t="shared" si="39"/>
        <v>370338.91000000003</v>
      </c>
      <c r="S67" s="535">
        <f t="shared" si="24"/>
        <v>4.7500000000000001E-2</v>
      </c>
      <c r="T67" s="298">
        <f t="shared" si="7"/>
        <v>2440.62</v>
      </c>
      <c r="U67" s="298">
        <f t="shared" si="42"/>
        <v>974.69999999999982</v>
      </c>
      <c r="V67" s="298">
        <f t="shared" si="9"/>
        <v>1465.92</v>
      </c>
      <c r="W67" s="298">
        <f t="shared" si="36"/>
        <v>0</v>
      </c>
      <c r="X67" s="298">
        <f t="shared" si="36"/>
        <v>0</v>
      </c>
      <c r="Y67" s="298">
        <f t="shared" si="43"/>
        <v>2440.62</v>
      </c>
      <c r="Z67" s="298">
        <f t="shared" si="44"/>
        <v>7690.79</v>
      </c>
      <c r="AA67" s="298">
        <f t="shared" si="45"/>
        <v>11834.17</v>
      </c>
      <c r="AB67" s="298">
        <f t="shared" si="13"/>
        <v>369364.21</v>
      </c>
      <c r="AC67" s="451">
        <f t="shared" si="25"/>
        <v>7</v>
      </c>
      <c r="AD67" s="552">
        <f t="shared" si="26"/>
        <v>2085.2000000000007</v>
      </c>
      <c r="AE67" s="552">
        <f t="shared" si="37"/>
        <v>292334.10000000009</v>
      </c>
      <c r="AF67" s="552">
        <f t="shared" si="38"/>
        <v>294419.3000000001</v>
      </c>
      <c r="AG67" s="552">
        <f t="shared" si="27"/>
        <v>2006.6699999999998</v>
      </c>
      <c r="AH67" s="552">
        <f t="shared" si="28"/>
        <v>383476.39</v>
      </c>
      <c r="AI67" s="552"/>
      <c r="AJ67" s="14">
        <f t="shared" si="46"/>
        <v>2006.6699999999998</v>
      </c>
      <c r="AK67" s="14">
        <f t="shared" si="48"/>
        <v>15185.46</v>
      </c>
      <c r="AL67" s="552">
        <f>IF(R67&lt;=0,0,+([1]Profit!$B$4+AM66)*$AL$1/12)</f>
        <v>1065.7149007112803</v>
      </c>
      <c r="AM67" s="14">
        <f t="shared" si="31"/>
        <v>8451.675185223412</v>
      </c>
    </row>
    <row r="68" spans="1:41" x14ac:dyDescent="0.25">
      <c r="A68" s="542">
        <f t="shared" si="15"/>
        <v>45999</v>
      </c>
      <c r="B68" s="298">
        <f t="shared" si="16"/>
        <v>77030.109999999928</v>
      </c>
      <c r="C68" s="14">
        <f t="shared" si="0"/>
        <v>433.95</v>
      </c>
      <c r="D68" s="14">
        <f t="shared" si="32"/>
        <v>129.03999999999996</v>
      </c>
      <c r="E68" s="14">
        <f t="shared" si="1"/>
        <v>304.91000000000003</v>
      </c>
      <c r="F68" s="298">
        <f t="shared" si="17"/>
        <v>6616.720000000003</v>
      </c>
      <c r="G68" s="298">
        <f t="shared" si="18"/>
        <v>17145.87</v>
      </c>
      <c r="H68" s="298">
        <f t="shared" si="2"/>
        <v>76901.069999999934</v>
      </c>
      <c r="I68" s="451">
        <f t="shared" si="3"/>
        <v>0</v>
      </c>
      <c r="J68" s="298">
        <f t="shared" si="19"/>
        <v>374877.27999999997</v>
      </c>
      <c r="K68" s="298">
        <f t="shared" si="40"/>
        <v>2701.27</v>
      </c>
      <c r="L68" s="298">
        <f t="shared" si="33"/>
        <v>280.19000000000005</v>
      </c>
      <c r="M68" s="298">
        <f t="shared" si="41"/>
        <v>2421.08</v>
      </c>
      <c r="N68" s="298">
        <f t="shared" si="22"/>
        <v>2457.91</v>
      </c>
      <c r="O68" s="298">
        <f t="shared" si="23"/>
        <v>21853.520000000004</v>
      </c>
      <c r="P68" s="298">
        <f t="shared" si="4"/>
        <v>374597.08999999997</v>
      </c>
      <c r="Q68" s="542">
        <f t="shared" si="5"/>
        <v>45999</v>
      </c>
      <c r="R68" s="298">
        <f t="shared" si="39"/>
        <v>369364.21</v>
      </c>
      <c r="S68" s="535">
        <f t="shared" si="24"/>
        <v>4.7500000000000001E-2</v>
      </c>
      <c r="T68" s="298">
        <f t="shared" si="7"/>
        <v>2440.62</v>
      </c>
      <c r="U68" s="298">
        <f t="shared" si="42"/>
        <v>978.55</v>
      </c>
      <c r="V68" s="298">
        <f t="shared" si="9"/>
        <v>1462.07</v>
      </c>
      <c r="W68" s="298">
        <f t="shared" si="36"/>
        <v>0</v>
      </c>
      <c r="X68" s="298">
        <f t="shared" si="36"/>
        <v>0</v>
      </c>
      <c r="Y68" s="298">
        <f t="shared" si="43"/>
        <v>2440.62</v>
      </c>
      <c r="Z68" s="298">
        <f t="shared" si="44"/>
        <v>8669.34</v>
      </c>
      <c r="AA68" s="298">
        <f t="shared" si="45"/>
        <v>13296.24</v>
      </c>
      <c r="AB68" s="298">
        <f t="shared" si="13"/>
        <v>368385.66000000003</v>
      </c>
      <c r="AC68" s="451">
        <f t="shared" si="25"/>
        <v>8</v>
      </c>
      <c r="AD68" s="552">
        <f t="shared" si="26"/>
        <v>2345.8500000000008</v>
      </c>
      <c r="AE68" s="552">
        <f t="shared" si="37"/>
        <v>291484.59000000008</v>
      </c>
      <c r="AF68" s="552">
        <f t="shared" si="38"/>
        <v>293830.44000000006</v>
      </c>
      <c r="AG68" s="552">
        <f t="shared" si="27"/>
        <v>2006.6699999999998</v>
      </c>
      <c r="AH68" s="552">
        <f t="shared" si="28"/>
        <v>382626.88</v>
      </c>
      <c r="AI68" s="552"/>
      <c r="AJ68" s="14">
        <f t="shared" si="46"/>
        <v>2006.6699999999998</v>
      </c>
      <c r="AK68" s="14">
        <f t="shared" si="48"/>
        <v>17192.129999999997</v>
      </c>
      <c r="AL68" s="552">
        <f>IF(R68&lt;=0,0,+([1]Profit!$B$4+AM67)*$AL$1/12)</f>
        <v>1068.3791879630585</v>
      </c>
      <c r="AM68" s="14">
        <f t="shared" si="31"/>
        <v>9520.0543731864709</v>
      </c>
    </row>
    <row r="69" spans="1:41" x14ac:dyDescent="0.25">
      <c r="A69" s="542">
        <f t="shared" si="15"/>
        <v>46029</v>
      </c>
      <c r="B69" s="298">
        <f t="shared" si="16"/>
        <v>76901.069999999934</v>
      </c>
      <c r="C69" s="14">
        <f t="shared" si="0"/>
        <v>433.95</v>
      </c>
      <c r="D69" s="14">
        <f t="shared" si="32"/>
        <v>129.55000000000001</v>
      </c>
      <c r="E69" s="14">
        <f t="shared" si="1"/>
        <v>304.39999999999998</v>
      </c>
      <c r="F69" s="298">
        <f t="shared" si="17"/>
        <v>6746.2700000000032</v>
      </c>
      <c r="G69" s="298">
        <f t="shared" si="18"/>
        <v>17450.27</v>
      </c>
      <c r="H69" s="298">
        <f t="shared" si="2"/>
        <v>76771.519999999931</v>
      </c>
      <c r="I69" s="451">
        <f t="shared" si="3"/>
        <v>0</v>
      </c>
      <c r="J69" s="298">
        <f t="shared" si="19"/>
        <v>374597.08999999997</v>
      </c>
      <c r="K69" s="298">
        <f t="shared" si="40"/>
        <v>2701.27</v>
      </c>
      <c r="L69" s="298">
        <f t="shared" si="33"/>
        <v>282</v>
      </c>
      <c r="M69" s="298">
        <f t="shared" si="41"/>
        <v>2419.27</v>
      </c>
      <c r="N69" s="298">
        <f t="shared" si="22"/>
        <v>2739.91</v>
      </c>
      <c r="O69" s="298">
        <f t="shared" si="23"/>
        <v>24272.790000000005</v>
      </c>
      <c r="P69" s="298">
        <f t="shared" si="4"/>
        <v>374315.08999999997</v>
      </c>
      <c r="Q69" s="542">
        <f t="shared" si="5"/>
        <v>46029</v>
      </c>
      <c r="R69" s="298">
        <f t="shared" si="39"/>
        <v>368385.66000000003</v>
      </c>
      <c r="S69" s="535">
        <f t="shared" si="24"/>
        <v>4.7500000000000001E-2</v>
      </c>
      <c r="T69" s="298">
        <f t="shared" si="7"/>
        <v>2440.62</v>
      </c>
      <c r="U69" s="298">
        <f t="shared" si="42"/>
        <v>982.42999999999984</v>
      </c>
      <c r="V69" s="298">
        <f t="shared" si="9"/>
        <v>1458.19</v>
      </c>
      <c r="W69" s="298">
        <f t="shared" si="36"/>
        <v>0</v>
      </c>
      <c r="X69" s="298">
        <f t="shared" si="36"/>
        <v>0</v>
      </c>
      <c r="Y69" s="298">
        <f t="shared" si="43"/>
        <v>2440.62</v>
      </c>
      <c r="Z69" s="298">
        <f t="shared" si="44"/>
        <v>9651.77</v>
      </c>
      <c r="AA69" s="298">
        <f t="shared" si="45"/>
        <v>14754.43</v>
      </c>
      <c r="AB69" s="298">
        <f t="shared" si="13"/>
        <v>367403.23000000004</v>
      </c>
      <c r="AC69" s="451">
        <f t="shared" si="25"/>
        <v>9</v>
      </c>
      <c r="AD69" s="552">
        <f t="shared" si="26"/>
        <v>2606.5000000000009</v>
      </c>
      <c r="AE69" s="552">
        <f t="shared" si="37"/>
        <v>290631.71000000008</v>
      </c>
      <c r="AF69" s="552">
        <f t="shared" si="38"/>
        <v>293238.21000000008</v>
      </c>
      <c r="AG69" s="552">
        <f t="shared" si="27"/>
        <v>2006.6699999999998</v>
      </c>
      <c r="AH69" s="552">
        <f t="shared" si="28"/>
        <v>381774</v>
      </c>
      <c r="AI69" s="552"/>
      <c r="AJ69" s="14">
        <f t="shared" si="46"/>
        <v>2006.6699999999998</v>
      </c>
      <c r="AK69" s="14">
        <f t="shared" si="48"/>
        <v>19198.799999999996</v>
      </c>
      <c r="AL69" s="552">
        <f>IF(R69&lt;=0,0,+([1]Profit!$B$4+AM68)*$AL$1/12)</f>
        <v>1071.0501359329662</v>
      </c>
      <c r="AM69" s="14">
        <f t="shared" si="31"/>
        <v>10591.104509119437</v>
      </c>
    </row>
    <row r="70" spans="1:41" x14ac:dyDescent="0.25">
      <c r="A70" s="542">
        <f t="shared" si="15"/>
        <v>46059</v>
      </c>
      <c r="B70" s="298">
        <f t="shared" si="16"/>
        <v>76771.519999999931</v>
      </c>
      <c r="C70" s="14">
        <f t="shared" si="0"/>
        <v>433.95</v>
      </c>
      <c r="D70" s="14">
        <f t="shared" si="32"/>
        <v>130.06</v>
      </c>
      <c r="E70" s="14">
        <f t="shared" si="1"/>
        <v>303.89</v>
      </c>
      <c r="F70" s="298">
        <f t="shared" si="17"/>
        <v>6876.3300000000036</v>
      </c>
      <c r="G70" s="298">
        <f t="shared" si="18"/>
        <v>17754.16</v>
      </c>
      <c r="H70" s="298">
        <f t="shared" si="2"/>
        <v>76641.459999999934</v>
      </c>
      <c r="I70" s="451">
        <f t="shared" si="3"/>
        <v>0</v>
      </c>
      <c r="J70" s="298">
        <f t="shared" si="19"/>
        <v>374315.08999999997</v>
      </c>
      <c r="K70" s="298">
        <f t="shared" si="40"/>
        <v>2701.27</v>
      </c>
      <c r="L70" s="298">
        <f t="shared" si="33"/>
        <v>283.82000000000016</v>
      </c>
      <c r="M70" s="298">
        <f t="shared" si="41"/>
        <v>2417.4499999999998</v>
      </c>
      <c r="N70" s="298">
        <f t="shared" si="22"/>
        <v>3023.73</v>
      </c>
      <c r="O70" s="298">
        <f t="shared" si="23"/>
        <v>26690.240000000005</v>
      </c>
      <c r="P70" s="298">
        <f t="shared" si="4"/>
        <v>374031.26999999996</v>
      </c>
      <c r="Q70" s="542">
        <f t="shared" si="5"/>
        <v>46059</v>
      </c>
      <c r="R70" s="298">
        <f t="shared" si="39"/>
        <v>367403.23000000004</v>
      </c>
      <c r="S70" s="535">
        <f t="shared" si="24"/>
        <v>4.7500000000000001E-2</v>
      </c>
      <c r="T70" s="298">
        <f t="shared" si="7"/>
        <v>2440.62</v>
      </c>
      <c r="U70" s="298">
        <f t="shared" si="42"/>
        <v>986.31999999999994</v>
      </c>
      <c r="V70" s="298">
        <f t="shared" si="9"/>
        <v>1454.3</v>
      </c>
      <c r="W70" s="298">
        <f t="shared" si="36"/>
        <v>0</v>
      </c>
      <c r="X70" s="298">
        <f t="shared" si="36"/>
        <v>0</v>
      </c>
      <c r="Y70" s="298">
        <f t="shared" si="43"/>
        <v>2440.62</v>
      </c>
      <c r="Z70" s="298">
        <f t="shared" si="44"/>
        <v>10638.09</v>
      </c>
      <c r="AA70" s="298">
        <f t="shared" si="45"/>
        <v>16208.73</v>
      </c>
      <c r="AB70" s="298">
        <f t="shared" si="13"/>
        <v>366416.91000000003</v>
      </c>
      <c r="AC70" s="451">
        <f t="shared" si="25"/>
        <v>10</v>
      </c>
      <c r="AD70" s="552">
        <f t="shared" si="26"/>
        <v>2867.150000000001</v>
      </c>
      <c r="AE70" s="552">
        <f t="shared" si="37"/>
        <v>289775.45000000007</v>
      </c>
      <c r="AF70" s="552">
        <f t="shared" si="38"/>
        <v>292642.60000000009</v>
      </c>
      <c r="AG70" s="552">
        <f t="shared" si="27"/>
        <v>2006.6699999999998</v>
      </c>
      <c r="AH70" s="552">
        <f t="shared" si="28"/>
        <v>380917.74</v>
      </c>
      <c r="AI70" s="552"/>
      <c r="AJ70" s="14">
        <f t="shared" si="46"/>
        <v>2006.6699999999998</v>
      </c>
      <c r="AK70" s="14">
        <f t="shared" si="48"/>
        <v>21205.469999999994</v>
      </c>
      <c r="AL70" s="552">
        <f>IF(R70&lt;=0,0,+([1]Profit!$B$4+AM69)*$AL$1/12)</f>
        <v>1073.7277612727985</v>
      </c>
      <c r="AM70" s="14">
        <f t="shared" si="31"/>
        <v>11664.832270392235</v>
      </c>
    </row>
    <row r="71" spans="1:41" x14ac:dyDescent="0.25">
      <c r="A71" s="542">
        <f t="shared" si="15"/>
        <v>46089</v>
      </c>
      <c r="B71" s="298">
        <f t="shared" si="16"/>
        <v>76641.459999999934</v>
      </c>
      <c r="C71" s="14">
        <f t="shared" si="0"/>
        <v>433.95</v>
      </c>
      <c r="D71" s="14">
        <f t="shared" si="32"/>
        <v>130.57999999999998</v>
      </c>
      <c r="E71" s="14">
        <f t="shared" si="1"/>
        <v>303.37</v>
      </c>
      <c r="F71" s="298">
        <f t="shared" si="17"/>
        <v>7006.9100000000035</v>
      </c>
      <c r="G71" s="298">
        <f t="shared" si="18"/>
        <v>18057.53</v>
      </c>
      <c r="H71" s="298">
        <f t="shared" si="2"/>
        <v>76510.879999999932</v>
      </c>
      <c r="I71" s="451">
        <f t="shared" si="3"/>
        <v>0</v>
      </c>
      <c r="J71" s="298">
        <f t="shared" si="19"/>
        <v>374031.26999999996</v>
      </c>
      <c r="K71" s="298">
        <f t="shared" si="40"/>
        <v>2701.27</v>
      </c>
      <c r="L71" s="298">
        <f t="shared" si="33"/>
        <v>285.65000000000009</v>
      </c>
      <c r="M71" s="298">
        <f t="shared" si="41"/>
        <v>2415.62</v>
      </c>
      <c r="N71" s="298">
        <f t="shared" si="22"/>
        <v>3309.38</v>
      </c>
      <c r="O71" s="298">
        <f t="shared" si="23"/>
        <v>29105.860000000004</v>
      </c>
      <c r="P71" s="298">
        <f t="shared" si="4"/>
        <v>373745.61999999994</v>
      </c>
      <c r="Q71" s="542">
        <f t="shared" si="5"/>
        <v>46089</v>
      </c>
      <c r="R71" s="298">
        <f t="shared" si="39"/>
        <v>366416.91000000003</v>
      </c>
      <c r="S71" s="535">
        <f t="shared" si="24"/>
        <v>4.7500000000000001E-2</v>
      </c>
      <c r="T71" s="298">
        <f t="shared" si="7"/>
        <v>2440.62</v>
      </c>
      <c r="U71" s="298">
        <f t="shared" si="42"/>
        <v>990.2199999999998</v>
      </c>
      <c r="V71" s="298">
        <f t="shared" si="9"/>
        <v>1450.4</v>
      </c>
      <c r="W71" s="298">
        <f t="shared" si="36"/>
        <v>0</v>
      </c>
      <c r="X71" s="298">
        <f t="shared" si="36"/>
        <v>0</v>
      </c>
      <c r="Y71" s="298">
        <f t="shared" si="43"/>
        <v>2440.62</v>
      </c>
      <c r="Z71" s="298">
        <f t="shared" si="44"/>
        <v>11628.31</v>
      </c>
      <c r="AA71" s="298">
        <f t="shared" si="45"/>
        <v>17659.13</v>
      </c>
      <c r="AB71" s="298">
        <f t="shared" si="13"/>
        <v>365426.69000000006</v>
      </c>
      <c r="AC71" s="451">
        <f t="shared" si="25"/>
        <v>11</v>
      </c>
      <c r="AD71" s="552">
        <f t="shared" si="26"/>
        <v>3127.8000000000011</v>
      </c>
      <c r="AE71" s="552">
        <f t="shared" si="37"/>
        <v>288915.81000000011</v>
      </c>
      <c r="AF71" s="552">
        <f t="shared" si="38"/>
        <v>292043.6100000001</v>
      </c>
      <c r="AG71" s="552">
        <f t="shared" si="27"/>
        <v>2006.6699999999998</v>
      </c>
      <c r="AH71" s="552">
        <f t="shared" si="28"/>
        <v>380058.10000000003</v>
      </c>
      <c r="AI71" s="552"/>
      <c r="AJ71" s="14">
        <f t="shared" si="46"/>
        <v>2006.6699999999998</v>
      </c>
      <c r="AK71" s="14">
        <f t="shared" si="48"/>
        <v>23212.139999999992</v>
      </c>
      <c r="AL71" s="552">
        <f>IF(R71&lt;=0,0,+([1]Profit!$B$4+AM70)*$AL$1/12)</f>
        <v>1076.4120806759804</v>
      </c>
      <c r="AM71" s="14">
        <f t="shared" si="31"/>
        <v>12741.244351068215</v>
      </c>
      <c r="AO71" s="512"/>
    </row>
    <row r="72" spans="1:41" x14ac:dyDescent="0.25">
      <c r="A72" s="542">
        <f t="shared" si="15"/>
        <v>46119</v>
      </c>
      <c r="B72" s="298">
        <f t="shared" si="16"/>
        <v>76510.879999999932</v>
      </c>
      <c r="C72" s="14">
        <f t="shared" si="0"/>
        <v>433.95</v>
      </c>
      <c r="D72" s="14">
        <f t="shared" si="32"/>
        <v>131.08999999999997</v>
      </c>
      <c r="E72" s="14">
        <f t="shared" si="1"/>
        <v>302.86</v>
      </c>
      <c r="F72" s="298">
        <f t="shared" si="17"/>
        <v>7138.0000000000036</v>
      </c>
      <c r="G72" s="298">
        <f t="shared" si="18"/>
        <v>18360.39</v>
      </c>
      <c r="H72" s="298">
        <f t="shared" si="2"/>
        <v>76379.789999999935</v>
      </c>
      <c r="I72" s="451">
        <f t="shared" si="3"/>
        <v>1</v>
      </c>
      <c r="J72" s="298">
        <f t="shared" si="19"/>
        <v>373745.61999999994</v>
      </c>
      <c r="K72" s="298">
        <f t="shared" si="40"/>
        <v>2701.27</v>
      </c>
      <c r="L72" s="298">
        <f t="shared" si="33"/>
        <v>287.5</v>
      </c>
      <c r="M72" s="298">
        <f t="shared" si="41"/>
        <v>2413.77</v>
      </c>
      <c r="N72" s="298">
        <f t="shared" si="22"/>
        <v>3596.88</v>
      </c>
      <c r="O72" s="298">
        <f t="shared" si="23"/>
        <v>31519.630000000005</v>
      </c>
      <c r="P72" s="298">
        <f t="shared" si="4"/>
        <v>373458.11999999994</v>
      </c>
      <c r="Q72" s="542">
        <f t="shared" si="5"/>
        <v>46119</v>
      </c>
      <c r="R72" s="298">
        <f t="shared" si="39"/>
        <v>365426.69000000006</v>
      </c>
      <c r="S72" s="535">
        <f t="shared" si="24"/>
        <v>4.7500000000000001E-2</v>
      </c>
      <c r="T72" s="298">
        <f t="shared" si="7"/>
        <v>2440.62</v>
      </c>
      <c r="U72" s="298">
        <f t="shared" si="42"/>
        <v>994.13999999999987</v>
      </c>
      <c r="V72" s="298">
        <f t="shared" si="9"/>
        <v>1446.48</v>
      </c>
      <c r="W72" s="298">
        <f t="shared" si="36"/>
        <v>0</v>
      </c>
      <c r="X72" s="298">
        <f t="shared" si="36"/>
        <v>0</v>
      </c>
      <c r="Y72" s="298">
        <f t="shared" si="43"/>
        <v>2440.62</v>
      </c>
      <c r="Z72" s="298">
        <f t="shared" si="44"/>
        <v>12622.449999999999</v>
      </c>
      <c r="AA72" s="298">
        <f t="shared" si="45"/>
        <v>19105.61</v>
      </c>
      <c r="AB72" s="298">
        <f t="shared" si="13"/>
        <v>364432.55000000005</v>
      </c>
      <c r="AC72" s="451">
        <f t="shared" si="25"/>
        <v>12</v>
      </c>
      <c r="AD72" s="552">
        <f t="shared" si="26"/>
        <v>3388.4500000000012</v>
      </c>
      <c r="AE72" s="552">
        <f t="shared" si="37"/>
        <v>288052.76000000013</v>
      </c>
      <c r="AF72" s="552">
        <f t="shared" si="38"/>
        <v>291441.21000000014</v>
      </c>
      <c r="AG72" s="552">
        <f t="shared" si="27"/>
        <v>2006.6699999999998</v>
      </c>
      <c r="AH72" s="552">
        <f t="shared" si="28"/>
        <v>379195.05</v>
      </c>
      <c r="AI72" s="552"/>
      <c r="AJ72" s="14">
        <f t="shared" si="46"/>
        <v>2006.6699999999998</v>
      </c>
      <c r="AK72" s="14">
        <f t="shared" si="48"/>
        <v>25218.80999999999</v>
      </c>
      <c r="AL72" s="552">
        <f>IF(R72&lt;=0,0,+([1]Profit!$B$4+AM71)*$AL$1/12)</f>
        <v>1079.1031108776704</v>
      </c>
      <c r="AM72" s="14">
        <f t="shared" si="31"/>
        <v>13820.347461945885</v>
      </c>
      <c r="AO72" s="512"/>
    </row>
    <row r="73" spans="1:41" x14ac:dyDescent="0.25">
      <c r="A73" s="542">
        <f t="shared" si="15"/>
        <v>46149</v>
      </c>
      <c r="B73" s="298">
        <f t="shared" si="16"/>
        <v>76379.789999999935</v>
      </c>
      <c r="C73" s="14">
        <f t="shared" si="0"/>
        <v>433.95</v>
      </c>
      <c r="D73" s="14">
        <f t="shared" si="32"/>
        <v>131.61000000000001</v>
      </c>
      <c r="E73" s="14">
        <f t="shared" si="1"/>
        <v>302.33999999999997</v>
      </c>
      <c r="F73" s="298">
        <f t="shared" si="17"/>
        <v>7269.6100000000033</v>
      </c>
      <c r="G73" s="298">
        <f t="shared" si="18"/>
        <v>18662.73</v>
      </c>
      <c r="H73" s="298">
        <f t="shared" si="2"/>
        <v>76248.179999999935</v>
      </c>
      <c r="I73" s="451">
        <f t="shared" si="3"/>
        <v>1</v>
      </c>
      <c r="J73" s="298">
        <f t="shared" si="19"/>
        <v>373458.11999999994</v>
      </c>
      <c r="K73" s="298">
        <f t="shared" si="40"/>
        <v>2701.27</v>
      </c>
      <c r="L73" s="298">
        <f t="shared" si="33"/>
        <v>289.34999999999991</v>
      </c>
      <c r="M73" s="298">
        <f t="shared" si="41"/>
        <v>2411.92</v>
      </c>
      <c r="N73" s="298">
        <f t="shared" si="22"/>
        <v>3886.23</v>
      </c>
      <c r="O73" s="298">
        <f t="shared" si="23"/>
        <v>33931.550000000003</v>
      </c>
      <c r="P73" s="298">
        <f t="shared" si="4"/>
        <v>373168.76999999996</v>
      </c>
      <c r="Q73" s="542">
        <f t="shared" si="5"/>
        <v>46149</v>
      </c>
      <c r="R73" s="298">
        <f t="shared" si="39"/>
        <v>364432.55000000005</v>
      </c>
      <c r="S73" s="535">
        <f t="shared" si="24"/>
        <v>4.7500000000000001E-2</v>
      </c>
      <c r="T73" s="298">
        <f t="shared" si="7"/>
        <v>2440.62</v>
      </c>
      <c r="U73" s="298">
        <f t="shared" si="42"/>
        <v>998.06999999999994</v>
      </c>
      <c r="V73" s="298">
        <f t="shared" si="9"/>
        <v>1442.55</v>
      </c>
      <c r="W73" s="298">
        <f t="shared" si="36"/>
        <v>0</v>
      </c>
      <c r="X73" s="298">
        <f t="shared" si="36"/>
        <v>0</v>
      </c>
      <c r="Y73" s="298">
        <f t="shared" si="43"/>
        <v>2440.62</v>
      </c>
      <c r="Z73" s="298">
        <f t="shared" si="44"/>
        <v>13620.519999999999</v>
      </c>
      <c r="AA73" s="298">
        <f t="shared" si="45"/>
        <v>20548.16</v>
      </c>
      <c r="AB73" s="298">
        <f t="shared" si="13"/>
        <v>363434.48000000004</v>
      </c>
      <c r="AC73" s="451">
        <f t="shared" si="25"/>
        <v>13</v>
      </c>
      <c r="AD73" s="552">
        <f t="shared" si="26"/>
        <v>3649.1000000000013</v>
      </c>
      <c r="AE73" s="552">
        <f t="shared" si="37"/>
        <v>287186.3000000001</v>
      </c>
      <c r="AF73" s="552">
        <f t="shared" si="38"/>
        <v>290835.40000000008</v>
      </c>
      <c r="AG73" s="552">
        <f t="shared" si="27"/>
        <v>2006.6699999999998</v>
      </c>
      <c r="AH73" s="552">
        <f t="shared" si="28"/>
        <v>378328.58999999997</v>
      </c>
      <c r="AI73" s="552"/>
      <c r="AJ73" s="14">
        <f t="shared" si="46"/>
        <v>2006.6699999999998</v>
      </c>
      <c r="AK73" s="14">
        <f t="shared" si="48"/>
        <v>27225.479999999989</v>
      </c>
      <c r="AL73" s="552">
        <f>IF(R73&lt;=0,0,+([1]Profit!$B$4+AM72)*$AL$1/12)</f>
        <v>1081.8008686548646</v>
      </c>
      <c r="AM73" s="14">
        <f t="shared" si="31"/>
        <v>14902.14833060075</v>
      </c>
    </row>
    <row r="74" spans="1:41" ht="15.75" thickBot="1" x14ac:dyDescent="0.3">
      <c r="A74" s="545">
        <f t="shared" si="15"/>
        <v>46179</v>
      </c>
      <c r="B74" s="371">
        <f t="shared" si="16"/>
        <v>76248.179999999935</v>
      </c>
      <c r="C74" s="21">
        <f t="shared" si="0"/>
        <v>433.95</v>
      </c>
      <c r="D74" s="21">
        <f t="shared" si="32"/>
        <v>132.13</v>
      </c>
      <c r="E74" s="21">
        <f t="shared" si="1"/>
        <v>301.82</v>
      </c>
      <c r="F74" s="371">
        <f t="shared" si="17"/>
        <v>7401.7400000000034</v>
      </c>
      <c r="G74" s="371">
        <f t="shared" si="18"/>
        <v>18964.55</v>
      </c>
      <c r="H74" s="371">
        <f t="shared" si="2"/>
        <v>76116.04999999993</v>
      </c>
      <c r="I74" s="452">
        <f t="shared" si="3"/>
        <v>1</v>
      </c>
      <c r="J74" s="371">
        <f t="shared" si="19"/>
        <v>373168.76999999996</v>
      </c>
      <c r="K74" s="371">
        <f t="shared" si="40"/>
        <v>2701.27</v>
      </c>
      <c r="L74" s="371">
        <f t="shared" si="33"/>
        <v>291.2199999999998</v>
      </c>
      <c r="M74" s="371">
        <f t="shared" si="41"/>
        <v>2410.0500000000002</v>
      </c>
      <c r="N74" s="371">
        <f t="shared" si="22"/>
        <v>4177.45</v>
      </c>
      <c r="O74" s="371">
        <f t="shared" si="23"/>
        <v>36341.600000000006</v>
      </c>
      <c r="P74" s="371">
        <f t="shared" si="4"/>
        <v>372877.55</v>
      </c>
      <c r="Q74" s="545">
        <f t="shared" si="5"/>
        <v>46179</v>
      </c>
      <c r="R74" s="371">
        <f t="shared" si="39"/>
        <v>363434.48000000004</v>
      </c>
      <c r="S74" s="536">
        <f t="shared" si="24"/>
        <v>4.7500000000000001E-2</v>
      </c>
      <c r="T74" s="371">
        <f t="shared" si="7"/>
        <v>2440.62</v>
      </c>
      <c r="U74" s="371">
        <f t="shared" si="42"/>
        <v>1002.03</v>
      </c>
      <c r="V74" s="371">
        <f t="shared" si="9"/>
        <v>1438.59</v>
      </c>
      <c r="W74" s="371">
        <f t="shared" si="36"/>
        <v>0</v>
      </c>
      <c r="X74" s="371">
        <f t="shared" si="36"/>
        <v>0</v>
      </c>
      <c r="Y74" s="371">
        <f t="shared" si="43"/>
        <v>2440.62</v>
      </c>
      <c r="Z74" s="371">
        <f t="shared" si="44"/>
        <v>14622.55</v>
      </c>
      <c r="AA74" s="371">
        <f t="shared" si="45"/>
        <v>21986.75</v>
      </c>
      <c r="AB74" s="371">
        <f t="shared" si="13"/>
        <v>362432.45</v>
      </c>
      <c r="AC74" s="452">
        <f t="shared" si="25"/>
        <v>14</v>
      </c>
      <c r="AD74" s="553">
        <f t="shared" si="26"/>
        <v>3909.7500000000014</v>
      </c>
      <c r="AE74" s="553">
        <f t="shared" si="37"/>
        <v>286316.40000000008</v>
      </c>
      <c r="AF74" s="553">
        <f t="shared" si="38"/>
        <v>290226.15000000008</v>
      </c>
      <c r="AG74" s="553">
        <f t="shared" si="27"/>
        <v>2006.6699999999998</v>
      </c>
      <c r="AH74" s="553">
        <f t="shared" si="28"/>
        <v>377458.69</v>
      </c>
      <c r="AI74" s="553"/>
      <c r="AJ74" s="21">
        <f t="shared" si="46"/>
        <v>2006.6699999999998</v>
      </c>
      <c r="AK74" s="21">
        <f t="shared" si="48"/>
        <v>29232.149999999987</v>
      </c>
      <c r="AL74" s="553">
        <f>IF(R74&lt;=0,0,+([1]Profit!$B$4+AM73)*$AL$1/12)</f>
        <v>1084.5053708265018</v>
      </c>
      <c r="AM74" s="21">
        <f t="shared" si="31"/>
        <v>15986.653701427253</v>
      </c>
    </row>
    <row r="75" spans="1:41" x14ac:dyDescent="0.25">
      <c r="A75" s="542">
        <f t="shared" si="15"/>
        <v>46209</v>
      </c>
      <c r="B75" s="298">
        <f t="shared" si="16"/>
        <v>76116.04999999993</v>
      </c>
      <c r="C75" s="14">
        <f t="shared" si="0"/>
        <v>433.95</v>
      </c>
      <c r="D75" s="14">
        <f t="shared" si="32"/>
        <v>132.65999999999997</v>
      </c>
      <c r="E75" s="14">
        <f t="shared" si="1"/>
        <v>301.29000000000002</v>
      </c>
      <c r="F75" s="298">
        <f t="shared" si="17"/>
        <v>7534.4000000000033</v>
      </c>
      <c r="G75" s="298">
        <f t="shared" si="18"/>
        <v>19265.84</v>
      </c>
      <c r="H75" s="298">
        <f t="shared" si="2"/>
        <v>75983.389999999927</v>
      </c>
      <c r="I75" s="451">
        <f t="shared" si="3"/>
        <v>1</v>
      </c>
      <c r="J75" s="298">
        <f t="shared" si="19"/>
        <v>372877.55</v>
      </c>
      <c r="K75" s="298">
        <f t="shared" si="40"/>
        <v>2701.27</v>
      </c>
      <c r="L75" s="298">
        <f t="shared" si="33"/>
        <v>293.09999999999991</v>
      </c>
      <c r="M75" s="298">
        <f t="shared" si="41"/>
        <v>2408.17</v>
      </c>
      <c r="N75" s="298">
        <f t="shared" si="22"/>
        <v>4470.5499999999993</v>
      </c>
      <c r="O75" s="298">
        <f t="shared" si="23"/>
        <v>38749.770000000004</v>
      </c>
      <c r="P75" s="298">
        <f t="shared" si="4"/>
        <v>372584.45</v>
      </c>
      <c r="Q75" s="542">
        <f t="shared" si="5"/>
        <v>46209</v>
      </c>
      <c r="R75" s="298">
        <f t="shared" si="39"/>
        <v>362432.45</v>
      </c>
      <c r="S75" s="535">
        <f t="shared" si="24"/>
        <v>4.7500000000000001E-2</v>
      </c>
      <c r="T75" s="298">
        <f t="shared" si="7"/>
        <v>2440.62</v>
      </c>
      <c r="U75" s="298">
        <f t="shared" si="42"/>
        <v>1005.9899999999998</v>
      </c>
      <c r="V75" s="298">
        <f t="shared" si="9"/>
        <v>1434.63</v>
      </c>
      <c r="W75" s="298">
        <f t="shared" si="36"/>
        <v>0</v>
      </c>
      <c r="X75" s="298">
        <f t="shared" si="36"/>
        <v>0</v>
      </c>
      <c r="Y75" s="298">
        <f t="shared" si="43"/>
        <v>2440.62</v>
      </c>
      <c r="Z75" s="298">
        <f t="shared" si="44"/>
        <v>15628.539999999999</v>
      </c>
      <c r="AA75" s="298">
        <f t="shared" si="45"/>
        <v>23421.38</v>
      </c>
      <c r="AB75" s="298">
        <f t="shared" si="13"/>
        <v>361426.46</v>
      </c>
      <c r="AC75" s="451">
        <f t="shared" si="25"/>
        <v>15</v>
      </c>
      <c r="AD75" s="552">
        <f t="shared" si="26"/>
        <v>4170.4000000000015</v>
      </c>
      <c r="AE75" s="552">
        <f t="shared" si="37"/>
        <v>285443.07000000007</v>
      </c>
      <c r="AF75" s="552">
        <f t="shared" si="38"/>
        <v>289613.47000000009</v>
      </c>
      <c r="AG75" s="552">
        <f t="shared" si="27"/>
        <v>2006.6699999999998</v>
      </c>
      <c r="AH75" s="552">
        <f t="shared" si="28"/>
        <v>376585.36000000004</v>
      </c>
      <c r="AI75" s="552"/>
      <c r="AJ75" s="14">
        <f t="shared" si="46"/>
        <v>2006.6699999999998</v>
      </c>
      <c r="AK75" s="14">
        <f t="shared" si="48"/>
        <v>31238.819999999985</v>
      </c>
      <c r="AL75" s="552">
        <f>IF(R75&lt;=0,0,+([1]Profit!$B$4+AM74)*$AL$1/12)</f>
        <v>1087.2166342535681</v>
      </c>
      <c r="AM75" s="14">
        <f t="shared" si="31"/>
        <v>17073.870335680822</v>
      </c>
    </row>
    <row r="76" spans="1:41" x14ac:dyDescent="0.25">
      <c r="A76" s="542">
        <f t="shared" si="15"/>
        <v>46239</v>
      </c>
      <c r="B76" s="298">
        <f t="shared" si="16"/>
        <v>75983.389999999927</v>
      </c>
      <c r="C76" s="14">
        <f t="shared" si="0"/>
        <v>433.95</v>
      </c>
      <c r="D76" s="14">
        <f t="shared" si="32"/>
        <v>133.18</v>
      </c>
      <c r="E76" s="14">
        <f t="shared" si="1"/>
        <v>300.77</v>
      </c>
      <c r="F76" s="298">
        <f t="shared" si="17"/>
        <v>7667.5800000000036</v>
      </c>
      <c r="G76" s="298">
        <f t="shared" si="18"/>
        <v>19566.61</v>
      </c>
      <c r="H76" s="298">
        <f t="shared" si="2"/>
        <v>75850.209999999934</v>
      </c>
      <c r="I76" s="451">
        <f t="shared" si="3"/>
        <v>1</v>
      </c>
      <c r="J76" s="298">
        <f t="shared" si="19"/>
        <v>372584.45</v>
      </c>
      <c r="K76" s="298">
        <f t="shared" si="40"/>
        <v>2701.27</v>
      </c>
      <c r="L76" s="298">
        <f t="shared" si="33"/>
        <v>295</v>
      </c>
      <c r="M76" s="298">
        <f t="shared" si="41"/>
        <v>2406.27</v>
      </c>
      <c r="N76" s="298">
        <f t="shared" si="22"/>
        <v>4765.5499999999993</v>
      </c>
      <c r="O76" s="298">
        <f t="shared" si="23"/>
        <v>41156.04</v>
      </c>
      <c r="P76" s="298">
        <f t="shared" si="4"/>
        <v>372289.45</v>
      </c>
      <c r="Q76" s="542">
        <f t="shared" si="5"/>
        <v>46239</v>
      </c>
      <c r="R76" s="298">
        <f t="shared" si="39"/>
        <v>361426.46</v>
      </c>
      <c r="S76" s="535">
        <f t="shared" si="24"/>
        <v>4.7500000000000001E-2</v>
      </c>
      <c r="T76" s="298">
        <f t="shared" si="7"/>
        <v>2440.62</v>
      </c>
      <c r="U76" s="298">
        <f t="shared" si="42"/>
        <v>1009.9699999999998</v>
      </c>
      <c r="V76" s="298">
        <f t="shared" si="9"/>
        <v>1430.65</v>
      </c>
      <c r="W76" s="298">
        <f t="shared" ref="W76:X91" si="49">+W75</f>
        <v>0</v>
      </c>
      <c r="X76" s="298">
        <f t="shared" si="49"/>
        <v>0</v>
      </c>
      <c r="Y76" s="298">
        <f t="shared" si="43"/>
        <v>2440.62</v>
      </c>
      <c r="Z76" s="298">
        <f t="shared" si="44"/>
        <v>16638.509999999998</v>
      </c>
      <c r="AA76" s="298">
        <f t="shared" si="45"/>
        <v>24852.030000000002</v>
      </c>
      <c r="AB76" s="298">
        <f t="shared" si="13"/>
        <v>360416.49000000005</v>
      </c>
      <c r="AC76" s="451">
        <f t="shared" si="25"/>
        <v>16</v>
      </c>
      <c r="AD76" s="552">
        <f t="shared" si="26"/>
        <v>4431.0500000000011</v>
      </c>
      <c r="AE76" s="552">
        <f t="shared" si="37"/>
        <v>284566.28000000014</v>
      </c>
      <c r="AF76" s="552">
        <f t="shared" si="38"/>
        <v>288997.33000000013</v>
      </c>
      <c r="AG76" s="552">
        <f t="shared" si="27"/>
        <v>2006.6699999999998</v>
      </c>
      <c r="AH76" s="552">
        <f t="shared" si="28"/>
        <v>375708.57</v>
      </c>
      <c r="AI76" s="552"/>
      <c r="AJ76" s="14">
        <f t="shared" si="46"/>
        <v>2006.6699999999998</v>
      </c>
      <c r="AK76" s="14">
        <f t="shared" si="48"/>
        <v>33245.489999999983</v>
      </c>
      <c r="AL76" s="552">
        <f>IF(R76&lt;=0,0,+([1]Profit!$B$4+AM75)*$AL$1/12)</f>
        <v>1089.9346758392021</v>
      </c>
      <c r="AM76" s="14">
        <f t="shared" si="31"/>
        <v>18163.805011520024</v>
      </c>
    </row>
    <row r="77" spans="1:41" x14ac:dyDescent="0.25">
      <c r="A77" s="542">
        <f t="shared" si="15"/>
        <v>46269</v>
      </c>
      <c r="B77" s="298">
        <f t="shared" si="16"/>
        <v>75850.209999999934</v>
      </c>
      <c r="C77" s="14">
        <f t="shared" si="0"/>
        <v>433.95</v>
      </c>
      <c r="D77" s="14">
        <f t="shared" si="32"/>
        <v>133.70999999999998</v>
      </c>
      <c r="E77" s="14">
        <f t="shared" si="1"/>
        <v>300.24</v>
      </c>
      <c r="F77" s="298">
        <f t="shared" si="17"/>
        <v>7801.2900000000036</v>
      </c>
      <c r="G77" s="298">
        <f t="shared" si="18"/>
        <v>19866.850000000002</v>
      </c>
      <c r="H77" s="298">
        <f t="shared" si="2"/>
        <v>75716.499999999927</v>
      </c>
      <c r="I77" s="451">
        <f t="shared" si="3"/>
        <v>1</v>
      </c>
      <c r="J77" s="298">
        <f t="shared" si="19"/>
        <v>372289.45</v>
      </c>
      <c r="K77" s="298">
        <f t="shared" si="40"/>
        <v>2701.27</v>
      </c>
      <c r="L77" s="298">
        <f t="shared" si="33"/>
        <v>296.90000000000009</v>
      </c>
      <c r="M77" s="298">
        <f t="shared" si="41"/>
        <v>2404.37</v>
      </c>
      <c r="N77" s="298">
        <f t="shared" si="22"/>
        <v>5062.4499999999989</v>
      </c>
      <c r="O77" s="298">
        <f t="shared" si="23"/>
        <v>43560.41</v>
      </c>
      <c r="P77" s="298">
        <f t="shared" si="4"/>
        <v>371992.55</v>
      </c>
      <c r="Q77" s="542">
        <f t="shared" si="5"/>
        <v>46269</v>
      </c>
      <c r="R77" s="298">
        <f t="shared" si="39"/>
        <v>360416.49000000005</v>
      </c>
      <c r="S77" s="535">
        <f t="shared" si="24"/>
        <v>4.7500000000000001E-2</v>
      </c>
      <c r="T77" s="298">
        <f t="shared" si="7"/>
        <v>2440.62</v>
      </c>
      <c r="U77" s="298">
        <f t="shared" si="42"/>
        <v>1013.9699999999998</v>
      </c>
      <c r="V77" s="298">
        <f t="shared" si="9"/>
        <v>1426.65</v>
      </c>
      <c r="W77" s="298">
        <f t="shared" si="49"/>
        <v>0</v>
      </c>
      <c r="X77" s="298">
        <f t="shared" si="49"/>
        <v>0</v>
      </c>
      <c r="Y77" s="298">
        <f t="shared" si="43"/>
        <v>2440.62</v>
      </c>
      <c r="Z77" s="298">
        <f t="shared" si="44"/>
        <v>17652.48</v>
      </c>
      <c r="AA77" s="298">
        <f t="shared" si="45"/>
        <v>26278.680000000004</v>
      </c>
      <c r="AB77" s="298">
        <f t="shared" si="13"/>
        <v>359402.52000000008</v>
      </c>
      <c r="AC77" s="451">
        <f t="shared" si="25"/>
        <v>17</v>
      </c>
      <c r="AD77" s="552">
        <f t="shared" si="26"/>
        <v>4691.7000000000007</v>
      </c>
      <c r="AE77" s="552">
        <f t="shared" si="37"/>
        <v>283686.02000000014</v>
      </c>
      <c r="AF77" s="552">
        <f t="shared" si="38"/>
        <v>288377.72000000015</v>
      </c>
      <c r="AG77" s="552">
        <f t="shared" si="27"/>
        <v>2006.6699999999998</v>
      </c>
      <c r="AH77" s="552">
        <f t="shared" si="28"/>
        <v>374828.31</v>
      </c>
      <c r="AI77" s="552"/>
      <c r="AJ77" s="14">
        <f t="shared" si="46"/>
        <v>2006.6699999999998</v>
      </c>
      <c r="AK77" s="14">
        <f t="shared" si="48"/>
        <v>35252.159999999982</v>
      </c>
      <c r="AL77" s="552">
        <f>IF(R77&lt;=0,0,+([1]Profit!$B$4+AM76)*$AL$1/12)</f>
        <v>1092.6595125288002</v>
      </c>
      <c r="AM77" s="14">
        <f t="shared" si="31"/>
        <v>19256.464524048824</v>
      </c>
    </row>
    <row r="78" spans="1:41" x14ac:dyDescent="0.25">
      <c r="A78" s="542">
        <f t="shared" si="15"/>
        <v>46299</v>
      </c>
      <c r="B78" s="298">
        <f t="shared" si="16"/>
        <v>75716.499999999927</v>
      </c>
      <c r="C78" s="14">
        <f t="shared" si="0"/>
        <v>433.95</v>
      </c>
      <c r="D78" s="14">
        <f t="shared" si="32"/>
        <v>134.24</v>
      </c>
      <c r="E78" s="14">
        <f t="shared" si="1"/>
        <v>299.70999999999998</v>
      </c>
      <c r="F78" s="298">
        <f t="shared" si="17"/>
        <v>7935.5300000000034</v>
      </c>
      <c r="G78" s="298">
        <f t="shared" si="18"/>
        <v>20166.560000000001</v>
      </c>
      <c r="H78" s="298">
        <f t="shared" si="2"/>
        <v>75582.259999999922</v>
      </c>
      <c r="I78" s="451">
        <f t="shared" si="3"/>
        <v>1</v>
      </c>
      <c r="J78" s="298">
        <f t="shared" si="19"/>
        <v>371992.55</v>
      </c>
      <c r="K78" s="298">
        <f t="shared" si="40"/>
        <v>2701.27</v>
      </c>
      <c r="L78" s="298">
        <f t="shared" si="33"/>
        <v>298.82000000000016</v>
      </c>
      <c r="M78" s="298">
        <f t="shared" si="41"/>
        <v>2402.4499999999998</v>
      </c>
      <c r="N78" s="298">
        <f t="shared" si="22"/>
        <v>5361.2699999999986</v>
      </c>
      <c r="O78" s="298">
        <f t="shared" si="23"/>
        <v>45962.86</v>
      </c>
      <c r="P78" s="298">
        <f t="shared" si="4"/>
        <v>371693.73</v>
      </c>
      <c r="Q78" s="542">
        <f t="shared" si="5"/>
        <v>46299</v>
      </c>
      <c r="R78" s="298">
        <f t="shared" si="39"/>
        <v>359402.52000000008</v>
      </c>
      <c r="S78" s="535">
        <f t="shared" si="24"/>
        <v>4.7500000000000001E-2</v>
      </c>
      <c r="T78" s="298">
        <f t="shared" si="7"/>
        <v>2440.62</v>
      </c>
      <c r="U78" s="298">
        <f t="shared" si="42"/>
        <v>1017.9899999999998</v>
      </c>
      <c r="V78" s="298">
        <f t="shared" si="9"/>
        <v>1422.63</v>
      </c>
      <c r="W78" s="298">
        <f t="shared" si="49"/>
        <v>0</v>
      </c>
      <c r="X78" s="298">
        <f t="shared" si="49"/>
        <v>0</v>
      </c>
      <c r="Y78" s="298">
        <f t="shared" si="43"/>
        <v>2440.62</v>
      </c>
      <c r="Z78" s="298">
        <f t="shared" si="44"/>
        <v>18670.47</v>
      </c>
      <c r="AA78" s="298">
        <f t="shared" si="45"/>
        <v>27701.310000000005</v>
      </c>
      <c r="AB78" s="298">
        <f t="shared" si="13"/>
        <v>358384.53000000009</v>
      </c>
      <c r="AC78" s="451">
        <f t="shared" si="25"/>
        <v>18</v>
      </c>
      <c r="AD78" s="552">
        <f t="shared" si="26"/>
        <v>4952.3500000000004</v>
      </c>
      <c r="AE78" s="552">
        <f t="shared" si="37"/>
        <v>282802.27000000014</v>
      </c>
      <c r="AF78" s="552">
        <f t="shared" si="38"/>
        <v>287754.62000000011</v>
      </c>
      <c r="AG78" s="552">
        <f t="shared" si="27"/>
        <v>2006.6699999999998</v>
      </c>
      <c r="AH78" s="552">
        <f t="shared" si="28"/>
        <v>373944.56000000006</v>
      </c>
      <c r="AI78" s="552"/>
      <c r="AJ78" s="14">
        <f t="shared" si="46"/>
        <v>2006.6699999999998</v>
      </c>
      <c r="AK78" s="14">
        <f t="shared" si="48"/>
        <v>37258.82999999998</v>
      </c>
      <c r="AL78" s="552">
        <f>IF(R78&lt;=0,0,+([1]Profit!$B$4+AM77)*$AL$1/12)</f>
        <v>1095.391161310122</v>
      </c>
      <c r="AM78" s="14">
        <f t="shared" si="31"/>
        <v>20351.855685358947</v>
      </c>
    </row>
    <row r="79" spans="1:41" x14ac:dyDescent="0.25">
      <c r="A79" s="542">
        <f t="shared" si="15"/>
        <v>46329</v>
      </c>
      <c r="B79" s="298">
        <f t="shared" si="16"/>
        <v>75582.259999999922</v>
      </c>
      <c r="C79" s="14">
        <f t="shared" ref="C79:C142" si="50">IF(+$H78&lt;=0,0,$C$5)</f>
        <v>433.95</v>
      </c>
      <c r="D79" s="14">
        <f t="shared" si="32"/>
        <v>134.76999999999998</v>
      </c>
      <c r="E79" s="14">
        <f t="shared" ref="E79:E142" si="51">ROUND($B79*($C$3/12), 2)</f>
        <v>299.18</v>
      </c>
      <c r="F79" s="298">
        <f t="shared" si="17"/>
        <v>8070.3000000000029</v>
      </c>
      <c r="G79" s="298">
        <f t="shared" si="18"/>
        <v>20465.740000000002</v>
      </c>
      <c r="H79" s="298">
        <f t="shared" ref="H79:H142" si="52">+B79-D79</f>
        <v>75447.489999999918</v>
      </c>
      <c r="I79" s="451">
        <f t="shared" ref="I79:I142" si="53">IF(MOD(AC79,12)=0,AC79/12,I78)</f>
        <v>1</v>
      </c>
      <c r="J79" s="298">
        <f t="shared" si="19"/>
        <v>371693.73</v>
      </c>
      <c r="K79" s="298">
        <f t="shared" si="40"/>
        <v>2701.27</v>
      </c>
      <c r="L79" s="298">
        <f t="shared" si="33"/>
        <v>300.75</v>
      </c>
      <c r="M79" s="298">
        <f t="shared" si="41"/>
        <v>2400.52</v>
      </c>
      <c r="N79" s="298">
        <f t="shared" si="22"/>
        <v>5662.0199999999986</v>
      </c>
      <c r="O79" s="298">
        <f t="shared" si="23"/>
        <v>48363.38</v>
      </c>
      <c r="P79" s="298">
        <f t="shared" ref="P79:P142" si="54">+J79-L79</f>
        <v>371392.98</v>
      </c>
      <c r="Q79" s="542">
        <f t="shared" ref="Q79:Q142" si="55">+A79</f>
        <v>46329</v>
      </c>
      <c r="R79" s="298">
        <f t="shared" si="39"/>
        <v>358384.53000000009</v>
      </c>
      <c r="S79" s="535">
        <f t="shared" si="24"/>
        <v>4.7500000000000001E-2</v>
      </c>
      <c r="T79" s="298">
        <f t="shared" ref="T79:T142" si="56">IF($J$10&lt;=$A79,IF(+AB78&lt;=0,0,IF(S79=$T$9,$S$9,$S$10)),0)</f>
        <v>2440.62</v>
      </c>
      <c r="U79" s="298">
        <f t="shared" si="42"/>
        <v>1022.01</v>
      </c>
      <c r="V79" s="298">
        <f t="shared" ref="V79:V142" si="57">IF($J$10&lt;=$A79,ROUND(R79*(S79/12),2),0)</f>
        <v>1418.61</v>
      </c>
      <c r="W79" s="298">
        <f t="shared" si="49"/>
        <v>0</v>
      </c>
      <c r="X79" s="298">
        <f t="shared" si="49"/>
        <v>0</v>
      </c>
      <c r="Y79" s="298">
        <f t="shared" si="43"/>
        <v>2440.62</v>
      </c>
      <c r="Z79" s="298">
        <f t="shared" si="44"/>
        <v>19692.48</v>
      </c>
      <c r="AA79" s="298">
        <f t="shared" si="45"/>
        <v>29119.920000000006</v>
      </c>
      <c r="AB79" s="298">
        <f t="shared" ref="AB79:AB142" si="58">IF(Q79&lt;$J$10,$J$6,+R79-U79)</f>
        <v>357362.52000000008</v>
      </c>
      <c r="AC79" s="451">
        <f t="shared" si="25"/>
        <v>19</v>
      </c>
      <c r="AD79" s="552">
        <f t="shared" si="26"/>
        <v>5213</v>
      </c>
      <c r="AE79" s="552">
        <f t="shared" si="37"/>
        <v>281915.03000000014</v>
      </c>
      <c r="AF79" s="552">
        <f t="shared" si="38"/>
        <v>287128.03000000014</v>
      </c>
      <c r="AG79" s="552">
        <f t="shared" si="27"/>
        <v>2006.6699999999998</v>
      </c>
      <c r="AH79" s="552">
        <f t="shared" si="28"/>
        <v>373057.32</v>
      </c>
      <c r="AI79" s="552"/>
      <c r="AJ79" s="14">
        <f t="shared" si="46"/>
        <v>2006.6699999999998</v>
      </c>
      <c r="AK79" s="14">
        <f t="shared" si="48"/>
        <v>39265.499999999978</v>
      </c>
      <c r="AL79" s="552">
        <f>IF(R79&lt;=0,0,+([1]Profit!$B$4+AM78)*$AL$1/12)</f>
        <v>1098.1296392133972</v>
      </c>
      <c r="AM79" s="14">
        <f t="shared" si="31"/>
        <v>21449.985324572343</v>
      </c>
    </row>
    <row r="80" spans="1:41" x14ac:dyDescent="0.25">
      <c r="A80" s="542">
        <f t="shared" ref="A80:A143" si="59">IF(H80&lt;=0," ",+A79+30)</f>
        <v>46359</v>
      </c>
      <c r="B80" s="298">
        <f t="shared" ref="B80:B143" si="60">IF(+H79&lt;0,0,+H79)</f>
        <v>75447.489999999918</v>
      </c>
      <c r="C80" s="14">
        <f t="shared" si="50"/>
        <v>433.95</v>
      </c>
      <c r="D80" s="14">
        <f t="shared" si="32"/>
        <v>135.30000000000001</v>
      </c>
      <c r="E80" s="14">
        <f t="shared" si="51"/>
        <v>298.64999999999998</v>
      </c>
      <c r="F80" s="298">
        <f t="shared" ref="F80:F143" si="61">$D80+$F79</f>
        <v>8205.6000000000022</v>
      </c>
      <c r="G80" s="298">
        <f t="shared" ref="G80:G143" si="62">$E80+$G79</f>
        <v>20764.390000000003</v>
      </c>
      <c r="H80" s="298">
        <f t="shared" si="52"/>
        <v>75312.189999999915</v>
      </c>
      <c r="I80" s="451">
        <f t="shared" si="53"/>
        <v>1</v>
      </c>
      <c r="J80" s="298">
        <f t="shared" ref="J80:J143" si="63">IF(+P79&lt;0,0,+P79)</f>
        <v>371392.98</v>
      </c>
      <c r="K80" s="298">
        <f t="shared" si="40"/>
        <v>2701.27</v>
      </c>
      <c r="L80" s="298">
        <f t="shared" si="33"/>
        <v>302.69000000000005</v>
      </c>
      <c r="M80" s="298">
        <f t="shared" si="41"/>
        <v>2398.58</v>
      </c>
      <c r="N80" s="298">
        <f t="shared" ref="N80:N143" si="64">+L80+N79</f>
        <v>5964.7099999999991</v>
      </c>
      <c r="O80" s="298">
        <f t="shared" ref="O80:O143" si="65">+O79+M80</f>
        <v>50761.96</v>
      </c>
      <c r="P80" s="298">
        <f t="shared" si="54"/>
        <v>371090.29</v>
      </c>
      <c r="Q80" s="542">
        <f t="shared" si="55"/>
        <v>46359</v>
      </c>
      <c r="R80" s="298">
        <f t="shared" si="39"/>
        <v>357362.52000000008</v>
      </c>
      <c r="S80" s="535">
        <f t="shared" ref="S80:S143" si="66">IF(AC80&gt;60,$T$10,$T$9)</f>
        <v>4.7500000000000001E-2</v>
      </c>
      <c r="T80" s="298">
        <f t="shared" si="56"/>
        <v>2440.62</v>
      </c>
      <c r="U80" s="298">
        <f t="shared" si="42"/>
        <v>1026.06</v>
      </c>
      <c r="V80" s="298">
        <f t="shared" si="57"/>
        <v>1414.56</v>
      </c>
      <c r="W80" s="298">
        <f t="shared" si="49"/>
        <v>0</v>
      </c>
      <c r="X80" s="298">
        <f t="shared" si="49"/>
        <v>0</v>
      </c>
      <c r="Y80" s="298">
        <f t="shared" si="43"/>
        <v>2440.62</v>
      </c>
      <c r="Z80" s="298">
        <f t="shared" si="44"/>
        <v>20718.54</v>
      </c>
      <c r="AA80" s="298">
        <f t="shared" si="45"/>
        <v>30534.480000000007</v>
      </c>
      <c r="AB80" s="298">
        <f t="shared" si="58"/>
        <v>356336.46000000008</v>
      </c>
      <c r="AC80" s="451">
        <f t="shared" ref="AC80:AC143" si="67">IF(J80&lt;&gt;"",IF(J80=$J$6,0,+AC79+1),0)</f>
        <v>20</v>
      </c>
      <c r="AD80" s="552">
        <f t="shared" ref="AD80:AD143" si="68">K80-T80+AD79</f>
        <v>5473.65</v>
      </c>
      <c r="AE80" s="552">
        <f t="shared" si="37"/>
        <v>281024.27000000014</v>
      </c>
      <c r="AF80" s="552">
        <f t="shared" si="38"/>
        <v>286497.92000000016</v>
      </c>
      <c r="AG80" s="552">
        <f t="shared" ref="AG80:AG143" si="69">IF(Q80&lt;=$C$10,0,+T80-$C80)</f>
        <v>2006.6699999999998</v>
      </c>
      <c r="AH80" s="552">
        <f t="shared" ref="AH80:AH143" si="70">IF(P80&lt;=0,0,+$T$5-$C$2+F80-Z80)</f>
        <v>372166.56</v>
      </c>
      <c r="AI80" s="552"/>
      <c r="AJ80" s="14">
        <f t="shared" si="46"/>
        <v>2006.6699999999998</v>
      </c>
      <c r="AK80" s="14">
        <f t="shared" si="48"/>
        <v>41272.169999999976</v>
      </c>
      <c r="AL80" s="552">
        <f>IF(R80&lt;=0,0,+([1]Profit!$B$4+AM79)*$AL$1/12)</f>
        <v>1100.874963311431</v>
      </c>
      <c r="AM80" s="14">
        <f t="shared" ref="AM80:AM143" si="71">IF(P80&lt;=0,0,+AM79+AL80)</f>
        <v>22550.860287883774</v>
      </c>
    </row>
    <row r="81" spans="1:41" x14ac:dyDescent="0.25">
      <c r="A81" s="542">
        <f t="shared" si="59"/>
        <v>46389</v>
      </c>
      <c r="B81" s="298">
        <f t="shared" si="60"/>
        <v>75312.189999999915</v>
      </c>
      <c r="C81" s="14">
        <f t="shared" si="50"/>
        <v>433.95</v>
      </c>
      <c r="D81" s="14">
        <f t="shared" ref="D81:D144" si="72">+C81-E81</f>
        <v>135.83999999999997</v>
      </c>
      <c r="E81" s="14">
        <f t="shared" si="51"/>
        <v>298.11</v>
      </c>
      <c r="F81" s="298">
        <f t="shared" si="61"/>
        <v>8341.4400000000023</v>
      </c>
      <c r="G81" s="298">
        <f t="shared" si="62"/>
        <v>21062.500000000004</v>
      </c>
      <c r="H81" s="298">
        <f t="shared" si="52"/>
        <v>75176.349999999919</v>
      </c>
      <c r="I81" s="451">
        <f t="shared" si="53"/>
        <v>1</v>
      </c>
      <c r="J81" s="298">
        <f t="shared" si="63"/>
        <v>371090.29</v>
      </c>
      <c r="K81" s="298">
        <f t="shared" si="40"/>
        <v>2701.27</v>
      </c>
      <c r="L81" s="298">
        <f t="shared" ref="L81:L144" si="73">+K81-M81</f>
        <v>304.65000000000009</v>
      </c>
      <c r="M81" s="298">
        <f t="shared" si="41"/>
        <v>2396.62</v>
      </c>
      <c r="N81" s="298">
        <f t="shared" si="64"/>
        <v>6269.3599999999988</v>
      </c>
      <c r="O81" s="298">
        <f t="shared" si="65"/>
        <v>53158.58</v>
      </c>
      <c r="P81" s="298">
        <f t="shared" si="54"/>
        <v>370785.63999999996</v>
      </c>
      <c r="Q81" s="542">
        <f t="shared" si="55"/>
        <v>46389</v>
      </c>
      <c r="R81" s="298">
        <f t="shared" si="39"/>
        <v>356336.46000000008</v>
      </c>
      <c r="S81" s="535">
        <f t="shared" si="66"/>
        <v>4.7500000000000001E-2</v>
      </c>
      <c r="T81" s="298">
        <f t="shared" si="56"/>
        <v>2440.62</v>
      </c>
      <c r="U81" s="298">
        <f t="shared" si="42"/>
        <v>1030.1199999999999</v>
      </c>
      <c r="V81" s="298">
        <f t="shared" si="57"/>
        <v>1410.5</v>
      </c>
      <c r="W81" s="298">
        <f t="shared" si="49"/>
        <v>0</v>
      </c>
      <c r="X81" s="298">
        <f t="shared" si="49"/>
        <v>0</v>
      </c>
      <c r="Y81" s="298">
        <f t="shared" si="43"/>
        <v>2440.62</v>
      </c>
      <c r="Z81" s="298">
        <f t="shared" si="44"/>
        <v>21748.66</v>
      </c>
      <c r="AA81" s="298">
        <f t="shared" si="45"/>
        <v>31944.980000000007</v>
      </c>
      <c r="AB81" s="298">
        <f t="shared" si="58"/>
        <v>355306.34000000008</v>
      </c>
      <c r="AC81" s="451">
        <f t="shared" si="67"/>
        <v>21</v>
      </c>
      <c r="AD81" s="552">
        <f t="shared" si="68"/>
        <v>5734.2999999999993</v>
      </c>
      <c r="AE81" s="552">
        <f t="shared" si="37"/>
        <v>280129.99000000017</v>
      </c>
      <c r="AF81" s="552">
        <f t="shared" si="38"/>
        <v>285864.29000000015</v>
      </c>
      <c r="AG81" s="552">
        <f t="shared" si="69"/>
        <v>2006.6699999999998</v>
      </c>
      <c r="AH81" s="552">
        <f t="shared" si="70"/>
        <v>371272.28</v>
      </c>
      <c r="AI81" s="552"/>
      <c r="AJ81" s="14">
        <f t="shared" si="46"/>
        <v>2006.6699999999998</v>
      </c>
      <c r="AK81" s="14">
        <f t="shared" si="48"/>
        <v>43278.839999999975</v>
      </c>
      <c r="AL81" s="552">
        <f>IF(R81&lt;=0,0,+([1]Profit!$B$4+AM80)*$AL$1/12)</f>
        <v>1103.6271507197096</v>
      </c>
      <c r="AM81" s="14">
        <f t="shared" si="71"/>
        <v>23654.487438603483</v>
      </c>
    </row>
    <row r="82" spans="1:41" x14ac:dyDescent="0.25">
      <c r="A82" s="542">
        <f t="shared" si="59"/>
        <v>46419</v>
      </c>
      <c r="B82" s="298">
        <f t="shared" si="60"/>
        <v>75176.349999999919</v>
      </c>
      <c r="C82" s="14">
        <f t="shared" si="50"/>
        <v>433.95</v>
      </c>
      <c r="D82" s="14">
        <f t="shared" si="72"/>
        <v>136.38</v>
      </c>
      <c r="E82" s="14">
        <f t="shared" si="51"/>
        <v>297.57</v>
      </c>
      <c r="F82" s="298">
        <f t="shared" si="61"/>
        <v>8477.8200000000015</v>
      </c>
      <c r="G82" s="298">
        <f t="shared" si="62"/>
        <v>21360.070000000003</v>
      </c>
      <c r="H82" s="298">
        <f t="shared" si="52"/>
        <v>75039.969999999914</v>
      </c>
      <c r="I82" s="451">
        <f t="shared" si="53"/>
        <v>1</v>
      </c>
      <c r="J82" s="298">
        <f t="shared" si="63"/>
        <v>370785.63999999996</v>
      </c>
      <c r="K82" s="298">
        <f t="shared" si="40"/>
        <v>2701.27</v>
      </c>
      <c r="L82" s="298">
        <f t="shared" si="73"/>
        <v>306.61000000000013</v>
      </c>
      <c r="M82" s="298">
        <f t="shared" si="41"/>
        <v>2394.66</v>
      </c>
      <c r="N82" s="298">
        <f t="shared" si="64"/>
        <v>6575.9699999999993</v>
      </c>
      <c r="O82" s="298">
        <f t="shared" si="65"/>
        <v>55553.240000000005</v>
      </c>
      <c r="P82" s="298">
        <f t="shared" si="54"/>
        <v>370479.02999999997</v>
      </c>
      <c r="Q82" s="542">
        <f t="shared" si="55"/>
        <v>46419</v>
      </c>
      <c r="R82" s="298">
        <f t="shared" si="39"/>
        <v>355306.34000000008</v>
      </c>
      <c r="S82" s="535">
        <f t="shared" si="66"/>
        <v>4.7500000000000001E-2</v>
      </c>
      <c r="T82" s="298">
        <f t="shared" si="56"/>
        <v>2440.62</v>
      </c>
      <c r="U82" s="298">
        <f t="shared" si="42"/>
        <v>1034.1999999999998</v>
      </c>
      <c r="V82" s="298">
        <f t="shared" si="57"/>
        <v>1406.42</v>
      </c>
      <c r="W82" s="298">
        <f t="shared" si="49"/>
        <v>0</v>
      </c>
      <c r="X82" s="298">
        <f t="shared" si="49"/>
        <v>0</v>
      </c>
      <c r="Y82" s="298">
        <f t="shared" si="43"/>
        <v>2440.62</v>
      </c>
      <c r="Z82" s="298">
        <f t="shared" si="44"/>
        <v>22782.86</v>
      </c>
      <c r="AA82" s="298">
        <f t="shared" si="45"/>
        <v>33351.400000000009</v>
      </c>
      <c r="AB82" s="298">
        <f t="shared" si="58"/>
        <v>354272.14000000007</v>
      </c>
      <c r="AC82" s="451">
        <f t="shared" si="67"/>
        <v>22</v>
      </c>
      <c r="AD82" s="552">
        <f t="shared" si="68"/>
        <v>5994.9499999999989</v>
      </c>
      <c r="AE82" s="552">
        <f t="shared" si="37"/>
        <v>279232.17000000016</v>
      </c>
      <c r="AF82" s="552">
        <f t="shared" si="38"/>
        <v>285227.12000000017</v>
      </c>
      <c r="AG82" s="552">
        <f t="shared" si="69"/>
        <v>2006.6699999999998</v>
      </c>
      <c r="AH82" s="552">
        <f t="shared" si="70"/>
        <v>370374.46</v>
      </c>
      <c r="AI82" s="552"/>
      <c r="AJ82" s="14">
        <f t="shared" si="46"/>
        <v>2006.6699999999998</v>
      </c>
      <c r="AK82" s="14">
        <f t="shared" si="48"/>
        <v>45285.509999999973</v>
      </c>
      <c r="AL82" s="552">
        <f>IF(R82&lt;=0,0,+([1]Profit!$B$4+AM81)*$AL$1/12)</f>
        <v>1106.3862185965088</v>
      </c>
      <c r="AM82" s="14">
        <f t="shared" si="71"/>
        <v>24760.873657199991</v>
      </c>
    </row>
    <row r="83" spans="1:41" x14ac:dyDescent="0.25">
      <c r="A83" s="542">
        <f t="shared" si="59"/>
        <v>46449</v>
      </c>
      <c r="B83" s="298">
        <f t="shared" si="60"/>
        <v>75039.969999999914</v>
      </c>
      <c r="C83" s="14">
        <f t="shared" si="50"/>
        <v>433.95</v>
      </c>
      <c r="D83" s="14">
        <f t="shared" si="72"/>
        <v>136.92000000000002</v>
      </c>
      <c r="E83" s="14">
        <f t="shared" si="51"/>
        <v>297.02999999999997</v>
      </c>
      <c r="F83" s="298">
        <f t="shared" si="61"/>
        <v>8614.7400000000016</v>
      </c>
      <c r="G83" s="298">
        <f t="shared" si="62"/>
        <v>21657.100000000002</v>
      </c>
      <c r="H83" s="298">
        <f t="shared" si="52"/>
        <v>74903.049999999916</v>
      </c>
      <c r="I83" s="451">
        <f t="shared" si="53"/>
        <v>1</v>
      </c>
      <c r="J83" s="298">
        <f t="shared" si="63"/>
        <v>370479.02999999997</v>
      </c>
      <c r="K83" s="298">
        <f t="shared" si="40"/>
        <v>2701.27</v>
      </c>
      <c r="L83" s="298">
        <f t="shared" si="73"/>
        <v>308.59000000000015</v>
      </c>
      <c r="M83" s="298">
        <f t="shared" si="41"/>
        <v>2392.6799999999998</v>
      </c>
      <c r="N83" s="298">
        <f t="shared" si="64"/>
        <v>6884.5599999999995</v>
      </c>
      <c r="O83" s="298">
        <f t="shared" si="65"/>
        <v>57945.920000000006</v>
      </c>
      <c r="P83" s="298">
        <f t="shared" si="54"/>
        <v>370170.43999999994</v>
      </c>
      <c r="Q83" s="542">
        <f t="shared" si="55"/>
        <v>46449</v>
      </c>
      <c r="R83" s="298">
        <f t="shared" si="39"/>
        <v>354272.14000000007</v>
      </c>
      <c r="S83" s="535">
        <f t="shared" si="66"/>
        <v>4.7500000000000001E-2</v>
      </c>
      <c r="T83" s="298">
        <f t="shared" si="56"/>
        <v>2440.62</v>
      </c>
      <c r="U83" s="298">
        <f t="shared" si="42"/>
        <v>1038.29</v>
      </c>
      <c r="V83" s="298">
        <f t="shared" si="57"/>
        <v>1402.33</v>
      </c>
      <c r="W83" s="298">
        <f t="shared" si="49"/>
        <v>0</v>
      </c>
      <c r="X83" s="298">
        <f t="shared" si="49"/>
        <v>0</v>
      </c>
      <c r="Y83" s="298">
        <f t="shared" si="43"/>
        <v>2440.62</v>
      </c>
      <c r="Z83" s="298">
        <f t="shared" si="44"/>
        <v>23821.15</v>
      </c>
      <c r="AA83" s="298">
        <f t="shared" si="45"/>
        <v>34753.73000000001</v>
      </c>
      <c r="AB83" s="298">
        <f t="shared" si="58"/>
        <v>353233.85000000009</v>
      </c>
      <c r="AC83" s="451">
        <f t="shared" si="67"/>
        <v>23</v>
      </c>
      <c r="AD83" s="552">
        <f t="shared" si="68"/>
        <v>6255.5999999999985</v>
      </c>
      <c r="AE83" s="552">
        <f t="shared" si="37"/>
        <v>278330.80000000016</v>
      </c>
      <c r="AF83" s="552">
        <f t="shared" si="38"/>
        <v>284586.40000000014</v>
      </c>
      <c r="AG83" s="552">
        <f t="shared" si="69"/>
        <v>2006.6699999999998</v>
      </c>
      <c r="AH83" s="552">
        <f t="shared" si="70"/>
        <v>369473.08999999997</v>
      </c>
      <c r="AI83" s="552"/>
      <c r="AJ83" s="14">
        <f t="shared" si="46"/>
        <v>2006.6699999999998</v>
      </c>
      <c r="AK83" s="14">
        <f t="shared" si="48"/>
        <v>47292.179999999971</v>
      </c>
      <c r="AL83" s="552">
        <f>IF(R83&lt;=0,0,+([1]Profit!$B$4+AM82)*$AL$1/12)</f>
        <v>1109.1521841430001</v>
      </c>
      <c r="AM83" s="14">
        <f t="shared" si="71"/>
        <v>25870.025841342991</v>
      </c>
      <c r="AO83" s="512"/>
    </row>
    <row r="84" spans="1:41" x14ac:dyDescent="0.25">
      <c r="A84" s="542">
        <f t="shared" si="59"/>
        <v>46479</v>
      </c>
      <c r="B84" s="298">
        <f t="shared" si="60"/>
        <v>74903.049999999916</v>
      </c>
      <c r="C84" s="14">
        <f t="shared" si="50"/>
        <v>433.95</v>
      </c>
      <c r="D84" s="14">
        <f t="shared" si="72"/>
        <v>137.45999999999998</v>
      </c>
      <c r="E84" s="14">
        <f t="shared" si="51"/>
        <v>296.49</v>
      </c>
      <c r="F84" s="298">
        <f t="shared" si="61"/>
        <v>8752.2000000000007</v>
      </c>
      <c r="G84" s="298">
        <f t="shared" si="62"/>
        <v>21953.590000000004</v>
      </c>
      <c r="H84" s="298">
        <f t="shared" si="52"/>
        <v>74765.589999999909</v>
      </c>
      <c r="I84" s="451">
        <f t="shared" si="53"/>
        <v>2</v>
      </c>
      <c r="J84" s="298">
        <f t="shared" si="63"/>
        <v>370170.43999999994</v>
      </c>
      <c r="K84" s="298">
        <f t="shared" si="40"/>
        <v>2701.27</v>
      </c>
      <c r="L84" s="298">
        <f t="shared" si="73"/>
        <v>310.59000000000015</v>
      </c>
      <c r="M84" s="298">
        <f t="shared" si="41"/>
        <v>2390.6799999999998</v>
      </c>
      <c r="N84" s="298">
        <f t="shared" si="64"/>
        <v>7195.15</v>
      </c>
      <c r="O84" s="298">
        <f t="shared" si="65"/>
        <v>60336.600000000006</v>
      </c>
      <c r="P84" s="298">
        <f t="shared" si="54"/>
        <v>369859.84999999992</v>
      </c>
      <c r="Q84" s="542">
        <f t="shared" si="55"/>
        <v>46479</v>
      </c>
      <c r="R84" s="298">
        <f t="shared" si="39"/>
        <v>353233.85000000009</v>
      </c>
      <c r="S84" s="535">
        <f t="shared" si="66"/>
        <v>4.7500000000000001E-2</v>
      </c>
      <c r="T84" s="298">
        <f t="shared" si="56"/>
        <v>2440.62</v>
      </c>
      <c r="U84" s="298">
        <f t="shared" si="42"/>
        <v>1042.3999999999999</v>
      </c>
      <c r="V84" s="298">
        <f t="shared" si="57"/>
        <v>1398.22</v>
      </c>
      <c r="W84" s="298">
        <f t="shared" si="49"/>
        <v>0</v>
      </c>
      <c r="X84" s="298">
        <f t="shared" si="49"/>
        <v>0</v>
      </c>
      <c r="Y84" s="298">
        <f t="shared" si="43"/>
        <v>2440.62</v>
      </c>
      <c r="Z84" s="298">
        <f t="shared" si="44"/>
        <v>24863.550000000003</v>
      </c>
      <c r="AA84" s="298">
        <f t="shared" si="45"/>
        <v>36151.950000000012</v>
      </c>
      <c r="AB84" s="298">
        <f t="shared" si="58"/>
        <v>352191.45000000007</v>
      </c>
      <c r="AC84" s="451">
        <f t="shared" si="67"/>
        <v>24</v>
      </c>
      <c r="AD84" s="552">
        <f t="shared" si="68"/>
        <v>6516.2499999999982</v>
      </c>
      <c r="AE84" s="552">
        <f t="shared" si="37"/>
        <v>277425.86000000016</v>
      </c>
      <c r="AF84" s="552">
        <f t="shared" si="38"/>
        <v>283942.11000000016</v>
      </c>
      <c r="AG84" s="552">
        <f t="shared" si="69"/>
        <v>2006.6699999999998</v>
      </c>
      <c r="AH84" s="552">
        <f t="shared" si="70"/>
        <v>368568.15</v>
      </c>
      <c r="AI84" s="552"/>
      <c r="AJ84" s="14">
        <f t="shared" si="46"/>
        <v>2006.6699999999998</v>
      </c>
      <c r="AK84" s="14">
        <f t="shared" si="48"/>
        <v>49298.849999999969</v>
      </c>
      <c r="AL84" s="552">
        <f>IF(R84&lt;=0,0,+([1]Profit!$B$4+AM83)*$AL$1/12)</f>
        <v>1111.9250646033574</v>
      </c>
      <c r="AM84" s="14">
        <f t="shared" si="71"/>
        <v>26981.950905946349</v>
      </c>
      <c r="AO84" s="512"/>
    </row>
    <row r="85" spans="1:41" x14ac:dyDescent="0.25">
      <c r="A85" s="542">
        <f t="shared" si="59"/>
        <v>46509</v>
      </c>
      <c r="B85" s="298">
        <f t="shared" si="60"/>
        <v>74765.589999999909</v>
      </c>
      <c r="C85" s="14">
        <f t="shared" si="50"/>
        <v>433.95</v>
      </c>
      <c r="D85" s="14">
        <f t="shared" si="72"/>
        <v>138</v>
      </c>
      <c r="E85" s="14">
        <f t="shared" si="51"/>
        <v>295.95</v>
      </c>
      <c r="F85" s="298">
        <f t="shared" si="61"/>
        <v>8890.2000000000007</v>
      </c>
      <c r="G85" s="298">
        <f t="shared" si="62"/>
        <v>22249.540000000005</v>
      </c>
      <c r="H85" s="298">
        <f t="shared" si="52"/>
        <v>74627.589999999909</v>
      </c>
      <c r="I85" s="451">
        <f t="shared" si="53"/>
        <v>2</v>
      </c>
      <c r="J85" s="298">
        <f t="shared" si="63"/>
        <v>369859.84999999992</v>
      </c>
      <c r="K85" s="298">
        <f t="shared" si="40"/>
        <v>2701.27</v>
      </c>
      <c r="L85" s="298">
        <f t="shared" si="73"/>
        <v>312.59000000000015</v>
      </c>
      <c r="M85" s="298">
        <f t="shared" si="41"/>
        <v>2388.6799999999998</v>
      </c>
      <c r="N85" s="298">
        <f t="shared" si="64"/>
        <v>7507.74</v>
      </c>
      <c r="O85" s="298">
        <f t="shared" si="65"/>
        <v>62725.280000000006</v>
      </c>
      <c r="P85" s="298">
        <f t="shared" si="54"/>
        <v>369547.25999999989</v>
      </c>
      <c r="Q85" s="542">
        <f t="shared" si="55"/>
        <v>46509</v>
      </c>
      <c r="R85" s="298">
        <f t="shared" si="39"/>
        <v>352191.45000000007</v>
      </c>
      <c r="S85" s="535">
        <f t="shared" si="66"/>
        <v>4.7500000000000001E-2</v>
      </c>
      <c r="T85" s="298">
        <f t="shared" si="56"/>
        <v>2440.62</v>
      </c>
      <c r="U85" s="298">
        <f t="shared" si="42"/>
        <v>1046.53</v>
      </c>
      <c r="V85" s="298">
        <f t="shared" si="57"/>
        <v>1394.09</v>
      </c>
      <c r="W85" s="298">
        <f t="shared" si="49"/>
        <v>0</v>
      </c>
      <c r="X85" s="298">
        <f t="shared" si="49"/>
        <v>0</v>
      </c>
      <c r="Y85" s="298">
        <f t="shared" si="43"/>
        <v>2440.62</v>
      </c>
      <c r="Z85" s="298">
        <f t="shared" si="44"/>
        <v>25910.080000000002</v>
      </c>
      <c r="AA85" s="298">
        <f t="shared" si="45"/>
        <v>37546.040000000008</v>
      </c>
      <c r="AB85" s="298">
        <f t="shared" si="58"/>
        <v>351144.92000000004</v>
      </c>
      <c r="AC85" s="451">
        <f t="shared" si="67"/>
        <v>25</v>
      </c>
      <c r="AD85" s="552">
        <f t="shared" si="68"/>
        <v>6776.8999999999978</v>
      </c>
      <c r="AE85" s="552">
        <f t="shared" si="37"/>
        <v>276517.33000000013</v>
      </c>
      <c r="AF85" s="552">
        <f t="shared" si="38"/>
        <v>283294.23000000016</v>
      </c>
      <c r="AG85" s="552">
        <f t="shared" si="69"/>
        <v>2006.6699999999998</v>
      </c>
      <c r="AH85" s="552">
        <f t="shared" si="70"/>
        <v>367659.62</v>
      </c>
      <c r="AI85" s="552"/>
      <c r="AJ85" s="14">
        <f t="shared" si="46"/>
        <v>2006.6699999999998</v>
      </c>
      <c r="AK85" s="14">
        <f t="shared" si="48"/>
        <v>51305.519999999968</v>
      </c>
      <c r="AL85" s="552">
        <f>IF(R85&lt;=0,0,+([1]Profit!$B$4+AM84)*$AL$1/12)</f>
        <v>1114.7048772648659</v>
      </c>
      <c r="AM85" s="14">
        <f t="shared" si="71"/>
        <v>28096.655783211216</v>
      </c>
    </row>
    <row r="86" spans="1:41" ht="15.75" thickBot="1" x14ac:dyDescent="0.3">
      <c r="A86" s="545">
        <f t="shared" si="59"/>
        <v>46539</v>
      </c>
      <c r="B86" s="371">
        <f t="shared" si="60"/>
        <v>74627.589999999909</v>
      </c>
      <c r="C86" s="21">
        <f t="shared" si="50"/>
        <v>433.95</v>
      </c>
      <c r="D86" s="21">
        <f t="shared" si="72"/>
        <v>138.55000000000001</v>
      </c>
      <c r="E86" s="21">
        <f t="shared" si="51"/>
        <v>295.39999999999998</v>
      </c>
      <c r="F86" s="371">
        <f t="shared" si="61"/>
        <v>9028.75</v>
      </c>
      <c r="G86" s="371">
        <f t="shared" si="62"/>
        <v>22544.940000000006</v>
      </c>
      <c r="H86" s="371">
        <f t="shared" si="52"/>
        <v>74489.039999999906</v>
      </c>
      <c r="I86" s="452">
        <f t="shared" si="53"/>
        <v>2</v>
      </c>
      <c r="J86" s="371">
        <f t="shared" si="63"/>
        <v>369547.25999999989</v>
      </c>
      <c r="K86" s="371">
        <f t="shared" si="40"/>
        <v>2701.27</v>
      </c>
      <c r="L86" s="371">
        <f t="shared" si="73"/>
        <v>314.61000000000013</v>
      </c>
      <c r="M86" s="371">
        <f t="shared" si="41"/>
        <v>2386.66</v>
      </c>
      <c r="N86" s="371">
        <f t="shared" si="64"/>
        <v>7822.35</v>
      </c>
      <c r="O86" s="371">
        <f t="shared" si="65"/>
        <v>65111.94</v>
      </c>
      <c r="P86" s="371">
        <f t="shared" si="54"/>
        <v>369232.64999999991</v>
      </c>
      <c r="Q86" s="545">
        <f t="shared" si="55"/>
        <v>46539</v>
      </c>
      <c r="R86" s="371">
        <f t="shared" si="39"/>
        <v>351144.92000000004</v>
      </c>
      <c r="S86" s="536">
        <f t="shared" si="66"/>
        <v>4.7500000000000001E-2</v>
      </c>
      <c r="T86" s="371">
        <f t="shared" si="56"/>
        <v>2440.62</v>
      </c>
      <c r="U86" s="371">
        <f t="shared" si="42"/>
        <v>1050.6699999999998</v>
      </c>
      <c r="V86" s="371">
        <f t="shared" si="57"/>
        <v>1389.95</v>
      </c>
      <c r="W86" s="371">
        <f t="shared" si="49"/>
        <v>0</v>
      </c>
      <c r="X86" s="371">
        <f t="shared" si="49"/>
        <v>0</v>
      </c>
      <c r="Y86" s="371">
        <f t="shared" si="43"/>
        <v>2440.62</v>
      </c>
      <c r="Z86" s="371">
        <f t="shared" si="44"/>
        <v>26960.75</v>
      </c>
      <c r="AA86" s="371">
        <f t="shared" si="45"/>
        <v>38935.990000000005</v>
      </c>
      <c r="AB86" s="371">
        <f t="shared" si="58"/>
        <v>350094.25000000006</v>
      </c>
      <c r="AC86" s="452">
        <f t="shared" si="67"/>
        <v>26</v>
      </c>
      <c r="AD86" s="553">
        <f t="shared" si="68"/>
        <v>7037.5499999999975</v>
      </c>
      <c r="AE86" s="553">
        <f t="shared" si="37"/>
        <v>275605.21000000014</v>
      </c>
      <c r="AF86" s="553">
        <f t="shared" si="38"/>
        <v>282642.76000000013</v>
      </c>
      <c r="AG86" s="553">
        <f t="shared" si="69"/>
        <v>2006.6699999999998</v>
      </c>
      <c r="AH86" s="553">
        <f t="shared" si="70"/>
        <v>366747.5</v>
      </c>
      <c r="AI86" s="553"/>
      <c r="AJ86" s="21">
        <f t="shared" si="46"/>
        <v>2006.6699999999998</v>
      </c>
      <c r="AK86" s="21">
        <f t="shared" si="48"/>
        <v>53312.189999999966</v>
      </c>
      <c r="AL86" s="553">
        <f>IF(R86&lt;=0,0,+([1]Profit!$B$4+AM85)*$AL$1/12)</f>
        <v>1117.491639458028</v>
      </c>
      <c r="AM86" s="21">
        <f t="shared" si="71"/>
        <v>29214.147422669244</v>
      </c>
    </row>
    <row r="87" spans="1:41" x14ac:dyDescent="0.25">
      <c r="A87" s="542">
        <f t="shared" si="59"/>
        <v>46569</v>
      </c>
      <c r="B87" s="298">
        <f t="shared" si="60"/>
        <v>74489.039999999906</v>
      </c>
      <c r="C87" s="14">
        <f t="shared" si="50"/>
        <v>433.95</v>
      </c>
      <c r="D87" s="14">
        <f t="shared" si="72"/>
        <v>139.09999999999997</v>
      </c>
      <c r="E87" s="14">
        <f t="shared" si="51"/>
        <v>294.85000000000002</v>
      </c>
      <c r="F87" s="298">
        <f t="shared" si="61"/>
        <v>9167.85</v>
      </c>
      <c r="G87" s="298">
        <f t="shared" si="62"/>
        <v>22839.790000000005</v>
      </c>
      <c r="H87" s="298">
        <f t="shared" si="52"/>
        <v>74349.9399999999</v>
      </c>
      <c r="I87" s="451">
        <f t="shared" si="53"/>
        <v>2</v>
      </c>
      <c r="J87" s="298">
        <f t="shared" si="63"/>
        <v>369232.64999999991</v>
      </c>
      <c r="K87" s="298">
        <f t="shared" si="40"/>
        <v>2701.27</v>
      </c>
      <c r="L87" s="298">
        <f t="shared" si="73"/>
        <v>316.63999999999987</v>
      </c>
      <c r="M87" s="298">
        <f t="shared" si="41"/>
        <v>2384.63</v>
      </c>
      <c r="N87" s="298">
        <f t="shared" si="64"/>
        <v>8138.99</v>
      </c>
      <c r="O87" s="298">
        <f t="shared" si="65"/>
        <v>67496.570000000007</v>
      </c>
      <c r="P87" s="298">
        <f t="shared" si="54"/>
        <v>368916.00999999989</v>
      </c>
      <c r="Q87" s="542">
        <f t="shared" si="55"/>
        <v>46569</v>
      </c>
      <c r="R87" s="298">
        <f t="shared" si="39"/>
        <v>350094.25000000006</v>
      </c>
      <c r="S87" s="535">
        <f t="shared" si="66"/>
        <v>4.7500000000000001E-2</v>
      </c>
      <c r="T87" s="298">
        <f t="shared" si="56"/>
        <v>2440.62</v>
      </c>
      <c r="U87" s="298">
        <f t="shared" si="42"/>
        <v>1054.83</v>
      </c>
      <c r="V87" s="298">
        <f t="shared" si="57"/>
        <v>1385.79</v>
      </c>
      <c r="W87" s="298">
        <f t="shared" si="49"/>
        <v>0</v>
      </c>
      <c r="X87" s="298">
        <f t="shared" si="49"/>
        <v>0</v>
      </c>
      <c r="Y87" s="298">
        <f t="shared" si="43"/>
        <v>2440.62</v>
      </c>
      <c r="Z87" s="298">
        <f t="shared" si="44"/>
        <v>28015.58</v>
      </c>
      <c r="AA87" s="298">
        <f t="shared" si="45"/>
        <v>40321.780000000006</v>
      </c>
      <c r="AB87" s="298">
        <f t="shared" si="58"/>
        <v>349039.42000000004</v>
      </c>
      <c r="AC87" s="451">
        <f t="shared" si="67"/>
        <v>27</v>
      </c>
      <c r="AD87" s="552">
        <f t="shared" si="68"/>
        <v>7298.1999999999971</v>
      </c>
      <c r="AE87" s="552">
        <f t="shared" si="37"/>
        <v>274689.48000000016</v>
      </c>
      <c r="AF87" s="552">
        <f t="shared" si="38"/>
        <v>281987.68000000017</v>
      </c>
      <c r="AG87" s="552">
        <f t="shared" si="69"/>
        <v>2006.6699999999998</v>
      </c>
      <c r="AH87" s="552">
        <f t="shared" si="70"/>
        <v>365831.76999999996</v>
      </c>
      <c r="AI87" s="552"/>
      <c r="AJ87" s="14">
        <f t="shared" si="46"/>
        <v>2006.6699999999998</v>
      </c>
      <c r="AK87" s="14">
        <f t="shared" si="48"/>
        <v>55318.859999999964</v>
      </c>
      <c r="AL87" s="552">
        <f>IF(R87&lt;=0,0,+([1]Profit!$B$4+AM86)*$AL$1/12)</f>
        <v>1120.2853685566731</v>
      </c>
      <c r="AM87" s="14">
        <f t="shared" si="71"/>
        <v>30334.432791225918</v>
      </c>
    </row>
    <row r="88" spans="1:41" x14ac:dyDescent="0.25">
      <c r="A88" s="542">
        <f t="shared" si="59"/>
        <v>46599</v>
      </c>
      <c r="B88" s="298">
        <f t="shared" si="60"/>
        <v>74349.9399999999</v>
      </c>
      <c r="C88" s="14">
        <f t="shared" si="50"/>
        <v>433.95</v>
      </c>
      <c r="D88" s="14">
        <f t="shared" si="72"/>
        <v>139.64999999999998</v>
      </c>
      <c r="E88" s="14">
        <f t="shared" si="51"/>
        <v>294.3</v>
      </c>
      <c r="F88" s="298">
        <f t="shared" si="61"/>
        <v>9307.5</v>
      </c>
      <c r="G88" s="298">
        <f t="shared" si="62"/>
        <v>23134.090000000004</v>
      </c>
      <c r="H88" s="298">
        <f t="shared" si="52"/>
        <v>74210.289999999906</v>
      </c>
      <c r="I88" s="451">
        <f t="shared" si="53"/>
        <v>2</v>
      </c>
      <c r="J88" s="298">
        <f t="shared" si="63"/>
        <v>368916.00999999989</v>
      </c>
      <c r="K88" s="298">
        <f t="shared" si="40"/>
        <v>2701.27</v>
      </c>
      <c r="L88" s="298">
        <f t="shared" si="73"/>
        <v>318.69000000000005</v>
      </c>
      <c r="M88" s="298">
        <f t="shared" si="41"/>
        <v>2382.58</v>
      </c>
      <c r="N88" s="298">
        <f t="shared" si="64"/>
        <v>8457.68</v>
      </c>
      <c r="O88" s="298">
        <f t="shared" si="65"/>
        <v>69879.150000000009</v>
      </c>
      <c r="P88" s="298">
        <f t="shared" si="54"/>
        <v>368597.31999999989</v>
      </c>
      <c r="Q88" s="542">
        <f t="shared" si="55"/>
        <v>46599</v>
      </c>
      <c r="R88" s="298">
        <f t="shared" si="39"/>
        <v>349039.42000000004</v>
      </c>
      <c r="S88" s="535">
        <f t="shared" si="66"/>
        <v>4.7500000000000001E-2</v>
      </c>
      <c r="T88" s="298">
        <f t="shared" si="56"/>
        <v>2440.62</v>
      </c>
      <c r="U88" s="298">
        <f t="shared" si="42"/>
        <v>1059.01</v>
      </c>
      <c r="V88" s="298">
        <f t="shared" si="57"/>
        <v>1381.61</v>
      </c>
      <c r="W88" s="298">
        <f t="shared" si="49"/>
        <v>0</v>
      </c>
      <c r="X88" s="298">
        <f t="shared" si="49"/>
        <v>0</v>
      </c>
      <c r="Y88" s="298">
        <f t="shared" si="43"/>
        <v>2440.62</v>
      </c>
      <c r="Z88" s="298">
        <f t="shared" si="44"/>
        <v>29074.59</v>
      </c>
      <c r="AA88" s="298">
        <f t="shared" si="45"/>
        <v>41703.390000000007</v>
      </c>
      <c r="AB88" s="298">
        <f t="shared" si="58"/>
        <v>347980.41000000003</v>
      </c>
      <c r="AC88" s="451">
        <f t="shared" si="67"/>
        <v>28</v>
      </c>
      <c r="AD88" s="552">
        <f t="shared" si="68"/>
        <v>7558.8499999999967</v>
      </c>
      <c r="AE88" s="552">
        <f t="shared" si="37"/>
        <v>273770.12000000011</v>
      </c>
      <c r="AF88" s="552">
        <f t="shared" si="38"/>
        <v>281328.97000000009</v>
      </c>
      <c r="AG88" s="552">
        <f t="shared" si="69"/>
        <v>2006.6699999999998</v>
      </c>
      <c r="AH88" s="552">
        <f t="shared" si="70"/>
        <v>364912.41</v>
      </c>
      <c r="AI88" s="552"/>
      <c r="AJ88" s="14">
        <f t="shared" si="46"/>
        <v>2006.6699999999998</v>
      </c>
      <c r="AK88" s="14">
        <f t="shared" si="48"/>
        <v>57325.529999999962</v>
      </c>
      <c r="AL88" s="552">
        <f>IF(R88&lt;=0,0,+([1]Profit!$B$4+AM87)*$AL$1/12)</f>
        <v>1123.0860819780648</v>
      </c>
      <c r="AM88" s="14">
        <f t="shared" si="71"/>
        <v>31457.518873203982</v>
      </c>
    </row>
    <row r="89" spans="1:41" x14ac:dyDescent="0.25">
      <c r="A89" s="542">
        <f t="shared" si="59"/>
        <v>46629</v>
      </c>
      <c r="B89" s="298">
        <f t="shared" si="60"/>
        <v>74210.289999999906</v>
      </c>
      <c r="C89" s="14">
        <f t="shared" si="50"/>
        <v>433.95</v>
      </c>
      <c r="D89" s="14">
        <f t="shared" si="72"/>
        <v>140.19999999999999</v>
      </c>
      <c r="E89" s="14">
        <f t="shared" si="51"/>
        <v>293.75</v>
      </c>
      <c r="F89" s="298">
        <f t="shared" si="61"/>
        <v>9447.7000000000007</v>
      </c>
      <c r="G89" s="298">
        <f t="shared" si="62"/>
        <v>23427.840000000004</v>
      </c>
      <c r="H89" s="298">
        <f t="shared" si="52"/>
        <v>74070.089999999909</v>
      </c>
      <c r="I89" s="451">
        <f t="shared" si="53"/>
        <v>2</v>
      </c>
      <c r="J89" s="298">
        <f t="shared" si="63"/>
        <v>368597.31999999989</v>
      </c>
      <c r="K89" s="298">
        <f t="shared" si="40"/>
        <v>2701.27</v>
      </c>
      <c r="L89" s="298">
        <f t="shared" si="73"/>
        <v>320.75</v>
      </c>
      <c r="M89" s="298">
        <f t="shared" si="41"/>
        <v>2380.52</v>
      </c>
      <c r="N89" s="298">
        <f t="shared" si="64"/>
        <v>8778.43</v>
      </c>
      <c r="O89" s="298">
        <f t="shared" si="65"/>
        <v>72259.670000000013</v>
      </c>
      <c r="P89" s="298">
        <f t="shared" si="54"/>
        <v>368276.56999999989</v>
      </c>
      <c r="Q89" s="542">
        <f t="shared" si="55"/>
        <v>46629</v>
      </c>
      <c r="R89" s="298">
        <f t="shared" si="39"/>
        <v>347980.41000000003</v>
      </c>
      <c r="S89" s="535">
        <f t="shared" si="66"/>
        <v>4.7500000000000001E-2</v>
      </c>
      <c r="T89" s="298">
        <f t="shared" si="56"/>
        <v>2440.62</v>
      </c>
      <c r="U89" s="298">
        <f t="shared" si="42"/>
        <v>1063.1999999999998</v>
      </c>
      <c r="V89" s="298">
        <f t="shared" si="57"/>
        <v>1377.42</v>
      </c>
      <c r="W89" s="298">
        <f t="shared" si="49"/>
        <v>0</v>
      </c>
      <c r="X89" s="298">
        <f t="shared" si="49"/>
        <v>0</v>
      </c>
      <c r="Y89" s="298">
        <f t="shared" si="43"/>
        <v>2440.62</v>
      </c>
      <c r="Z89" s="298">
        <f t="shared" si="44"/>
        <v>30137.79</v>
      </c>
      <c r="AA89" s="298">
        <f t="shared" si="45"/>
        <v>43080.810000000005</v>
      </c>
      <c r="AB89" s="298">
        <f t="shared" si="58"/>
        <v>346917.21</v>
      </c>
      <c r="AC89" s="451">
        <f t="shared" si="67"/>
        <v>29</v>
      </c>
      <c r="AD89" s="552">
        <f t="shared" si="68"/>
        <v>7819.4999999999964</v>
      </c>
      <c r="AE89" s="552">
        <f t="shared" si="37"/>
        <v>272847.12000000011</v>
      </c>
      <c r="AF89" s="552">
        <f t="shared" si="38"/>
        <v>280666.62000000011</v>
      </c>
      <c r="AG89" s="552">
        <f t="shared" si="69"/>
        <v>2006.6699999999998</v>
      </c>
      <c r="AH89" s="552">
        <f t="shared" si="70"/>
        <v>363989.41000000003</v>
      </c>
      <c r="AI89" s="552"/>
      <c r="AJ89" s="14">
        <f t="shared" si="46"/>
        <v>2006.6699999999998</v>
      </c>
      <c r="AK89" s="14">
        <f t="shared" si="48"/>
        <v>59332.199999999961</v>
      </c>
      <c r="AL89" s="552">
        <f>IF(R89&lt;=0,0,+([1]Profit!$B$4+AM88)*$AL$1/12)</f>
        <v>1125.8937971830098</v>
      </c>
      <c r="AM89" s="14">
        <f t="shared" si="71"/>
        <v>32583.412670386992</v>
      </c>
    </row>
    <row r="90" spans="1:41" x14ac:dyDescent="0.25">
      <c r="A90" s="542">
        <f t="shared" si="59"/>
        <v>46659</v>
      </c>
      <c r="B90" s="298">
        <f t="shared" si="60"/>
        <v>74070.089999999909</v>
      </c>
      <c r="C90" s="14">
        <f t="shared" si="50"/>
        <v>433.95</v>
      </c>
      <c r="D90" s="14">
        <f t="shared" si="72"/>
        <v>140.76</v>
      </c>
      <c r="E90" s="14">
        <f t="shared" si="51"/>
        <v>293.19</v>
      </c>
      <c r="F90" s="298">
        <f t="shared" si="61"/>
        <v>9588.4600000000009</v>
      </c>
      <c r="G90" s="298">
        <f t="shared" si="62"/>
        <v>23721.030000000002</v>
      </c>
      <c r="H90" s="298">
        <f t="shared" si="52"/>
        <v>73929.329999999914</v>
      </c>
      <c r="I90" s="451">
        <f t="shared" si="53"/>
        <v>2</v>
      </c>
      <c r="J90" s="298">
        <f t="shared" si="63"/>
        <v>368276.56999999989</v>
      </c>
      <c r="K90" s="298">
        <f t="shared" si="40"/>
        <v>2701.27</v>
      </c>
      <c r="L90" s="298">
        <f t="shared" si="73"/>
        <v>322.82000000000016</v>
      </c>
      <c r="M90" s="298">
        <f t="shared" si="41"/>
        <v>2378.4499999999998</v>
      </c>
      <c r="N90" s="298">
        <f t="shared" si="64"/>
        <v>9101.25</v>
      </c>
      <c r="O90" s="298">
        <f t="shared" si="65"/>
        <v>74638.12000000001</v>
      </c>
      <c r="P90" s="298">
        <f t="shared" si="54"/>
        <v>367953.74999999988</v>
      </c>
      <c r="Q90" s="542">
        <f t="shared" si="55"/>
        <v>46659</v>
      </c>
      <c r="R90" s="298">
        <f t="shared" si="39"/>
        <v>346917.21</v>
      </c>
      <c r="S90" s="535">
        <f t="shared" si="66"/>
        <v>4.7500000000000001E-2</v>
      </c>
      <c r="T90" s="298">
        <f t="shared" si="56"/>
        <v>2440.62</v>
      </c>
      <c r="U90" s="298">
        <f t="shared" si="42"/>
        <v>1067.4099999999999</v>
      </c>
      <c r="V90" s="298">
        <f t="shared" si="57"/>
        <v>1373.21</v>
      </c>
      <c r="W90" s="298">
        <f t="shared" si="49"/>
        <v>0</v>
      </c>
      <c r="X90" s="298">
        <f t="shared" si="49"/>
        <v>0</v>
      </c>
      <c r="Y90" s="298">
        <f t="shared" si="43"/>
        <v>2440.62</v>
      </c>
      <c r="Z90" s="298">
        <f t="shared" si="44"/>
        <v>31205.200000000001</v>
      </c>
      <c r="AA90" s="298">
        <f t="shared" si="45"/>
        <v>44454.020000000004</v>
      </c>
      <c r="AB90" s="298">
        <f t="shared" si="58"/>
        <v>345849.80000000005</v>
      </c>
      <c r="AC90" s="451">
        <f t="shared" si="67"/>
        <v>30</v>
      </c>
      <c r="AD90" s="552">
        <f t="shared" si="68"/>
        <v>8080.149999999996</v>
      </c>
      <c r="AE90" s="552">
        <f t="shared" si="37"/>
        <v>271920.47000000015</v>
      </c>
      <c r="AF90" s="552">
        <f t="shared" si="38"/>
        <v>280000.62000000017</v>
      </c>
      <c r="AG90" s="552">
        <f t="shared" si="69"/>
        <v>2006.6699999999998</v>
      </c>
      <c r="AH90" s="552">
        <f t="shared" si="70"/>
        <v>363062.76</v>
      </c>
      <c r="AI90" s="552"/>
      <c r="AJ90" s="14">
        <f t="shared" si="46"/>
        <v>2006.6699999999998</v>
      </c>
      <c r="AK90" s="14">
        <f t="shared" si="48"/>
        <v>61338.869999999959</v>
      </c>
      <c r="AL90" s="552">
        <f>IF(R90&lt;=0,0,+([1]Profit!$B$4+AM89)*$AL$1/12)</f>
        <v>1128.7085316759674</v>
      </c>
      <c r="AM90" s="14">
        <f t="shared" si="71"/>
        <v>33712.121202062961</v>
      </c>
    </row>
    <row r="91" spans="1:41" x14ac:dyDescent="0.25">
      <c r="A91" s="542">
        <f t="shared" si="59"/>
        <v>46689</v>
      </c>
      <c r="B91" s="298">
        <f t="shared" si="60"/>
        <v>73929.329999999914</v>
      </c>
      <c r="C91" s="14">
        <f t="shared" si="50"/>
        <v>433.95</v>
      </c>
      <c r="D91" s="14">
        <f t="shared" si="72"/>
        <v>141.31</v>
      </c>
      <c r="E91" s="14">
        <f t="shared" si="51"/>
        <v>292.64</v>
      </c>
      <c r="F91" s="298">
        <f t="shared" si="61"/>
        <v>9729.77</v>
      </c>
      <c r="G91" s="298">
        <f t="shared" si="62"/>
        <v>24013.670000000002</v>
      </c>
      <c r="H91" s="298">
        <f t="shared" si="52"/>
        <v>73788.019999999917</v>
      </c>
      <c r="I91" s="451">
        <f t="shared" si="53"/>
        <v>2</v>
      </c>
      <c r="J91" s="298">
        <f t="shared" si="63"/>
        <v>367953.74999999988</v>
      </c>
      <c r="K91" s="298">
        <f t="shared" si="40"/>
        <v>2701.27</v>
      </c>
      <c r="L91" s="298">
        <f t="shared" si="73"/>
        <v>324.90000000000009</v>
      </c>
      <c r="M91" s="298">
        <f t="shared" si="41"/>
        <v>2376.37</v>
      </c>
      <c r="N91" s="298">
        <f t="shared" si="64"/>
        <v>9426.15</v>
      </c>
      <c r="O91" s="298">
        <f t="shared" si="65"/>
        <v>77014.490000000005</v>
      </c>
      <c r="P91" s="298">
        <f t="shared" si="54"/>
        <v>367628.84999999986</v>
      </c>
      <c r="Q91" s="542">
        <f t="shared" si="55"/>
        <v>46689</v>
      </c>
      <c r="R91" s="298">
        <f t="shared" si="39"/>
        <v>345849.80000000005</v>
      </c>
      <c r="S91" s="535">
        <f t="shared" si="66"/>
        <v>4.7500000000000001E-2</v>
      </c>
      <c r="T91" s="298">
        <f t="shared" si="56"/>
        <v>2440.62</v>
      </c>
      <c r="U91" s="298">
        <f t="shared" si="42"/>
        <v>1071.6299999999999</v>
      </c>
      <c r="V91" s="298">
        <f t="shared" si="57"/>
        <v>1368.99</v>
      </c>
      <c r="W91" s="298">
        <f t="shared" si="49"/>
        <v>0</v>
      </c>
      <c r="X91" s="298">
        <f t="shared" si="49"/>
        <v>0</v>
      </c>
      <c r="Y91" s="298">
        <f t="shared" si="43"/>
        <v>2440.62</v>
      </c>
      <c r="Z91" s="298">
        <f t="shared" si="44"/>
        <v>32276.83</v>
      </c>
      <c r="AA91" s="298">
        <f t="shared" si="45"/>
        <v>45823.01</v>
      </c>
      <c r="AB91" s="298">
        <f t="shared" si="58"/>
        <v>344778.17000000004</v>
      </c>
      <c r="AC91" s="451">
        <f t="shared" si="67"/>
        <v>31</v>
      </c>
      <c r="AD91" s="552">
        <f t="shared" si="68"/>
        <v>8340.7999999999956</v>
      </c>
      <c r="AE91" s="552">
        <f t="shared" si="37"/>
        <v>270990.15000000014</v>
      </c>
      <c r="AF91" s="552">
        <f t="shared" si="38"/>
        <v>279330.95000000013</v>
      </c>
      <c r="AG91" s="552">
        <f t="shared" si="69"/>
        <v>2006.6699999999998</v>
      </c>
      <c r="AH91" s="552">
        <f t="shared" si="70"/>
        <v>362132.44</v>
      </c>
      <c r="AI91" s="552"/>
      <c r="AJ91" s="14">
        <f t="shared" si="46"/>
        <v>2006.6699999999998</v>
      </c>
      <c r="AK91" s="14">
        <f t="shared" si="48"/>
        <v>63345.539999999957</v>
      </c>
      <c r="AL91" s="552">
        <f>IF(R91&lt;=0,0,+([1]Profit!$B$4+AM90)*$AL$1/12)</f>
        <v>1131.5303030051573</v>
      </c>
      <c r="AM91" s="14">
        <f t="shared" si="71"/>
        <v>34843.651505068119</v>
      </c>
    </row>
    <row r="92" spans="1:41" x14ac:dyDescent="0.25">
      <c r="A92" s="542">
        <f t="shared" si="59"/>
        <v>46719</v>
      </c>
      <c r="B92" s="298">
        <f t="shared" si="60"/>
        <v>73788.019999999917</v>
      </c>
      <c r="C92" s="14">
        <f t="shared" si="50"/>
        <v>433.95</v>
      </c>
      <c r="D92" s="14">
        <f t="shared" si="72"/>
        <v>141.87</v>
      </c>
      <c r="E92" s="14">
        <f t="shared" si="51"/>
        <v>292.08</v>
      </c>
      <c r="F92" s="298">
        <f t="shared" si="61"/>
        <v>9871.6400000000012</v>
      </c>
      <c r="G92" s="298">
        <f t="shared" si="62"/>
        <v>24305.750000000004</v>
      </c>
      <c r="H92" s="298">
        <f t="shared" si="52"/>
        <v>73646.149999999921</v>
      </c>
      <c r="I92" s="451">
        <f t="shared" si="53"/>
        <v>2</v>
      </c>
      <c r="J92" s="298">
        <f t="shared" si="63"/>
        <v>367628.84999999986</v>
      </c>
      <c r="K92" s="298">
        <f t="shared" si="40"/>
        <v>2701.27</v>
      </c>
      <c r="L92" s="298">
        <f t="shared" si="73"/>
        <v>327</v>
      </c>
      <c r="M92" s="298">
        <f t="shared" si="41"/>
        <v>2374.27</v>
      </c>
      <c r="N92" s="298">
        <f t="shared" si="64"/>
        <v>9753.15</v>
      </c>
      <c r="O92" s="298">
        <f t="shared" si="65"/>
        <v>79388.760000000009</v>
      </c>
      <c r="P92" s="298">
        <f t="shared" si="54"/>
        <v>367301.84999999986</v>
      </c>
      <c r="Q92" s="542">
        <f t="shared" si="55"/>
        <v>46719</v>
      </c>
      <c r="R92" s="298">
        <f t="shared" si="39"/>
        <v>344778.17000000004</v>
      </c>
      <c r="S92" s="535">
        <f t="shared" si="66"/>
        <v>4.7500000000000001E-2</v>
      </c>
      <c r="T92" s="298">
        <f t="shared" si="56"/>
        <v>2440.62</v>
      </c>
      <c r="U92" s="298">
        <f t="shared" si="42"/>
        <v>1075.8699999999999</v>
      </c>
      <c r="V92" s="298">
        <f t="shared" si="57"/>
        <v>1364.75</v>
      </c>
      <c r="W92" s="298">
        <f t="shared" ref="W92:X107" si="74">+W91</f>
        <v>0</v>
      </c>
      <c r="X92" s="298">
        <f t="shared" si="74"/>
        <v>0</v>
      </c>
      <c r="Y92" s="298">
        <f t="shared" si="43"/>
        <v>2440.62</v>
      </c>
      <c r="Z92" s="298">
        <f t="shared" si="44"/>
        <v>33352.700000000004</v>
      </c>
      <c r="AA92" s="298">
        <f t="shared" si="45"/>
        <v>47187.76</v>
      </c>
      <c r="AB92" s="298">
        <f t="shared" si="58"/>
        <v>343702.30000000005</v>
      </c>
      <c r="AC92" s="451">
        <f t="shared" si="67"/>
        <v>32</v>
      </c>
      <c r="AD92" s="552">
        <f t="shared" si="68"/>
        <v>8601.4499999999953</v>
      </c>
      <c r="AE92" s="552">
        <f t="shared" si="37"/>
        <v>270056.15000000014</v>
      </c>
      <c r="AF92" s="552">
        <f t="shared" si="38"/>
        <v>278657.60000000015</v>
      </c>
      <c r="AG92" s="552">
        <f t="shared" si="69"/>
        <v>2006.6699999999998</v>
      </c>
      <c r="AH92" s="552">
        <f t="shared" si="70"/>
        <v>361198.44</v>
      </c>
      <c r="AI92" s="552"/>
      <c r="AJ92" s="14">
        <f t="shared" si="46"/>
        <v>2006.6699999999998</v>
      </c>
      <c r="AK92" s="14">
        <f t="shared" si="48"/>
        <v>65352.209999999955</v>
      </c>
      <c r="AL92" s="552">
        <f>IF(R92&lt;=0,0,+([1]Profit!$B$4+AM91)*$AL$1/12)</f>
        <v>1134.3591287626703</v>
      </c>
      <c r="AM92" s="14">
        <f t="shared" si="71"/>
        <v>35978.010633830789</v>
      </c>
    </row>
    <row r="93" spans="1:41" x14ac:dyDescent="0.25">
      <c r="A93" s="542">
        <f t="shared" si="59"/>
        <v>46749</v>
      </c>
      <c r="B93" s="298">
        <f t="shared" si="60"/>
        <v>73646.149999999921</v>
      </c>
      <c r="C93" s="14">
        <f t="shared" si="50"/>
        <v>433.95</v>
      </c>
      <c r="D93" s="14">
        <f t="shared" si="72"/>
        <v>142.43</v>
      </c>
      <c r="E93" s="14">
        <f t="shared" si="51"/>
        <v>291.52</v>
      </c>
      <c r="F93" s="298">
        <f t="shared" si="61"/>
        <v>10014.070000000002</v>
      </c>
      <c r="G93" s="298">
        <f t="shared" si="62"/>
        <v>24597.270000000004</v>
      </c>
      <c r="H93" s="298">
        <f t="shared" si="52"/>
        <v>73503.719999999928</v>
      </c>
      <c r="I93" s="451">
        <f t="shared" si="53"/>
        <v>2</v>
      </c>
      <c r="J93" s="298">
        <f t="shared" si="63"/>
        <v>367301.84999999986</v>
      </c>
      <c r="K93" s="298">
        <f t="shared" si="40"/>
        <v>2701.27</v>
      </c>
      <c r="L93" s="298">
        <f t="shared" si="73"/>
        <v>329.11000000000013</v>
      </c>
      <c r="M93" s="298">
        <f t="shared" si="41"/>
        <v>2372.16</v>
      </c>
      <c r="N93" s="298">
        <f t="shared" si="64"/>
        <v>10082.26</v>
      </c>
      <c r="O93" s="298">
        <f t="shared" si="65"/>
        <v>81760.920000000013</v>
      </c>
      <c r="P93" s="298">
        <f t="shared" si="54"/>
        <v>366972.73999999987</v>
      </c>
      <c r="Q93" s="542">
        <f t="shared" si="55"/>
        <v>46749</v>
      </c>
      <c r="R93" s="298">
        <f t="shared" si="39"/>
        <v>343702.30000000005</v>
      </c>
      <c r="S93" s="535">
        <f t="shared" si="66"/>
        <v>4.7500000000000001E-2</v>
      </c>
      <c r="T93" s="298">
        <f t="shared" si="56"/>
        <v>2440.62</v>
      </c>
      <c r="U93" s="298">
        <f t="shared" si="42"/>
        <v>1080.1299999999999</v>
      </c>
      <c r="V93" s="298">
        <f t="shared" si="57"/>
        <v>1360.49</v>
      </c>
      <c r="W93" s="298">
        <f t="shared" si="74"/>
        <v>0</v>
      </c>
      <c r="X93" s="298">
        <f t="shared" si="74"/>
        <v>0</v>
      </c>
      <c r="Y93" s="298">
        <f t="shared" si="43"/>
        <v>2440.62</v>
      </c>
      <c r="Z93" s="298">
        <f t="shared" si="44"/>
        <v>34432.83</v>
      </c>
      <c r="AA93" s="298">
        <f t="shared" si="45"/>
        <v>48548.25</v>
      </c>
      <c r="AB93" s="298">
        <f t="shared" si="58"/>
        <v>342622.17000000004</v>
      </c>
      <c r="AC93" s="451">
        <f t="shared" si="67"/>
        <v>33</v>
      </c>
      <c r="AD93" s="552">
        <f t="shared" si="68"/>
        <v>8862.0999999999949</v>
      </c>
      <c r="AE93" s="552">
        <f t="shared" si="37"/>
        <v>269118.45000000013</v>
      </c>
      <c r="AF93" s="552">
        <f t="shared" si="38"/>
        <v>277980.5500000001</v>
      </c>
      <c r="AG93" s="552">
        <f t="shared" si="69"/>
        <v>2006.6699999999998</v>
      </c>
      <c r="AH93" s="552">
        <f t="shared" si="70"/>
        <v>360260.74</v>
      </c>
      <c r="AI93" s="552"/>
      <c r="AJ93" s="14">
        <f t="shared" si="46"/>
        <v>2006.6699999999998</v>
      </c>
      <c r="AK93" s="14">
        <f t="shared" si="48"/>
        <v>67358.879999999961</v>
      </c>
      <c r="AL93" s="552">
        <f>IF(R93&lt;=0,0,+([1]Profit!$B$4+AM92)*$AL$1/12)</f>
        <v>1137.1950265845769</v>
      </c>
      <c r="AM93" s="14">
        <f t="shared" si="71"/>
        <v>37115.205660415362</v>
      </c>
    </row>
    <row r="94" spans="1:41" x14ac:dyDescent="0.25">
      <c r="A94" s="542">
        <f t="shared" si="59"/>
        <v>46779</v>
      </c>
      <c r="B94" s="298">
        <f t="shared" si="60"/>
        <v>73503.719999999928</v>
      </c>
      <c r="C94" s="14">
        <f t="shared" si="50"/>
        <v>433.95</v>
      </c>
      <c r="D94" s="14">
        <f t="shared" si="72"/>
        <v>143</v>
      </c>
      <c r="E94" s="14">
        <f t="shared" si="51"/>
        <v>290.95</v>
      </c>
      <c r="F94" s="298">
        <f t="shared" si="61"/>
        <v>10157.070000000002</v>
      </c>
      <c r="G94" s="298">
        <f t="shared" si="62"/>
        <v>24888.220000000005</v>
      </c>
      <c r="H94" s="298">
        <f t="shared" si="52"/>
        <v>73360.719999999928</v>
      </c>
      <c r="I94" s="451">
        <f t="shared" si="53"/>
        <v>2</v>
      </c>
      <c r="J94" s="298">
        <f t="shared" si="63"/>
        <v>366972.73999999987</v>
      </c>
      <c r="K94" s="298">
        <f t="shared" si="40"/>
        <v>2701.27</v>
      </c>
      <c r="L94" s="298">
        <f t="shared" si="73"/>
        <v>331.23999999999978</v>
      </c>
      <c r="M94" s="298">
        <f t="shared" si="41"/>
        <v>2370.0300000000002</v>
      </c>
      <c r="N94" s="298">
        <f t="shared" si="64"/>
        <v>10413.5</v>
      </c>
      <c r="O94" s="298">
        <f t="shared" si="65"/>
        <v>84130.950000000012</v>
      </c>
      <c r="P94" s="298">
        <f t="shared" si="54"/>
        <v>366641.49999999988</v>
      </c>
      <c r="Q94" s="542">
        <f t="shared" si="55"/>
        <v>46779</v>
      </c>
      <c r="R94" s="298">
        <f t="shared" si="39"/>
        <v>342622.17000000004</v>
      </c>
      <c r="S94" s="535">
        <f t="shared" si="66"/>
        <v>4.7500000000000001E-2</v>
      </c>
      <c r="T94" s="298">
        <f t="shared" si="56"/>
        <v>2440.62</v>
      </c>
      <c r="U94" s="298">
        <f t="shared" si="42"/>
        <v>1084.4099999999999</v>
      </c>
      <c r="V94" s="298">
        <f t="shared" si="57"/>
        <v>1356.21</v>
      </c>
      <c r="W94" s="298">
        <f t="shared" si="74"/>
        <v>0</v>
      </c>
      <c r="X94" s="298">
        <f t="shared" si="74"/>
        <v>0</v>
      </c>
      <c r="Y94" s="298">
        <f t="shared" si="43"/>
        <v>2440.62</v>
      </c>
      <c r="Z94" s="298">
        <f t="shared" si="44"/>
        <v>35517.240000000005</v>
      </c>
      <c r="AA94" s="298">
        <f t="shared" si="45"/>
        <v>49904.46</v>
      </c>
      <c r="AB94" s="298">
        <f t="shared" si="58"/>
        <v>341537.76000000007</v>
      </c>
      <c r="AC94" s="451">
        <f t="shared" si="67"/>
        <v>34</v>
      </c>
      <c r="AD94" s="552">
        <f t="shared" si="68"/>
        <v>9122.7499999999945</v>
      </c>
      <c r="AE94" s="552">
        <f t="shared" si="37"/>
        <v>268177.04000000015</v>
      </c>
      <c r="AF94" s="552">
        <f t="shared" si="38"/>
        <v>277299.79000000015</v>
      </c>
      <c r="AG94" s="552">
        <f t="shared" si="69"/>
        <v>2006.6699999999998</v>
      </c>
      <c r="AH94" s="552">
        <f t="shared" si="70"/>
        <v>359319.33</v>
      </c>
      <c r="AI94" s="552"/>
      <c r="AJ94" s="14">
        <f t="shared" si="46"/>
        <v>2006.6699999999998</v>
      </c>
      <c r="AK94" s="14">
        <f t="shared" si="48"/>
        <v>69365.549999999959</v>
      </c>
      <c r="AL94" s="552">
        <f>IF(R94&lt;=0,0,+([1]Profit!$B$4+AM93)*$AL$1/12)</f>
        <v>1140.0380141510384</v>
      </c>
      <c r="AM94" s="14">
        <f t="shared" si="71"/>
        <v>38255.243674566402</v>
      </c>
    </row>
    <row r="95" spans="1:41" x14ac:dyDescent="0.25">
      <c r="A95" s="542">
        <f t="shared" si="59"/>
        <v>46809</v>
      </c>
      <c r="B95" s="298">
        <f t="shared" si="60"/>
        <v>73360.719999999928</v>
      </c>
      <c r="C95" s="14">
        <f t="shared" si="50"/>
        <v>433.95</v>
      </c>
      <c r="D95" s="14">
        <f t="shared" si="72"/>
        <v>143.56</v>
      </c>
      <c r="E95" s="14">
        <f t="shared" si="51"/>
        <v>290.39</v>
      </c>
      <c r="F95" s="298">
        <f t="shared" si="61"/>
        <v>10300.630000000001</v>
      </c>
      <c r="G95" s="298">
        <f t="shared" si="62"/>
        <v>25178.610000000004</v>
      </c>
      <c r="H95" s="298">
        <f t="shared" si="52"/>
        <v>73217.159999999931</v>
      </c>
      <c r="I95" s="451">
        <f t="shared" si="53"/>
        <v>2</v>
      </c>
      <c r="J95" s="298">
        <f t="shared" si="63"/>
        <v>366641.49999999988</v>
      </c>
      <c r="K95" s="298">
        <f t="shared" si="40"/>
        <v>2701.27</v>
      </c>
      <c r="L95" s="298">
        <f t="shared" si="73"/>
        <v>333.38000000000011</v>
      </c>
      <c r="M95" s="298">
        <f t="shared" si="41"/>
        <v>2367.89</v>
      </c>
      <c r="N95" s="298">
        <f t="shared" si="64"/>
        <v>10746.880000000001</v>
      </c>
      <c r="O95" s="298">
        <f t="shared" si="65"/>
        <v>86498.840000000011</v>
      </c>
      <c r="P95" s="298">
        <f t="shared" si="54"/>
        <v>366308.11999999988</v>
      </c>
      <c r="Q95" s="542">
        <f t="shared" si="55"/>
        <v>46809</v>
      </c>
      <c r="R95" s="298">
        <f t="shared" si="39"/>
        <v>341537.76000000007</v>
      </c>
      <c r="S95" s="535">
        <f t="shared" si="66"/>
        <v>4.7500000000000001E-2</v>
      </c>
      <c r="T95" s="298">
        <f t="shared" si="56"/>
        <v>2440.62</v>
      </c>
      <c r="U95" s="298">
        <f t="shared" si="42"/>
        <v>1088.6999999999998</v>
      </c>
      <c r="V95" s="298">
        <f t="shared" si="57"/>
        <v>1351.92</v>
      </c>
      <c r="W95" s="298">
        <f t="shared" si="74"/>
        <v>0</v>
      </c>
      <c r="X95" s="298">
        <f t="shared" si="74"/>
        <v>0</v>
      </c>
      <c r="Y95" s="298">
        <f t="shared" si="43"/>
        <v>2440.62</v>
      </c>
      <c r="Z95" s="298">
        <f t="shared" si="44"/>
        <v>36605.94</v>
      </c>
      <c r="AA95" s="298">
        <f t="shared" si="45"/>
        <v>51256.38</v>
      </c>
      <c r="AB95" s="298">
        <f t="shared" si="58"/>
        <v>340449.06000000006</v>
      </c>
      <c r="AC95" s="451">
        <f t="shared" si="67"/>
        <v>35</v>
      </c>
      <c r="AD95" s="552">
        <f t="shared" si="68"/>
        <v>9383.3999999999942</v>
      </c>
      <c r="AE95" s="552">
        <f t="shared" si="37"/>
        <v>267231.90000000014</v>
      </c>
      <c r="AF95" s="552">
        <f t="shared" si="38"/>
        <v>276615.30000000016</v>
      </c>
      <c r="AG95" s="552">
        <f t="shared" si="69"/>
        <v>2006.6699999999998</v>
      </c>
      <c r="AH95" s="552">
        <f t="shared" si="70"/>
        <v>358374.19</v>
      </c>
      <c r="AI95" s="552"/>
      <c r="AJ95" s="14">
        <f t="shared" si="46"/>
        <v>2006.6699999999998</v>
      </c>
      <c r="AK95" s="14">
        <f t="shared" si="48"/>
        <v>71372.219999999958</v>
      </c>
      <c r="AL95" s="552">
        <f>IF(R95&lt;=0,0,+([1]Profit!$B$4+AM94)*$AL$1/12)</f>
        <v>1142.8881091864159</v>
      </c>
      <c r="AM95" s="14">
        <f t="shared" si="71"/>
        <v>39398.131783752819</v>
      </c>
      <c r="AO95" s="512"/>
    </row>
    <row r="96" spans="1:41" x14ac:dyDescent="0.25">
      <c r="A96" s="542">
        <f t="shared" si="59"/>
        <v>46839</v>
      </c>
      <c r="B96" s="298">
        <f t="shared" si="60"/>
        <v>73217.159999999931</v>
      </c>
      <c r="C96" s="14">
        <f t="shared" si="50"/>
        <v>433.95</v>
      </c>
      <c r="D96" s="14">
        <f t="shared" si="72"/>
        <v>144.13</v>
      </c>
      <c r="E96" s="14">
        <f t="shared" si="51"/>
        <v>289.82</v>
      </c>
      <c r="F96" s="298">
        <f t="shared" si="61"/>
        <v>10444.76</v>
      </c>
      <c r="G96" s="298">
        <f t="shared" si="62"/>
        <v>25468.430000000004</v>
      </c>
      <c r="H96" s="298">
        <f t="shared" si="52"/>
        <v>73073.029999999926</v>
      </c>
      <c r="I96" s="451">
        <f t="shared" si="53"/>
        <v>3</v>
      </c>
      <c r="J96" s="298">
        <f t="shared" si="63"/>
        <v>366308.11999999988</v>
      </c>
      <c r="K96" s="298">
        <f t="shared" si="40"/>
        <v>2701.27</v>
      </c>
      <c r="L96" s="298">
        <f t="shared" si="73"/>
        <v>335.5300000000002</v>
      </c>
      <c r="M96" s="298">
        <f t="shared" si="41"/>
        <v>2365.7399999999998</v>
      </c>
      <c r="N96" s="298">
        <f t="shared" si="64"/>
        <v>11082.410000000002</v>
      </c>
      <c r="O96" s="298">
        <f t="shared" si="65"/>
        <v>88864.580000000016</v>
      </c>
      <c r="P96" s="298">
        <f t="shared" si="54"/>
        <v>365972.58999999985</v>
      </c>
      <c r="Q96" s="542">
        <f t="shared" si="55"/>
        <v>46839</v>
      </c>
      <c r="R96" s="298">
        <f t="shared" si="39"/>
        <v>340449.06000000006</v>
      </c>
      <c r="S96" s="535">
        <f t="shared" si="66"/>
        <v>4.7500000000000001E-2</v>
      </c>
      <c r="T96" s="298">
        <f t="shared" si="56"/>
        <v>2440.62</v>
      </c>
      <c r="U96" s="298">
        <f t="shared" si="42"/>
        <v>1093.01</v>
      </c>
      <c r="V96" s="298">
        <f t="shared" si="57"/>
        <v>1347.61</v>
      </c>
      <c r="W96" s="298">
        <f t="shared" si="74"/>
        <v>0</v>
      </c>
      <c r="X96" s="298">
        <f t="shared" si="74"/>
        <v>0</v>
      </c>
      <c r="Y96" s="298">
        <f t="shared" si="43"/>
        <v>2440.62</v>
      </c>
      <c r="Z96" s="298">
        <f t="shared" si="44"/>
        <v>37698.950000000004</v>
      </c>
      <c r="AA96" s="298">
        <f t="shared" si="45"/>
        <v>52603.99</v>
      </c>
      <c r="AB96" s="298">
        <f t="shared" si="58"/>
        <v>339356.05000000005</v>
      </c>
      <c r="AC96" s="451">
        <f t="shared" si="67"/>
        <v>36</v>
      </c>
      <c r="AD96" s="552">
        <f t="shared" si="68"/>
        <v>9644.0499999999938</v>
      </c>
      <c r="AE96" s="552">
        <f t="shared" si="37"/>
        <v>266283.02000000014</v>
      </c>
      <c r="AF96" s="552">
        <f t="shared" si="38"/>
        <v>275927.07000000012</v>
      </c>
      <c r="AG96" s="552">
        <f t="shared" si="69"/>
        <v>2006.6699999999998</v>
      </c>
      <c r="AH96" s="552">
        <f t="shared" si="70"/>
        <v>357425.31</v>
      </c>
      <c r="AI96" s="552"/>
      <c r="AJ96" s="14">
        <f t="shared" si="46"/>
        <v>2006.6699999999998</v>
      </c>
      <c r="AK96" s="14">
        <f t="shared" si="48"/>
        <v>73378.889999999956</v>
      </c>
      <c r="AL96" s="552">
        <f>IF(R96&lt;=0,0,+([1]Profit!$B$4+AM95)*$AL$1/12)</f>
        <v>1145.745329459382</v>
      </c>
      <c r="AM96" s="14">
        <f t="shared" si="71"/>
        <v>40543.877113212198</v>
      </c>
      <c r="AO96" s="512"/>
    </row>
    <row r="97" spans="1:41" x14ac:dyDescent="0.25">
      <c r="A97" s="542">
        <f t="shared" si="59"/>
        <v>46869</v>
      </c>
      <c r="B97" s="298">
        <f t="shared" si="60"/>
        <v>73073.029999999926</v>
      </c>
      <c r="C97" s="14">
        <f t="shared" si="50"/>
        <v>433.95</v>
      </c>
      <c r="D97" s="14">
        <f t="shared" si="72"/>
        <v>144.69999999999999</v>
      </c>
      <c r="E97" s="14">
        <f t="shared" si="51"/>
        <v>289.25</v>
      </c>
      <c r="F97" s="298">
        <f t="shared" si="61"/>
        <v>10589.460000000001</v>
      </c>
      <c r="G97" s="298">
        <f t="shared" si="62"/>
        <v>25757.680000000004</v>
      </c>
      <c r="H97" s="298">
        <f t="shared" si="52"/>
        <v>72928.329999999929</v>
      </c>
      <c r="I97" s="451">
        <f t="shared" si="53"/>
        <v>3</v>
      </c>
      <c r="J97" s="298">
        <f t="shared" si="63"/>
        <v>365972.58999999985</v>
      </c>
      <c r="K97" s="298">
        <f t="shared" si="40"/>
        <v>2701.27</v>
      </c>
      <c r="L97" s="298">
        <f t="shared" si="73"/>
        <v>337.69999999999982</v>
      </c>
      <c r="M97" s="298">
        <f t="shared" si="41"/>
        <v>2363.5700000000002</v>
      </c>
      <c r="N97" s="298">
        <f t="shared" si="64"/>
        <v>11420.11</v>
      </c>
      <c r="O97" s="298">
        <f t="shared" si="65"/>
        <v>91228.150000000023</v>
      </c>
      <c r="P97" s="298">
        <f t="shared" si="54"/>
        <v>365634.88999999984</v>
      </c>
      <c r="Q97" s="542">
        <f t="shared" si="55"/>
        <v>46869</v>
      </c>
      <c r="R97" s="298">
        <f t="shared" si="39"/>
        <v>339356.05000000005</v>
      </c>
      <c r="S97" s="535">
        <f t="shared" si="66"/>
        <v>4.7500000000000001E-2</v>
      </c>
      <c r="T97" s="298">
        <f t="shared" si="56"/>
        <v>2440.62</v>
      </c>
      <c r="U97" s="298">
        <f t="shared" si="42"/>
        <v>1097.3399999999999</v>
      </c>
      <c r="V97" s="298">
        <f t="shared" si="57"/>
        <v>1343.28</v>
      </c>
      <c r="W97" s="298">
        <f t="shared" si="74"/>
        <v>0</v>
      </c>
      <c r="X97" s="298">
        <f t="shared" si="74"/>
        <v>0</v>
      </c>
      <c r="Y97" s="298">
        <f t="shared" si="43"/>
        <v>2440.62</v>
      </c>
      <c r="Z97" s="298">
        <f t="shared" si="44"/>
        <v>38796.29</v>
      </c>
      <c r="AA97" s="298">
        <f t="shared" si="45"/>
        <v>53947.27</v>
      </c>
      <c r="AB97" s="298">
        <f t="shared" si="58"/>
        <v>338258.71</v>
      </c>
      <c r="AC97" s="451">
        <f t="shared" si="67"/>
        <v>37</v>
      </c>
      <c r="AD97" s="552">
        <f t="shared" si="68"/>
        <v>9904.6999999999935</v>
      </c>
      <c r="AE97" s="552">
        <f t="shared" si="37"/>
        <v>265330.38000000012</v>
      </c>
      <c r="AF97" s="552">
        <f t="shared" si="38"/>
        <v>275235.08000000013</v>
      </c>
      <c r="AG97" s="552">
        <f t="shared" si="69"/>
        <v>2006.6699999999998</v>
      </c>
      <c r="AH97" s="552">
        <f t="shared" si="70"/>
        <v>356472.67000000004</v>
      </c>
      <c r="AI97" s="552"/>
      <c r="AJ97" s="14">
        <f t="shared" si="46"/>
        <v>2006.6699999999998</v>
      </c>
      <c r="AK97" s="14">
        <f t="shared" si="48"/>
        <v>75385.559999999954</v>
      </c>
      <c r="AL97" s="552">
        <f>IF(R97&lt;=0,0,+([1]Profit!$B$4+AM96)*$AL$1/12)</f>
        <v>1148.6096927830304</v>
      </c>
      <c r="AM97" s="14">
        <f t="shared" si="71"/>
        <v>41692.486805995228</v>
      </c>
    </row>
    <row r="98" spans="1:41" ht="15.75" thickBot="1" x14ac:dyDescent="0.3">
      <c r="A98" s="545">
        <f t="shared" si="59"/>
        <v>46899</v>
      </c>
      <c r="B98" s="371">
        <f t="shared" si="60"/>
        <v>72928.329999999929</v>
      </c>
      <c r="C98" s="21">
        <f t="shared" si="50"/>
        <v>433.95</v>
      </c>
      <c r="D98" s="21">
        <f t="shared" si="72"/>
        <v>145.27999999999997</v>
      </c>
      <c r="E98" s="21">
        <f t="shared" si="51"/>
        <v>288.67</v>
      </c>
      <c r="F98" s="371">
        <f t="shared" si="61"/>
        <v>10734.740000000002</v>
      </c>
      <c r="G98" s="371">
        <f t="shared" si="62"/>
        <v>26046.350000000002</v>
      </c>
      <c r="H98" s="371">
        <f t="shared" si="52"/>
        <v>72783.04999999993</v>
      </c>
      <c r="I98" s="452">
        <f t="shared" si="53"/>
        <v>3</v>
      </c>
      <c r="J98" s="371">
        <f t="shared" si="63"/>
        <v>365634.88999999984</v>
      </c>
      <c r="K98" s="371">
        <f t="shared" si="40"/>
        <v>2701.27</v>
      </c>
      <c r="L98" s="371">
        <f t="shared" si="73"/>
        <v>339.88000000000011</v>
      </c>
      <c r="M98" s="371">
        <f t="shared" si="41"/>
        <v>2361.39</v>
      </c>
      <c r="N98" s="371">
        <f t="shared" si="64"/>
        <v>11759.990000000002</v>
      </c>
      <c r="O98" s="371">
        <f t="shared" si="65"/>
        <v>93589.540000000023</v>
      </c>
      <c r="P98" s="371">
        <f t="shared" si="54"/>
        <v>365295.00999999983</v>
      </c>
      <c r="Q98" s="545">
        <f t="shared" si="55"/>
        <v>46899</v>
      </c>
      <c r="R98" s="371">
        <f t="shared" si="39"/>
        <v>338258.71</v>
      </c>
      <c r="S98" s="536">
        <f t="shared" si="66"/>
        <v>4.7500000000000001E-2</v>
      </c>
      <c r="T98" s="371">
        <f t="shared" si="56"/>
        <v>2440.62</v>
      </c>
      <c r="U98" s="371">
        <f t="shared" si="42"/>
        <v>1101.6799999999998</v>
      </c>
      <c r="V98" s="371">
        <f t="shared" si="57"/>
        <v>1338.94</v>
      </c>
      <c r="W98" s="371">
        <f t="shared" si="74"/>
        <v>0</v>
      </c>
      <c r="X98" s="371">
        <f t="shared" si="74"/>
        <v>0</v>
      </c>
      <c r="Y98" s="371">
        <f t="shared" si="43"/>
        <v>2440.62</v>
      </c>
      <c r="Z98" s="371">
        <f t="shared" si="44"/>
        <v>39897.97</v>
      </c>
      <c r="AA98" s="371">
        <f t="shared" si="45"/>
        <v>55286.21</v>
      </c>
      <c r="AB98" s="371">
        <f t="shared" si="58"/>
        <v>337157.03</v>
      </c>
      <c r="AC98" s="452">
        <f t="shared" si="67"/>
        <v>38</v>
      </c>
      <c r="AD98" s="553">
        <f t="shared" si="68"/>
        <v>10165.349999999993</v>
      </c>
      <c r="AE98" s="553">
        <f t="shared" si="37"/>
        <v>264373.9800000001</v>
      </c>
      <c r="AF98" s="553">
        <f t="shared" si="38"/>
        <v>274539.33000000007</v>
      </c>
      <c r="AG98" s="553">
        <f t="shared" si="69"/>
        <v>2006.6699999999998</v>
      </c>
      <c r="AH98" s="553">
        <f t="shared" si="70"/>
        <v>355516.27</v>
      </c>
      <c r="AI98" s="553"/>
      <c r="AJ98" s="21">
        <f t="shared" si="46"/>
        <v>2006.6699999999998</v>
      </c>
      <c r="AK98" s="21">
        <f t="shared" si="48"/>
        <v>77392.229999999952</v>
      </c>
      <c r="AL98" s="553">
        <f>IF(R98&lt;=0,0,+([1]Profit!$B$4+AM97)*$AL$1/12)</f>
        <v>1151.481217014988</v>
      </c>
      <c r="AM98" s="21">
        <f t="shared" si="71"/>
        <v>42843.968023010217</v>
      </c>
    </row>
    <row r="99" spans="1:41" x14ac:dyDescent="0.25">
      <c r="A99" s="542">
        <f t="shared" si="59"/>
        <v>46929</v>
      </c>
      <c r="B99" s="298">
        <f t="shared" si="60"/>
        <v>72783.04999999993</v>
      </c>
      <c r="C99" s="14">
        <f t="shared" si="50"/>
        <v>433.95</v>
      </c>
      <c r="D99" s="14">
        <f t="shared" si="72"/>
        <v>145.84999999999997</v>
      </c>
      <c r="E99" s="14">
        <f t="shared" si="51"/>
        <v>288.10000000000002</v>
      </c>
      <c r="F99" s="298">
        <f t="shared" si="61"/>
        <v>10880.590000000002</v>
      </c>
      <c r="G99" s="298">
        <f t="shared" si="62"/>
        <v>26334.45</v>
      </c>
      <c r="H99" s="298">
        <f t="shared" si="52"/>
        <v>72637.199999999924</v>
      </c>
      <c r="I99" s="451">
        <f t="shared" si="53"/>
        <v>3</v>
      </c>
      <c r="J99" s="298">
        <f t="shared" si="63"/>
        <v>365295.00999999983</v>
      </c>
      <c r="K99" s="298">
        <f t="shared" si="40"/>
        <v>2701.27</v>
      </c>
      <c r="L99" s="298">
        <f t="shared" si="73"/>
        <v>342.07000000000016</v>
      </c>
      <c r="M99" s="298">
        <f t="shared" si="41"/>
        <v>2359.1999999999998</v>
      </c>
      <c r="N99" s="298">
        <f t="shared" si="64"/>
        <v>12102.060000000001</v>
      </c>
      <c r="O99" s="298">
        <f t="shared" si="65"/>
        <v>95948.74000000002</v>
      </c>
      <c r="P99" s="298">
        <f t="shared" si="54"/>
        <v>364952.93999999983</v>
      </c>
      <c r="Q99" s="542">
        <f t="shared" si="55"/>
        <v>46929</v>
      </c>
      <c r="R99" s="298">
        <f t="shared" si="39"/>
        <v>337157.03</v>
      </c>
      <c r="S99" s="535">
        <f t="shared" si="66"/>
        <v>4.7500000000000001E-2</v>
      </c>
      <c r="T99" s="298">
        <f t="shared" si="56"/>
        <v>2440.62</v>
      </c>
      <c r="U99" s="298">
        <f t="shared" si="42"/>
        <v>1106.04</v>
      </c>
      <c r="V99" s="298">
        <f t="shared" si="57"/>
        <v>1334.58</v>
      </c>
      <c r="W99" s="298">
        <f t="shared" si="74"/>
        <v>0</v>
      </c>
      <c r="X99" s="298">
        <f t="shared" si="74"/>
        <v>0</v>
      </c>
      <c r="Y99" s="298">
        <f t="shared" si="43"/>
        <v>2440.62</v>
      </c>
      <c r="Z99" s="298">
        <f t="shared" si="44"/>
        <v>41004.01</v>
      </c>
      <c r="AA99" s="298">
        <f t="shared" si="45"/>
        <v>56620.79</v>
      </c>
      <c r="AB99" s="298">
        <f t="shared" si="58"/>
        <v>336050.99000000005</v>
      </c>
      <c r="AC99" s="451">
        <f t="shared" si="67"/>
        <v>39</v>
      </c>
      <c r="AD99" s="552">
        <f t="shared" si="68"/>
        <v>10425.999999999993</v>
      </c>
      <c r="AE99" s="552">
        <f t="shared" si="37"/>
        <v>263413.79000000015</v>
      </c>
      <c r="AF99" s="552">
        <f t="shared" si="38"/>
        <v>273839.79000000015</v>
      </c>
      <c r="AG99" s="552">
        <f t="shared" si="69"/>
        <v>2006.6699999999998</v>
      </c>
      <c r="AH99" s="552">
        <f t="shared" si="70"/>
        <v>354556.08</v>
      </c>
      <c r="AI99" s="552"/>
      <c r="AJ99" s="14">
        <f t="shared" si="46"/>
        <v>2006.6699999999998</v>
      </c>
      <c r="AK99" s="14">
        <f t="shared" si="48"/>
        <v>79398.899999999951</v>
      </c>
      <c r="AL99" s="552">
        <f>IF(R99&lt;=0,0,+([1]Profit!$B$4+AM98)*$AL$1/12)</f>
        <v>1154.3599200575256</v>
      </c>
      <c r="AM99" s="14">
        <f t="shared" si="71"/>
        <v>43998.327943067743</v>
      </c>
    </row>
    <row r="100" spans="1:41" x14ac:dyDescent="0.25">
      <c r="A100" s="542">
        <f t="shared" si="59"/>
        <v>46959</v>
      </c>
      <c r="B100" s="298">
        <f t="shared" si="60"/>
        <v>72637.199999999924</v>
      </c>
      <c r="C100" s="14">
        <f t="shared" si="50"/>
        <v>433.95</v>
      </c>
      <c r="D100" s="14">
        <f t="shared" si="72"/>
        <v>146.43</v>
      </c>
      <c r="E100" s="14">
        <f t="shared" si="51"/>
        <v>287.52</v>
      </c>
      <c r="F100" s="298">
        <f t="shared" si="61"/>
        <v>11027.020000000002</v>
      </c>
      <c r="G100" s="298">
        <f t="shared" si="62"/>
        <v>26621.97</v>
      </c>
      <c r="H100" s="298">
        <f t="shared" si="52"/>
        <v>72490.769999999931</v>
      </c>
      <c r="I100" s="451">
        <f t="shared" si="53"/>
        <v>3</v>
      </c>
      <c r="J100" s="298">
        <f t="shared" si="63"/>
        <v>364952.93999999983</v>
      </c>
      <c r="K100" s="298">
        <f t="shared" si="40"/>
        <v>2701.27</v>
      </c>
      <c r="L100" s="298">
        <f t="shared" si="73"/>
        <v>344.2800000000002</v>
      </c>
      <c r="M100" s="298">
        <f t="shared" si="41"/>
        <v>2356.9899999999998</v>
      </c>
      <c r="N100" s="298">
        <f t="shared" si="64"/>
        <v>12446.340000000002</v>
      </c>
      <c r="O100" s="298">
        <f t="shared" si="65"/>
        <v>98305.730000000025</v>
      </c>
      <c r="P100" s="298">
        <f t="shared" si="54"/>
        <v>364608.6599999998</v>
      </c>
      <c r="Q100" s="542">
        <f t="shared" si="55"/>
        <v>46959</v>
      </c>
      <c r="R100" s="298">
        <f t="shared" si="39"/>
        <v>336050.99000000005</v>
      </c>
      <c r="S100" s="535">
        <f t="shared" si="66"/>
        <v>4.7500000000000001E-2</v>
      </c>
      <c r="T100" s="298">
        <f t="shared" si="56"/>
        <v>2440.62</v>
      </c>
      <c r="U100" s="298">
        <f t="shared" si="42"/>
        <v>1110.4199999999998</v>
      </c>
      <c r="V100" s="298">
        <f t="shared" si="57"/>
        <v>1330.2</v>
      </c>
      <c r="W100" s="298">
        <f t="shared" si="74"/>
        <v>0</v>
      </c>
      <c r="X100" s="298">
        <f t="shared" si="74"/>
        <v>0</v>
      </c>
      <c r="Y100" s="298">
        <f t="shared" si="43"/>
        <v>2440.62</v>
      </c>
      <c r="Z100" s="298">
        <f t="shared" si="44"/>
        <v>42114.43</v>
      </c>
      <c r="AA100" s="298">
        <f t="shared" si="45"/>
        <v>57950.99</v>
      </c>
      <c r="AB100" s="298">
        <f t="shared" si="58"/>
        <v>334940.57000000007</v>
      </c>
      <c r="AC100" s="451">
        <f t="shared" si="67"/>
        <v>40</v>
      </c>
      <c r="AD100" s="552">
        <f t="shared" si="68"/>
        <v>10686.649999999992</v>
      </c>
      <c r="AE100" s="552">
        <f t="shared" si="37"/>
        <v>262449.80000000016</v>
      </c>
      <c r="AF100" s="552">
        <f t="shared" si="38"/>
        <v>273136.45000000013</v>
      </c>
      <c r="AG100" s="552">
        <f t="shared" si="69"/>
        <v>2006.6699999999998</v>
      </c>
      <c r="AH100" s="552">
        <f t="shared" si="70"/>
        <v>353592.09</v>
      </c>
      <c r="AI100" s="552"/>
      <c r="AJ100" s="14">
        <f t="shared" si="46"/>
        <v>2006.6699999999998</v>
      </c>
      <c r="AK100" s="14">
        <f t="shared" si="48"/>
        <v>81405.569999999949</v>
      </c>
      <c r="AL100" s="552">
        <f>IF(R100&lt;=0,0,+([1]Profit!$B$4+AM99)*$AL$1/12)</f>
        <v>1157.2458198576694</v>
      </c>
      <c r="AM100" s="14">
        <f t="shared" si="71"/>
        <v>45155.573762925414</v>
      </c>
    </row>
    <row r="101" spans="1:41" x14ac:dyDescent="0.25">
      <c r="A101" s="542">
        <f t="shared" si="59"/>
        <v>46989</v>
      </c>
      <c r="B101" s="298">
        <f t="shared" si="60"/>
        <v>72490.769999999931</v>
      </c>
      <c r="C101" s="14">
        <f t="shared" si="50"/>
        <v>433.95</v>
      </c>
      <c r="D101" s="14">
        <f t="shared" si="72"/>
        <v>147.01</v>
      </c>
      <c r="E101" s="14">
        <f t="shared" si="51"/>
        <v>286.94</v>
      </c>
      <c r="F101" s="298">
        <f t="shared" si="61"/>
        <v>11174.030000000002</v>
      </c>
      <c r="G101" s="298">
        <f t="shared" si="62"/>
        <v>26908.91</v>
      </c>
      <c r="H101" s="298">
        <f t="shared" si="52"/>
        <v>72343.759999999937</v>
      </c>
      <c r="I101" s="451">
        <f t="shared" si="53"/>
        <v>3</v>
      </c>
      <c r="J101" s="298">
        <f t="shared" si="63"/>
        <v>364608.6599999998</v>
      </c>
      <c r="K101" s="298">
        <f t="shared" si="40"/>
        <v>2701.27</v>
      </c>
      <c r="L101" s="298">
        <f t="shared" si="73"/>
        <v>346.50999999999976</v>
      </c>
      <c r="M101" s="298">
        <f t="shared" si="41"/>
        <v>2354.7600000000002</v>
      </c>
      <c r="N101" s="298">
        <f t="shared" si="64"/>
        <v>12792.850000000002</v>
      </c>
      <c r="O101" s="298">
        <f t="shared" si="65"/>
        <v>100660.49000000002</v>
      </c>
      <c r="P101" s="298">
        <f t="shared" si="54"/>
        <v>364262.14999999979</v>
      </c>
      <c r="Q101" s="542">
        <f t="shared" si="55"/>
        <v>46989</v>
      </c>
      <c r="R101" s="298">
        <f t="shared" si="39"/>
        <v>334940.57000000007</v>
      </c>
      <c r="S101" s="535">
        <f t="shared" si="66"/>
        <v>4.7500000000000001E-2</v>
      </c>
      <c r="T101" s="298">
        <f t="shared" si="56"/>
        <v>2440.62</v>
      </c>
      <c r="U101" s="298">
        <f t="shared" si="42"/>
        <v>1114.81</v>
      </c>
      <c r="V101" s="298">
        <f t="shared" si="57"/>
        <v>1325.81</v>
      </c>
      <c r="W101" s="298">
        <f t="shared" si="74"/>
        <v>0</v>
      </c>
      <c r="X101" s="298">
        <f t="shared" si="74"/>
        <v>0</v>
      </c>
      <c r="Y101" s="298">
        <f t="shared" si="43"/>
        <v>2440.62</v>
      </c>
      <c r="Z101" s="298">
        <f t="shared" si="44"/>
        <v>43229.24</v>
      </c>
      <c r="AA101" s="298">
        <f t="shared" si="45"/>
        <v>59276.799999999996</v>
      </c>
      <c r="AB101" s="298">
        <f t="shared" si="58"/>
        <v>333825.76000000007</v>
      </c>
      <c r="AC101" s="451">
        <f t="shared" si="67"/>
        <v>41</v>
      </c>
      <c r="AD101" s="552">
        <f t="shared" si="68"/>
        <v>10947.299999999992</v>
      </c>
      <c r="AE101" s="552">
        <f t="shared" si="37"/>
        <v>261482.00000000012</v>
      </c>
      <c r="AF101" s="552">
        <f t="shared" si="38"/>
        <v>272429.3000000001</v>
      </c>
      <c r="AG101" s="552">
        <f t="shared" si="69"/>
        <v>2006.6699999999998</v>
      </c>
      <c r="AH101" s="552">
        <f t="shared" si="70"/>
        <v>352624.29000000004</v>
      </c>
      <c r="AI101" s="552"/>
      <c r="AJ101" s="14">
        <f t="shared" si="46"/>
        <v>2006.6699999999998</v>
      </c>
      <c r="AK101" s="14">
        <f t="shared" si="48"/>
        <v>83412.239999999947</v>
      </c>
      <c r="AL101" s="552">
        <f>IF(R101&lt;=0,0,+([1]Profit!$B$4+AM100)*$AL$1/12)</f>
        <v>1160.1389344073134</v>
      </c>
      <c r="AM101" s="14">
        <f t="shared" si="71"/>
        <v>46315.712697332725</v>
      </c>
    </row>
    <row r="102" spans="1:41" x14ac:dyDescent="0.25">
      <c r="A102" s="542">
        <f t="shared" si="59"/>
        <v>47019</v>
      </c>
      <c r="B102" s="298">
        <f t="shared" si="60"/>
        <v>72343.759999999937</v>
      </c>
      <c r="C102" s="14">
        <f t="shared" si="50"/>
        <v>433.95</v>
      </c>
      <c r="D102" s="14">
        <f t="shared" si="72"/>
        <v>147.58999999999997</v>
      </c>
      <c r="E102" s="14">
        <f t="shared" si="51"/>
        <v>286.36</v>
      </c>
      <c r="F102" s="298">
        <f t="shared" si="61"/>
        <v>11321.620000000003</v>
      </c>
      <c r="G102" s="298">
        <f t="shared" si="62"/>
        <v>27195.27</v>
      </c>
      <c r="H102" s="298">
        <f t="shared" si="52"/>
        <v>72196.16999999994</v>
      </c>
      <c r="I102" s="451">
        <f t="shared" si="53"/>
        <v>3</v>
      </c>
      <c r="J102" s="298">
        <f t="shared" si="63"/>
        <v>364262.14999999979</v>
      </c>
      <c r="K102" s="298">
        <f t="shared" si="40"/>
        <v>2701.27</v>
      </c>
      <c r="L102" s="298">
        <f t="shared" si="73"/>
        <v>348.73999999999978</v>
      </c>
      <c r="M102" s="298">
        <f t="shared" si="41"/>
        <v>2352.5300000000002</v>
      </c>
      <c r="N102" s="298">
        <f t="shared" si="64"/>
        <v>13141.590000000002</v>
      </c>
      <c r="O102" s="298">
        <f t="shared" si="65"/>
        <v>103013.02000000002</v>
      </c>
      <c r="P102" s="298">
        <f t="shared" si="54"/>
        <v>363913.4099999998</v>
      </c>
      <c r="Q102" s="542">
        <f t="shared" si="55"/>
        <v>47019</v>
      </c>
      <c r="R102" s="298">
        <f t="shared" si="39"/>
        <v>333825.76000000007</v>
      </c>
      <c r="S102" s="535">
        <f t="shared" si="66"/>
        <v>4.7500000000000001E-2</v>
      </c>
      <c r="T102" s="298">
        <f t="shared" si="56"/>
        <v>2440.62</v>
      </c>
      <c r="U102" s="298">
        <f t="shared" si="42"/>
        <v>1119.2299999999998</v>
      </c>
      <c r="V102" s="298">
        <f t="shared" si="57"/>
        <v>1321.39</v>
      </c>
      <c r="W102" s="298">
        <f t="shared" si="74"/>
        <v>0</v>
      </c>
      <c r="X102" s="298">
        <f t="shared" si="74"/>
        <v>0</v>
      </c>
      <c r="Y102" s="298">
        <f t="shared" si="43"/>
        <v>2440.62</v>
      </c>
      <c r="Z102" s="298">
        <f t="shared" si="44"/>
        <v>44348.47</v>
      </c>
      <c r="AA102" s="298">
        <f t="shared" si="45"/>
        <v>60598.189999999995</v>
      </c>
      <c r="AB102" s="298">
        <f t="shared" si="58"/>
        <v>332706.53000000009</v>
      </c>
      <c r="AC102" s="451">
        <f t="shared" si="67"/>
        <v>42</v>
      </c>
      <c r="AD102" s="552">
        <f t="shared" si="68"/>
        <v>11207.949999999992</v>
      </c>
      <c r="AE102" s="552">
        <f t="shared" si="37"/>
        <v>260510.36000000016</v>
      </c>
      <c r="AF102" s="552">
        <f t="shared" si="38"/>
        <v>271718.31000000017</v>
      </c>
      <c r="AG102" s="552">
        <f t="shared" si="69"/>
        <v>2006.6699999999998</v>
      </c>
      <c r="AH102" s="552">
        <f t="shared" si="70"/>
        <v>351652.65</v>
      </c>
      <c r="AI102" s="552"/>
      <c r="AJ102" s="14">
        <f t="shared" si="46"/>
        <v>2006.6699999999998</v>
      </c>
      <c r="AK102" s="14">
        <f t="shared" si="48"/>
        <v>85418.909999999945</v>
      </c>
      <c r="AL102" s="552">
        <f>IF(R102&lt;=0,0,+([1]Profit!$B$4+AM101)*$AL$1/12)</f>
        <v>1163.0392817433319</v>
      </c>
      <c r="AM102" s="14">
        <f t="shared" si="71"/>
        <v>47478.751979076056</v>
      </c>
    </row>
    <row r="103" spans="1:41" x14ac:dyDescent="0.25">
      <c r="A103" s="542">
        <f t="shared" si="59"/>
        <v>47049</v>
      </c>
      <c r="B103" s="298">
        <f t="shared" si="60"/>
        <v>72196.16999999994</v>
      </c>
      <c r="C103" s="14">
        <f t="shared" si="50"/>
        <v>433.95</v>
      </c>
      <c r="D103" s="14">
        <f t="shared" si="72"/>
        <v>148.17000000000002</v>
      </c>
      <c r="E103" s="14">
        <f t="shared" si="51"/>
        <v>285.77999999999997</v>
      </c>
      <c r="F103" s="298">
        <f t="shared" si="61"/>
        <v>11469.790000000003</v>
      </c>
      <c r="G103" s="298">
        <f t="shared" si="62"/>
        <v>27481.05</v>
      </c>
      <c r="H103" s="298">
        <f t="shared" si="52"/>
        <v>72047.999999999942</v>
      </c>
      <c r="I103" s="451">
        <f t="shared" si="53"/>
        <v>3</v>
      </c>
      <c r="J103" s="298">
        <f t="shared" si="63"/>
        <v>363913.4099999998</v>
      </c>
      <c r="K103" s="298">
        <f t="shared" si="40"/>
        <v>2701.27</v>
      </c>
      <c r="L103" s="298">
        <f t="shared" si="73"/>
        <v>351</v>
      </c>
      <c r="M103" s="298">
        <f t="shared" si="41"/>
        <v>2350.27</v>
      </c>
      <c r="N103" s="298">
        <f t="shared" si="64"/>
        <v>13492.590000000002</v>
      </c>
      <c r="O103" s="298">
        <f t="shared" si="65"/>
        <v>105363.29000000002</v>
      </c>
      <c r="P103" s="298">
        <f t="shared" si="54"/>
        <v>363562.4099999998</v>
      </c>
      <c r="Q103" s="542">
        <f t="shared" si="55"/>
        <v>47049</v>
      </c>
      <c r="R103" s="298">
        <f t="shared" si="39"/>
        <v>332706.53000000009</v>
      </c>
      <c r="S103" s="535">
        <f t="shared" si="66"/>
        <v>4.7500000000000001E-2</v>
      </c>
      <c r="T103" s="298">
        <f t="shared" si="56"/>
        <v>2440.62</v>
      </c>
      <c r="U103" s="298">
        <f t="shared" si="42"/>
        <v>1123.6599999999999</v>
      </c>
      <c r="V103" s="298">
        <f t="shared" si="57"/>
        <v>1316.96</v>
      </c>
      <c r="W103" s="298">
        <f t="shared" si="74"/>
        <v>0</v>
      </c>
      <c r="X103" s="298">
        <f t="shared" si="74"/>
        <v>0</v>
      </c>
      <c r="Y103" s="298">
        <f t="shared" si="43"/>
        <v>2440.62</v>
      </c>
      <c r="Z103" s="298">
        <f t="shared" si="44"/>
        <v>45472.130000000005</v>
      </c>
      <c r="AA103" s="298">
        <f t="shared" si="45"/>
        <v>61915.149999999994</v>
      </c>
      <c r="AB103" s="298">
        <f t="shared" si="58"/>
        <v>331582.87000000011</v>
      </c>
      <c r="AC103" s="451">
        <f t="shared" si="67"/>
        <v>43</v>
      </c>
      <c r="AD103" s="552">
        <f t="shared" si="68"/>
        <v>11468.599999999991</v>
      </c>
      <c r="AE103" s="552">
        <f t="shared" si="37"/>
        <v>259534.87000000017</v>
      </c>
      <c r="AF103" s="552">
        <f t="shared" si="38"/>
        <v>271003.47000000015</v>
      </c>
      <c r="AG103" s="552">
        <f t="shared" si="69"/>
        <v>2006.6699999999998</v>
      </c>
      <c r="AH103" s="552">
        <f t="shared" si="70"/>
        <v>350677.16</v>
      </c>
      <c r="AI103" s="552"/>
      <c r="AJ103" s="14">
        <f t="shared" si="46"/>
        <v>2006.6699999999998</v>
      </c>
      <c r="AK103" s="14">
        <f t="shared" si="48"/>
        <v>87425.579999999944</v>
      </c>
      <c r="AL103" s="552">
        <f>IF(R103&lt;=0,0,+([1]Profit!$B$4+AM102)*$AL$1/12)</f>
        <v>1165.9468799476901</v>
      </c>
      <c r="AM103" s="14">
        <f t="shared" si="71"/>
        <v>48644.698859023745</v>
      </c>
    </row>
    <row r="104" spans="1:41" x14ac:dyDescent="0.25">
      <c r="A104" s="542">
        <f t="shared" si="59"/>
        <v>47079</v>
      </c>
      <c r="B104" s="298">
        <f t="shared" si="60"/>
        <v>72047.999999999942</v>
      </c>
      <c r="C104" s="14">
        <f t="shared" si="50"/>
        <v>433.95</v>
      </c>
      <c r="D104" s="14">
        <f t="shared" si="72"/>
        <v>148.76</v>
      </c>
      <c r="E104" s="14">
        <f t="shared" si="51"/>
        <v>285.19</v>
      </c>
      <c r="F104" s="298">
        <f t="shared" si="61"/>
        <v>11618.550000000003</v>
      </c>
      <c r="G104" s="298">
        <f t="shared" si="62"/>
        <v>27766.239999999998</v>
      </c>
      <c r="H104" s="298">
        <f t="shared" si="52"/>
        <v>71899.239999999947</v>
      </c>
      <c r="I104" s="451">
        <f t="shared" si="53"/>
        <v>3</v>
      </c>
      <c r="J104" s="298">
        <f t="shared" si="63"/>
        <v>363562.4099999998</v>
      </c>
      <c r="K104" s="298">
        <f t="shared" si="40"/>
        <v>2701.27</v>
      </c>
      <c r="L104" s="298">
        <f t="shared" si="73"/>
        <v>353.25999999999976</v>
      </c>
      <c r="M104" s="298">
        <f t="shared" si="41"/>
        <v>2348.0100000000002</v>
      </c>
      <c r="N104" s="298">
        <f t="shared" si="64"/>
        <v>13845.850000000002</v>
      </c>
      <c r="O104" s="298">
        <f t="shared" si="65"/>
        <v>107711.30000000002</v>
      </c>
      <c r="P104" s="298">
        <f t="shared" si="54"/>
        <v>363209.14999999979</v>
      </c>
      <c r="Q104" s="542">
        <f t="shared" si="55"/>
        <v>47079</v>
      </c>
      <c r="R104" s="298">
        <f t="shared" si="39"/>
        <v>331582.87000000011</v>
      </c>
      <c r="S104" s="535">
        <f t="shared" si="66"/>
        <v>4.7500000000000001E-2</v>
      </c>
      <c r="T104" s="298">
        <f t="shared" si="56"/>
        <v>2440.62</v>
      </c>
      <c r="U104" s="298">
        <f t="shared" si="42"/>
        <v>1128.0999999999999</v>
      </c>
      <c r="V104" s="298">
        <f t="shared" si="57"/>
        <v>1312.52</v>
      </c>
      <c r="W104" s="298">
        <f t="shared" si="74"/>
        <v>0</v>
      </c>
      <c r="X104" s="298">
        <f t="shared" si="74"/>
        <v>0</v>
      </c>
      <c r="Y104" s="298">
        <f t="shared" si="43"/>
        <v>2440.62</v>
      </c>
      <c r="Z104" s="298">
        <f t="shared" si="44"/>
        <v>46600.23</v>
      </c>
      <c r="AA104" s="298">
        <f t="shared" si="45"/>
        <v>63227.669999999991</v>
      </c>
      <c r="AB104" s="298">
        <f t="shared" si="58"/>
        <v>330454.77000000014</v>
      </c>
      <c r="AC104" s="451">
        <f t="shared" si="67"/>
        <v>44</v>
      </c>
      <c r="AD104" s="552">
        <f t="shared" si="68"/>
        <v>11729.249999999991</v>
      </c>
      <c r="AE104" s="552">
        <f t="shared" si="37"/>
        <v>258555.5300000002</v>
      </c>
      <c r="AF104" s="552">
        <f t="shared" si="38"/>
        <v>270284.7800000002</v>
      </c>
      <c r="AG104" s="552">
        <f t="shared" si="69"/>
        <v>2006.6699999999998</v>
      </c>
      <c r="AH104" s="552">
        <f t="shared" si="70"/>
        <v>349697.82</v>
      </c>
      <c r="AI104" s="552"/>
      <c r="AJ104" s="14">
        <f t="shared" si="46"/>
        <v>2006.6699999999998</v>
      </c>
      <c r="AK104" s="14">
        <f t="shared" si="48"/>
        <v>89432.249999999942</v>
      </c>
      <c r="AL104" s="552">
        <f>IF(R104&lt;=0,0,+([1]Profit!$B$4+AM103)*$AL$1/12)</f>
        <v>1168.8617471475593</v>
      </c>
      <c r="AM104" s="14">
        <f t="shared" si="71"/>
        <v>49813.560606171304</v>
      </c>
    </row>
    <row r="105" spans="1:41" x14ac:dyDescent="0.25">
      <c r="A105" s="542">
        <f t="shared" si="59"/>
        <v>47109</v>
      </c>
      <c r="B105" s="298">
        <f t="shared" si="60"/>
        <v>71899.239999999947</v>
      </c>
      <c r="C105" s="14">
        <f t="shared" si="50"/>
        <v>433.95</v>
      </c>
      <c r="D105" s="14">
        <f t="shared" si="72"/>
        <v>149.34999999999997</v>
      </c>
      <c r="E105" s="14">
        <f t="shared" si="51"/>
        <v>284.60000000000002</v>
      </c>
      <c r="F105" s="298">
        <f t="shared" si="61"/>
        <v>11767.900000000003</v>
      </c>
      <c r="G105" s="298">
        <f t="shared" si="62"/>
        <v>28050.839999999997</v>
      </c>
      <c r="H105" s="298">
        <f t="shared" si="52"/>
        <v>71749.889999999941</v>
      </c>
      <c r="I105" s="451">
        <f t="shared" si="53"/>
        <v>3</v>
      </c>
      <c r="J105" s="298">
        <f t="shared" si="63"/>
        <v>363209.14999999979</v>
      </c>
      <c r="K105" s="298">
        <f t="shared" si="40"/>
        <v>2701.27</v>
      </c>
      <c r="L105" s="298">
        <f t="shared" si="73"/>
        <v>355.53999999999996</v>
      </c>
      <c r="M105" s="298">
        <f t="shared" si="41"/>
        <v>2345.73</v>
      </c>
      <c r="N105" s="298">
        <f t="shared" si="64"/>
        <v>14201.390000000003</v>
      </c>
      <c r="O105" s="298">
        <f t="shared" si="65"/>
        <v>110057.03000000001</v>
      </c>
      <c r="P105" s="298">
        <f t="shared" si="54"/>
        <v>362853.60999999981</v>
      </c>
      <c r="Q105" s="542">
        <f t="shared" si="55"/>
        <v>47109</v>
      </c>
      <c r="R105" s="298">
        <f t="shared" si="39"/>
        <v>330454.77000000014</v>
      </c>
      <c r="S105" s="535">
        <f t="shared" si="66"/>
        <v>4.7500000000000001E-2</v>
      </c>
      <c r="T105" s="298">
        <f t="shared" si="56"/>
        <v>2440.62</v>
      </c>
      <c r="U105" s="298">
        <f t="shared" si="42"/>
        <v>1132.57</v>
      </c>
      <c r="V105" s="298">
        <f t="shared" si="57"/>
        <v>1308.05</v>
      </c>
      <c r="W105" s="298">
        <f t="shared" si="74"/>
        <v>0</v>
      </c>
      <c r="X105" s="298">
        <f t="shared" si="74"/>
        <v>0</v>
      </c>
      <c r="Y105" s="298">
        <f t="shared" si="43"/>
        <v>2440.62</v>
      </c>
      <c r="Z105" s="298">
        <f t="shared" si="44"/>
        <v>47732.800000000003</v>
      </c>
      <c r="AA105" s="298">
        <f t="shared" si="45"/>
        <v>64535.719999999994</v>
      </c>
      <c r="AB105" s="298">
        <f t="shared" si="58"/>
        <v>329322.20000000013</v>
      </c>
      <c r="AC105" s="451">
        <f t="shared" si="67"/>
        <v>45</v>
      </c>
      <c r="AD105" s="552">
        <f t="shared" si="68"/>
        <v>11989.899999999991</v>
      </c>
      <c r="AE105" s="552">
        <f t="shared" si="37"/>
        <v>257572.31000000017</v>
      </c>
      <c r="AF105" s="552">
        <f t="shared" si="38"/>
        <v>269562.21000000014</v>
      </c>
      <c r="AG105" s="552">
        <f t="shared" si="69"/>
        <v>2006.6699999999998</v>
      </c>
      <c r="AH105" s="552">
        <f t="shared" si="70"/>
        <v>348714.60000000003</v>
      </c>
      <c r="AI105" s="552"/>
      <c r="AJ105" s="14">
        <f t="shared" si="46"/>
        <v>2006.6699999999998</v>
      </c>
      <c r="AK105" s="14">
        <f t="shared" si="48"/>
        <v>91438.91999999994</v>
      </c>
      <c r="AL105" s="552">
        <f>IF(R105&lt;=0,0,+([1]Profit!$B$4+AM104)*$AL$1/12)</f>
        <v>1171.7839015154284</v>
      </c>
      <c r="AM105" s="14">
        <f t="shared" si="71"/>
        <v>50985.344507686736</v>
      </c>
    </row>
    <row r="106" spans="1:41" x14ac:dyDescent="0.25">
      <c r="A106" s="542">
        <f t="shared" si="59"/>
        <v>47139</v>
      </c>
      <c r="B106" s="298">
        <f t="shared" si="60"/>
        <v>71749.889999999941</v>
      </c>
      <c r="C106" s="14">
        <f t="shared" si="50"/>
        <v>433.95</v>
      </c>
      <c r="D106" s="14">
        <f t="shared" si="72"/>
        <v>149.94</v>
      </c>
      <c r="E106" s="14">
        <f t="shared" si="51"/>
        <v>284.01</v>
      </c>
      <c r="F106" s="298">
        <f t="shared" si="61"/>
        <v>11917.840000000004</v>
      </c>
      <c r="G106" s="298">
        <f t="shared" si="62"/>
        <v>28334.849999999995</v>
      </c>
      <c r="H106" s="298">
        <f t="shared" si="52"/>
        <v>71599.949999999939</v>
      </c>
      <c r="I106" s="451">
        <f t="shared" si="53"/>
        <v>3</v>
      </c>
      <c r="J106" s="298">
        <f t="shared" si="63"/>
        <v>362853.60999999981</v>
      </c>
      <c r="K106" s="298">
        <f t="shared" si="40"/>
        <v>2701.27</v>
      </c>
      <c r="L106" s="298">
        <f t="shared" si="73"/>
        <v>357.84000000000015</v>
      </c>
      <c r="M106" s="298">
        <f t="shared" si="41"/>
        <v>2343.4299999999998</v>
      </c>
      <c r="N106" s="298">
        <f t="shared" si="64"/>
        <v>14559.230000000003</v>
      </c>
      <c r="O106" s="298">
        <f t="shared" si="65"/>
        <v>112400.46</v>
      </c>
      <c r="P106" s="298">
        <f t="shared" si="54"/>
        <v>362495.76999999979</v>
      </c>
      <c r="Q106" s="542">
        <f t="shared" si="55"/>
        <v>47139</v>
      </c>
      <c r="R106" s="298">
        <f t="shared" si="39"/>
        <v>329322.20000000013</v>
      </c>
      <c r="S106" s="535">
        <f t="shared" si="66"/>
        <v>4.7500000000000001E-2</v>
      </c>
      <c r="T106" s="298">
        <f t="shared" si="56"/>
        <v>2440.62</v>
      </c>
      <c r="U106" s="298">
        <f t="shared" si="42"/>
        <v>1137.05</v>
      </c>
      <c r="V106" s="298">
        <f t="shared" si="57"/>
        <v>1303.57</v>
      </c>
      <c r="W106" s="298">
        <f t="shared" si="74"/>
        <v>0</v>
      </c>
      <c r="X106" s="298">
        <f t="shared" si="74"/>
        <v>0</v>
      </c>
      <c r="Y106" s="298">
        <f t="shared" si="43"/>
        <v>2440.62</v>
      </c>
      <c r="Z106" s="298">
        <f t="shared" si="44"/>
        <v>48869.850000000006</v>
      </c>
      <c r="AA106" s="298">
        <f t="shared" si="45"/>
        <v>65839.289999999994</v>
      </c>
      <c r="AB106" s="298">
        <f t="shared" si="58"/>
        <v>328185.15000000014</v>
      </c>
      <c r="AC106" s="451">
        <f t="shared" si="67"/>
        <v>46</v>
      </c>
      <c r="AD106" s="552">
        <f t="shared" si="68"/>
        <v>12250.54999999999</v>
      </c>
      <c r="AE106" s="552">
        <f t="shared" si="37"/>
        <v>256585.20000000019</v>
      </c>
      <c r="AF106" s="552">
        <f t="shared" si="38"/>
        <v>268835.75000000017</v>
      </c>
      <c r="AG106" s="552">
        <f t="shared" si="69"/>
        <v>2006.6699999999998</v>
      </c>
      <c r="AH106" s="552">
        <f t="shared" si="70"/>
        <v>347727.49</v>
      </c>
      <c r="AI106" s="552"/>
      <c r="AJ106" s="14">
        <f t="shared" si="46"/>
        <v>2006.6699999999998</v>
      </c>
      <c r="AK106" s="14">
        <f t="shared" si="48"/>
        <v>93445.589999999938</v>
      </c>
      <c r="AL106" s="552">
        <f>IF(R106&lt;=0,0,+([1]Profit!$B$4+AM105)*$AL$1/12)</f>
        <v>1174.7133612692166</v>
      </c>
      <c r="AM106" s="14">
        <f t="shared" si="71"/>
        <v>52160.057868955955</v>
      </c>
    </row>
    <row r="107" spans="1:41" x14ac:dyDescent="0.25">
      <c r="A107" s="542">
        <f t="shared" si="59"/>
        <v>47169</v>
      </c>
      <c r="B107" s="298">
        <f t="shared" si="60"/>
        <v>71599.949999999939</v>
      </c>
      <c r="C107" s="14">
        <f t="shared" si="50"/>
        <v>433.95</v>
      </c>
      <c r="D107" s="14">
        <f t="shared" si="72"/>
        <v>150.52999999999997</v>
      </c>
      <c r="E107" s="14">
        <f t="shared" si="51"/>
        <v>283.42</v>
      </c>
      <c r="F107" s="298">
        <f t="shared" si="61"/>
        <v>12068.370000000004</v>
      </c>
      <c r="G107" s="298">
        <f t="shared" si="62"/>
        <v>28618.269999999993</v>
      </c>
      <c r="H107" s="298">
        <f t="shared" si="52"/>
        <v>71449.41999999994</v>
      </c>
      <c r="I107" s="451">
        <f t="shared" si="53"/>
        <v>3</v>
      </c>
      <c r="J107" s="298">
        <f t="shared" si="63"/>
        <v>362495.76999999979</v>
      </c>
      <c r="K107" s="298">
        <f t="shared" si="40"/>
        <v>2701.27</v>
      </c>
      <c r="L107" s="298">
        <f t="shared" si="73"/>
        <v>360.15000000000009</v>
      </c>
      <c r="M107" s="298">
        <f t="shared" si="41"/>
        <v>2341.12</v>
      </c>
      <c r="N107" s="298">
        <f t="shared" si="64"/>
        <v>14919.380000000003</v>
      </c>
      <c r="O107" s="298">
        <f t="shared" si="65"/>
        <v>114741.58</v>
      </c>
      <c r="P107" s="298">
        <f t="shared" si="54"/>
        <v>362135.61999999976</v>
      </c>
      <c r="Q107" s="542">
        <f t="shared" si="55"/>
        <v>47169</v>
      </c>
      <c r="R107" s="298">
        <f t="shared" si="39"/>
        <v>328185.15000000014</v>
      </c>
      <c r="S107" s="535">
        <f t="shared" si="66"/>
        <v>4.7500000000000001E-2</v>
      </c>
      <c r="T107" s="298">
        <f t="shared" si="56"/>
        <v>2440.62</v>
      </c>
      <c r="U107" s="298">
        <f t="shared" si="42"/>
        <v>1141.55</v>
      </c>
      <c r="V107" s="298">
        <f t="shared" si="57"/>
        <v>1299.07</v>
      </c>
      <c r="W107" s="298">
        <f t="shared" si="74"/>
        <v>0</v>
      </c>
      <c r="X107" s="298">
        <f t="shared" si="74"/>
        <v>0</v>
      </c>
      <c r="Y107" s="298">
        <f t="shared" si="43"/>
        <v>2440.62</v>
      </c>
      <c r="Z107" s="298">
        <f t="shared" si="44"/>
        <v>50011.400000000009</v>
      </c>
      <c r="AA107" s="298">
        <f t="shared" si="45"/>
        <v>67138.36</v>
      </c>
      <c r="AB107" s="298">
        <f t="shared" si="58"/>
        <v>327043.60000000015</v>
      </c>
      <c r="AC107" s="451">
        <f t="shared" si="67"/>
        <v>47</v>
      </c>
      <c r="AD107" s="552">
        <f t="shared" si="68"/>
        <v>12511.19999999999</v>
      </c>
      <c r="AE107" s="552">
        <f t="shared" si="37"/>
        <v>255594.18000000023</v>
      </c>
      <c r="AF107" s="552">
        <f t="shared" si="38"/>
        <v>268105.38000000024</v>
      </c>
      <c r="AG107" s="552">
        <f t="shared" si="69"/>
        <v>2006.6699999999998</v>
      </c>
      <c r="AH107" s="552">
        <f t="shared" si="70"/>
        <v>346736.47</v>
      </c>
      <c r="AI107" s="552"/>
      <c r="AJ107" s="14">
        <f t="shared" si="46"/>
        <v>2006.6699999999998</v>
      </c>
      <c r="AK107" s="14">
        <f t="shared" si="48"/>
        <v>95452.259999999937</v>
      </c>
      <c r="AL107" s="552">
        <f>IF(R107&lt;=0,0,+([1]Profit!$B$4+AM106)*$AL$1/12)</f>
        <v>1177.6501446723898</v>
      </c>
      <c r="AM107" s="14">
        <f t="shared" si="71"/>
        <v>53337.708013628348</v>
      </c>
      <c r="AO107" s="512"/>
    </row>
    <row r="108" spans="1:41" x14ac:dyDescent="0.25">
      <c r="A108" s="542">
        <f t="shared" si="59"/>
        <v>47199</v>
      </c>
      <c r="B108" s="298">
        <f t="shared" si="60"/>
        <v>71449.41999999994</v>
      </c>
      <c r="C108" s="14">
        <f t="shared" si="50"/>
        <v>433.95</v>
      </c>
      <c r="D108" s="14">
        <f t="shared" si="72"/>
        <v>151.13</v>
      </c>
      <c r="E108" s="14">
        <f t="shared" si="51"/>
        <v>282.82</v>
      </c>
      <c r="F108" s="298">
        <f t="shared" si="61"/>
        <v>12219.500000000004</v>
      </c>
      <c r="G108" s="298">
        <f t="shared" si="62"/>
        <v>28901.089999999993</v>
      </c>
      <c r="H108" s="298">
        <f t="shared" si="52"/>
        <v>71298.289999999935</v>
      </c>
      <c r="I108" s="451">
        <f t="shared" si="53"/>
        <v>4</v>
      </c>
      <c r="J108" s="298">
        <f t="shared" si="63"/>
        <v>362135.61999999976</v>
      </c>
      <c r="K108" s="298">
        <f t="shared" si="40"/>
        <v>2701.27</v>
      </c>
      <c r="L108" s="298">
        <f t="shared" si="73"/>
        <v>362.48</v>
      </c>
      <c r="M108" s="298">
        <f t="shared" si="41"/>
        <v>2338.79</v>
      </c>
      <c r="N108" s="298">
        <f t="shared" si="64"/>
        <v>15281.860000000002</v>
      </c>
      <c r="O108" s="298">
        <f t="shared" si="65"/>
        <v>117080.37</v>
      </c>
      <c r="P108" s="298">
        <f t="shared" si="54"/>
        <v>361773.13999999978</v>
      </c>
      <c r="Q108" s="542">
        <f t="shared" si="55"/>
        <v>47199</v>
      </c>
      <c r="R108" s="298">
        <f t="shared" si="39"/>
        <v>327043.60000000015</v>
      </c>
      <c r="S108" s="535">
        <f t="shared" si="66"/>
        <v>4.7500000000000001E-2</v>
      </c>
      <c r="T108" s="298">
        <f t="shared" si="56"/>
        <v>2440.62</v>
      </c>
      <c r="U108" s="298">
        <f t="shared" si="42"/>
        <v>1146.07</v>
      </c>
      <c r="V108" s="298">
        <f t="shared" si="57"/>
        <v>1294.55</v>
      </c>
      <c r="W108" s="298">
        <f t="shared" ref="W108:X123" si="75">+W107</f>
        <v>0</v>
      </c>
      <c r="X108" s="298">
        <f t="shared" si="75"/>
        <v>0</v>
      </c>
      <c r="Y108" s="298">
        <f t="shared" si="43"/>
        <v>2440.62</v>
      </c>
      <c r="Z108" s="298">
        <f t="shared" si="44"/>
        <v>51157.470000000008</v>
      </c>
      <c r="AA108" s="298">
        <f t="shared" si="45"/>
        <v>68432.91</v>
      </c>
      <c r="AB108" s="298">
        <f t="shared" si="58"/>
        <v>325897.53000000014</v>
      </c>
      <c r="AC108" s="451">
        <f t="shared" si="67"/>
        <v>48</v>
      </c>
      <c r="AD108" s="552">
        <f t="shared" si="68"/>
        <v>12771.849999999989</v>
      </c>
      <c r="AE108" s="552">
        <f t="shared" si="37"/>
        <v>254599.24000000022</v>
      </c>
      <c r="AF108" s="552">
        <f t="shared" si="38"/>
        <v>267371.0900000002</v>
      </c>
      <c r="AG108" s="552">
        <f t="shared" si="69"/>
        <v>2006.6699999999998</v>
      </c>
      <c r="AH108" s="552">
        <f t="shared" si="70"/>
        <v>345741.52999999997</v>
      </c>
      <c r="AI108" s="552"/>
      <c r="AJ108" s="14">
        <f t="shared" si="46"/>
        <v>2006.6699999999998</v>
      </c>
      <c r="AK108" s="14">
        <f t="shared" si="48"/>
        <v>97458.929999999935</v>
      </c>
      <c r="AL108" s="552">
        <f>IF(R108&lt;=0,0,+([1]Profit!$B$4+AM107)*$AL$1/12)</f>
        <v>1180.5942700340709</v>
      </c>
      <c r="AM108" s="14">
        <f t="shared" si="71"/>
        <v>54518.302283662415</v>
      </c>
      <c r="AO108" s="512"/>
    </row>
    <row r="109" spans="1:41" x14ac:dyDescent="0.25">
      <c r="A109" s="542">
        <f t="shared" si="59"/>
        <v>47229</v>
      </c>
      <c r="B109" s="298">
        <f t="shared" si="60"/>
        <v>71298.289999999935</v>
      </c>
      <c r="C109" s="14">
        <f t="shared" si="50"/>
        <v>433.95</v>
      </c>
      <c r="D109" s="14">
        <f t="shared" si="72"/>
        <v>151.72999999999996</v>
      </c>
      <c r="E109" s="14">
        <f t="shared" si="51"/>
        <v>282.22000000000003</v>
      </c>
      <c r="F109" s="298">
        <f t="shared" si="61"/>
        <v>12371.230000000003</v>
      </c>
      <c r="G109" s="298">
        <f t="shared" si="62"/>
        <v>29183.309999999994</v>
      </c>
      <c r="H109" s="298">
        <f t="shared" si="52"/>
        <v>71146.559999999939</v>
      </c>
      <c r="I109" s="451">
        <f t="shared" si="53"/>
        <v>4</v>
      </c>
      <c r="J109" s="298">
        <f t="shared" si="63"/>
        <v>361773.13999999978</v>
      </c>
      <c r="K109" s="298">
        <f t="shared" si="40"/>
        <v>2701.27</v>
      </c>
      <c r="L109" s="298">
        <f t="shared" si="73"/>
        <v>364.82000000000016</v>
      </c>
      <c r="M109" s="298">
        <f t="shared" si="41"/>
        <v>2336.4499999999998</v>
      </c>
      <c r="N109" s="298">
        <f t="shared" si="64"/>
        <v>15646.680000000002</v>
      </c>
      <c r="O109" s="298">
        <f t="shared" si="65"/>
        <v>119416.81999999999</v>
      </c>
      <c r="P109" s="298">
        <f t="shared" si="54"/>
        <v>361408.31999999977</v>
      </c>
      <c r="Q109" s="542">
        <f t="shared" si="55"/>
        <v>47229</v>
      </c>
      <c r="R109" s="298">
        <f t="shared" si="39"/>
        <v>325897.53000000014</v>
      </c>
      <c r="S109" s="535">
        <f t="shared" si="66"/>
        <v>4.7500000000000001E-2</v>
      </c>
      <c r="T109" s="298">
        <f t="shared" si="56"/>
        <v>2440.62</v>
      </c>
      <c r="U109" s="298">
        <f t="shared" si="42"/>
        <v>1150.6099999999999</v>
      </c>
      <c r="V109" s="298">
        <f t="shared" si="57"/>
        <v>1290.01</v>
      </c>
      <c r="W109" s="298">
        <f t="shared" si="75"/>
        <v>0</v>
      </c>
      <c r="X109" s="298">
        <f t="shared" si="75"/>
        <v>0</v>
      </c>
      <c r="Y109" s="298">
        <f t="shared" si="43"/>
        <v>2440.62</v>
      </c>
      <c r="Z109" s="298">
        <f t="shared" si="44"/>
        <v>52308.080000000009</v>
      </c>
      <c r="AA109" s="298">
        <f t="shared" si="45"/>
        <v>69722.92</v>
      </c>
      <c r="AB109" s="298">
        <f t="shared" si="58"/>
        <v>324746.92000000016</v>
      </c>
      <c r="AC109" s="451">
        <f t="shared" si="67"/>
        <v>49</v>
      </c>
      <c r="AD109" s="552">
        <f t="shared" si="68"/>
        <v>13032.499999999989</v>
      </c>
      <c r="AE109" s="552">
        <f t="shared" si="37"/>
        <v>253600.36000000022</v>
      </c>
      <c r="AF109" s="552">
        <f t="shared" si="38"/>
        <v>266632.86000000022</v>
      </c>
      <c r="AG109" s="552">
        <f t="shared" si="69"/>
        <v>2006.6699999999998</v>
      </c>
      <c r="AH109" s="552">
        <f t="shared" si="70"/>
        <v>344742.64999999997</v>
      </c>
      <c r="AI109" s="552"/>
      <c r="AJ109" s="14">
        <f t="shared" si="46"/>
        <v>2006.6699999999998</v>
      </c>
      <c r="AK109" s="14">
        <f t="shared" si="48"/>
        <v>99465.599999999933</v>
      </c>
      <c r="AL109" s="552">
        <f>IF(R109&lt;=0,0,+([1]Profit!$B$4+AM108)*$AL$1/12)</f>
        <v>1183.5457557091561</v>
      </c>
      <c r="AM109" s="14">
        <f t="shared" si="71"/>
        <v>55701.848039371573</v>
      </c>
    </row>
    <row r="110" spans="1:41" ht="15.75" thickBot="1" x14ac:dyDescent="0.3">
      <c r="A110" s="545">
        <f t="shared" si="59"/>
        <v>47259</v>
      </c>
      <c r="B110" s="371">
        <f t="shared" si="60"/>
        <v>71146.559999999939</v>
      </c>
      <c r="C110" s="21">
        <f t="shared" si="50"/>
        <v>433.95</v>
      </c>
      <c r="D110" s="21">
        <f t="shared" si="72"/>
        <v>152.32999999999998</v>
      </c>
      <c r="E110" s="21">
        <f t="shared" si="51"/>
        <v>281.62</v>
      </c>
      <c r="F110" s="371">
        <f t="shared" si="61"/>
        <v>12523.560000000003</v>
      </c>
      <c r="G110" s="371">
        <f t="shared" si="62"/>
        <v>29464.929999999993</v>
      </c>
      <c r="H110" s="371">
        <f t="shared" si="52"/>
        <v>70994.229999999938</v>
      </c>
      <c r="I110" s="452">
        <f t="shared" si="53"/>
        <v>4</v>
      </c>
      <c r="J110" s="371">
        <f t="shared" si="63"/>
        <v>361408.31999999977</v>
      </c>
      <c r="K110" s="371">
        <f t="shared" si="40"/>
        <v>2701.27</v>
      </c>
      <c r="L110" s="371">
        <f t="shared" si="73"/>
        <v>367.17000000000007</v>
      </c>
      <c r="M110" s="371">
        <f t="shared" si="41"/>
        <v>2334.1</v>
      </c>
      <c r="N110" s="371">
        <f t="shared" si="64"/>
        <v>16013.850000000002</v>
      </c>
      <c r="O110" s="371">
        <f t="shared" si="65"/>
        <v>121750.92</v>
      </c>
      <c r="P110" s="371">
        <f t="shared" si="54"/>
        <v>361041.14999999979</v>
      </c>
      <c r="Q110" s="545">
        <f t="shared" si="55"/>
        <v>47259</v>
      </c>
      <c r="R110" s="371">
        <f t="shared" si="39"/>
        <v>324746.92000000016</v>
      </c>
      <c r="S110" s="536">
        <f t="shared" si="66"/>
        <v>4.7500000000000001E-2</v>
      </c>
      <c r="T110" s="371">
        <f t="shared" si="56"/>
        <v>2440.62</v>
      </c>
      <c r="U110" s="371">
        <f t="shared" si="42"/>
        <v>1155.1599999999999</v>
      </c>
      <c r="V110" s="371">
        <f t="shared" si="57"/>
        <v>1285.46</v>
      </c>
      <c r="W110" s="371">
        <f t="shared" si="75"/>
        <v>0</v>
      </c>
      <c r="X110" s="371">
        <f t="shared" si="75"/>
        <v>0</v>
      </c>
      <c r="Y110" s="371">
        <f t="shared" si="43"/>
        <v>2440.62</v>
      </c>
      <c r="Z110" s="371">
        <f t="shared" si="44"/>
        <v>53463.240000000005</v>
      </c>
      <c r="AA110" s="371">
        <f t="shared" si="45"/>
        <v>71008.38</v>
      </c>
      <c r="AB110" s="371">
        <f t="shared" si="58"/>
        <v>323591.76000000018</v>
      </c>
      <c r="AC110" s="452">
        <f t="shared" si="67"/>
        <v>50</v>
      </c>
      <c r="AD110" s="553">
        <f t="shared" si="68"/>
        <v>13293.149999999989</v>
      </c>
      <c r="AE110" s="553">
        <f t="shared" si="37"/>
        <v>252597.53000000026</v>
      </c>
      <c r="AF110" s="553">
        <f t="shared" si="38"/>
        <v>265890.68000000023</v>
      </c>
      <c r="AG110" s="553">
        <f t="shared" si="69"/>
        <v>2006.6699999999998</v>
      </c>
      <c r="AH110" s="553">
        <f t="shared" si="70"/>
        <v>343739.82</v>
      </c>
      <c r="AI110" s="553"/>
      <c r="AJ110" s="21">
        <f t="shared" si="46"/>
        <v>2006.6699999999998</v>
      </c>
      <c r="AK110" s="21">
        <f t="shared" si="48"/>
        <v>101472.26999999993</v>
      </c>
      <c r="AL110" s="553">
        <f>IF(R110&lt;=0,0,+([1]Profit!$B$4+AM109)*$AL$1/12)</f>
        <v>1186.5046200984289</v>
      </c>
      <c r="AM110" s="21">
        <f t="shared" si="71"/>
        <v>56888.352659470002</v>
      </c>
      <c r="AO110" s="512"/>
    </row>
    <row r="111" spans="1:41" x14ac:dyDescent="0.25">
      <c r="A111" s="542">
        <f t="shared" si="59"/>
        <v>47289</v>
      </c>
      <c r="B111" s="298">
        <f t="shared" si="60"/>
        <v>70994.229999999938</v>
      </c>
      <c r="C111" s="14">
        <f t="shared" si="50"/>
        <v>433.95</v>
      </c>
      <c r="D111" s="14">
        <f t="shared" si="72"/>
        <v>152.93</v>
      </c>
      <c r="E111" s="14">
        <f t="shared" si="51"/>
        <v>281.02</v>
      </c>
      <c r="F111" s="298">
        <f t="shared" si="61"/>
        <v>12676.490000000003</v>
      </c>
      <c r="G111" s="298">
        <f t="shared" si="62"/>
        <v>29745.949999999993</v>
      </c>
      <c r="H111" s="298">
        <f t="shared" si="52"/>
        <v>70841.299999999945</v>
      </c>
      <c r="I111" s="451">
        <f t="shared" si="53"/>
        <v>4</v>
      </c>
      <c r="J111" s="298">
        <f t="shared" si="63"/>
        <v>361041.14999999979</v>
      </c>
      <c r="K111" s="298">
        <f t="shared" si="40"/>
        <v>2701.27</v>
      </c>
      <c r="L111" s="298">
        <f t="shared" si="73"/>
        <v>369.55000000000018</v>
      </c>
      <c r="M111" s="298">
        <f t="shared" si="41"/>
        <v>2331.7199999999998</v>
      </c>
      <c r="N111" s="298">
        <f t="shared" si="64"/>
        <v>16383.400000000001</v>
      </c>
      <c r="O111" s="298">
        <f t="shared" si="65"/>
        <v>124082.64</v>
      </c>
      <c r="P111" s="298">
        <f t="shared" si="54"/>
        <v>360671.5999999998</v>
      </c>
      <c r="Q111" s="542">
        <f t="shared" si="55"/>
        <v>47289</v>
      </c>
      <c r="R111" s="298">
        <f t="shared" si="39"/>
        <v>323591.76000000018</v>
      </c>
      <c r="S111" s="535">
        <f t="shared" si="66"/>
        <v>4.7500000000000001E-2</v>
      </c>
      <c r="T111" s="298">
        <f t="shared" si="56"/>
        <v>2440.62</v>
      </c>
      <c r="U111" s="298">
        <f t="shared" si="42"/>
        <v>1159.7399999999998</v>
      </c>
      <c r="V111" s="298">
        <f t="shared" si="57"/>
        <v>1280.8800000000001</v>
      </c>
      <c r="W111" s="298">
        <f t="shared" si="75"/>
        <v>0</v>
      </c>
      <c r="X111" s="298">
        <f t="shared" si="75"/>
        <v>0</v>
      </c>
      <c r="Y111" s="298">
        <f t="shared" si="43"/>
        <v>2440.62</v>
      </c>
      <c r="Z111" s="298">
        <f t="shared" si="44"/>
        <v>54622.98</v>
      </c>
      <c r="AA111" s="298">
        <f t="shared" si="45"/>
        <v>72289.260000000009</v>
      </c>
      <c r="AB111" s="298">
        <f t="shared" si="58"/>
        <v>322432.02000000019</v>
      </c>
      <c r="AC111" s="451">
        <f t="shared" si="67"/>
        <v>51</v>
      </c>
      <c r="AD111" s="552">
        <f t="shared" si="68"/>
        <v>13553.799999999988</v>
      </c>
      <c r="AE111" s="552">
        <f t="shared" si="37"/>
        <v>251590.72000000026</v>
      </c>
      <c r="AF111" s="552">
        <f t="shared" si="38"/>
        <v>265144.52000000025</v>
      </c>
      <c r="AG111" s="552">
        <f t="shared" si="69"/>
        <v>2006.6699999999998</v>
      </c>
      <c r="AH111" s="552">
        <f t="shared" si="70"/>
        <v>342733.01</v>
      </c>
      <c r="AI111" s="552"/>
      <c r="AJ111" s="14">
        <f t="shared" si="46"/>
        <v>2006.6699999999998</v>
      </c>
      <c r="AK111" s="14">
        <f t="shared" si="48"/>
        <v>103478.93999999993</v>
      </c>
      <c r="AL111" s="552">
        <f>IF(R111&lt;=0,0,+([1]Profit!$B$4+AM110)*$AL$1/12)</f>
        <v>1189.470881648675</v>
      </c>
      <c r="AM111" s="14">
        <f t="shared" si="71"/>
        <v>58077.823541118676</v>
      </c>
    </row>
    <row r="112" spans="1:41" x14ac:dyDescent="0.25">
      <c r="A112" s="542">
        <f t="shared" si="59"/>
        <v>47319</v>
      </c>
      <c r="B112" s="298">
        <f t="shared" si="60"/>
        <v>70841.299999999945</v>
      </c>
      <c r="C112" s="14">
        <f t="shared" si="50"/>
        <v>433.95</v>
      </c>
      <c r="D112" s="14">
        <f t="shared" si="72"/>
        <v>153.53999999999996</v>
      </c>
      <c r="E112" s="14">
        <f t="shared" si="51"/>
        <v>280.41000000000003</v>
      </c>
      <c r="F112" s="298">
        <f t="shared" si="61"/>
        <v>12830.030000000002</v>
      </c>
      <c r="G112" s="298">
        <f t="shared" si="62"/>
        <v>30026.359999999993</v>
      </c>
      <c r="H112" s="298">
        <f t="shared" si="52"/>
        <v>70687.759999999951</v>
      </c>
      <c r="I112" s="451">
        <f t="shared" si="53"/>
        <v>4</v>
      </c>
      <c r="J112" s="298">
        <f t="shared" si="63"/>
        <v>360671.5999999998</v>
      </c>
      <c r="K112" s="298">
        <f t="shared" si="40"/>
        <v>2701.27</v>
      </c>
      <c r="L112" s="298">
        <f t="shared" si="73"/>
        <v>371.92999999999984</v>
      </c>
      <c r="M112" s="298">
        <f t="shared" si="41"/>
        <v>2329.34</v>
      </c>
      <c r="N112" s="298">
        <f t="shared" si="64"/>
        <v>16755.330000000002</v>
      </c>
      <c r="O112" s="298">
        <f t="shared" si="65"/>
        <v>126411.98</v>
      </c>
      <c r="P112" s="298">
        <f t="shared" si="54"/>
        <v>360299.66999999981</v>
      </c>
      <c r="Q112" s="542">
        <f t="shared" si="55"/>
        <v>47319</v>
      </c>
      <c r="R112" s="298">
        <f t="shared" si="39"/>
        <v>322432.02000000019</v>
      </c>
      <c r="S112" s="535">
        <f t="shared" si="66"/>
        <v>4.7500000000000001E-2</v>
      </c>
      <c r="T112" s="298">
        <f t="shared" si="56"/>
        <v>2440.62</v>
      </c>
      <c r="U112" s="298">
        <f t="shared" si="42"/>
        <v>1164.33</v>
      </c>
      <c r="V112" s="298">
        <f t="shared" si="57"/>
        <v>1276.29</v>
      </c>
      <c r="W112" s="298">
        <f t="shared" si="75"/>
        <v>0</v>
      </c>
      <c r="X112" s="298">
        <f t="shared" si="75"/>
        <v>0</v>
      </c>
      <c r="Y112" s="298">
        <f t="shared" si="43"/>
        <v>2440.62</v>
      </c>
      <c r="Z112" s="298">
        <f t="shared" si="44"/>
        <v>55787.310000000005</v>
      </c>
      <c r="AA112" s="298">
        <f t="shared" si="45"/>
        <v>73565.55</v>
      </c>
      <c r="AB112" s="298">
        <f t="shared" si="58"/>
        <v>321267.69000000018</v>
      </c>
      <c r="AC112" s="451">
        <f t="shared" si="67"/>
        <v>52</v>
      </c>
      <c r="AD112" s="552">
        <f t="shared" si="68"/>
        <v>13814.449999999988</v>
      </c>
      <c r="AE112" s="552">
        <f t="shared" si="37"/>
        <v>250579.93000000023</v>
      </c>
      <c r="AF112" s="552">
        <f t="shared" si="38"/>
        <v>264394.38000000024</v>
      </c>
      <c r="AG112" s="552">
        <f t="shared" si="69"/>
        <v>2006.6699999999998</v>
      </c>
      <c r="AH112" s="552">
        <f t="shared" si="70"/>
        <v>341722.22000000003</v>
      </c>
      <c r="AI112" s="552"/>
      <c r="AJ112" s="14">
        <f t="shared" si="46"/>
        <v>2006.6699999999998</v>
      </c>
      <c r="AK112" s="14">
        <f t="shared" si="48"/>
        <v>105485.60999999993</v>
      </c>
      <c r="AL112" s="552">
        <f>IF(R112&lt;=0,0,+([1]Profit!$B$4+AM111)*$AL$1/12)</f>
        <v>1192.4445588527967</v>
      </c>
      <c r="AM112" s="14">
        <f t="shared" si="71"/>
        <v>59270.268099971472</v>
      </c>
    </row>
    <row r="113" spans="1:41" x14ac:dyDescent="0.25">
      <c r="A113" s="542">
        <f t="shared" si="59"/>
        <v>47349</v>
      </c>
      <c r="B113" s="298">
        <f t="shared" si="60"/>
        <v>70687.759999999951</v>
      </c>
      <c r="C113" s="14">
        <f t="shared" si="50"/>
        <v>433.95</v>
      </c>
      <c r="D113" s="14">
        <f t="shared" si="72"/>
        <v>154.13999999999999</v>
      </c>
      <c r="E113" s="14">
        <f t="shared" si="51"/>
        <v>279.81</v>
      </c>
      <c r="F113" s="298">
        <f t="shared" si="61"/>
        <v>12984.170000000002</v>
      </c>
      <c r="G113" s="298">
        <f t="shared" si="62"/>
        <v>30306.169999999995</v>
      </c>
      <c r="H113" s="298">
        <f t="shared" si="52"/>
        <v>70533.619999999952</v>
      </c>
      <c r="I113" s="451">
        <f t="shared" si="53"/>
        <v>4</v>
      </c>
      <c r="J113" s="298">
        <f t="shared" si="63"/>
        <v>360299.66999999981</v>
      </c>
      <c r="K113" s="298">
        <f t="shared" si="40"/>
        <v>2701.27</v>
      </c>
      <c r="L113" s="298">
        <f t="shared" si="73"/>
        <v>374.32999999999993</v>
      </c>
      <c r="M113" s="298">
        <f t="shared" si="41"/>
        <v>2326.94</v>
      </c>
      <c r="N113" s="298">
        <f t="shared" si="64"/>
        <v>17129.660000000003</v>
      </c>
      <c r="O113" s="298">
        <f t="shared" si="65"/>
        <v>128738.92</v>
      </c>
      <c r="P113" s="298">
        <f t="shared" si="54"/>
        <v>359925.33999999979</v>
      </c>
      <c r="Q113" s="542">
        <f t="shared" si="55"/>
        <v>47349</v>
      </c>
      <c r="R113" s="298">
        <f t="shared" si="39"/>
        <v>321267.69000000018</v>
      </c>
      <c r="S113" s="535">
        <f t="shared" si="66"/>
        <v>4.7500000000000001E-2</v>
      </c>
      <c r="T113" s="298">
        <f t="shared" si="56"/>
        <v>2440.62</v>
      </c>
      <c r="U113" s="298">
        <f t="shared" si="42"/>
        <v>1168.9399999999998</v>
      </c>
      <c r="V113" s="298">
        <f t="shared" si="57"/>
        <v>1271.68</v>
      </c>
      <c r="W113" s="298">
        <f t="shared" si="75"/>
        <v>0</v>
      </c>
      <c r="X113" s="298">
        <f t="shared" si="75"/>
        <v>0</v>
      </c>
      <c r="Y113" s="298">
        <f t="shared" si="43"/>
        <v>2440.62</v>
      </c>
      <c r="Z113" s="298">
        <f t="shared" si="44"/>
        <v>56956.250000000007</v>
      </c>
      <c r="AA113" s="298">
        <f t="shared" si="45"/>
        <v>74837.23</v>
      </c>
      <c r="AB113" s="298">
        <f t="shared" si="58"/>
        <v>320098.75000000017</v>
      </c>
      <c r="AC113" s="451">
        <f t="shared" si="67"/>
        <v>53</v>
      </c>
      <c r="AD113" s="552">
        <f t="shared" si="68"/>
        <v>14075.099999999988</v>
      </c>
      <c r="AE113" s="552">
        <f t="shared" si="37"/>
        <v>249565.13000000024</v>
      </c>
      <c r="AF113" s="552">
        <f t="shared" si="38"/>
        <v>263640.23000000021</v>
      </c>
      <c r="AG113" s="552">
        <f t="shared" si="69"/>
        <v>2006.6699999999998</v>
      </c>
      <c r="AH113" s="552">
        <f t="shared" si="70"/>
        <v>340707.42</v>
      </c>
      <c r="AI113" s="552"/>
      <c r="AJ113" s="14">
        <f t="shared" si="46"/>
        <v>2006.6699999999998</v>
      </c>
      <c r="AK113" s="14">
        <f t="shared" si="48"/>
        <v>107492.27999999993</v>
      </c>
      <c r="AL113" s="552">
        <f>IF(R113&lt;=0,0,+([1]Profit!$B$4+AM112)*$AL$1/12)</f>
        <v>1195.4256702499285</v>
      </c>
      <c r="AM113" s="14">
        <f t="shared" si="71"/>
        <v>60465.693770221398</v>
      </c>
    </row>
    <row r="114" spans="1:41" x14ac:dyDescent="0.25">
      <c r="A114" s="542">
        <f t="shared" si="59"/>
        <v>47379</v>
      </c>
      <c r="B114" s="298">
        <f t="shared" si="60"/>
        <v>70533.619999999952</v>
      </c>
      <c r="C114" s="14">
        <f t="shared" si="50"/>
        <v>433.95</v>
      </c>
      <c r="D114" s="14">
        <f t="shared" si="72"/>
        <v>154.75</v>
      </c>
      <c r="E114" s="14">
        <f t="shared" si="51"/>
        <v>279.2</v>
      </c>
      <c r="F114" s="298">
        <f t="shared" si="61"/>
        <v>13138.920000000002</v>
      </c>
      <c r="G114" s="298">
        <f t="shared" si="62"/>
        <v>30585.369999999995</v>
      </c>
      <c r="H114" s="298">
        <f t="shared" si="52"/>
        <v>70378.869999999952</v>
      </c>
      <c r="I114" s="451">
        <f t="shared" si="53"/>
        <v>4</v>
      </c>
      <c r="J114" s="298">
        <f t="shared" si="63"/>
        <v>359925.33999999979</v>
      </c>
      <c r="K114" s="298">
        <f t="shared" si="40"/>
        <v>2701.27</v>
      </c>
      <c r="L114" s="298">
        <f t="shared" si="73"/>
        <v>376.75</v>
      </c>
      <c r="M114" s="298">
        <f t="shared" si="41"/>
        <v>2324.52</v>
      </c>
      <c r="N114" s="298">
        <f t="shared" si="64"/>
        <v>17506.410000000003</v>
      </c>
      <c r="O114" s="298">
        <f t="shared" si="65"/>
        <v>131063.44</v>
      </c>
      <c r="P114" s="298">
        <f t="shared" si="54"/>
        <v>359548.58999999979</v>
      </c>
      <c r="Q114" s="542">
        <f t="shared" si="55"/>
        <v>47379</v>
      </c>
      <c r="R114" s="298">
        <f t="shared" si="39"/>
        <v>320098.75000000017</v>
      </c>
      <c r="S114" s="535">
        <f t="shared" si="66"/>
        <v>4.7500000000000001E-2</v>
      </c>
      <c r="T114" s="298">
        <f t="shared" si="56"/>
        <v>2440.62</v>
      </c>
      <c r="U114" s="298">
        <f t="shared" si="42"/>
        <v>1173.56</v>
      </c>
      <c r="V114" s="298">
        <f t="shared" si="57"/>
        <v>1267.06</v>
      </c>
      <c r="W114" s="298">
        <f t="shared" si="75"/>
        <v>0</v>
      </c>
      <c r="X114" s="298">
        <f t="shared" si="75"/>
        <v>0</v>
      </c>
      <c r="Y114" s="298">
        <f t="shared" si="43"/>
        <v>2440.62</v>
      </c>
      <c r="Z114" s="298">
        <f t="shared" si="44"/>
        <v>58129.810000000005</v>
      </c>
      <c r="AA114" s="298">
        <f t="shared" si="45"/>
        <v>76104.289999999994</v>
      </c>
      <c r="AB114" s="298">
        <f t="shared" si="58"/>
        <v>318925.19000000018</v>
      </c>
      <c r="AC114" s="451">
        <f t="shared" si="67"/>
        <v>54</v>
      </c>
      <c r="AD114" s="552">
        <f t="shared" si="68"/>
        <v>14335.749999999987</v>
      </c>
      <c r="AE114" s="552">
        <f t="shared" si="37"/>
        <v>248546.32000000024</v>
      </c>
      <c r="AF114" s="552">
        <f t="shared" si="38"/>
        <v>262882.07000000024</v>
      </c>
      <c r="AG114" s="552">
        <f t="shared" si="69"/>
        <v>2006.6699999999998</v>
      </c>
      <c r="AH114" s="552">
        <f t="shared" si="70"/>
        <v>339688.61</v>
      </c>
      <c r="AI114" s="552"/>
      <c r="AJ114" s="14">
        <f t="shared" si="46"/>
        <v>2006.6699999999998</v>
      </c>
      <c r="AK114" s="14">
        <f t="shared" si="48"/>
        <v>109498.94999999992</v>
      </c>
      <c r="AL114" s="552">
        <f>IF(R114&lt;=0,0,+([1]Profit!$B$4+AM113)*$AL$1/12)</f>
        <v>1198.4142344255533</v>
      </c>
      <c r="AM114" s="14">
        <f t="shared" si="71"/>
        <v>61664.108004646951</v>
      </c>
    </row>
    <row r="115" spans="1:41" x14ac:dyDescent="0.25">
      <c r="A115" s="542">
        <f t="shared" si="59"/>
        <v>47409</v>
      </c>
      <c r="B115" s="298">
        <f t="shared" si="60"/>
        <v>70378.869999999952</v>
      </c>
      <c r="C115" s="14">
        <f t="shared" si="50"/>
        <v>433.95</v>
      </c>
      <c r="D115" s="14">
        <f t="shared" si="72"/>
        <v>155.37</v>
      </c>
      <c r="E115" s="14">
        <f t="shared" si="51"/>
        <v>278.58</v>
      </c>
      <c r="F115" s="298">
        <f t="shared" si="61"/>
        <v>13294.290000000003</v>
      </c>
      <c r="G115" s="298">
        <f t="shared" si="62"/>
        <v>30863.949999999997</v>
      </c>
      <c r="H115" s="298">
        <f t="shared" si="52"/>
        <v>70223.499999999956</v>
      </c>
      <c r="I115" s="451">
        <f t="shared" si="53"/>
        <v>4</v>
      </c>
      <c r="J115" s="298">
        <f t="shared" si="63"/>
        <v>359548.58999999979</v>
      </c>
      <c r="K115" s="298">
        <f t="shared" si="40"/>
        <v>2701.27</v>
      </c>
      <c r="L115" s="298">
        <f t="shared" si="73"/>
        <v>379.19000000000005</v>
      </c>
      <c r="M115" s="298">
        <f t="shared" si="41"/>
        <v>2322.08</v>
      </c>
      <c r="N115" s="298">
        <f t="shared" si="64"/>
        <v>17885.600000000002</v>
      </c>
      <c r="O115" s="298">
        <f t="shared" si="65"/>
        <v>133385.51999999999</v>
      </c>
      <c r="P115" s="298">
        <f t="shared" si="54"/>
        <v>359169.39999999979</v>
      </c>
      <c r="Q115" s="542">
        <f t="shared" si="55"/>
        <v>47409</v>
      </c>
      <c r="R115" s="298">
        <f t="shared" si="39"/>
        <v>318925.19000000018</v>
      </c>
      <c r="S115" s="535">
        <f t="shared" si="66"/>
        <v>4.7500000000000001E-2</v>
      </c>
      <c r="T115" s="298">
        <f t="shared" si="56"/>
        <v>2440.62</v>
      </c>
      <c r="U115" s="298">
        <f t="shared" si="42"/>
        <v>1178.2099999999998</v>
      </c>
      <c r="V115" s="298">
        <f t="shared" si="57"/>
        <v>1262.4100000000001</v>
      </c>
      <c r="W115" s="298">
        <f t="shared" si="75"/>
        <v>0</v>
      </c>
      <c r="X115" s="298">
        <f t="shared" si="75"/>
        <v>0</v>
      </c>
      <c r="Y115" s="298">
        <f t="shared" si="43"/>
        <v>2440.62</v>
      </c>
      <c r="Z115" s="298">
        <f t="shared" si="44"/>
        <v>59308.020000000004</v>
      </c>
      <c r="AA115" s="298">
        <f t="shared" si="45"/>
        <v>77366.7</v>
      </c>
      <c r="AB115" s="298">
        <f t="shared" si="58"/>
        <v>317746.98000000016</v>
      </c>
      <c r="AC115" s="451">
        <f t="shared" si="67"/>
        <v>55</v>
      </c>
      <c r="AD115" s="552">
        <f t="shared" si="68"/>
        <v>14596.399999999987</v>
      </c>
      <c r="AE115" s="552">
        <f t="shared" si="37"/>
        <v>247523.48000000021</v>
      </c>
      <c r="AF115" s="552">
        <f t="shared" si="38"/>
        <v>262119.88000000021</v>
      </c>
      <c r="AG115" s="552">
        <f t="shared" si="69"/>
        <v>2006.6699999999998</v>
      </c>
      <c r="AH115" s="552">
        <f t="shared" si="70"/>
        <v>338665.76999999996</v>
      </c>
      <c r="AI115" s="552"/>
      <c r="AJ115" s="14">
        <f t="shared" si="46"/>
        <v>2006.6699999999998</v>
      </c>
      <c r="AK115" s="14">
        <f t="shared" si="48"/>
        <v>111505.61999999992</v>
      </c>
      <c r="AL115" s="552">
        <f>IF(R115&lt;=0,0,+([1]Profit!$B$4+AM114)*$AL$1/12)</f>
        <v>1201.4102700116173</v>
      </c>
      <c r="AM115" s="14">
        <f t="shared" si="71"/>
        <v>62865.518274658571</v>
      </c>
    </row>
    <row r="116" spans="1:41" x14ac:dyDescent="0.25">
      <c r="A116" s="542">
        <f t="shared" si="59"/>
        <v>47439</v>
      </c>
      <c r="B116" s="298">
        <f t="shared" si="60"/>
        <v>70223.499999999956</v>
      </c>
      <c r="C116" s="14">
        <f t="shared" si="50"/>
        <v>433.95</v>
      </c>
      <c r="D116" s="14">
        <f t="shared" si="72"/>
        <v>155.97999999999996</v>
      </c>
      <c r="E116" s="14">
        <f t="shared" si="51"/>
        <v>277.97000000000003</v>
      </c>
      <c r="F116" s="298">
        <f t="shared" si="61"/>
        <v>13450.270000000002</v>
      </c>
      <c r="G116" s="298">
        <f t="shared" si="62"/>
        <v>31141.919999999998</v>
      </c>
      <c r="H116" s="298">
        <f t="shared" si="52"/>
        <v>70067.51999999996</v>
      </c>
      <c r="I116" s="451">
        <f t="shared" si="53"/>
        <v>4</v>
      </c>
      <c r="J116" s="298">
        <f t="shared" si="63"/>
        <v>359169.39999999979</v>
      </c>
      <c r="K116" s="298">
        <f t="shared" si="40"/>
        <v>2701.27</v>
      </c>
      <c r="L116" s="298">
        <f t="shared" si="73"/>
        <v>381.63000000000011</v>
      </c>
      <c r="M116" s="298">
        <f t="shared" si="41"/>
        <v>2319.64</v>
      </c>
      <c r="N116" s="298">
        <f t="shared" si="64"/>
        <v>18267.230000000003</v>
      </c>
      <c r="O116" s="298">
        <f t="shared" si="65"/>
        <v>135705.16</v>
      </c>
      <c r="P116" s="298">
        <f t="shared" si="54"/>
        <v>358787.76999999979</v>
      </c>
      <c r="Q116" s="542">
        <f t="shared" si="55"/>
        <v>47439</v>
      </c>
      <c r="R116" s="298">
        <f t="shared" si="39"/>
        <v>317746.98000000016</v>
      </c>
      <c r="S116" s="535">
        <f t="shared" si="66"/>
        <v>4.7500000000000001E-2</v>
      </c>
      <c r="T116" s="298">
        <f t="shared" si="56"/>
        <v>2440.62</v>
      </c>
      <c r="U116" s="298">
        <f t="shared" si="42"/>
        <v>1182.8699999999999</v>
      </c>
      <c r="V116" s="298">
        <f t="shared" si="57"/>
        <v>1257.75</v>
      </c>
      <c r="W116" s="298">
        <f t="shared" si="75"/>
        <v>0</v>
      </c>
      <c r="X116" s="298">
        <f t="shared" si="75"/>
        <v>0</v>
      </c>
      <c r="Y116" s="298">
        <f t="shared" si="43"/>
        <v>2440.62</v>
      </c>
      <c r="Z116" s="298">
        <f t="shared" si="44"/>
        <v>60490.890000000007</v>
      </c>
      <c r="AA116" s="298">
        <f t="shared" si="45"/>
        <v>78624.45</v>
      </c>
      <c r="AB116" s="298">
        <f t="shared" si="58"/>
        <v>316564.11000000016</v>
      </c>
      <c r="AC116" s="451">
        <f t="shared" si="67"/>
        <v>56</v>
      </c>
      <c r="AD116" s="552">
        <f t="shared" si="68"/>
        <v>14857.049999999987</v>
      </c>
      <c r="AE116" s="552">
        <f t="shared" si="37"/>
        <v>246496.5900000002</v>
      </c>
      <c r="AF116" s="552">
        <f t="shared" si="38"/>
        <v>261353.64000000019</v>
      </c>
      <c r="AG116" s="552">
        <f t="shared" si="69"/>
        <v>2006.6699999999998</v>
      </c>
      <c r="AH116" s="552">
        <f t="shared" si="70"/>
        <v>337638.88</v>
      </c>
      <c r="AI116" s="552"/>
      <c r="AJ116" s="14">
        <f t="shared" si="46"/>
        <v>2006.6699999999998</v>
      </c>
      <c r="AK116" s="14">
        <f t="shared" si="48"/>
        <v>113512.28999999992</v>
      </c>
      <c r="AL116" s="552">
        <f>IF(R116&lt;=0,0,+([1]Profit!$B$4+AM115)*$AL$1/12)</f>
        <v>1204.4137956866464</v>
      </c>
      <c r="AM116" s="14">
        <f t="shared" si="71"/>
        <v>64069.932070345218</v>
      </c>
    </row>
    <row r="117" spans="1:41" x14ac:dyDescent="0.25">
      <c r="A117" s="542">
        <f t="shared" si="59"/>
        <v>47469</v>
      </c>
      <c r="B117" s="298">
        <f t="shared" si="60"/>
        <v>70067.51999999996</v>
      </c>
      <c r="C117" s="14">
        <f t="shared" si="50"/>
        <v>433.95</v>
      </c>
      <c r="D117" s="14">
        <f t="shared" si="72"/>
        <v>156.59999999999997</v>
      </c>
      <c r="E117" s="14">
        <f t="shared" si="51"/>
        <v>277.35000000000002</v>
      </c>
      <c r="F117" s="298">
        <f t="shared" si="61"/>
        <v>13606.870000000003</v>
      </c>
      <c r="G117" s="298">
        <f t="shared" si="62"/>
        <v>31419.269999999997</v>
      </c>
      <c r="H117" s="298">
        <f t="shared" si="52"/>
        <v>69910.919999999955</v>
      </c>
      <c r="I117" s="451">
        <f t="shared" si="53"/>
        <v>4</v>
      </c>
      <c r="J117" s="298">
        <f t="shared" si="63"/>
        <v>358787.76999999979</v>
      </c>
      <c r="K117" s="298">
        <f t="shared" si="40"/>
        <v>2701.27</v>
      </c>
      <c r="L117" s="298">
        <f t="shared" si="73"/>
        <v>384.09999999999991</v>
      </c>
      <c r="M117" s="298">
        <f t="shared" si="41"/>
        <v>2317.17</v>
      </c>
      <c r="N117" s="298">
        <f t="shared" si="64"/>
        <v>18651.330000000002</v>
      </c>
      <c r="O117" s="298">
        <f t="shared" si="65"/>
        <v>138022.33000000002</v>
      </c>
      <c r="P117" s="298">
        <f t="shared" si="54"/>
        <v>358403.66999999981</v>
      </c>
      <c r="Q117" s="542">
        <f t="shared" si="55"/>
        <v>47469</v>
      </c>
      <c r="R117" s="298">
        <f t="shared" si="39"/>
        <v>316564.11000000016</v>
      </c>
      <c r="S117" s="535">
        <f t="shared" si="66"/>
        <v>4.7500000000000001E-2</v>
      </c>
      <c r="T117" s="298">
        <f t="shared" si="56"/>
        <v>2440.62</v>
      </c>
      <c r="U117" s="298">
        <f t="shared" si="42"/>
        <v>1187.55</v>
      </c>
      <c r="V117" s="298">
        <f t="shared" si="57"/>
        <v>1253.07</v>
      </c>
      <c r="W117" s="298">
        <f t="shared" si="75"/>
        <v>0</v>
      </c>
      <c r="X117" s="298">
        <f t="shared" si="75"/>
        <v>0</v>
      </c>
      <c r="Y117" s="298">
        <f t="shared" si="43"/>
        <v>2440.62</v>
      </c>
      <c r="Z117" s="298">
        <f t="shared" si="44"/>
        <v>61678.44000000001</v>
      </c>
      <c r="AA117" s="298">
        <f t="shared" si="45"/>
        <v>79877.52</v>
      </c>
      <c r="AB117" s="298">
        <f t="shared" si="58"/>
        <v>315376.56000000017</v>
      </c>
      <c r="AC117" s="451">
        <f t="shared" si="67"/>
        <v>57</v>
      </c>
      <c r="AD117" s="552">
        <f t="shared" si="68"/>
        <v>15117.699999999986</v>
      </c>
      <c r="AE117" s="552">
        <f t="shared" si="37"/>
        <v>245465.64000000022</v>
      </c>
      <c r="AF117" s="552">
        <f t="shared" si="38"/>
        <v>260583.3400000002</v>
      </c>
      <c r="AG117" s="552">
        <f t="shared" si="69"/>
        <v>2006.6699999999998</v>
      </c>
      <c r="AH117" s="552">
        <f t="shared" si="70"/>
        <v>336607.93</v>
      </c>
      <c r="AI117" s="552"/>
      <c r="AJ117" s="14">
        <f t="shared" si="46"/>
        <v>2006.6699999999998</v>
      </c>
      <c r="AK117" s="14">
        <f t="shared" si="48"/>
        <v>115518.95999999992</v>
      </c>
      <c r="AL117" s="552">
        <f>IF(R117&lt;=0,0,+([1]Profit!$B$4+AM116)*$AL$1/12)</f>
        <v>1207.424830175863</v>
      </c>
      <c r="AM117" s="14">
        <f t="shared" si="71"/>
        <v>65277.356900521081</v>
      </c>
      <c r="AO117" s="512"/>
    </row>
    <row r="118" spans="1:41" x14ac:dyDescent="0.25">
      <c r="A118" s="542">
        <f t="shared" si="59"/>
        <v>47499</v>
      </c>
      <c r="B118" s="298">
        <f t="shared" si="60"/>
        <v>69910.919999999955</v>
      </c>
      <c r="C118" s="14">
        <f t="shared" si="50"/>
        <v>433.95</v>
      </c>
      <c r="D118" s="14">
        <f t="shared" si="72"/>
        <v>157.21999999999997</v>
      </c>
      <c r="E118" s="14">
        <f t="shared" si="51"/>
        <v>276.73</v>
      </c>
      <c r="F118" s="298">
        <f t="shared" si="61"/>
        <v>13764.090000000002</v>
      </c>
      <c r="G118" s="298">
        <f t="shared" si="62"/>
        <v>31695.999999999996</v>
      </c>
      <c r="H118" s="298">
        <f t="shared" si="52"/>
        <v>69753.699999999953</v>
      </c>
      <c r="I118" s="451">
        <f t="shared" si="53"/>
        <v>4</v>
      </c>
      <c r="J118" s="298">
        <f t="shared" si="63"/>
        <v>358403.66999999981</v>
      </c>
      <c r="K118" s="298">
        <f t="shared" si="40"/>
        <v>2701.27</v>
      </c>
      <c r="L118" s="298">
        <f t="shared" si="73"/>
        <v>386.57999999999993</v>
      </c>
      <c r="M118" s="298">
        <f t="shared" si="41"/>
        <v>2314.69</v>
      </c>
      <c r="N118" s="298">
        <f t="shared" si="64"/>
        <v>19037.910000000003</v>
      </c>
      <c r="O118" s="298">
        <f t="shared" si="65"/>
        <v>140337.02000000002</v>
      </c>
      <c r="P118" s="298">
        <f t="shared" si="54"/>
        <v>358017.08999999979</v>
      </c>
      <c r="Q118" s="542">
        <f t="shared" si="55"/>
        <v>47499</v>
      </c>
      <c r="R118" s="298">
        <f t="shared" si="39"/>
        <v>315376.56000000017</v>
      </c>
      <c r="S118" s="535">
        <f t="shared" si="66"/>
        <v>4.7500000000000001E-2</v>
      </c>
      <c r="T118" s="298">
        <f t="shared" si="56"/>
        <v>2440.62</v>
      </c>
      <c r="U118" s="298">
        <f t="shared" si="42"/>
        <v>1192.25</v>
      </c>
      <c r="V118" s="298">
        <f t="shared" si="57"/>
        <v>1248.3699999999999</v>
      </c>
      <c r="W118" s="298">
        <f t="shared" si="75"/>
        <v>0</v>
      </c>
      <c r="X118" s="298">
        <f t="shared" si="75"/>
        <v>0</v>
      </c>
      <c r="Y118" s="298">
        <f t="shared" si="43"/>
        <v>2440.62</v>
      </c>
      <c r="Z118" s="298">
        <f t="shared" si="44"/>
        <v>62870.69000000001</v>
      </c>
      <c r="AA118" s="298">
        <f t="shared" si="45"/>
        <v>81125.89</v>
      </c>
      <c r="AB118" s="298">
        <f t="shared" si="58"/>
        <v>314184.31000000017</v>
      </c>
      <c r="AC118" s="451">
        <f t="shared" si="67"/>
        <v>58</v>
      </c>
      <c r="AD118" s="552">
        <f t="shared" si="68"/>
        <v>15378.349999999986</v>
      </c>
      <c r="AE118" s="552">
        <f t="shared" si="37"/>
        <v>244430.61000000022</v>
      </c>
      <c r="AF118" s="552">
        <f t="shared" si="38"/>
        <v>259808.9600000002</v>
      </c>
      <c r="AG118" s="552">
        <f t="shared" si="69"/>
        <v>2006.6699999999998</v>
      </c>
      <c r="AH118" s="552">
        <f t="shared" si="70"/>
        <v>335572.9</v>
      </c>
      <c r="AI118" s="552"/>
      <c r="AJ118" s="14">
        <f t="shared" si="46"/>
        <v>2006.6699999999998</v>
      </c>
      <c r="AK118" s="14">
        <f t="shared" si="48"/>
        <v>117525.62999999992</v>
      </c>
      <c r="AL118" s="552">
        <f>IF(R118&lt;=0,0,+([1]Profit!$B$4+AM117)*$AL$1/12)</f>
        <v>1210.4433922513026</v>
      </c>
      <c r="AM118" s="14">
        <f t="shared" si="71"/>
        <v>66487.800292772386</v>
      </c>
      <c r="AO118" s="512"/>
    </row>
    <row r="119" spans="1:41" x14ac:dyDescent="0.25">
      <c r="A119" s="542">
        <f t="shared" si="59"/>
        <v>47529</v>
      </c>
      <c r="B119" s="298">
        <f t="shared" si="60"/>
        <v>69753.699999999953</v>
      </c>
      <c r="C119" s="14">
        <f t="shared" si="50"/>
        <v>433.95</v>
      </c>
      <c r="D119" s="14">
        <f t="shared" si="72"/>
        <v>157.83999999999997</v>
      </c>
      <c r="E119" s="14">
        <f t="shared" si="51"/>
        <v>276.11</v>
      </c>
      <c r="F119" s="298">
        <f t="shared" si="61"/>
        <v>13921.930000000002</v>
      </c>
      <c r="G119" s="298">
        <f t="shared" si="62"/>
        <v>31972.109999999997</v>
      </c>
      <c r="H119" s="298">
        <f t="shared" si="52"/>
        <v>69595.859999999957</v>
      </c>
      <c r="I119" s="451">
        <f t="shared" si="53"/>
        <v>4</v>
      </c>
      <c r="J119" s="298">
        <f t="shared" si="63"/>
        <v>358017.08999999979</v>
      </c>
      <c r="K119" s="298">
        <f t="shared" si="40"/>
        <v>2701.27</v>
      </c>
      <c r="L119" s="298">
        <f t="shared" si="73"/>
        <v>389.07999999999993</v>
      </c>
      <c r="M119" s="298">
        <f t="shared" si="41"/>
        <v>2312.19</v>
      </c>
      <c r="N119" s="298">
        <f t="shared" si="64"/>
        <v>19426.990000000005</v>
      </c>
      <c r="O119" s="298">
        <f t="shared" si="65"/>
        <v>142649.21000000002</v>
      </c>
      <c r="P119" s="298">
        <f t="shared" si="54"/>
        <v>357628.00999999978</v>
      </c>
      <c r="Q119" s="542">
        <f t="shared" si="55"/>
        <v>47529</v>
      </c>
      <c r="R119" s="298">
        <f t="shared" si="39"/>
        <v>314184.31000000017</v>
      </c>
      <c r="S119" s="535">
        <f t="shared" si="66"/>
        <v>4.7500000000000001E-2</v>
      </c>
      <c r="T119" s="298">
        <f t="shared" si="56"/>
        <v>2440.62</v>
      </c>
      <c r="U119" s="298">
        <f t="shared" si="42"/>
        <v>1196.9699999999998</v>
      </c>
      <c r="V119" s="298">
        <f t="shared" si="57"/>
        <v>1243.6500000000001</v>
      </c>
      <c r="W119" s="298">
        <f t="shared" si="75"/>
        <v>0</v>
      </c>
      <c r="X119" s="298">
        <f t="shared" si="75"/>
        <v>0</v>
      </c>
      <c r="Y119" s="298">
        <f t="shared" si="43"/>
        <v>2440.62</v>
      </c>
      <c r="Z119" s="298">
        <f t="shared" si="44"/>
        <v>64067.660000000011</v>
      </c>
      <c r="AA119" s="298">
        <f t="shared" si="45"/>
        <v>82369.539999999994</v>
      </c>
      <c r="AB119" s="298">
        <f t="shared" si="58"/>
        <v>312987.3400000002</v>
      </c>
      <c r="AC119" s="451">
        <f t="shared" si="67"/>
        <v>59</v>
      </c>
      <c r="AD119" s="552">
        <f t="shared" si="68"/>
        <v>15638.999999999985</v>
      </c>
      <c r="AE119" s="552">
        <f t="shared" si="37"/>
        <v>243391.48000000024</v>
      </c>
      <c r="AF119" s="552">
        <f t="shared" si="38"/>
        <v>259030.48000000021</v>
      </c>
      <c r="AG119" s="552">
        <f t="shared" si="69"/>
        <v>2006.6699999999998</v>
      </c>
      <c r="AH119" s="552">
        <f t="shared" si="70"/>
        <v>334533.76999999996</v>
      </c>
      <c r="AI119" s="552"/>
      <c r="AJ119" s="14">
        <f t="shared" si="46"/>
        <v>2006.6699999999998</v>
      </c>
      <c r="AK119" s="14">
        <f t="shared" si="48"/>
        <v>119532.29999999992</v>
      </c>
      <c r="AL119" s="552">
        <f>IF(R119&lt;=0,0,+([1]Profit!$B$4+AM118)*$AL$1/12)</f>
        <v>1213.4695007319308</v>
      </c>
      <c r="AM119" s="14">
        <f t="shared" si="71"/>
        <v>67701.269793504311</v>
      </c>
      <c r="AO119" s="512"/>
    </row>
    <row r="120" spans="1:41" x14ac:dyDescent="0.25">
      <c r="A120" s="542">
        <f t="shared" si="59"/>
        <v>47559</v>
      </c>
      <c r="B120" s="298">
        <f t="shared" si="60"/>
        <v>69595.859999999957</v>
      </c>
      <c r="C120" s="14">
        <f t="shared" si="50"/>
        <v>433.95</v>
      </c>
      <c r="D120" s="14">
        <f t="shared" si="72"/>
        <v>158.46999999999997</v>
      </c>
      <c r="E120" s="14">
        <f t="shared" si="51"/>
        <v>275.48</v>
      </c>
      <c r="F120" s="298">
        <f t="shared" si="61"/>
        <v>14080.400000000001</v>
      </c>
      <c r="G120" s="298">
        <f t="shared" si="62"/>
        <v>32247.589999999997</v>
      </c>
      <c r="H120" s="298">
        <f t="shared" si="52"/>
        <v>69437.389999999956</v>
      </c>
      <c r="I120" s="451">
        <f t="shared" si="53"/>
        <v>5</v>
      </c>
      <c r="J120" s="298">
        <f t="shared" si="63"/>
        <v>357628.00999999978</v>
      </c>
      <c r="K120" s="298">
        <f t="shared" si="40"/>
        <v>2701.27</v>
      </c>
      <c r="L120" s="298">
        <f t="shared" si="73"/>
        <v>391.59000000000015</v>
      </c>
      <c r="M120" s="298">
        <f t="shared" si="41"/>
        <v>2309.6799999999998</v>
      </c>
      <c r="N120" s="298">
        <f t="shared" si="64"/>
        <v>19818.580000000005</v>
      </c>
      <c r="O120" s="298">
        <f t="shared" si="65"/>
        <v>144958.89000000001</v>
      </c>
      <c r="P120" s="298">
        <f t="shared" si="54"/>
        <v>357236.41999999975</v>
      </c>
      <c r="Q120" s="542">
        <f t="shared" si="55"/>
        <v>47559</v>
      </c>
      <c r="R120" s="298">
        <f t="shared" si="39"/>
        <v>312987.3400000002</v>
      </c>
      <c r="S120" s="535">
        <f t="shared" si="66"/>
        <v>4.7500000000000001E-2</v>
      </c>
      <c r="T120" s="298">
        <f t="shared" si="56"/>
        <v>2440.62</v>
      </c>
      <c r="U120" s="298">
        <f t="shared" si="42"/>
        <v>1201.7099999999998</v>
      </c>
      <c r="V120" s="298">
        <f t="shared" si="57"/>
        <v>1238.9100000000001</v>
      </c>
      <c r="W120" s="298">
        <f t="shared" si="75"/>
        <v>0</v>
      </c>
      <c r="X120" s="298">
        <f t="shared" si="75"/>
        <v>0</v>
      </c>
      <c r="Y120" s="298">
        <f t="shared" si="43"/>
        <v>2440.62</v>
      </c>
      <c r="Z120" s="298">
        <f t="shared" si="44"/>
        <v>65269.37000000001</v>
      </c>
      <c r="AA120" s="298">
        <f t="shared" si="45"/>
        <v>83608.45</v>
      </c>
      <c r="AB120" s="298">
        <f t="shared" si="58"/>
        <v>311785.63000000018</v>
      </c>
      <c r="AC120" s="451">
        <f t="shared" si="67"/>
        <v>60</v>
      </c>
      <c r="AD120" s="552">
        <f t="shared" si="68"/>
        <v>15899.649999999985</v>
      </c>
      <c r="AE120" s="552">
        <f t="shared" si="37"/>
        <v>242348.24000000022</v>
      </c>
      <c r="AF120" s="552">
        <f t="shared" si="38"/>
        <v>258247.89000000022</v>
      </c>
      <c r="AG120" s="552">
        <f t="shared" si="69"/>
        <v>2006.6699999999998</v>
      </c>
      <c r="AH120" s="552">
        <f t="shared" si="70"/>
        <v>333490.53000000003</v>
      </c>
      <c r="AI120" s="552"/>
      <c r="AJ120" s="14">
        <f t="shared" si="46"/>
        <v>2006.6699999999998</v>
      </c>
      <c r="AK120" s="14">
        <f t="shared" si="48"/>
        <v>121538.96999999991</v>
      </c>
      <c r="AL120" s="552">
        <f>IF(R120&lt;=0,0,+([1]Profit!$B$4+AM119)*$AL$1/12)</f>
        <v>1216.5031744837609</v>
      </c>
      <c r="AM120" s="14">
        <f t="shared" si="71"/>
        <v>68917.772967988072</v>
      </c>
    </row>
    <row r="121" spans="1:41" x14ac:dyDescent="0.25">
      <c r="A121" s="542">
        <f t="shared" si="59"/>
        <v>47589</v>
      </c>
      <c r="B121" s="298">
        <f t="shared" si="60"/>
        <v>69437.389999999956</v>
      </c>
      <c r="C121" s="14">
        <f t="shared" si="50"/>
        <v>433.95</v>
      </c>
      <c r="D121" s="14">
        <f t="shared" si="72"/>
        <v>159.08999999999997</v>
      </c>
      <c r="E121" s="14">
        <f t="shared" si="51"/>
        <v>274.86</v>
      </c>
      <c r="F121" s="298">
        <f t="shared" si="61"/>
        <v>14239.490000000002</v>
      </c>
      <c r="G121" s="298">
        <f t="shared" si="62"/>
        <v>32522.449999999997</v>
      </c>
      <c r="H121" s="298">
        <f t="shared" si="52"/>
        <v>69278.299999999959</v>
      </c>
      <c r="I121" s="451">
        <f t="shared" si="53"/>
        <v>5</v>
      </c>
      <c r="J121" s="298">
        <f t="shared" si="63"/>
        <v>357236.41999999975</v>
      </c>
      <c r="K121" s="298">
        <f t="shared" si="40"/>
        <v>2701.27</v>
      </c>
      <c r="L121" s="298">
        <f>+K121-M121</f>
        <v>394.11999999999989</v>
      </c>
      <c r="M121" s="298">
        <f t="shared" si="41"/>
        <v>2307.15</v>
      </c>
      <c r="N121" s="298">
        <f t="shared" si="64"/>
        <v>20212.700000000004</v>
      </c>
      <c r="O121" s="298">
        <f t="shared" si="65"/>
        <v>147266.04</v>
      </c>
      <c r="P121" s="298">
        <f t="shared" si="54"/>
        <v>356842.29999999976</v>
      </c>
      <c r="Q121" s="542">
        <f t="shared" si="55"/>
        <v>47589</v>
      </c>
      <c r="R121" s="298">
        <f t="shared" si="39"/>
        <v>311785.63000000018</v>
      </c>
      <c r="S121" s="535">
        <f t="shared" si="66"/>
        <v>7.7499999999999999E-2</v>
      </c>
      <c r="T121" s="298">
        <f t="shared" si="56"/>
        <v>3493.12</v>
      </c>
      <c r="U121" s="298">
        <f t="shared" si="42"/>
        <v>1479.5</v>
      </c>
      <c r="V121" s="298">
        <f t="shared" si="57"/>
        <v>2013.62</v>
      </c>
      <c r="W121" s="298">
        <f t="shared" si="75"/>
        <v>0</v>
      </c>
      <c r="X121" s="298">
        <f t="shared" si="75"/>
        <v>0</v>
      </c>
      <c r="Y121" s="298">
        <f t="shared" si="43"/>
        <v>3493.12</v>
      </c>
      <c r="Z121" s="298">
        <f t="shared" si="44"/>
        <v>66748.87000000001</v>
      </c>
      <c r="AA121" s="298">
        <f t="shared" si="45"/>
        <v>85622.069999999992</v>
      </c>
      <c r="AB121" s="298">
        <f t="shared" si="58"/>
        <v>310306.13000000018</v>
      </c>
      <c r="AC121" s="451">
        <f t="shared" si="67"/>
        <v>61</v>
      </c>
      <c r="AD121" s="552">
        <f t="shared" si="68"/>
        <v>15107.799999999985</v>
      </c>
      <c r="AE121" s="552">
        <f t="shared" si="37"/>
        <v>241027.83000000022</v>
      </c>
      <c r="AF121" s="552">
        <f t="shared" si="38"/>
        <v>256135.63000000021</v>
      </c>
      <c r="AG121" s="552">
        <f t="shared" si="69"/>
        <v>3059.17</v>
      </c>
      <c r="AH121" s="552">
        <f t="shared" si="70"/>
        <v>332170.12</v>
      </c>
      <c r="AI121" s="552"/>
      <c r="AJ121" s="14">
        <f t="shared" si="46"/>
        <v>3059.17</v>
      </c>
      <c r="AK121" s="14">
        <f t="shared" si="48"/>
        <v>124598.13999999991</v>
      </c>
      <c r="AL121" s="552">
        <f>IF(R121&lt;=0,0,+([1]Profit!$B$4+AM120)*$AL$1/12)</f>
        <v>1219.54443241997</v>
      </c>
      <c r="AM121" s="14">
        <f t="shared" si="71"/>
        <v>70137.317400408036</v>
      </c>
    </row>
    <row r="122" spans="1:41" ht="15.75" thickBot="1" x14ac:dyDescent="0.3">
      <c r="A122" s="545">
        <f t="shared" si="59"/>
        <v>47619</v>
      </c>
      <c r="B122" s="371">
        <f t="shared" si="60"/>
        <v>69278.299999999959</v>
      </c>
      <c r="C122" s="21">
        <f t="shared" si="50"/>
        <v>433.95</v>
      </c>
      <c r="D122" s="21">
        <f t="shared" si="72"/>
        <v>159.71999999999997</v>
      </c>
      <c r="E122" s="21">
        <f t="shared" si="51"/>
        <v>274.23</v>
      </c>
      <c r="F122" s="371">
        <f t="shared" si="61"/>
        <v>14399.210000000001</v>
      </c>
      <c r="G122" s="371">
        <f t="shared" si="62"/>
        <v>32796.68</v>
      </c>
      <c r="H122" s="371">
        <f t="shared" si="52"/>
        <v>69118.579999999958</v>
      </c>
      <c r="I122" s="452">
        <f t="shared" si="53"/>
        <v>5</v>
      </c>
      <c r="J122" s="371">
        <f t="shared" si="63"/>
        <v>356842.29999999976</v>
      </c>
      <c r="K122" s="371">
        <f t="shared" si="40"/>
        <v>2701.27</v>
      </c>
      <c r="L122" s="371">
        <f t="shared" si="73"/>
        <v>396.65999999999985</v>
      </c>
      <c r="M122" s="371">
        <f t="shared" si="41"/>
        <v>2304.61</v>
      </c>
      <c r="N122" s="371">
        <f t="shared" si="64"/>
        <v>20609.360000000004</v>
      </c>
      <c r="O122" s="371">
        <f t="shared" si="65"/>
        <v>149570.65</v>
      </c>
      <c r="P122" s="371">
        <f t="shared" si="54"/>
        <v>356445.63999999978</v>
      </c>
      <c r="Q122" s="545">
        <f t="shared" si="55"/>
        <v>47619</v>
      </c>
      <c r="R122" s="371">
        <f t="shared" si="39"/>
        <v>310306.13000000018</v>
      </c>
      <c r="S122" s="536">
        <f t="shared" si="66"/>
        <v>7.7499999999999999E-2</v>
      </c>
      <c r="T122" s="371">
        <f t="shared" si="56"/>
        <v>3493.12</v>
      </c>
      <c r="U122" s="371">
        <f t="shared" si="42"/>
        <v>1489.06</v>
      </c>
      <c r="V122" s="371">
        <f t="shared" si="57"/>
        <v>2004.06</v>
      </c>
      <c r="W122" s="371">
        <f t="shared" si="75"/>
        <v>0</v>
      </c>
      <c r="X122" s="371">
        <f t="shared" si="75"/>
        <v>0</v>
      </c>
      <c r="Y122" s="371">
        <f t="shared" si="43"/>
        <v>3493.12</v>
      </c>
      <c r="Z122" s="371">
        <f t="shared" si="44"/>
        <v>68237.930000000008</v>
      </c>
      <c r="AA122" s="371">
        <f t="shared" si="45"/>
        <v>87626.12999999999</v>
      </c>
      <c r="AB122" s="371">
        <f t="shared" si="58"/>
        <v>308817.07000000018</v>
      </c>
      <c r="AC122" s="452">
        <f t="shared" si="67"/>
        <v>62</v>
      </c>
      <c r="AD122" s="553">
        <f t="shared" si="68"/>
        <v>14315.949999999984</v>
      </c>
      <c r="AE122" s="553">
        <f t="shared" si="37"/>
        <v>239698.49000000022</v>
      </c>
      <c r="AF122" s="553">
        <f t="shared" si="38"/>
        <v>254014.44000000021</v>
      </c>
      <c r="AG122" s="553">
        <f t="shared" si="69"/>
        <v>3059.17</v>
      </c>
      <c r="AH122" s="553">
        <f t="shared" si="70"/>
        <v>330840.78000000003</v>
      </c>
      <c r="AI122" s="553"/>
      <c r="AJ122" s="21">
        <f t="shared" si="46"/>
        <v>3059.17</v>
      </c>
      <c r="AK122" s="21">
        <f t="shared" si="48"/>
        <v>127657.30999999991</v>
      </c>
      <c r="AL122" s="553">
        <f>IF(R122&lt;=0,0,+([1]Profit!$B$4+AM121)*$AL$1/12)</f>
        <v>1222.5932935010201</v>
      </c>
      <c r="AM122" s="21">
        <f t="shared" si="71"/>
        <v>71359.910693909056</v>
      </c>
    </row>
    <row r="123" spans="1:41" x14ac:dyDescent="0.25">
      <c r="A123" s="542">
        <f t="shared" si="59"/>
        <v>47649</v>
      </c>
      <c r="B123" s="298">
        <f t="shared" si="60"/>
        <v>69118.579999999958</v>
      </c>
      <c r="C123" s="14">
        <f t="shared" si="50"/>
        <v>433.95</v>
      </c>
      <c r="D123" s="14">
        <f t="shared" si="72"/>
        <v>160.36000000000001</v>
      </c>
      <c r="E123" s="14">
        <f t="shared" si="51"/>
        <v>273.58999999999997</v>
      </c>
      <c r="F123" s="298">
        <f t="shared" si="61"/>
        <v>14559.570000000002</v>
      </c>
      <c r="G123" s="298">
        <f t="shared" si="62"/>
        <v>33070.269999999997</v>
      </c>
      <c r="H123" s="298">
        <f t="shared" si="52"/>
        <v>68958.219999999958</v>
      </c>
      <c r="I123" s="451">
        <f t="shared" si="53"/>
        <v>5</v>
      </c>
      <c r="J123" s="298">
        <f t="shared" si="63"/>
        <v>356445.63999999978</v>
      </c>
      <c r="K123" s="298">
        <f t="shared" si="40"/>
        <v>2701.27</v>
      </c>
      <c r="L123" s="298">
        <f t="shared" si="73"/>
        <v>399.23</v>
      </c>
      <c r="M123" s="298">
        <f t="shared" si="41"/>
        <v>2302.04</v>
      </c>
      <c r="N123" s="298">
        <f t="shared" si="64"/>
        <v>21008.590000000004</v>
      </c>
      <c r="O123" s="298">
        <f t="shared" si="65"/>
        <v>151872.69</v>
      </c>
      <c r="P123" s="298">
        <f t="shared" si="54"/>
        <v>356046.4099999998</v>
      </c>
      <c r="Q123" s="542">
        <f t="shared" si="55"/>
        <v>47649</v>
      </c>
      <c r="R123" s="298">
        <f t="shared" si="39"/>
        <v>308817.07000000018</v>
      </c>
      <c r="S123" s="535">
        <f t="shared" si="66"/>
        <v>7.7499999999999999E-2</v>
      </c>
      <c r="T123" s="298">
        <f t="shared" si="56"/>
        <v>3493.12</v>
      </c>
      <c r="U123" s="298">
        <f t="shared" si="42"/>
        <v>1498.6799999999998</v>
      </c>
      <c r="V123" s="298">
        <f t="shared" si="57"/>
        <v>1994.44</v>
      </c>
      <c r="W123" s="298">
        <f t="shared" si="75"/>
        <v>0</v>
      </c>
      <c r="X123" s="298">
        <f t="shared" si="75"/>
        <v>0</v>
      </c>
      <c r="Y123" s="298">
        <f t="shared" si="43"/>
        <v>3493.12</v>
      </c>
      <c r="Z123" s="298">
        <f t="shared" si="44"/>
        <v>69736.61</v>
      </c>
      <c r="AA123" s="298">
        <f t="shared" si="45"/>
        <v>89620.569999999992</v>
      </c>
      <c r="AB123" s="298">
        <f t="shared" si="58"/>
        <v>307318.39000000019</v>
      </c>
      <c r="AC123" s="451">
        <f t="shared" si="67"/>
        <v>63</v>
      </c>
      <c r="AD123" s="552">
        <f t="shared" si="68"/>
        <v>13524.099999999984</v>
      </c>
      <c r="AE123" s="552">
        <f t="shared" si="37"/>
        <v>238360.17000000022</v>
      </c>
      <c r="AF123" s="552">
        <f t="shared" si="38"/>
        <v>251884.27000000019</v>
      </c>
      <c r="AG123" s="552">
        <f t="shared" si="69"/>
        <v>3059.17</v>
      </c>
      <c r="AH123" s="552">
        <f t="shared" si="70"/>
        <v>329502.46000000002</v>
      </c>
      <c r="AI123" s="552"/>
      <c r="AJ123" s="14">
        <f t="shared" si="46"/>
        <v>3059.17</v>
      </c>
      <c r="AK123" s="14">
        <f t="shared" si="48"/>
        <v>130716.47999999991</v>
      </c>
      <c r="AL123" s="552">
        <f>IF(R123&lt;=0,0,+([1]Profit!$B$4+AM122)*$AL$1/12)</f>
        <v>1225.6497767347726</v>
      </c>
      <c r="AM123" s="14">
        <f t="shared" si="71"/>
        <v>72585.560470643832</v>
      </c>
    </row>
    <row r="124" spans="1:41" x14ac:dyDescent="0.25">
      <c r="A124" s="542">
        <f t="shared" si="59"/>
        <v>47679</v>
      </c>
      <c r="B124" s="298">
        <f t="shared" si="60"/>
        <v>68958.219999999958</v>
      </c>
      <c r="C124" s="14">
        <f t="shared" si="50"/>
        <v>433.95</v>
      </c>
      <c r="D124" s="14">
        <f t="shared" si="72"/>
        <v>160.99</v>
      </c>
      <c r="E124" s="14">
        <f t="shared" si="51"/>
        <v>272.95999999999998</v>
      </c>
      <c r="F124" s="298">
        <f t="shared" si="61"/>
        <v>14720.560000000001</v>
      </c>
      <c r="G124" s="298">
        <f t="shared" si="62"/>
        <v>33343.229999999996</v>
      </c>
      <c r="H124" s="298">
        <f t="shared" si="52"/>
        <v>68797.229999999952</v>
      </c>
      <c r="I124" s="451">
        <f t="shared" si="53"/>
        <v>5</v>
      </c>
      <c r="J124" s="298">
        <f t="shared" si="63"/>
        <v>356046.4099999998</v>
      </c>
      <c r="K124" s="298">
        <f t="shared" si="40"/>
        <v>2701.27</v>
      </c>
      <c r="L124" s="298">
        <f t="shared" si="73"/>
        <v>401.80000000000018</v>
      </c>
      <c r="M124" s="298">
        <f t="shared" si="41"/>
        <v>2299.4699999999998</v>
      </c>
      <c r="N124" s="298">
        <f t="shared" si="64"/>
        <v>21410.390000000003</v>
      </c>
      <c r="O124" s="298">
        <f t="shared" si="65"/>
        <v>154172.16</v>
      </c>
      <c r="P124" s="298">
        <f t="shared" si="54"/>
        <v>355644.60999999981</v>
      </c>
      <c r="Q124" s="542">
        <f t="shared" si="55"/>
        <v>47679</v>
      </c>
      <c r="R124" s="298">
        <f t="shared" si="39"/>
        <v>307318.39000000019</v>
      </c>
      <c r="S124" s="535">
        <f t="shared" si="66"/>
        <v>7.7499999999999999E-2</v>
      </c>
      <c r="T124" s="298">
        <f t="shared" si="56"/>
        <v>3493.12</v>
      </c>
      <c r="U124" s="298">
        <f t="shared" si="42"/>
        <v>1508.36</v>
      </c>
      <c r="V124" s="298">
        <f t="shared" si="57"/>
        <v>1984.76</v>
      </c>
      <c r="W124" s="298">
        <f t="shared" ref="W124:X139" si="76">+W123</f>
        <v>0</v>
      </c>
      <c r="X124" s="298">
        <f t="shared" si="76"/>
        <v>0</v>
      </c>
      <c r="Y124" s="298">
        <f t="shared" si="43"/>
        <v>3493.12</v>
      </c>
      <c r="Z124" s="298">
        <f t="shared" si="44"/>
        <v>71244.97</v>
      </c>
      <c r="AA124" s="298">
        <f t="shared" si="45"/>
        <v>91605.329999999987</v>
      </c>
      <c r="AB124" s="298">
        <f t="shared" si="58"/>
        <v>305810.0300000002</v>
      </c>
      <c r="AC124" s="451">
        <f t="shared" si="67"/>
        <v>64</v>
      </c>
      <c r="AD124" s="552">
        <f t="shared" si="68"/>
        <v>12732.249999999984</v>
      </c>
      <c r="AE124" s="552">
        <f t="shared" ref="AE124:AE187" si="77">AB124-H124</f>
        <v>237012.80000000025</v>
      </c>
      <c r="AF124" s="552">
        <f t="shared" ref="AF124:AF187" si="78">SUM(AD124:AE124)</f>
        <v>249745.05000000022</v>
      </c>
      <c r="AG124" s="552">
        <f t="shared" si="69"/>
        <v>3059.17</v>
      </c>
      <c r="AH124" s="552">
        <f t="shared" si="70"/>
        <v>328155.08999999997</v>
      </c>
      <c r="AI124" s="552"/>
      <c r="AJ124" s="14">
        <f t="shared" si="46"/>
        <v>3059.17</v>
      </c>
      <c r="AK124" s="14">
        <f t="shared" si="48"/>
        <v>133775.64999999991</v>
      </c>
      <c r="AL124" s="552">
        <f>IF(R124&lt;=0,0,+([1]Profit!$B$4+AM123)*$AL$1/12)</f>
        <v>1228.7139011766094</v>
      </c>
      <c r="AM124" s="14">
        <f t="shared" si="71"/>
        <v>73814.274371820444</v>
      </c>
    </row>
    <row r="125" spans="1:41" x14ac:dyDescent="0.25">
      <c r="A125" s="542">
        <f t="shared" si="59"/>
        <v>47709</v>
      </c>
      <c r="B125" s="298">
        <f t="shared" si="60"/>
        <v>68797.229999999952</v>
      </c>
      <c r="C125" s="14">
        <f t="shared" si="50"/>
        <v>433.95</v>
      </c>
      <c r="D125" s="14">
        <f t="shared" si="72"/>
        <v>161.63</v>
      </c>
      <c r="E125" s="14">
        <f t="shared" si="51"/>
        <v>272.32</v>
      </c>
      <c r="F125" s="298">
        <f t="shared" si="61"/>
        <v>14882.19</v>
      </c>
      <c r="G125" s="298">
        <f t="shared" si="62"/>
        <v>33615.549999999996</v>
      </c>
      <c r="H125" s="298">
        <f t="shared" si="52"/>
        <v>68635.599999999948</v>
      </c>
      <c r="I125" s="451">
        <f t="shared" si="53"/>
        <v>5</v>
      </c>
      <c r="J125" s="298">
        <f t="shared" si="63"/>
        <v>355644.60999999981</v>
      </c>
      <c r="K125" s="298">
        <f t="shared" si="40"/>
        <v>2701.27</v>
      </c>
      <c r="L125" s="298">
        <f t="shared" si="73"/>
        <v>404.40000000000009</v>
      </c>
      <c r="M125" s="298">
        <f t="shared" si="41"/>
        <v>2296.87</v>
      </c>
      <c r="N125" s="298">
        <f t="shared" si="64"/>
        <v>21814.790000000005</v>
      </c>
      <c r="O125" s="298">
        <f t="shared" si="65"/>
        <v>156469.03</v>
      </c>
      <c r="P125" s="298">
        <f t="shared" si="54"/>
        <v>355240.20999999979</v>
      </c>
      <c r="Q125" s="542">
        <f t="shared" si="55"/>
        <v>47709</v>
      </c>
      <c r="R125" s="298">
        <f t="shared" ref="R125:R188" si="79">IF(Q125&gt;$J$10,IF(+AB124&lt;0,0,+AB124),0)</f>
        <v>305810.0300000002</v>
      </c>
      <c r="S125" s="535">
        <f t="shared" si="66"/>
        <v>7.7499999999999999E-2</v>
      </c>
      <c r="T125" s="298">
        <f t="shared" si="56"/>
        <v>3493.12</v>
      </c>
      <c r="U125" s="298">
        <f t="shared" si="42"/>
        <v>1518.1</v>
      </c>
      <c r="V125" s="298">
        <f t="shared" si="57"/>
        <v>1975.02</v>
      </c>
      <c r="W125" s="298">
        <f t="shared" si="76"/>
        <v>0</v>
      </c>
      <c r="X125" s="298">
        <f t="shared" si="76"/>
        <v>0</v>
      </c>
      <c r="Y125" s="298">
        <f t="shared" si="43"/>
        <v>3493.12</v>
      </c>
      <c r="Z125" s="298">
        <f t="shared" si="44"/>
        <v>72763.070000000007</v>
      </c>
      <c r="AA125" s="298">
        <f t="shared" si="45"/>
        <v>93580.349999999991</v>
      </c>
      <c r="AB125" s="298">
        <f t="shared" si="58"/>
        <v>304291.93000000023</v>
      </c>
      <c r="AC125" s="451">
        <f t="shared" si="67"/>
        <v>65</v>
      </c>
      <c r="AD125" s="552">
        <f t="shared" si="68"/>
        <v>11940.399999999983</v>
      </c>
      <c r="AE125" s="552">
        <f t="shared" si="77"/>
        <v>235656.33000000028</v>
      </c>
      <c r="AF125" s="552">
        <f t="shared" si="78"/>
        <v>247596.73000000027</v>
      </c>
      <c r="AG125" s="552">
        <f t="shared" si="69"/>
        <v>3059.17</v>
      </c>
      <c r="AH125" s="552">
        <f t="shared" si="70"/>
        <v>326798.62</v>
      </c>
      <c r="AI125" s="552"/>
      <c r="AJ125" s="14">
        <f t="shared" si="46"/>
        <v>3059.17</v>
      </c>
      <c r="AK125" s="14">
        <f t="shared" si="48"/>
        <v>136834.81999999992</v>
      </c>
      <c r="AL125" s="552">
        <f>IF(R125&lt;=0,0,+([1]Profit!$B$4+AM124)*$AL$1/12)</f>
        <v>1231.7856859295509</v>
      </c>
      <c r="AM125" s="14">
        <f t="shared" si="71"/>
        <v>75046.060057750001</v>
      </c>
    </row>
    <row r="126" spans="1:41" x14ac:dyDescent="0.25">
      <c r="A126" s="542">
        <f t="shared" si="59"/>
        <v>47739</v>
      </c>
      <c r="B126" s="298">
        <f t="shared" si="60"/>
        <v>68635.599999999948</v>
      </c>
      <c r="C126" s="14">
        <f t="shared" si="50"/>
        <v>433.95</v>
      </c>
      <c r="D126" s="14">
        <f t="shared" si="72"/>
        <v>162.26999999999998</v>
      </c>
      <c r="E126" s="14">
        <f t="shared" si="51"/>
        <v>271.68</v>
      </c>
      <c r="F126" s="298">
        <f t="shared" si="61"/>
        <v>15044.460000000001</v>
      </c>
      <c r="G126" s="298">
        <f t="shared" si="62"/>
        <v>33887.229999999996</v>
      </c>
      <c r="H126" s="298">
        <f t="shared" si="52"/>
        <v>68473.329999999944</v>
      </c>
      <c r="I126" s="451">
        <f t="shared" si="53"/>
        <v>5</v>
      </c>
      <c r="J126" s="298">
        <f t="shared" si="63"/>
        <v>355240.20999999979</v>
      </c>
      <c r="K126" s="298">
        <f t="shared" ref="K126:K189" si="80">IF($J$10&lt;=A126,IF(+$P125&lt;=0,0,$J$9),0)</f>
        <v>2701.27</v>
      </c>
      <c r="L126" s="298">
        <f t="shared" si="73"/>
        <v>407.00999999999976</v>
      </c>
      <c r="M126" s="298">
        <f t="shared" ref="M126:M189" si="81">IF($J$10&lt;=A126,ROUND(J126*($J$7/12),2),0)</f>
        <v>2294.2600000000002</v>
      </c>
      <c r="N126" s="298">
        <f t="shared" si="64"/>
        <v>22221.800000000003</v>
      </c>
      <c r="O126" s="298">
        <f t="shared" si="65"/>
        <v>158763.29</v>
      </c>
      <c r="P126" s="298">
        <f t="shared" si="54"/>
        <v>354833.19999999978</v>
      </c>
      <c r="Q126" s="542">
        <f t="shared" si="55"/>
        <v>47739</v>
      </c>
      <c r="R126" s="298">
        <f t="shared" si="79"/>
        <v>304291.93000000023</v>
      </c>
      <c r="S126" s="535">
        <f t="shared" si="66"/>
        <v>7.7499999999999999E-2</v>
      </c>
      <c r="T126" s="298">
        <f t="shared" si="56"/>
        <v>3493.12</v>
      </c>
      <c r="U126" s="298">
        <f t="shared" ref="U126:U189" si="82">+T126-V126</f>
        <v>1527.8999999999999</v>
      </c>
      <c r="V126" s="298">
        <f t="shared" si="57"/>
        <v>1965.22</v>
      </c>
      <c r="W126" s="298">
        <f t="shared" si="76"/>
        <v>0</v>
      </c>
      <c r="X126" s="298">
        <f t="shared" si="76"/>
        <v>0</v>
      </c>
      <c r="Y126" s="298">
        <f t="shared" ref="Y126:Y189" si="83">SUM(U126:X126)</f>
        <v>3493.12</v>
      </c>
      <c r="Z126" s="298">
        <f t="shared" ref="Z126:Z189" si="84">+U126+Z125</f>
        <v>74290.97</v>
      </c>
      <c r="AA126" s="298">
        <f t="shared" ref="AA126:AA189" si="85">+AA125+V126</f>
        <v>95545.569999999992</v>
      </c>
      <c r="AB126" s="298">
        <f t="shared" si="58"/>
        <v>302764.0300000002</v>
      </c>
      <c r="AC126" s="451">
        <f t="shared" si="67"/>
        <v>66</v>
      </c>
      <c r="AD126" s="552">
        <f t="shared" si="68"/>
        <v>11148.549999999983</v>
      </c>
      <c r="AE126" s="552">
        <f t="shared" si="77"/>
        <v>234290.70000000024</v>
      </c>
      <c r="AF126" s="552">
        <f t="shared" si="78"/>
        <v>245439.25000000023</v>
      </c>
      <c r="AG126" s="552">
        <f t="shared" si="69"/>
        <v>3059.17</v>
      </c>
      <c r="AH126" s="552">
        <f t="shared" si="70"/>
        <v>325432.99</v>
      </c>
      <c r="AI126" s="552"/>
      <c r="AJ126" s="14">
        <f t="shared" ref="AJ126:AJ189" si="86">+AG126-AI126</f>
        <v>3059.17</v>
      </c>
      <c r="AK126" s="14">
        <f t="shared" si="48"/>
        <v>139893.98999999993</v>
      </c>
      <c r="AL126" s="552">
        <f>IF(R126&lt;=0,0,+([1]Profit!$B$4+AM125)*$AL$1/12)</f>
        <v>1234.8651501443749</v>
      </c>
      <c r="AM126" s="14">
        <f t="shared" si="71"/>
        <v>76280.925207894383</v>
      </c>
    </row>
    <row r="127" spans="1:41" x14ac:dyDescent="0.25">
      <c r="A127" s="542">
        <f t="shared" si="59"/>
        <v>47769</v>
      </c>
      <c r="B127" s="298">
        <f t="shared" si="60"/>
        <v>68473.329999999944</v>
      </c>
      <c r="C127" s="14">
        <f t="shared" si="50"/>
        <v>433.95</v>
      </c>
      <c r="D127" s="14">
        <f t="shared" si="72"/>
        <v>162.90999999999997</v>
      </c>
      <c r="E127" s="14">
        <f t="shared" si="51"/>
        <v>271.04000000000002</v>
      </c>
      <c r="F127" s="298">
        <f t="shared" si="61"/>
        <v>15207.37</v>
      </c>
      <c r="G127" s="298">
        <f t="shared" si="62"/>
        <v>34158.269999999997</v>
      </c>
      <c r="H127" s="298">
        <f t="shared" si="52"/>
        <v>68310.41999999994</v>
      </c>
      <c r="I127" s="451">
        <f t="shared" si="53"/>
        <v>5</v>
      </c>
      <c r="J127" s="298">
        <f t="shared" si="63"/>
        <v>354833.19999999978</v>
      </c>
      <c r="K127" s="298">
        <f t="shared" si="80"/>
        <v>2701.27</v>
      </c>
      <c r="L127" s="298">
        <f t="shared" si="73"/>
        <v>409.63999999999987</v>
      </c>
      <c r="M127" s="298">
        <f t="shared" si="81"/>
        <v>2291.63</v>
      </c>
      <c r="N127" s="298">
        <f t="shared" si="64"/>
        <v>22631.440000000002</v>
      </c>
      <c r="O127" s="298">
        <f t="shared" si="65"/>
        <v>161054.92000000001</v>
      </c>
      <c r="P127" s="298">
        <f t="shared" si="54"/>
        <v>354423.55999999976</v>
      </c>
      <c r="Q127" s="542">
        <f t="shared" si="55"/>
        <v>47769</v>
      </c>
      <c r="R127" s="298">
        <f t="shared" si="79"/>
        <v>302764.0300000002</v>
      </c>
      <c r="S127" s="535">
        <f t="shared" si="66"/>
        <v>7.7499999999999999E-2</v>
      </c>
      <c r="T127" s="298">
        <f t="shared" si="56"/>
        <v>3493.12</v>
      </c>
      <c r="U127" s="298">
        <f t="shared" si="82"/>
        <v>1537.77</v>
      </c>
      <c r="V127" s="298">
        <f t="shared" si="57"/>
        <v>1955.35</v>
      </c>
      <c r="W127" s="298">
        <f t="shared" si="76"/>
        <v>0</v>
      </c>
      <c r="X127" s="298">
        <f t="shared" si="76"/>
        <v>0</v>
      </c>
      <c r="Y127" s="298">
        <f t="shared" si="83"/>
        <v>3493.12</v>
      </c>
      <c r="Z127" s="298">
        <f t="shared" si="84"/>
        <v>75828.740000000005</v>
      </c>
      <c r="AA127" s="298">
        <f t="shared" si="85"/>
        <v>97500.92</v>
      </c>
      <c r="AB127" s="298">
        <f t="shared" si="58"/>
        <v>301226.26000000018</v>
      </c>
      <c r="AC127" s="451">
        <f t="shared" si="67"/>
        <v>67</v>
      </c>
      <c r="AD127" s="552">
        <f t="shared" si="68"/>
        <v>10356.699999999983</v>
      </c>
      <c r="AE127" s="552">
        <f t="shared" si="77"/>
        <v>232915.84000000026</v>
      </c>
      <c r="AF127" s="552">
        <f t="shared" si="78"/>
        <v>243272.54000000024</v>
      </c>
      <c r="AG127" s="552">
        <f t="shared" si="69"/>
        <v>3059.17</v>
      </c>
      <c r="AH127" s="552">
        <f t="shared" si="70"/>
        <v>324058.13</v>
      </c>
      <c r="AI127" s="552"/>
      <c r="AJ127" s="14">
        <f t="shared" si="86"/>
        <v>3059.17</v>
      </c>
      <c r="AK127" s="14">
        <f t="shared" si="48"/>
        <v>142953.15999999995</v>
      </c>
      <c r="AL127" s="552">
        <f>IF(R127&lt;=0,0,+([1]Profit!$B$4+AM126)*$AL$1/12)</f>
        <v>1237.952313019736</v>
      </c>
      <c r="AM127" s="14">
        <f t="shared" si="71"/>
        <v>77518.877520914117</v>
      </c>
    </row>
    <row r="128" spans="1:41" x14ac:dyDescent="0.25">
      <c r="A128" s="542">
        <f t="shared" si="59"/>
        <v>47799</v>
      </c>
      <c r="B128" s="298">
        <f t="shared" si="60"/>
        <v>68310.41999999994</v>
      </c>
      <c r="C128" s="14">
        <f t="shared" si="50"/>
        <v>433.95</v>
      </c>
      <c r="D128" s="14">
        <f t="shared" si="72"/>
        <v>163.55000000000001</v>
      </c>
      <c r="E128" s="14">
        <f t="shared" si="51"/>
        <v>270.39999999999998</v>
      </c>
      <c r="F128" s="298">
        <f t="shared" si="61"/>
        <v>15370.92</v>
      </c>
      <c r="G128" s="298">
        <f t="shared" si="62"/>
        <v>34428.67</v>
      </c>
      <c r="H128" s="298">
        <f t="shared" si="52"/>
        <v>68146.869999999937</v>
      </c>
      <c r="I128" s="451">
        <f t="shared" si="53"/>
        <v>5</v>
      </c>
      <c r="J128" s="298">
        <f t="shared" si="63"/>
        <v>354423.55999999976</v>
      </c>
      <c r="K128" s="298">
        <f t="shared" si="80"/>
        <v>2701.27</v>
      </c>
      <c r="L128" s="298">
        <f t="shared" si="73"/>
        <v>412.2800000000002</v>
      </c>
      <c r="M128" s="298">
        <f t="shared" si="81"/>
        <v>2288.9899999999998</v>
      </c>
      <c r="N128" s="298">
        <f t="shared" si="64"/>
        <v>23043.72</v>
      </c>
      <c r="O128" s="298">
        <f t="shared" si="65"/>
        <v>163343.91</v>
      </c>
      <c r="P128" s="298">
        <f t="shared" si="54"/>
        <v>354011.27999999974</v>
      </c>
      <c r="Q128" s="542">
        <f t="shared" si="55"/>
        <v>47799</v>
      </c>
      <c r="R128" s="298">
        <f t="shared" si="79"/>
        <v>301226.26000000018</v>
      </c>
      <c r="S128" s="535">
        <f t="shared" si="66"/>
        <v>7.7499999999999999E-2</v>
      </c>
      <c r="T128" s="298">
        <f t="shared" si="56"/>
        <v>3493.12</v>
      </c>
      <c r="U128" s="298">
        <f t="shared" si="82"/>
        <v>1547.6999999999998</v>
      </c>
      <c r="V128" s="298">
        <f t="shared" si="57"/>
        <v>1945.42</v>
      </c>
      <c r="W128" s="298">
        <f t="shared" si="76"/>
        <v>0</v>
      </c>
      <c r="X128" s="298">
        <f t="shared" si="76"/>
        <v>0</v>
      </c>
      <c r="Y128" s="298">
        <f t="shared" si="83"/>
        <v>3493.12</v>
      </c>
      <c r="Z128" s="298">
        <f t="shared" si="84"/>
        <v>77376.44</v>
      </c>
      <c r="AA128" s="298">
        <f t="shared" si="85"/>
        <v>99446.34</v>
      </c>
      <c r="AB128" s="298">
        <f t="shared" si="58"/>
        <v>299678.56000000017</v>
      </c>
      <c r="AC128" s="451">
        <f t="shared" si="67"/>
        <v>68</v>
      </c>
      <c r="AD128" s="552">
        <f t="shared" si="68"/>
        <v>9564.8499999999822</v>
      </c>
      <c r="AE128" s="552">
        <f t="shared" si="77"/>
        <v>231531.69000000024</v>
      </c>
      <c r="AF128" s="552">
        <f t="shared" si="78"/>
        <v>241096.54000000021</v>
      </c>
      <c r="AG128" s="552">
        <f t="shared" si="69"/>
        <v>3059.17</v>
      </c>
      <c r="AH128" s="552">
        <f t="shared" si="70"/>
        <v>322673.98</v>
      </c>
      <c r="AI128" s="552"/>
      <c r="AJ128" s="14">
        <f t="shared" si="86"/>
        <v>3059.17</v>
      </c>
      <c r="AK128" s="14">
        <f t="shared" si="48"/>
        <v>146012.32999999996</v>
      </c>
      <c r="AL128" s="552">
        <f>IF(R128&lt;=0,0,+([1]Profit!$B$4+AM127)*$AL$1/12)</f>
        <v>1241.0471938022854</v>
      </c>
      <c r="AM128" s="14">
        <f t="shared" si="71"/>
        <v>78759.924714716399</v>
      </c>
    </row>
    <row r="129" spans="1:39" x14ac:dyDescent="0.25">
      <c r="A129" s="542">
        <f t="shared" si="59"/>
        <v>47829</v>
      </c>
      <c r="B129" s="298">
        <f t="shared" si="60"/>
        <v>68146.869999999937</v>
      </c>
      <c r="C129" s="14">
        <f t="shared" si="50"/>
        <v>433.95</v>
      </c>
      <c r="D129" s="14">
        <f t="shared" si="72"/>
        <v>164.2</v>
      </c>
      <c r="E129" s="14">
        <f t="shared" si="51"/>
        <v>269.75</v>
      </c>
      <c r="F129" s="298">
        <f t="shared" si="61"/>
        <v>15535.12</v>
      </c>
      <c r="G129" s="298">
        <f t="shared" si="62"/>
        <v>34698.42</v>
      </c>
      <c r="H129" s="298">
        <f t="shared" si="52"/>
        <v>67982.66999999994</v>
      </c>
      <c r="I129" s="451">
        <f t="shared" si="53"/>
        <v>5</v>
      </c>
      <c r="J129" s="298">
        <f t="shared" si="63"/>
        <v>354011.27999999974</v>
      </c>
      <c r="K129" s="298">
        <f t="shared" si="80"/>
        <v>2701.27</v>
      </c>
      <c r="L129" s="298">
        <f t="shared" si="73"/>
        <v>414.94999999999982</v>
      </c>
      <c r="M129" s="298">
        <f t="shared" si="81"/>
        <v>2286.3200000000002</v>
      </c>
      <c r="N129" s="298">
        <f t="shared" si="64"/>
        <v>23458.670000000002</v>
      </c>
      <c r="O129" s="298">
        <f t="shared" si="65"/>
        <v>165630.23000000001</v>
      </c>
      <c r="P129" s="298">
        <f t="shared" si="54"/>
        <v>353596.32999999973</v>
      </c>
      <c r="Q129" s="542">
        <f t="shared" si="55"/>
        <v>47829</v>
      </c>
      <c r="R129" s="298">
        <f t="shared" si="79"/>
        <v>299678.56000000017</v>
      </c>
      <c r="S129" s="535">
        <f t="shared" si="66"/>
        <v>7.7499999999999999E-2</v>
      </c>
      <c r="T129" s="298">
        <f t="shared" si="56"/>
        <v>3493.12</v>
      </c>
      <c r="U129" s="298">
        <f t="shared" si="82"/>
        <v>1557.6999999999998</v>
      </c>
      <c r="V129" s="298">
        <f t="shared" si="57"/>
        <v>1935.42</v>
      </c>
      <c r="W129" s="298">
        <f t="shared" si="76"/>
        <v>0</v>
      </c>
      <c r="X129" s="298">
        <f t="shared" si="76"/>
        <v>0</v>
      </c>
      <c r="Y129" s="298">
        <f t="shared" si="83"/>
        <v>3493.12</v>
      </c>
      <c r="Z129" s="298">
        <f t="shared" si="84"/>
        <v>78934.14</v>
      </c>
      <c r="AA129" s="298">
        <f t="shared" si="85"/>
        <v>101381.75999999999</v>
      </c>
      <c r="AB129" s="298">
        <f t="shared" si="58"/>
        <v>298120.86000000016</v>
      </c>
      <c r="AC129" s="451">
        <f t="shared" si="67"/>
        <v>69</v>
      </c>
      <c r="AD129" s="552">
        <f t="shared" si="68"/>
        <v>8772.9999999999818</v>
      </c>
      <c r="AE129" s="552">
        <f t="shared" si="77"/>
        <v>230138.19000000024</v>
      </c>
      <c r="AF129" s="552">
        <f t="shared" si="78"/>
        <v>238911.19000000021</v>
      </c>
      <c r="AG129" s="552">
        <f t="shared" si="69"/>
        <v>3059.17</v>
      </c>
      <c r="AH129" s="552">
        <f t="shared" si="70"/>
        <v>321280.48</v>
      </c>
      <c r="AI129" s="552"/>
      <c r="AJ129" s="14">
        <f t="shared" si="86"/>
        <v>3059.17</v>
      </c>
      <c r="AK129" s="14">
        <f t="shared" si="48"/>
        <v>149071.49999999997</v>
      </c>
      <c r="AL129" s="552">
        <f>IF(R129&lt;=0,0,+([1]Profit!$B$4+AM128)*$AL$1/12)</f>
        <v>1244.1498117867909</v>
      </c>
      <c r="AM129" s="14">
        <f t="shared" si="71"/>
        <v>80004.074526503187</v>
      </c>
    </row>
    <row r="130" spans="1:39" x14ac:dyDescent="0.25">
      <c r="A130" s="542">
        <f t="shared" si="59"/>
        <v>47859</v>
      </c>
      <c r="B130" s="298">
        <f t="shared" si="60"/>
        <v>67982.66999999994</v>
      </c>
      <c r="C130" s="14">
        <f t="shared" si="50"/>
        <v>433.95</v>
      </c>
      <c r="D130" s="14">
        <f t="shared" si="72"/>
        <v>164.84999999999997</v>
      </c>
      <c r="E130" s="14">
        <f t="shared" si="51"/>
        <v>269.10000000000002</v>
      </c>
      <c r="F130" s="298">
        <f t="shared" si="61"/>
        <v>15699.970000000001</v>
      </c>
      <c r="G130" s="298">
        <f t="shared" si="62"/>
        <v>34967.519999999997</v>
      </c>
      <c r="H130" s="298">
        <f t="shared" si="52"/>
        <v>67817.819999999934</v>
      </c>
      <c r="I130" s="451">
        <f t="shared" si="53"/>
        <v>5</v>
      </c>
      <c r="J130" s="298">
        <f t="shared" si="63"/>
        <v>353596.32999999973</v>
      </c>
      <c r="K130" s="298">
        <f t="shared" si="80"/>
        <v>2701.27</v>
      </c>
      <c r="L130" s="298">
        <f t="shared" si="73"/>
        <v>417.63000000000011</v>
      </c>
      <c r="M130" s="298">
        <f t="shared" si="81"/>
        <v>2283.64</v>
      </c>
      <c r="N130" s="298">
        <f t="shared" si="64"/>
        <v>23876.300000000003</v>
      </c>
      <c r="O130" s="298">
        <f t="shared" si="65"/>
        <v>167913.87000000002</v>
      </c>
      <c r="P130" s="298">
        <f t="shared" si="54"/>
        <v>353178.69999999972</v>
      </c>
      <c r="Q130" s="542">
        <f t="shared" si="55"/>
        <v>47859</v>
      </c>
      <c r="R130" s="298">
        <f t="shared" si="79"/>
        <v>298120.86000000016</v>
      </c>
      <c r="S130" s="535">
        <f t="shared" si="66"/>
        <v>7.7499999999999999E-2</v>
      </c>
      <c r="T130" s="298">
        <f t="shared" si="56"/>
        <v>3493.12</v>
      </c>
      <c r="U130" s="298">
        <f t="shared" si="82"/>
        <v>1567.76</v>
      </c>
      <c r="V130" s="298">
        <f t="shared" si="57"/>
        <v>1925.36</v>
      </c>
      <c r="W130" s="298">
        <f t="shared" si="76"/>
        <v>0</v>
      </c>
      <c r="X130" s="298">
        <f t="shared" si="76"/>
        <v>0</v>
      </c>
      <c r="Y130" s="298">
        <f t="shared" si="83"/>
        <v>3493.12</v>
      </c>
      <c r="Z130" s="298">
        <f t="shared" si="84"/>
        <v>80501.899999999994</v>
      </c>
      <c r="AA130" s="298">
        <f t="shared" si="85"/>
        <v>103307.12</v>
      </c>
      <c r="AB130" s="298">
        <f t="shared" si="58"/>
        <v>296553.10000000015</v>
      </c>
      <c r="AC130" s="451">
        <f t="shared" si="67"/>
        <v>70</v>
      </c>
      <c r="AD130" s="552">
        <f t="shared" si="68"/>
        <v>7981.1499999999814</v>
      </c>
      <c r="AE130" s="552">
        <f t="shared" si="77"/>
        <v>228735.2800000002</v>
      </c>
      <c r="AF130" s="552">
        <f t="shared" si="78"/>
        <v>236716.4300000002</v>
      </c>
      <c r="AG130" s="552">
        <f t="shared" si="69"/>
        <v>3059.17</v>
      </c>
      <c r="AH130" s="552">
        <f t="shared" si="70"/>
        <v>319877.56999999995</v>
      </c>
      <c r="AI130" s="552"/>
      <c r="AJ130" s="14">
        <f t="shared" si="86"/>
        <v>3059.17</v>
      </c>
      <c r="AK130" s="14">
        <f t="shared" ref="AK130:AK193" si="87">IF(P130&lt;=0,0,+AJ130+AK129)</f>
        <v>152130.66999999998</v>
      </c>
      <c r="AL130" s="552">
        <f>IF(R130&lt;=0,0,+([1]Profit!$B$4+AM129)*$AL$1/12)</f>
        <v>1247.2601863162579</v>
      </c>
      <c r="AM130" s="14">
        <f t="shared" si="71"/>
        <v>81251.334712819444</v>
      </c>
    </row>
    <row r="131" spans="1:39" x14ac:dyDescent="0.25">
      <c r="A131" s="542">
        <f t="shared" si="59"/>
        <v>47889</v>
      </c>
      <c r="B131" s="298">
        <f t="shared" si="60"/>
        <v>67817.819999999934</v>
      </c>
      <c r="C131" s="14">
        <f t="shared" si="50"/>
        <v>433.95</v>
      </c>
      <c r="D131" s="14">
        <f t="shared" si="72"/>
        <v>165.5</v>
      </c>
      <c r="E131" s="14">
        <f t="shared" si="51"/>
        <v>268.45</v>
      </c>
      <c r="F131" s="298">
        <f t="shared" si="61"/>
        <v>15865.470000000001</v>
      </c>
      <c r="G131" s="298">
        <f t="shared" si="62"/>
        <v>35235.969999999994</v>
      </c>
      <c r="H131" s="298">
        <f t="shared" si="52"/>
        <v>67652.319999999934</v>
      </c>
      <c r="I131" s="451">
        <f t="shared" si="53"/>
        <v>5</v>
      </c>
      <c r="J131" s="298">
        <f t="shared" si="63"/>
        <v>353178.69999999972</v>
      </c>
      <c r="K131" s="298">
        <f t="shared" si="80"/>
        <v>2701.27</v>
      </c>
      <c r="L131" s="298">
        <f t="shared" si="73"/>
        <v>420.32000000000016</v>
      </c>
      <c r="M131" s="298">
        <f t="shared" si="81"/>
        <v>2280.9499999999998</v>
      </c>
      <c r="N131" s="298">
        <f t="shared" si="64"/>
        <v>24296.620000000003</v>
      </c>
      <c r="O131" s="298">
        <f t="shared" si="65"/>
        <v>170194.82000000004</v>
      </c>
      <c r="P131" s="298">
        <f t="shared" si="54"/>
        <v>352758.37999999971</v>
      </c>
      <c r="Q131" s="542">
        <f t="shared" si="55"/>
        <v>47889</v>
      </c>
      <c r="R131" s="298">
        <f t="shared" si="79"/>
        <v>296553.10000000015</v>
      </c>
      <c r="S131" s="535">
        <f t="shared" si="66"/>
        <v>7.7499999999999999E-2</v>
      </c>
      <c r="T131" s="298">
        <f t="shared" si="56"/>
        <v>3493.12</v>
      </c>
      <c r="U131" s="298">
        <f t="shared" si="82"/>
        <v>1577.8799999999999</v>
      </c>
      <c r="V131" s="298">
        <f t="shared" si="57"/>
        <v>1915.24</v>
      </c>
      <c r="W131" s="298">
        <f t="shared" si="76"/>
        <v>0</v>
      </c>
      <c r="X131" s="298">
        <f t="shared" si="76"/>
        <v>0</v>
      </c>
      <c r="Y131" s="298">
        <f t="shared" si="83"/>
        <v>3493.12</v>
      </c>
      <c r="Z131" s="298">
        <f t="shared" si="84"/>
        <v>82079.78</v>
      </c>
      <c r="AA131" s="298">
        <f t="shared" si="85"/>
        <v>105222.36</v>
      </c>
      <c r="AB131" s="298">
        <f t="shared" si="58"/>
        <v>294975.22000000015</v>
      </c>
      <c r="AC131" s="451">
        <f t="shared" si="67"/>
        <v>71</v>
      </c>
      <c r="AD131" s="552">
        <f t="shared" si="68"/>
        <v>7189.2999999999811</v>
      </c>
      <c r="AE131" s="552">
        <f t="shared" si="77"/>
        <v>227322.9000000002</v>
      </c>
      <c r="AF131" s="552">
        <f t="shared" si="78"/>
        <v>234512.20000000019</v>
      </c>
      <c r="AG131" s="552">
        <f t="shared" si="69"/>
        <v>3059.17</v>
      </c>
      <c r="AH131" s="552">
        <f t="shared" si="70"/>
        <v>318465.18999999994</v>
      </c>
      <c r="AI131" s="552"/>
      <c r="AJ131" s="14">
        <f t="shared" si="86"/>
        <v>3059.17</v>
      </c>
      <c r="AK131" s="14">
        <f t="shared" si="87"/>
        <v>155189.84</v>
      </c>
      <c r="AL131" s="552">
        <f>IF(R131&lt;=0,0,+([1]Profit!$B$4+AM130)*$AL$1/12)</f>
        <v>1250.3783367820486</v>
      </c>
      <c r="AM131" s="14">
        <f t="shared" si="71"/>
        <v>82501.713049601487</v>
      </c>
    </row>
    <row r="132" spans="1:39" x14ac:dyDescent="0.25">
      <c r="A132" s="542">
        <f t="shared" si="59"/>
        <v>47919</v>
      </c>
      <c r="B132" s="298">
        <f t="shared" si="60"/>
        <v>67652.319999999934</v>
      </c>
      <c r="C132" s="14">
        <f t="shared" si="50"/>
        <v>433.95</v>
      </c>
      <c r="D132" s="14">
        <f t="shared" si="72"/>
        <v>166.15999999999997</v>
      </c>
      <c r="E132" s="14">
        <f t="shared" si="51"/>
        <v>267.79000000000002</v>
      </c>
      <c r="F132" s="298">
        <f t="shared" si="61"/>
        <v>16031.630000000001</v>
      </c>
      <c r="G132" s="298">
        <f t="shared" si="62"/>
        <v>35503.759999999995</v>
      </c>
      <c r="H132" s="298">
        <f t="shared" si="52"/>
        <v>67486.159999999931</v>
      </c>
      <c r="I132" s="451">
        <f t="shared" si="53"/>
        <v>6</v>
      </c>
      <c r="J132" s="298">
        <f t="shared" si="63"/>
        <v>352758.37999999971</v>
      </c>
      <c r="K132" s="298">
        <f t="shared" si="80"/>
        <v>2701.27</v>
      </c>
      <c r="L132" s="298">
        <f t="shared" si="73"/>
        <v>423.03999999999996</v>
      </c>
      <c r="M132" s="298">
        <f t="shared" si="81"/>
        <v>2278.23</v>
      </c>
      <c r="N132" s="298">
        <f t="shared" si="64"/>
        <v>24719.660000000003</v>
      </c>
      <c r="O132" s="298">
        <f t="shared" si="65"/>
        <v>172473.05000000005</v>
      </c>
      <c r="P132" s="298">
        <f t="shared" si="54"/>
        <v>352335.33999999973</v>
      </c>
      <c r="Q132" s="542">
        <f t="shared" si="55"/>
        <v>47919</v>
      </c>
      <c r="R132" s="298">
        <f t="shared" si="79"/>
        <v>294975.22000000015</v>
      </c>
      <c r="S132" s="535">
        <f t="shared" si="66"/>
        <v>7.7499999999999999E-2</v>
      </c>
      <c r="T132" s="298">
        <f t="shared" si="56"/>
        <v>3493.12</v>
      </c>
      <c r="U132" s="298">
        <f t="shared" si="82"/>
        <v>1588.07</v>
      </c>
      <c r="V132" s="298">
        <f t="shared" si="57"/>
        <v>1905.05</v>
      </c>
      <c r="W132" s="298">
        <f t="shared" si="76"/>
        <v>0</v>
      </c>
      <c r="X132" s="298">
        <f t="shared" si="76"/>
        <v>0</v>
      </c>
      <c r="Y132" s="298">
        <f t="shared" si="83"/>
        <v>3493.12</v>
      </c>
      <c r="Z132" s="298">
        <f t="shared" si="84"/>
        <v>83667.850000000006</v>
      </c>
      <c r="AA132" s="298">
        <f t="shared" si="85"/>
        <v>107127.41</v>
      </c>
      <c r="AB132" s="298">
        <f t="shared" si="58"/>
        <v>293387.15000000014</v>
      </c>
      <c r="AC132" s="451">
        <f t="shared" si="67"/>
        <v>72</v>
      </c>
      <c r="AD132" s="552">
        <f t="shared" si="68"/>
        <v>6397.4499999999807</v>
      </c>
      <c r="AE132" s="552">
        <f t="shared" si="77"/>
        <v>225900.99000000022</v>
      </c>
      <c r="AF132" s="552">
        <f t="shared" si="78"/>
        <v>232298.44000000021</v>
      </c>
      <c r="AG132" s="552">
        <f t="shared" si="69"/>
        <v>3059.17</v>
      </c>
      <c r="AH132" s="552">
        <f t="shared" si="70"/>
        <v>317043.28000000003</v>
      </c>
      <c r="AI132" s="552"/>
      <c r="AJ132" s="14">
        <f t="shared" si="86"/>
        <v>3059.17</v>
      </c>
      <c r="AK132" s="14">
        <f t="shared" si="87"/>
        <v>158249.01</v>
      </c>
      <c r="AL132" s="552">
        <f>IF(R132&lt;=0,0,+([1]Profit!$B$4+AM131)*$AL$1/12)</f>
        <v>1253.5042826240035</v>
      </c>
      <c r="AM132" s="14">
        <f t="shared" si="71"/>
        <v>83755.217332225497</v>
      </c>
    </row>
    <row r="133" spans="1:39" x14ac:dyDescent="0.25">
      <c r="A133" s="542">
        <f t="shared" si="59"/>
        <v>47949</v>
      </c>
      <c r="B133" s="298">
        <f t="shared" si="60"/>
        <v>67486.159999999931</v>
      </c>
      <c r="C133" s="14">
        <f t="shared" si="50"/>
        <v>433.95</v>
      </c>
      <c r="D133" s="14">
        <f t="shared" si="72"/>
        <v>166.82</v>
      </c>
      <c r="E133" s="14">
        <f t="shared" si="51"/>
        <v>267.13</v>
      </c>
      <c r="F133" s="298">
        <f t="shared" si="61"/>
        <v>16198.45</v>
      </c>
      <c r="G133" s="298">
        <f t="shared" si="62"/>
        <v>35770.889999999992</v>
      </c>
      <c r="H133" s="298">
        <f t="shared" si="52"/>
        <v>67319.339999999924</v>
      </c>
      <c r="I133" s="451">
        <f t="shared" si="53"/>
        <v>6</v>
      </c>
      <c r="J133" s="298">
        <f t="shared" si="63"/>
        <v>352335.33999999973</v>
      </c>
      <c r="K133" s="298">
        <f t="shared" si="80"/>
        <v>2701.27</v>
      </c>
      <c r="L133" s="298">
        <f t="shared" si="73"/>
        <v>425.77</v>
      </c>
      <c r="M133" s="298">
        <f t="shared" si="81"/>
        <v>2275.5</v>
      </c>
      <c r="N133" s="298">
        <f t="shared" si="64"/>
        <v>25145.430000000004</v>
      </c>
      <c r="O133" s="298">
        <f t="shared" si="65"/>
        <v>174748.55000000005</v>
      </c>
      <c r="P133" s="298">
        <f t="shared" si="54"/>
        <v>351909.56999999972</v>
      </c>
      <c r="Q133" s="542">
        <f t="shared" si="55"/>
        <v>47949</v>
      </c>
      <c r="R133" s="298">
        <f t="shared" si="79"/>
        <v>293387.15000000014</v>
      </c>
      <c r="S133" s="535">
        <f t="shared" si="66"/>
        <v>7.7499999999999999E-2</v>
      </c>
      <c r="T133" s="298">
        <f t="shared" si="56"/>
        <v>3493.12</v>
      </c>
      <c r="U133" s="298">
        <f t="shared" si="82"/>
        <v>1598.33</v>
      </c>
      <c r="V133" s="298">
        <f t="shared" si="57"/>
        <v>1894.79</v>
      </c>
      <c r="W133" s="298">
        <f t="shared" si="76"/>
        <v>0</v>
      </c>
      <c r="X133" s="298">
        <f t="shared" si="76"/>
        <v>0</v>
      </c>
      <c r="Y133" s="298">
        <f t="shared" si="83"/>
        <v>3493.12</v>
      </c>
      <c r="Z133" s="298">
        <f t="shared" si="84"/>
        <v>85266.180000000008</v>
      </c>
      <c r="AA133" s="298">
        <f t="shared" si="85"/>
        <v>109022.2</v>
      </c>
      <c r="AB133" s="298">
        <f t="shared" si="58"/>
        <v>291788.82000000012</v>
      </c>
      <c r="AC133" s="451">
        <f t="shared" si="67"/>
        <v>73</v>
      </c>
      <c r="AD133" s="552">
        <f t="shared" si="68"/>
        <v>5605.5999999999804</v>
      </c>
      <c r="AE133" s="552">
        <f t="shared" si="77"/>
        <v>224469.48000000021</v>
      </c>
      <c r="AF133" s="552">
        <f t="shared" si="78"/>
        <v>230075.08000000019</v>
      </c>
      <c r="AG133" s="552">
        <f t="shared" si="69"/>
        <v>3059.17</v>
      </c>
      <c r="AH133" s="552">
        <f t="shared" si="70"/>
        <v>315611.77</v>
      </c>
      <c r="AI133" s="552"/>
      <c r="AJ133" s="14">
        <f t="shared" si="86"/>
        <v>3059.17</v>
      </c>
      <c r="AK133" s="14">
        <f t="shared" si="87"/>
        <v>161308.18000000002</v>
      </c>
      <c r="AL133" s="552">
        <f>IF(R133&lt;=0,0,+([1]Profit!$B$4+AM132)*$AL$1/12)</f>
        <v>1256.6380433305637</v>
      </c>
      <c r="AM133" s="14">
        <f t="shared" si="71"/>
        <v>85011.855375556057</v>
      </c>
    </row>
    <row r="134" spans="1:39" ht="15.75" thickBot="1" x14ac:dyDescent="0.3">
      <c r="A134" s="545">
        <f t="shared" si="59"/>
        <v>47979</v>
      </c>
      <c r="B134" s="371">
        <f t="shared" si="60"/>
        <v>67319.339999999924</v>
      </c>
      <c r="C134" s="21">
        <f t="shared" si="50"/>
        <v>433.95</v>
      </c>
      <c r="D134" s="21">
        <f t="shared" si="72"/>
        <v>167.47999999999996</v>
      </c>
      <c r="E134" s="21">
        <f t="shared" si="51"/>
        <v>266.47000000000003</v>
      </c>
      <c r="F134" s="371">
        <f t="shared" si="61"/>
        <v>16365.93</v>
      </c>
      <c r="G134" s="371">
        <f t="shared" si="62"/>
        <v>36037.359999999993</v>
      </c>
      <c r="H134" s="371">
        <f t="shared" si="52"/>
        <v>67151.859999999928</v>
      </c>
      <c r="I134" s="452">
        <f t="shared" si="53"/>
        <v>6</v>
      </c>
      <c r="J134" s="371">
        <f t="shared" si="63"/>
        <v>351909.56999999972</v>
      </c>
      <c r="K134" s="371">
        <f t="shared" si="80"/>
        <v>2701.27</v>
      </c>
      <c r="L134" s="371">
        <f t="shared" si="73"/>
        <v>428.52</v>
      </c>
      <c r="M134" s="371">
        <f t="shared" si="81"/>
        <v>2272.75</v>
      </c>
      <c r="N134" s="371">
        <f t="shared" si="64"/>
        <v>25573.950000000004</v>
      </c>
      <c r="O134" s="371">
        <f t="shared" si="65"/>
        <v>177021.30000000005</v>
      </c>
      <c r="P134" s="371">
        <f t="shared" si="54"/>
        <v>351481.0499999997</v>
      </c>
      <c r="Q134" s="545">
        <f t="shared" si="55"/>
        <v>47979</v>
      </c>
      <c r="R134" s="371">
        <f t="shared" si="79"/>
        <v>291788.82000000012</v>
      </c>
      <c r="S134" s="536">
        <f t="shared" si="66"/>
        <v>7.7499999999999999E-2</v>
      </c>
      <c r="T134" s="371">
        <f t="shared" si="56"/>
        <v>3493.12</v>
      </c>
      <c r="U134" s="371">
        <f t="shared" si="82"/>
        <v>1608.6499999999999</v>
      </c>
      <c r="V134" s="371">
        <f t="shared" si="57"/>
        <v>1884.47</v>
      </c>
      <c r="W134" s="371">
        <f t="shared" si="76"/>
        <v>0</v>
      </c>
      <c r="X134" s="371">
        <f t="shared" si="76"/>
        <v>0</v>
      </c>
      <c r="Y134" s="371">
        <f t="shared" si="83"/>
        <v>3493.12</v>
      </c>
      <c r="Z134" s="371">
        <f t="shared" si="84"/>
        <v>86874.83</v>
      </c>
      <c r="AA134" s="371">
        <f t="shared" si="85"/>
        <v>110906.67</v>
      </c>
      <c r="AB134" s="371">
        <f t="shared" si="58"/>
        <v>290180.1700000001</v>
      </c>
      <c r="AC134" s="452">
        <f t="shared" si="67"/>
        <v>74</v>
      </c>
      <c r="AD134" s="553">
        <f t="shared" si="68"/>
        <v>4813.74999999998</v>
      </c>
      <c r="AE134" s="553">
        <f t="shared" si="77"/>
        <v>223028.31000000017</v>
      </c>
      <c r="AF134" s="553">
        <f t="shared" si="78"/>
        <v>227842.06000000014</v>
      </c>
      <c r="AG134" s="553">
        <f t="shared" si="69"/>
        <v>3059.17</v>
      </c>
      <c r="AH134" s="553">
        <f t="shared" si="70"/>
        <v>314170.59999999998</v>
      </c>
      <c r="AI134" s="553"/>
      <c r="AJ134" s="21">
        <f t="shared" si="86"/>
        <v>3059.17</v>
      </c>
      <c r="AK134" s="21">
        <f t="shared" si="87"/>
        <v>164367.35000000003</v>
      </c>
      <c r="AL134" s="553">
        <f>IF(R134&lt;=0,0,+([1]Profit!$B$4+AM133)*$AL$1/12)</f>
        <v>1259.7796384388901</v>
      </c>
      <c r="AM134" s="21">
        <f t="shared" si="71"/>
        <v>86271.63501399495</v>
      </c>
    </row>
    <row r="135" spans="1:39" x14ac:dyDescent="0.25">
      <c r="A135" s="542">
        <f t="shared" si="59"/>
        <v>48009</v>
      </c>
      <c r="B135" s="298">
        <f t="shared" si="60"/>
        <v>67151.859999999928</v>
      </c>
      <c r="C135" s="14">
        <f t="shared" si="50"/>
        <v>433.95</v>
      </c>
      <c r="D135" s="14">
        <f t="shared" si="72"/>
        <v>168.14</v>
      </c>
      <c r="E135" s="14">
        <f t="shared" si="51"/>
        <v>265.81</v>
      </c>
      <c r="F135" s="298">
        <f t="shared" si="61"/>
        <v>16534.07</v>
      </c>
      <c r="G135" s="298">
        <f t="shared" si="62"/>
        <v>36303.169999999991</v>
      </c>
      <c r="H135" s="298">
        <f t="shared" si="52"/>
        <v>66983.719999999928</v>
      </c>
      <c r="I135" s="451">
        <f t="shared" si="53"/>
        <v>6</v>
      </c>
      <c r="J135" s="298">
        <f t="shared" si="63"/>
        <v>351481.0499999997</v>
      </c>
      <c r="K135" s="298">
        <f t="shared" si="80"/>
        <v>2701.27</v>
      </c>
      <c r="L135" s="298">
        <f t="shared" si="73"/>
        <v>431.28999999999996</v>
      </c>
      <c r="M135" s="298">
        <f t="shared" si="81"/>
        <v>2269.98</v>
      </c>
      <c r="N135" s="298">
        <f t="shared" si="64"/>
        <v>26005.240000000005</v>
      </c>
      <c r="O135" s="298">
        <f t="shared" si="65"/>
        <v>179291.28000000006</v>
      </c>
      <c r="P135" s="298">
        <f t="shared" si="54"/>
        <v>351049.75999999972</v>
      </c>
      <c r="Q135" s="542">
        <f t="shared" si="55"/>
        <v>48009</v>
      </c>
      <c r="R135" s="298">
        <f t="shared" si="79"/>
        <v>290180.1700000001</v>
      </c>
      <c r="S135" s="535">
        <f t="shared" si="66"/>
        <v>7.7499999999999999E-2</v>
      </c>
      <c r="T135" s="298">
        <f t="shared" si="56"/>
        <v>3493.12</v>
      </c>
      <c r="U135" s="298">
        <f t="shared" si="82"/>
        <v>1619.04</v>
      </c>
      <c r="V135" s="298">
        <f t="shared" si="57"/>
        <v>1874.08</v>
      </c>
      <c r="W135" s="298">
        <f t="shared" si="76"/>
        <v>0</v>
      </c>
      <c r="X135" s="298">
        <f t="shared" si="76"/>
        <v>0</v>
      </c>
      <c r="Y135" s="298">
        <f t="shared" si="83"/>
        <v>3493.12</v>
      </c>
      <c r="Z135" s="298">
        <f t="shared" si="84"/>
        <v>88493.87</v>
      </c>
      <c r="AA135" s="298">
        <f t="shared" si="85"/>
        <v>112780.75</v>
      </c>
      <c r="AB135" s="298">
        <f t="shared" si="58"/>
        <v>288561.13000000012</v>
      </c>
      <c r="AC135" s="451">
        <f t="shared" si="67"/>
        <v>75</v>
      </c>
      <c r="AD135" s="552">
        <f t="shared" si="68"/>
        <v>4021.8999999999801</v>
      </c>
      <c r="AE135" s="552">
        <f t="shared" si="77"/>
        <v>221577.41000000021</v>
      </c>
      <c r="AF135" s="552">
        <f t="shared" si="78"/>
        <v>225599.3100000002</v>
      </c>
      <c r="AG135" s="552">
        <f t="shared" si="69"/>
        <v>3059.17</v>
      </c>
      <c r="AH135" s="552">
        <f t="shared" si="70"/>
        <v>312719.7</v>
      </c>
      <c r="AI135" s="552"/>
      <c r="AJ135" s="14">
        <f t="shared" si="86"/>
        <v>3059.17</v>
      </c>
      <c r="AK135" s="14">
        <f t="shared" si="87"/>
        <v>167426.52000000005</v>
      </c>
      <c r="AL135" s="552">
        <f>IF(R135&lt;=0,0,+([1]Profit!$B$4+AM134)*$AL$1/12)</f>
        <v>1262.9290875349873</v>
      </c>
      <c r="AM135" s="14">
        <f t="shared" si="71"/>
        <v>87534.564101529933</v>
      </c>
    </row>
    <row r="136" spans="1:39" x14ac:dyDescent="0.25">
      <c r="A136" s="542">
        <f t="shared" si="59"/>
        <v>48039</v>
      </c>
      <c r="B136" s="298">
        <f t="shared" si="60"/>
        <v>66983.719999999928</v>
      </c>
      <c r="C136" s="14">
        <f t="shared" si="50"/>
        <v>433.95</v>
      </c>
      <c r="D136" s="14">
        <f t="shared" si="72"/>
        <v>168.81</v>
      </c>
      <c r="E136" s="14">
        <f t="shared" si="51"/>
        <v>265.14</v>
      </c>
      <c r="F136" s="298">
        <f t="shared" si="61"/>
        <v>16702.88</v>
      </c>
      <c r="G136" s="298">
        <f t="shared" si="62"/>
        <v>36568.30999999999</v>
      </c>
      <c r="H136" s="298">
        <f t="shared" si="52"/>
        <v>66814.909999999931</v>
      </c>
      <c r="I136" s="451">
        <f t="shared" si="53"/>
        <v>6</v>
      </c>
      <c r="J136" s="298">
        <f t="shared" si="63"/>
        <v>351049.75999999972</v>
      </c>
      <c r="K136" s="298">
        <f t="shared" si="80"/>
        <v>2701.27</v>
      </c>
      <c r="L136" s="298">
        <f t="shared" si="73"/>
        <v>434.07000000000016</v>
      </c>
      <c r="M136" s="298">
        <f t="shared" si="81"/>
        <v>2267.1999999999998</v>
      </c>
      <c r="N136" s="298">
        <f t="shared" si="64"/>
        <v>26439.310000000005</v>
      </c>
      <c r="O136" s="298">
        <f t="shared" si="65"/>
        <v>181558.48000000007</v>
      </c>
      <c r="P136" s="298">
        <f t="shared" si="54"/>
        <v>350615.68999999971</v>
      </c>
      <c r="Q136" s="542">
        <f t="shared" si="55"/>
        <v>48039</v>
      </c>
      <c r="R136" s="298">
        <f t="shared" si="79"/>
        <v>288561.13000000012</v>
      </c>
      <c r="S136" s="535">
        <f t="shared" si="66"/>
        <v>7.7499999999999999E-2</v>
      </c>
      <c r="T136" s="298">
        <f t="shared" si="56"/>
        <v>3493.12</v>
      </c>
      <c r="U136" s="298">
        <f t="shared" si="82"/>
        <v>1629.5</v>
      </c>
      <c r="V136" s="298">
        <f t="shared" si="57"/>
        <v>1863.62</v>
      </c>
      <c r="W136" s="298">
        <f t="shared" si="76"/>
        <v>0</v>
      </c>
      <c r="X136" s="298">
        <f t="shared" si="76"/>
        <v>0</v>
      </c>
      <c r="Y136" s="298">
        <f t="shared" si="83"/>
        <v>3493.12</v>
      </c>
      <c r="Z136" s="298">
        <f t="shared" si="84"/>
        <v>90123.37</v>
      </c>
      <c r="AA136" s="298">
        <f t="shared" si="85"/>
        <v>114644.37</v>
      </c>
      <c r="AB136" s="298">
        <f t="shared" si="58"/>
        <v>286931.63000000012</v>
      </c>
      <c r="AC136" s="451">
        <f t="shared" si="67"/>
        <v>76</v>
      </c>
      <c r="AD136" s="552">
        <f t="shared" si="68"/>
        <v>3230.0499999999802</v>
      </c>
      <c r="AE136" s="552">
        <f t="shared" si="77"/>
        <v>220116.7200000002</v>
      </c>
      <c r="AF136" s="552">
        <f t="shared" si="78"/>
        <v>223346.77000000019</v>
      </c>
      <c r="AG136" s="552">
        <f t="shared" si="69"/>
        <v>3059.17</v>
      </c>
      <c r="AH136" s="552">
        <f t="shared" si="70"/>
        <v>311259.01</v>
      </c>
      <c r="AI136" s="552"/>
      <c r="AJ136" s="14">
        <f t="shared" si="86"/>
        <v>3059.17</v>
      </c>
      <c r="AK136" s="14">
        <f t="shared" si="87"/>
        <v>170485.69000000006</v>
      </c>
      <c r="AL136" s="552">
        <f>IF(R136&lt;=0,0,+([1]Profit!$B$4+AM135)*$AL$1/12)</f>
        <v>1266.0864102538249</v>
      </c>
      <c r="AM136" s="14">
        <f t="shared" si="71"/>
        <v>88800.650511783751</v>
      </c>
    </row>
    <row r="137" spans="1:39" x14ac:dyDescent="0.25">
      <c r="A137" s="542">
        <f t="shared" si="59"/>
        <v>48069</v>
      </c>
      <c r="B137" s="298">
        <f t="shared" si="60"/>
        <v>66814.909999999931</v>
      </c>
      <c r="C137" s="14">
        <f t="shared" si="50"/>
        <v>433.95</v>
      </c>
      <c r="D137" s="14">
        <f t="shared" si="72"/>
        <v>169.46999999999997</v>
      </c>
      <c r="E137" s="14">
        <f t="shared" si="51"/>
        <v>264.48</v>
      </c>
      <c r="F137" s="298">
        <f t="shared" si="61"/>
        <v>16872.350000000002</v>
      </c>
      <c r="G137" s="298">
        <f t="shared" si="62"/>
        <v>36832.789999999994</v>
      </c>
      <c r="H137" s="298">
        <f t="shared" si="52"/>
        <v>66645.43999999993</v>
      </c>
      <c r="I137" s="451">
        <f t="shared" si="53"/>
        <v>6</v>
      </c>
      <c r="J137" s="298">
        <f t="shared" si="63"/>
        <v>350615.68999999971</v>
      </c>
      <c r="K137" s="298">
        <f t="shared" si="80"/>
        <v>2701.27</v>
      </c>
      <c r="L137" s="298">
        <f t="shared" si="73"/>
        <v>436.88000000000011</v>
      </c>
      <c r="M137" s="298">
        <f t="shared" si="81"/>
        <v>2264.39</v>
      </c>
      <c r="N137" s="298">
        <f t="shared" si="64"/>
        <v>26876.190000000006</v>
      </c>
      <c r="O137" s="298">
        <f t="shared" si="65"/>
        <v>183822.87000000008</v>
      </c>
      <c r="P137" s="298">
        <f t="shared" si="54"/>
        <v>350178.80999999971</v>
      </c>
      <c r="Q137" s="542">
        <f t="shared" si="55"/>
        <v>48069</v>
      </c>
      <c r="R137" s="298">
        <f t="shared" si="79"/>
        <v>286931.63000000012</v>
      </c>
      <c r="S137" s="535">
        <f t="shared" si="66"/>
        <v>7.7499999999999999E-2</v>
      </c>
      <c r="T137" s="298">
        <f t="shared" si="56"/>
        <v>3493.12</v>
      </c>
      <c r="U137" s="298">
        <f t="shared" si="82"/>
        <v>1640.02</v>
      </c>
      <c r="V137" s="298">
        <f t="shared" si="57"/>
        <v>1853.1</v>
      </c>
      <c r="W137" s="298">
        <f t="shared" si="76"/>
        <v>0</v>
      </c>
      <c r="X137" s="298">
        <f t="shared" si="76"/>
        <v>0</v>
      </c>
      <c r="Y137" s="298">
        <f t="shared" si="83"/>
        <v>3493.12</v>
      </c>
      <c r="Z137" s="298">
        <f t="shared" si="84"/>
        <v>91763.39</v>
      </c>
      <c r="AA137" s="298">
        <f t="shared" si="85"/>
        <v>116497.47</v>
      </c>
      <c r="AB137" s="298">
        <f t="shared" si="58"/>
        <v>285291.6100000001</v>
      </c>
      <c r="AC137" s="451">
        <f t="shared" si="67"/>
        <v>77</v>
      </c>
      <c r="AD137" s="552">
        <f t="shared" si="68"/>
        <v>2438.1999999999803</v>
      </c>
      <c r="AE137" s="552">
        <f t="shared" si="77"/>
        <v>218646.17000000016</v>
      </c>
      <c r="AF137" s="552">
        <f t="shared" si="78"/>
        <v>221084.37000000014</v>
      </c>
      <c r="AG137" s="552">
        <f t="shared" si="69"/>
        <v>3059.17</v>
      </c>
      <c r="AH137" s="552">
        <f t="shared" si="70"/>
        <v>309788.45999999996</v>
      </c>
      <c r="AI137" s="552"/>
      <c r="AJ137" s="14">
        <f t="shared" si="86"/>
        <v>3059.17</v>
      </c>
      <c r="AK137" s="14">
        <f t="shared" si="87"/>
        <v>173544.86000000007</v>
      </c>
      <c r="AL137" s="552">
        <f>IF(R137&lt;=0,0,+([1]Profit!$B$4+AM136)*$AL$1/12)</f>
        <v>1269.2516262794595</v>
      </c>
      <c r="AM137" s="14">
        <f t="shared" si="71"/>
        <v>90069.902138063204</v>
      </c>
    </row>
    <row r="138" spans="1:39" x14ac:dyDescent="0.25">
      <c r="A138" s="542">
        <f t="shared" si="59"/>
        <v>48099</v>
      </c>
      <c r="B138" s="298">
        <f t="shared" si="60"/>
        <v>66645.43999999993</v>
      </c>
      <c r="C138" s="14">
        <f t="shared" si="50"/>
        <v>433.95</v>
      </c>
      <c r="D138" s="14">
        <f t="shared" si="72"/>
        <v>170.14999999999998</v>
      </c>
      <c r="E138" s="14">
        <f t="shared" si="51"/>
        <v>263.8</v>
      </c>
      <c r="F138" s="298">
        <f t="shared" si="61"/>
        <v>17042.500000000004</v>
      </c>
      <c r="G138" s="298">
        <f t="shared" si="62"/>
        <v>37096.589999999997</v>
      </c>
      <c r="H138" s="298">
        <f t="shared" si="52"/>
        <v>66475.289999999935</v>
      </c>
      <c r="I138" s="451">
        <f t="shared" si="53"/>
        <v>6</v>
      </c>
      <c r="J138" s="298">
        <f t="shared" si="63"/>
        <v>350178.80999999971</v>
      </c>
      <c r="K138" s="298">
        <f t="shared" si="80"/>
        <v>2701.27</v>
      </c>
      <c r="L138" s="298">
        <f t="shared" si="73"/>
        <v>439.69999999999982</v>
      </c>
      <c r="M138" s="298">
        <f t="shared" si="81"/>
        <v>2261.5700000000002</v>
      </c>
      <c r="N138" s="298">
        <f t="shared" si="64"/>
        <v>27315.890000000007</v>
      </c>
      <c r="O138" s="298">
        <f t="shared" si="65"/>
        <v>186084.44000000009</v>
      </c>
      <c r="P138" s="298">
        <f t="shared" si="54"/>
        <v>349739.10999999969</v>
      </c>
      <c r="Q138" s="542">
        <f t="shared" si="55"/>
        <v>48099</v>
      </c>
      <c r="R138" s="298">
        <f t="shared" si="79"/>
        <v>285291.6100000001</v>
      </c>
      <c r="S138" s="535">
        <f t="shared" si="66"/>
        <v>7.7499999999999999E-2</v>
      </c>
      <c r="T138" s="298">
        <f t="shared" si="56"/>
        <v>3493.12</v>
      </c>
      <c r="U138" s="298">
        <f t="shared" si="82"/>
        <v>1650.61</v>
      </c>
      <c r="V138" s="298">
        <f t="shared" si="57"/>
        <v>1842.51</v>
      </c>
      <c r="W138" s="298">
        <f t="shared" si="76"/>
        <v>0</v>
      </c>
      <c r="X138" s="298">
        <f t="shared" si="76"/>
        <v>0</v>
      </c>
      <c r="Y138" s="298">
        <f t="shared" si="83"/>
        <v>3493.12</v>
      </c>
      <c r="Z138" s="298">
        <f t="shared" si="84"/>
        <v>93414</v>
      </c>
      <c r="AA138" s="298">
        <f t="shared" si="85"/>
        <v>118339.98</v>
      </c>
      <c r="AB138" s="298">
        <f t="shared" si="58"/>
        <v>283641.00000000012</v>
      </c>
      <c r="AC138" s="451">
        <f t="shared" si="67"/>
        <v>78</v>
      </c>
      <c r="AD138" s="552">
        <f t="shared" si="68"/>
        <v>1646.3499999999804</v>
      </c>
      <c r="AE138" s="552">
        <f t="shared" si="77"/>
        <v>217165.7100000002</v>
      </c>
      <c r="AF138" s="552">
        <f t="shared" si="78"/>
        <v>218812.06000000017</v>
      </c>
      <c r="AG138" s="552">
        <f t="shared" si="69"/>
        <v>3059.17</v>
      </c>
      <c r="AH138" s="552">
        <f t="shared" si="70"/>
        <v>308308</v>
      </c>
      <c r="AI138" s="552"/>
      <c r="AJ138" s="14">
        <f t="shared" si="86"/>
        <v>3059.17</v>
      </c>
      <c r="AK138" s="14">
        <f t="shared" si="87"/>
        <v>176604.03000000009</v>
      </c>
      <c r="AL138" s="552">
        <f>IF(R138&lt;=0,0,+([1]Profit!$B$4+AM137)*$AL$1/12)</f>
        <v>1272.424755345158</v>
      </c>
      <c r="AM138" s="14">
        <f t="shared" si="71"/>
        <v>91342.326893408361</v>
      </c>
    </row>
    <row r="139" spans="1:39" x14ac:dyDescent="0.25">
      <c r="A139" s="542">
        <f t="shared" si="59"/>
        <v>48129</v>
      </c>
      <c r="B139" s="298">
        <f t="shared" si="60"/>
        <v>66475.289999999935</v>
      </c>
      <c r="C139" s="14">
        <f t="shared" si="50"/>
        <v>433.95</v>
      </c>
      <c r="D139" s="14">
        <f t="shared" si="72"/>
        <v>170.82</v>
      </c>
      <c r="E139" s="14">
        <f t="shared" si="51"/>
        <v>263.13</v>
      </c>
      <c r="F139" s="298">
        <f t="shared" si="61"/>
        <v>17213.320000000003</v>
      </c>
      <c r="G139" s="298">
        <f t="shared" si="62"/>
        <v>37359.719999999994</v>
      </c>
      <c r="H139" s="298">
        <f t="shared" si="52"/>
        <v>66304.469999999928</v>
      </c>
      <c r="I139" s="451">
        <f t="shared" si="53"/>
        <v>6</v>
      </c>
      <c r="J139" s="298">
        <f t="shared" si="63"/>
        <v>349739.10999999969</v>
      </c>
      <c r="K139" s="298">
        <f t="shared" si="80"/>
        <v>2701.27</v>
      </c>
      <c r="L139" s="298">
        <f t="shared" si="73"/>
        <v>442.53999999999996</v>
      </c>
      <c r="M139" s="298">
        <f t="shared" si="81"/>
        <v>2258.73</v>
      </c>
      <c r="N139" s="298">
        <f t="shared" si="64"/>
        <v>27758.430000000008</v>
      </c>
      <c r="O139" s="298">
        <f t="shared" si="65"/>
        <v>188343.1700000001</v>
      </c>
      <c r="P139" s="298">
        <f t="shared" si="54"/>
        <v>349296.56999999972</v>
      </c>
      <c r="Q139" s="542">
        <f t="shared" si="55"/>
        <v>48129</v>
      </c>
      <c r="R139" s="298">
        <f t="shared" si="79"/>
        <v>283641.00000000012</v>
      </c>
      <c r="S139" s="535">
        <f t="shared" si="66"/>
        <v>7.7499999999999999E-2</v>
      </c>
      <c r="T139" s="298">
        <f t="shared" si="56"/>
        <v>3493.12</v>
      </c>
      <c r="U139" s="298">
        <f t="shared" si="82"/>
        <v>1661.27</v>
      </c>
      <c r="V139" s="298">
        <f t="shared" si="57"/>
        <v>1831.85</v>
      </c>
      <c r="W139" s="298">
        <f t="shared" si="76"/>
        <v>0</v>
      </c>
      <c r="X139" s="298">
        <f t="shared" si="76"/>
        <v>0</v>
      </c>
      <c r="Y139" s="298">
        <f t="shared" si="83"/>
        <v>3493.12</v>
      </c>
      <c r="Z139" s="298">
        <f t="shared" si="84"/>
        <v>95075.27</v>
      </c>
      <c r="AA139" s="298">
        <f t="shared" si="85"/>
        <v>120171.83</v>
      </c>
      <c r="AB139" s="298">
        <f t="shared" si="58"/>
        <v>281979.7300000001</v>
      </c>
      <c r="AC139" s="451">
        <f t="shared" si="67"/>
        <v>79</v>
      </c>
      <c r="AD139" s="552">
        <f t="shared" si="68"/>
        <v>854.49999999998045</v>
      </c>
      <c r="AE139" s="552">
        <f t="shared" si="77"/>
        <v>215675.26000000018</v>
      </c>
      <c r="AF139" s="552">
        <f t="shared" si="78"/>
        <v>216529.76000000015</v>
      </c>
      <c r="AG139" s="552">
        <f t="shared" si="69"/>
        <v>3059.17</v>
      </c>
      <c r="AH139" s="552">
        <f t="shared" si="70"/>
        <v>306817.55</v>
      </c>
      <c r="AI139" s="552"/>
      <c r="AJ139" s="14">
        <f t="shared" si="86"/>
        <v>3059.17</v>
      </c>
      <c r="AK139" s="14">
        <f t="shared" si="87"/>
        <v>179663.2000000001</v>
      </c>
      <c r="AL139" s="552">
        <f>IF(R139&lt;=0,0,+([1]Profit!$B$4+AM138)*$AL$1/12)</f>
        <v>1275.6058172335208</v>
      </c>
      <c r="AM139" s="14">
        <f t="shared" si="71"/>
        <v>92617.932710641879</v>
      </c>
    </row>
    <row r="140" spans="1:39" x14ac:dyDescent="0.25">
      <c r="A140" s="542">
        <f t="shared" si="59"/>
        <v>48159</v>
      </c>
      <c r="B140" s="298">
        <f t="shared" si="60"/>
        <v>66304.469999999928</v>
      </c>
      <c r="C140" s="14">
        <f t="shared" si="50"/>
        <v>433.95</v>
      </c>
      <c r="D140" s="14">
        <f t="shared" si="72"/>
        <v>171.49</v>
      </c>
      <c r="E140" s="14">
        <f t="shared" si="51"/>
        <v>262.45999999999998</v>
      </c>
      <c r="F140" s="298">
        <f t="shared" si="61"/>
        <v>17384.810000000005</v>
      </c>
      <c r="G140" s="298">
        <f t="shared" si="62"/>
        <v>37622.179999999993</v>
      </c>
      <c r="H140" s="298">
        <f t="shared" si="52"/>
        <v>66132.979999999923</v>
      </c>
      <c r="I140" s="451">
        <f t="shared" si="53"/>
        <v>6</v>
      </c>
      <c r="J140" s="298">
        <f t="shared" si="63"/>
        <v>349296.56999999972</v>
      </c>
      <c r="K140" s="298">
        <f t="shared" si="80"/>
        <v>2701.27</v>
      </c>
      <c r="L140" s="298">
        <f t="shared" si="73"/>
        <v>445.40000000000009</v>
      </c>
      <c r="M140" s="298">
        <f t="shared" si="81"/>
        <v>2255.87</v>
      </c>
      <c r="N140" s="298">
        <f t="shared" si="64"/>
        <v>28203.830000000009</v>
      </c>
      <c r="O140" s="298">
        <f t="shared" si="65"/>
        <v>190599.0400000001</v>
      </c>
      <c r="P140" s="298">
        <f t="shared" si="54"/>
        <v>348851.16999999969</v>
      </c>
      <c r="Q140" s="542">
        <f t="shared" si="55"/>
        <v>48159</v>
      </c>
      <c r="R140" s="298">
        <f t="shared" si="79"/>
        <v>281979.7300000001</v>
      </c>
      <c r="S140" s="535">
        <f t="shared" si="66"/>
        <v>7.7499999999999999E-2</v>
      </c>
      <c r="T140" s="298">
        <f t="shared" si="56"/>
        <v>3493.12</v>
      </c>
      <c r="U140" s="298">
        <f t="shared" si="82"/>
        <v>1672</v>
      </c>
      <c r="V140" s="298">
        <f t="shared" si="57"/>
        <v>1821.12</v>
      </c>
      <c r="W140" s="298">
        <f t="shared" ref="W140:X155" si="88">+W139</f>
        <v>0</v>
      </c>
      <c r="X140" s="298">
        <f t="shared" si="88"/>
        <v>0</v>
      </c>
      <c r="Y140" s="298">
        <f t="shared" si="83"/>
        <v>3493.12</v>
      </c>
      <c r="Z140" s="298">
        <f t="shared" si="84"/>
        <v>96747.27</v>
      </c>
      <c r="AA140" s="298">
        <f t="shared" si="85"/>
        <v>121992.95</v>
      </c>
      <c r="AB140" s="298">
        <f t="shared" si="58"/>
        <v>280307.7300000001</v>
      </c>
      <c r="AC140" s="451">
        <f t="shared" si="67"/>
        <v>80</v>
      </c>
      <c r="AD140" s="552">
        <f t="shared" si="68"/>
        <v>62.649999999980537</v>
      </c>
      <c r="AE140" s="552">
        <f t="shared" si="77"/>
        <v>214174.75000000017</v>
      </c>
      <c r="AF140" s="552">
        <f t="shared" si="78"/>
        <v>214237.40000000017</v>
      </c>
      <c r="AG140" s="552">
        <f t="shared" si="69"/>
        <v>3059.17</v>
      </c>
      <c r="AH140" s="552">
        <f t="shared" si="70"/>
        <v>305317.03999999998</v>
      </c>
      <c r="AI140" s="552"/>
      <c r="AJ140" s="14">
        <f t="shared" si="86"/>
        <v>3059.17</v>
      </c>
      <c r="AK140" s="14">
        <f t="shared" si="87"/>
        <v>182722.37000000011</v>
      </c>
      <c r="AL140" s="552">
        <f>IF(R140&lt;=0,0,+([1]Profit!$B$4+AM139)*$AL$1/12)</f>
        <v>1278.7948317766047</v>
      </c>
      <c r="AM140" s="14">
        <f t="shared" si="71"/>
        <v>93896.727542418477</v>
      </c>
    </row>
    <row r="141" spans="1:39" x14ac:dyDescent="0.25">
      <c r="A141" s="542">
        <f t="shared" si="59"/>
        <v>48189</v>
      </c>
      <c r="B141" s="298">
        <f t="shared" si="60"/>
        <v>66132.979999999923</v>
      </c>
      <c r="C141" s="14">
        <f t="shared" si="50"/>
        <v>433.95</v>
      </c>
      <c r="D141" s="14">
        <f t="shared" si="72"/>
        <v>172.17000000000002</v>
      </c>
      <c r="E141" s="14">
        <f t="shared" si="51"/>
        <v>261.77999999999997</v>
      </c>
      <c r="F141" s="298">
        <f t="shared" si="61"/>
        <v>17556.980000000003</v>
      </c>
      <c r="G141" s="298">
        <f t="shared" si="62"/>
        <v>37883.959999999992</v>
      </c>
      <c r="H141" s="298">
        <f t="shared" si="52"/>
        <v>65960.809999999925</v>
      </c>
      <c r="I141" s="451">
        <f t="shared" si="53"/>
        <v>6</v>
      </c>
      <c r="J141" s="298">
        <f t="shared" si="63"/>
        <v>348851.16999999969</v>
      </c>
      <c r="K141" s="298">
        <f t="shared" si="80"/>
        <v>2701.27</v>
      </c>
      <c r="L141" s="298">
        <f t="shared" si="73"/>
        <v>448.27</v>
      </c>
      <c r="M141" s="298">
        <f t="shared" si="81"/>
        <v>2253</v>
      </c>
      <c r="N141" s="298">
        <f t="shared" si="64"/>
        <v>28652.100000000009</v>
      </c>
      <c r="O141" s="298">
        <f t="shared" si="65"/>
        <v>192852.0400000001</v>
      </c>
      <c r="P141" s="298">
        <f t="shared" si="54"/>
        <v>348402.89999999967</v>
      </c>
      <c r="Q141" s="542">
        <f t="shared" si="55"/>
        <v>48189</v>
      </c>
      <c r="R141" s="298">
        <f t="shared" si="79"/>
        <v>280307.7300000001</v>
      </c>
      <c r="S141" s="535">
        <f t="shared" si="66"/>
        <v>7.7499999999999999E-2</v>
      </c>
      <c r="T141" s="298">
        <f t="shared" si="56"/>
        <v>3493.12</v>
      </c>
      <c r="U141" s="298">
        <f t="shared" si="82"/>
        <v>1682.8</v>
      </c>
      <c r="V141" s="298">
        <f t="shared" si="57"/>
        <v>1810.32</v>
      </c>
      <c r="W141" s="298">
        <f t="shared" si="88"/>
        <v>0</v>
      </c>
      <c r="X141" s="298">
        <f t="shared" si="88"/>
        <v>0</v>
      </c>
      <c r="Y141" s="298">
        <f t="shared" si="83"/>
        <v>3493.12</v>
      </c>
      <c r="Z141" s="298">
        <f t="shared" si="84"/>
        <v>98430.07</v>
      </c>
      <c r="AA141" s="298">
        <f t="shared" si="85"/>
        <v>123803.27</v>
      </c>
      <c r="AB141" s="298">
        <f t="shared" si="58"/>
        <v>278624.93000000011</v>
      </c>
      <c r="AC141" s="451">
        <f t="shared" si="67"/>
        <v>81</v>
      </c>
      <c r="AD141" s="552">
        <f t="shared" si="68"/>
        <v>-729.20000000001937</v>
      </c>
      <c r="AE141" s="552">
        <f t="shared" si="77"/>
        <v>212664.12000000017</v>
      </c>
      <c r="AF141" s="552">
        <f t="shared" si="78"/>
        <v>211934.92000000016</v>
      </c>
      <c r="AG141" s="552">
        <f t="shared" si="69"/>
        <v>3059.17</v>
      </c>
      <c r="AH141" s="552">
        <f t="shared" si="70"/>
        <v>303806.40999999997</v>
      </c>
      <c r="AI141" s="552"/>
      <c r="AJ141" s="14">
        <f t="shared" si="86"/>
        <v>3059.17</v>
      </c>
      <c r="AK141" s="14">
        <f t="shared" si="87"/>
        <v>185781.54000000012</v>
      </c>
      <c r="AL141" s="552">
        <f>IF(R141&lt;=0,0,+([1]Profit!$B$4+AM140)*$AL$1/12)</f>
        <v>1281.9918188560462</v>
      </c>
      <c r="AM141" s="14">
        <f t="shared" si="71"/>
        <v>95178.719361274518</v>
      </c>
    </row>
    <row r="142" spans="1:39" x14ac:dyDescent="0.25">
      <c r="A142" s="542">
        <f t="shared" si="59"/>
        <v>48219</v>
      </c>
      <c r="B142" s="298">
        <f t="shared" si="60"/>
        <v>65960.809999999925</v>
      </c>
      <c r="C142" s="14">
        <f t="shared" si="50"/>
        <v>433.95</v>
      </c>
      <c r="D142" s="14">
        <f t="shared" si="72"/>
        <v>172.86</v>
      </c>
      <c r="E142" s="14">
        <f t="shared" si="51"/>
        <v>261.08999999999997</v>
      </c>
      <c r="F142" s="298">
        <f t="shared" si="61"/>
        <v>17729.840000000004</v>
      </c>
      <c r="G142" s="298">
        <f t="shared" si="62"/>
        <v>38145.049999999988</v>
      </c>
      <c r="H142" s="298">
        <f t="shared" si="52"/>
        <v>65787.949999999924</v>
      </c>
      <c r="I142" s="451">
        <f t="shared" si="53"/>
        <v>6</v>
      </c>
      <c r="J142" s="298">
        <f t="shared" si="63"/>
        <v>348402.89999999967</v>
      </c>
      <c r="K142" s="298">
        <f t="shared" si="80"/>
        <v>2701.27</v>
      </c>
      <c r="L142" s="298">
        <f t="shared" si="73"/>
        <v>451.17000000000007</v>
      </c>
      <c r="M142" s="298">
        <f t="shared" si="81"/>
        <v>2250.1</v>
      </c>
      <c r="N142" s="298">
        <f t="shared" si="64"/>
        <v>29103.270000000011</v>
      </c>
      <c r="O142" s="298">
        <f t="shared" si="65"/>
        <v>195102.1400000001</v>
      </c>
      <c r="P142" s="298">
        <f t="shared" si="54"/>
        <v>347951.72999999969</v>
      </c>
      <c r="Q142" s="542">
        <f t="shared" si="55"/>
        <v>48219</v>
      </c>
      <c r="R142" s="298">
        <f t="shared" si="79"/>
        <v>278624.93000000011</v>
      </c>
      <c r="S142" s="535">
        <f t="shared" si="66"/>
        <v>7.7499999999999999E-2</v>
      </c>
      <c r="T142" s="298">
        <f t="shared" si="56"/>
        <v>3493.12</v>
      </c>
      <c r="U142" s="298">
        <f t="shared" si="82"/>
        <v>1693.6699999999998</v>
      </c>
      <c r="V142" s="298">
        <f t="shared" si="57"/>
        <v>1799.45</v>
      </c>
      <c r="W142" s="298">
        <f t="shared" si="88"/>
        <v>0</v>
      </c>
      <c r="X142" s="298">
        <f t="shared" si="88"/>
        <v>0</v>
      </c>
      <c r="Y142" s="298">
        <f t="shared" si="83"/>
        <v>3493.12</v>
      </c>
      <c r="Z142" s="298">
        <f t="shared" si="84"/>
        <v>100123.74</v>
      </c>
      <c r="AA142" s="298">
        <f t="shared" si="85"/>
        <v>125602.72</v>
      </c>
      <c r="AB142" s="298">
        <f t="shared" si="58"/>
        <v>276931.26000000013</v>
      </c>
      <c r="AC142" s="451">
        <f t="shared" si="67"/>
        <v>82</v>
      </c>
      <c r="AD142" s="552">
        <f t="shared" si="68"/>
        <v>-1521.0500000000193</v>
      </c>
      <c r="AE142" s="552">
        <f t="shared" si="77"/>
        <v>211143.3100000002</v>
      </c>
      <c r="AF142" s="552">
        <f t="shared" si="78"/>
        <v>209622.26000000018</v>
      </c>
      <c r="AG142" s="552">
        <f t="shared" si="69"/>
        <v>3059.17</v>
      </c>
      <c r="AH142" s="552">
        <f t="shared" si="70"/>
        <v>302285.60000000003</v>
      </c>
      <c r="AI142" s="552"/>
      <c r="AJ142" s="14">
        <f t="shared" si="86"/>
        <v>3059.17</v>
      </c>
      <c r="AK142" s="14">
        <f t="shared" si="87"/>
        <v>188840.71000000014</v>
      </c>
      <c r="AL142" s="552">
        <f>IF(R142&lt;=0,0,+([1]Profit!$B$4+AM141)*$AL$1/12)</f>
        <v>1285.1967984031862</v>
      </c>
      <c r="AM142" s="14">
        <f t="shared" si="71"/>
        <v>96463.916159677698</v>
      </c>
    </row>
    <row r="143" spans="1:39" x14ac:dyDescent="0.25">
      <c r="A143" s="542">
        <f t="shared" si="59"/>
        <v>48249</v>
      </c>
      <c r="B143" s="298">
        <f t="shared" si="60"/>
        <v>65787.949999999924</v>
      </c>
      <c r="C143" s="14">
        <f t="shared" ref="C143:C206" si="89">IF(+$H142&lt;=0,0,$C$5)</f>
        <v>433.95</v>
      </c>
      <c r="D143" s="14">
        <f t="shared" si="72"/>
        <v>173.53999999999996</v>
      </c>
      <c r="E143" s="14">
        <f t="shared" ref="E143:E206" si="90">ROUND($B143*($C$3/12), 2)</f>
        <v>260.41000000000003</v>
      </c>
      <c r="F143" s="298">
        <f t="shared" si="61"/>
        <v>17903.380000000005</v>
      </c>
      <c r="G143" s="298">
        <f t="shared" si="62"/>
        <v>38405.459999999992</v>
      </c>
      <c r="H143" s="298">
        <f t="shared" ref="H143:H206" si="91">+B143-D143</f>
        <v>65614.409999999931</v>
      </c>
      <c r="I143" s="451">
        <f t="shared" ref="I143:I206" si="92">IF(MOD(AC143,12)=0,AC143/12,I142)</f>
        <v>6</v>
      </c>
      <c r="J143" s="298">
        <f t="shared" si="63"/>
        <v>347951.72999999969</v>
      </c>
      <c r="K143" s="298">
        <f t="shared" si="80"/>
        <v>2701.27</v>
      </c>
      <c r="L143" s="298">
        <f t="shared" si="73"/>
        <v>454.07999999999993</v>
      </c>
      <c r="M143" s="298">
        <f t="shared" si="81"/>
        <v>2247.19</v>
      </c>
      <c r="N143" s="298">
        <f t="shared" si="64"/>
        <v>29557.350000000013</v>
      </c>
      <c r="O143" s="298">
        <f t="shared" si="65"/>
        <v>197349.3300000001</v>
      </c>
      <c r="P143" s="298">
        <f t="shared" ref="P143:P206" si="93">+J143-L143</f>
        <v>347497.64999999967</v>
      </c>
      <c r="Q143" s="542">
        <f t="shared" ref="Q143:Q206" si="94">+A143</f>
        <v>48249</v>
      </c>
      <c r="R143" s="298">
        <f t="shared" si="79"/>
        <v>276931.26000000013</v>
      </c>
      <c r="S143" s="535">
        <f t="shared" si="66"/>
        <v>7.7499999999999999E-2</v>
      </c>
      <c r="T143" s="298">
        <f t="shared" ref="T143:T206" si="95">IF($J$10&lt;=$A143,IF(+AB142&lt;=0,0,IF(S143=$T$9,$S$9,$S$10)),0)</f>
        <v>3493.12</v>
      </c>
      <c r="U143" s="298">
        <f t="shared" si="82"/>
        <v>1704.61</v>
      </c>
      <c r="V143" s="298">
        <f t="shared" ref="V143:V206" si="96">IF($J$10&lt;=$A143,ROUND(R143*(S143/12),2),0)</f>
        <v>1788.51</v>
      </c>
      <c r="W143" s="298">
        <f t="shared" si="88"/>
        <v>0</v>
      </c>
      <c r="X143" s="298">
        <f t="shared" si="88"/>
        <v>0</v>
      </c>
      <c r="Y143" s="298">
        <f t="shared" si="83"/>
        <v>3493.12</v>
      </c>
      <c r="Z143" s="298">
        <f t="shared" si="84"/>
        <v>101828.35</v>
      </c>
      <c r="AA143" s="298">
        <f t="shared" si="85"/>
        <v>127391.23</v>
      </c>
      <c r="AB143" s="298">
        <f t="shared" ref="AB143:AB206" si="97">IF(Q143&lt;$J$10,$J$6,+R143-U143)</f>
        <v>275226.65000000014</v>
      </c>
      <c r="AC143" s="451">
        <f t="shared" si="67"/>
        <v>83</v>
      </c>
      <c r="AD143" s="552">
        <f t="shared" si="68"/>
        <v>-2312.9000000000192</v>
      </c>
      <c r="AE143" s="552">
        <f t="shared" si="77"/>
        <v>209612.24000000022</v>
      </c>
      <c r="AF143" s="552">
        <f t="shared" si="78"/>
        <v>207299.3400000002</v>
      </c>
      <c r="AG143" s="552">
        <f t="shared" si="69"/>
        <v>3059.17</v>
      </c>
      <c r="AH143" s="552">
        <f t="shared" si="70"/>
        <v>300754.53000000003</v>
      </c>
      <c r="AI143" s="552"/>
      <c r="AJ143" s="14">
        <f t="shared" si="86"/>
        <v>3059.17</v>
      </c>
      <c r="AK143" s="14">
        <f t="shared" si="87"/>
        <v>191899.88000000015</v>
      </c>
      <c r="AL143" s="552">
        <f>IF(R143&lt;=0,0,+([1]Profit!$B$4+AM142)*$AL$1/12)</f>
        <v>1288.409790399194</v>
      </c>
      <c r="AM143" s="14">
        <f t="shared" si="71"/>
        <v>97752.325950076891</v>
      </c>
    </row>
    <row r="144" spans="1:39" x14ac:dyDescent="0.25">
      <c r="A144" s="542">
        <f t="shared" ref="A144:A207" si="98">IF(H144&lt;=0," ",+A143+30)</f>
        <v>48279</v>
      </c>
      <c r="B144" s="298">
        <f t="shared" ref="B144:B207" si="99">IF(+H143&lt;0,0,+H143)</f>
        <v>65614.409999999931</v>
      </c>
      <c r="C144" s="14">
        <f t="shared" si="89"/>
        <v>433.95</v>
      </c>
      <c r="D144" s="14">
        <f t="shared" si="72"/>
        <v>174.22999999999996</v>
      </c>
      <c r="E144" s="14">
        <f t="shared" si="90"/>
        <v>259.72000000000003</v>
      </c>
      <c r="F144" s="298">
        <f t="shared" ref="F144:F207" si="100">$D144+$F143</f>
        <v>18077.610000000004</v>
      </c>
      <c r="G144" s="298">
        <f t="shared" ref="G144:G207" si="101">$E144+$G143</f>
        <v>38665.179999999993</v>
      </c>
      <c r="H144" s="298">
        <f t="shared" si="91"/>
        <v>65440.179999999928</v>
      </c>
      <c r="I144" s="451">
        <f t="shared" si="92"/>
        <v>7</v>
      </c>
      <c r="J144" s="298">
        <f t="shared" ref="J144:J207" si="102">IF(+P143&lt;0,0,+P143)</f>
        <v>347497.64999999967</v>
      </c>
      <c r="K144" s="298">
        <f t="shared" si="80"/>
        <v>2701.27</v>
      </c>
      <c r="L144" s="298">
        <f t="shared" si="73"/>
        <v>457.00999999999976</v>
      </c>
      <c r="M144" s="298">
        <f t="shared" si="81"/>
        <v>2244.2600000000002</v>
      </c>
      <c r="N144" s="298">
        <f t="shared" ref="N144:N207" si="103">+L144+N143</f>
        <v>30014.360000000011</v>
      </c>
      <c r="O144" s="298">
        <f t="shared" ref="O144:O207" si="104">+O143+M144</f>
        <v>199593.59000000011</v>
      </c>
      <c r="P144" s="298">
        <f t="shared" si="93"/>
        <v>347040.63999999966</v>
      </c>
      <c r="Q144" s="542">
        <f t="shared" si="94"/>
        <v>48279</v>
      </c>
      <c r="R144" s="298">
        <f t="shared" si="79"/>
        <v>275226.65000000014</v>
      </c>
      <c r="S144" s="535">
        <f t="shared" ref="S144:S207" si="105">IF(AC144&gt;60,$T$10,$T$9)</f>
        <v>7.7499999999999999E-2</v>
      </c>
      <c r="T144" s="298">
        <f t="shared" si="95"/>
        <v>3493.12</v>
      </c>
      <c r="U144" s="298">
        <f t="shared" si="82"/>
        <v>1715.61</v>
      </c>
      <c r="V144" s="298">
        <f t="shared" si="96"/>
        <v>1777.51</v>
      </c>
      <c r="W144" s="298">
        <f t="shared" si="88"/>
        <v>0</v>
      </c>
      <c r="X144" s="298">
        <f t="shared" si="88"/>
        <v>0</v>
      </c>
      <c r="Y144" s="298">
        <f t="shared" si="83"/>
        <v>3493.12</v>
      </c>
      <c r="Z144" s="298">
        <f t="shared" si="84"/>
        <v>103543.96</v>
      </c>
      <c r="AA144" s="298">
        <f t="shared" si="85"/>
        <v>129168.73999999999</v>
      </c>
      <c r="AB144" s="298">
        <f t="shared" si="97"/>
        <v>273511.04000000015</v>
      </c>
      <c r="AC144" s="451">
        <f t="shared" ref="AC144:AC207" si="106">IF(J144&lt;&gt;"",IF(J144=$J$6,0,+AC143+1),0)</f>
        <v>84</v>
      </c>
      <c r="AD144" s="552">
        <f t="shared" ref="AD144:AD207" si="107">K144-T144+AD143</f>
        <v>-3104.7500000000191</v>
      </c>
      <c r="AE144" s="552">
        <f t="shared" si="77"/>
        <v>208070.86000000022</v>
      </c>
      <c r="AF144" s="552">
        <f t="shared" si="78"/>
        <v>204966.11000000019</v>
      </c>
      <c r="AG144" s="552">
        <f t="shared" ref="AG144:AG207" si="108">IF(Q144&lt;=$C$10,0,+T144-$C144)</f>
        <v>3059.17</v>
      </c>
      <c r="AH144" s="552">
        <f t="shared" ref="AH144:AH207" si="109">IF(P144&lt;=0,0,+$T$5-$C$2+F144-Z144)</f>
        <v>299213.14999999997</v>
      </c>
      <c r="AI144" s="552"/>
      <c r="AJ144" s="14">
        <f t="shared" si="86"/>
        <v>3059.17</v>
      </c>
      <c r="AK144" s="14">
        <f t="shared" si="87"/>
        <v>194959.05000000016</v>
      </c>
      <c r="AL144" s="552">
        <f>IF(R144&lt;=0,0,+([1]Profit!$B$4+AM143)*$AL$1/12)</f>
        <v>1291.6308148751923</v>
      </c>
      <c r="AM144" s="14">
        <f t="shared" ref="AM144:AM207" si="110">IF(P144&lt;=0,0,+AM143+AL144)</f>
        <v>99043.956764952076</v>
      </c>
    </row>
    <row r="145" spans="1:39" x14ac:dyDescent="0.25">
      <c r="A145" s="542">
        <f t="shared" si="98"/>
        <v>48309</v>
      </c>
      <c r="B145" s="298">
        <f t="shared" si="99"/>
        <v>65440.179999999928</v>
      </c>
      <c r="C145" s="14">
        <f t="shared" si="89"/>
        <v>433.95</v>
      </c>
      <c r="D145" s="14">
        <f t="shared" ref="D145:D208" si="111">+C145-E145</f>
        <v>174.92000000000002</v>
      </c>
      <c r="E145" s="14">
        <f t="shared" si="90"/>
        <v>259.02999999999997</v>
      </c>
      <c r="F145" s="298">
        <f t="shared" si="100"/>
        <v>18252.530000000002</v>
      </c>
      <c r="G145" s="298">
        <f t="shared" si="101"/>
        <v>38924.209999999992</v>
      </c>
      <c r="H145" s="298">
        <f t="shared" si="91"/>
        <v>65265.259999999929</v>
      </c>
      <c r="I145" s="451">
        <f t="shared" si="92"/>
        <v>7</v>
      </c>
      <c r="J145" s="298">
        <f t="shared" si="102"/>
        <v>347040.63999999966</v>
      </c>
      <c r="K145" s="298">
        <f t="shared" si="80"/>
        <v>2701.27</v>
      </c>
      <c r="L145" s="298">
        <f t="shared" ref="L145:L208" si="112">+K145-M145</f>
        <v>459.9699999999998</v>
      </c>
      <c r="M145" s="298">
        <f t="shared" si="81"/>
        <v>2241.3000000000002</v>
      </c>
      <c r="N145" s="298">
        <f t="shared" si="103"/>
        <v>30474.330000000013</v>
      </c>
      <c r="O145" s="298">
        <f t="shared" si="104"/>
        <v>201834.8900000001</v>
      </c>
      <c r="P145" s="298">
        <f t="shared" si="93"/>
        <v>346580.66999999969</v>
      </c>
      <c r="Q145" s="542">
        <f t="shared" si="94"/>
        <v>48309</v>
      </c>
      <c r="R145" s="298">
        <f t="shared" si="79"/>
        <v>273511.04000000015</v>
      </c>
      <c r="S145" s="535">
        <f t="shared" si="105"/>
        <v>7.7499999999999999E-2</v>
      </c>
      <c r="T145" s="298">
        <f t="shared" si="95"/>
        <v>3493.12</v>
      </c>
      <c r="U145" s="298">
        <f t="shared" si="82"/>
        <v>1726.6899999999998</v>
      </c>
      <c r="V145" s="298">
        <f t="shared" si="96"/>
        <v>1766.43</v>
      </c>
      <c r="W145" s="298">
        <f t="shared" si="88"/>
        <v>0</v>
      </c>
      <c r="X145" s="298">
        <f t="shared" si="88"/>
        <v>0</v>
      </c>
      <c r="Y145" s="298">
        <f t="shared" si="83"/>
        <v>3493.12</v>
      </c>
      <c r="Z145" s="298">
        <f t="shared" si="84"/>
        <v>105270.65000000001</v>
      </c>
      <c r="AA145" s="298">
        <f t="shared" si="85"/>
        <v>130935.16999999998</v>
      </c>
      <c r="AB145" s="298">
        <f t="shared" si="97"/>
        <v>271784.35000000015</v>
      </c>
      <c r="AC145" s="451">
        <f t="shared" si="106"/>
        <v>85</v>
      </c>
      <c r="AD145" s="552">
        <f t="shared" si="107"/>
        <v>-3896.600000000019</v>
      </c>
      <c r="AE145" s="552">
        <f t="shared" si="77"/>
        <v>206519.09000000023</v>
      </c>
      <c r="AF145" s="552">
        <f t="shared" si="78"/>
        <v>202622.49000000022</v>
      </c>
      <c r="AG145" s="552">
        <f t="shared" si="108"/>
        <v>3059.17</v>
      </c>
      <c r="AH145" s="552">
        <f t="shared" si="109"/>
        <v>297661.38</v>
      </c>
      <c r="AI145" s="552"/>
      <c r="AJ145" s="14">
        <f t="shared" si="86"/>
        <v>3059.17</v>
      </c>
      <c r="AK145" s="14">
        <f t="shared" si="87"/>
        <v>198018.22000000018</v>
      </c>
      <c r="AL145" s="552">
        <f>IF(R145&lt;=0,0,+([1]Profit!$B$4+AM144)*$AL$1/12)</f>
        <v>1294.8598919123801</v>
      </c>
      <c r="AM145" s="14">
        <f t="shared" si="110"/>
        <v>100338.81665686445</v>
      </c>
    </row>
    <row r="146" spans="1:39" ht="15.75" thickBot="1" x14ac:dyDescent="0.3">
      <c r="A146" s="545">
        <f t="shared" si="98"/>
        <v>48339</v>
      </c>
      <c r="B146" s="371">
        <f t="shared" si="99"/>
        <v>65265.259999999929</v>
      </c>
      <c r="C146" s="21">
        <f t="shared" si="89"/>
        <v>433.95</v>
      </c>
      <c r="D146" s="21">
        <f t="shared" si="111"/>
        <v>175.61</v>
      </c>
      <c r="E146" s="21">
        <f t="shared" si="90"/>
        <v>258.33999999999997</v>
      </c>
      <c r="F146" s="371">
        <f t="shared" si="100"/>
        <v>18428.140000000003</v>
      </c>
      <c r="G146" s="371">
        <f t="shared" si="101"/>
        <v>39182.549999999988</v>
      </c>
      <c r="H146" s="371">
        <f t="shared" si="91"/>
        <v>65089.649999999929</v>
      </c>
      <c r="I146" s="452">
        <f t="shared" si="92"/>
        <v>7</v>
      </c>
      <c r="J146" s="371">
        <f t="shared" si="102"/>
        <v>346580.66999999969</v>
      </c>
      <c r="K146" s="371">
        <f t="shared" si="80"/>
        <v>2701.27</v>
      </c>
      <c r="L146" s="371">
        <f t="shared" si="112"/>
        <v>462.94000000000005</v>
      </c>
      <c r="M146" s="371">
        <f t="shared" si="81"/>
        <v>2238.33</v>
      </c>
      <c r="N146" s="371">
        <f t="shared" si="103"/>
        <v>30937.270000000011</v>
      </c>
      <c r="O146" s="371">
        <f t="shared" si="104"/>
        <v>204073.22000000009</v>
      </c>
      <c r="P146" s="371">
        <f t="shared" si="93"/>
        <v>346117.72999999969</v>
      </c>
      <c r="Q146" s="545">
        <f t="shared" si="94"/>
        <v>48339</v>
      </c>
      <c r="R146" s="371">
        <f t="shared" si="79"/>
        <v>271784.35000000015</v>
      </c>
      <c r="S146" s="536">
        <f t="shared" si="105"/>
        <v>7.7499999999999999E-2</v>
      </c>
      <c r="T146" s="371">
        <f t="shared" si="95"/>
        <v>3493.12</v>
      </c>
      <c r="U146" s="371">
        <f t="shared" si="82"/>
        <v>1737.85</v>
      </c>
      <c r="V146" s="371">
        <f t="shared" si="96"/>
        <v>1755.27</v>
      </c>
      <c r="W146" s="371">
        <f t="shared" si="88"/>
        <v>0</v>
      </c>
      <c r="X146" s="371">
        <f t="shared" si="88"/>
        <v>0</v>
      </c>
      <c r="Y146" s="371">
        <f t="shared" si="83"/>
        <v>3493.12</v>
      </c>
      <c r="Z146" s="371">
        <f t="shared" si="84"/>
        <v>107008.50000000001</v>
      </c>
      <c r="AA146" s="371">
        <f t="shared" si="85"/>
        <v>132690.43999999997</v>
      </c>
      <c r="AB146" s="371">
        <f t="shared" si="97"/>
        <v>270046.50000000017</v>
      </c>
      <c r="AC146" s="452">
        <f t="shared" si="106"/>
        <v>86</v>
      </c>
      <c r="AD146" s="553">
        <f t="shared" si="107"/>
        <v>-4688.4500000000189</v>
      </c>
      <c r="AE146" s="553">
        <f t="shared" si="77"/>
        <v>204956.85000000024</v>
      </c>
      <c r="AF146" s="553">
        <f t="shared" si="78"/>
        <v>200268.40000000023</v>
      </c>
      <c r="AG146" s="553">
        <f t="shared" si="108"/>
        <v>3059.17</v>
      </c>
      <c r="AH146" s="553">
        <f t="shared" si="109"/>
        <v>296099.14</v>
      </c>
      <c r="AI146" s="553"/>
      <c r="AJ146" s="21">
        <f t="shared" si="86"/>
        <v>3059.17</v>
      </c>
      <c r="AK146" s="21">
        <f t="shared" si="87"/>
        <v>201077.39000000019</v>
      </c>
      <c r="AL146" s="553">
        <f>IF(R146&lt;=0,0,+([1]Profit!$B$4+AM145)*$AL$1/12)</f>
        <v>1298.0970416421612</v>
      </c>
      <c r="AM146" s="21">
        <f t="shared" si="110"/>
        <v>101636.91369850661</v>
      </c>
    </row>
    <row r="147" spans="1:39" x14ac:dyDescent="0.25">
      <c r="A147" s="542">
        <f t="shared" si="98"/>
        <v>48369</v>
      </c>
      <c r="B147" s="298">
        <f t="shared" si="99"/>
        <v>65089.649999999929</v>
      </c>
      <c r="C147" s="14">
        <f t="shared" si="89"/>
        <v>433.95</v>
      </c>
      <c r="D147" s="14">
        <f t="shared" si="111"/>
        <v>176.3</v>
      </c>
      <c r="E147" s="14">
        <f t="shared" si="90"/>
        <v>257.64999999999998</v>
      </c>
      <c r="F147" s="298">
        <f t="shared" si="100"/>
        <v>18604.440000000002</v>
      </c>
      <c r="G147" s="298">
        <f t="shared" si="101"/>
        <v>39440.19999999999</v>
      </c>
      <c r="H147" s="298">
        <f t="shared" si="91"/>
        <v>64913.349999999926</v>
      </c>
      <c r="I147" s="451">
        <f t="shared" si="92"/>
        <v>7</v>
      </c>
      <c r="J147" s="298">
        <f t="shared" si="102"/>
        <v>346117.72999999969</v>
      </c>
      <c r="K147" s="298">
        <f t="shared" si="80"/>
        <v>2701.27</v>
      </c>
      <c r="L147" s="298">
        <f t="shared" si="112"/>
        <v>465.92999999999984</v>
      </c>
      <c r="M147" s="298">
        <f t="shared" si="81"/>
        <v>2235.34</v>
      </c>
      <c r="N147" s="298">
        <f t="shared" si="103"/>
        <v>31403.200000000012</v>
      </c>
      <c r="O147" s="298">
        <f t="shared" si="104"/>
        <v>206308.56000000008</v>
      </c>
      <c r="P147" s="298">
        <f t="shared" si="93"/>
        <v>345651.7999999997</v>
      </c>
      <c r="Q147" s="542">
        <f t="shared" si="94"/>
        <v>48369</v>
      </c>
      <c r="R147" s="298">
        <f t="shared" si="79"/>
        <v>270046.50000000017</v>
      </c>
      <c r="S147" s="535">
        <f t="shared" si="105"/>
        <v>7.7499999999999999E-2</v>
      </c>
      <c r="T147" s="298">
        <f t="shared" si="95"/>
        <v>3493.12</v>
      </c>
      <c r="U147" s="298">
        <f t="shared" si="82"/>
        <v>1749.07</v>
      </c>
      <c r="V147" s="298">
        <f t="shared" si="96"/>
        <v>1744.05</v>
      </c>
      <c r="W147" s="298">
        <f t="shared" si="88"/>
        <v>0</v>
      </c>
      <c r="X147" s="298">
        <f t="shared" si="88"/>
        <v>0</v>
      </c>
      <c r="Y147" s="298">
        <f t="shared" si="83"/>
        <v>3493.12</v>
      </c>
      <c r="Z147" s="298">
        <f t="shared" si="84"/>
        <v>108757.57000000002</v>
      </c>
      <c r="AA147" s="298">
        <f t="shared" si="85"/>
        <v>134434.48999999996</v>
      </c>
      <c r="AB147" s="298">
        <f t="shared" si="97"/>
        <v>268297.43000000017</v>
      </c>
      <c r="AC147" s="451">
        <f t="shared" si="106"/>
        <v>87</v>
      </c>
      <c r="AD147" s="552">
        <f t="shared" si="107"/>
        <v>-5480.3000000000193</v>
      </c>
      <c r="AE147" s="552">
        <f t="shared" si="77"/>
        <v>203384.08000000025</v>
      </c>
      <c r="AF147" s="552">
        <f t="shared" si="78"/>
        <v>197903.78000000023</v>
      </c>
      <c r="AG147" s="552">
        <f t="shared" si="108"/>
        <v>3059.17</v>
      </c>
      <c r="AH147" s="552">
        <f t="shared" si="109"/>
        <v>294526.37</v>
      </c>
      <c r="AI147" s="552"/>
      <c r="AJ147" s="14">
        <f t="shared" si="86"/>
        <v>3059.17</v>
      </c>
      <c r="AK147" s="14">
        <f t="shared" si="87"/>
        <v>204136.5600000002</v>
      </c>
      <c r="AL147" s="552">
        <f>IF(R147&lt;=0,0,+([1]Profit!$B$4+AM146)*$AL$1/12)</f>
        <v>1301.3422842462664</v>
      </c>
      <c r="AM147" s="14">
        <f t="shared" si="110"/>
        <v>102938.25598275287</v>
      </c>
    </row>
    <row r="148" spans="1:39" x14ac:dyDescent="0.25">
      <c r="A148" s="542">
        <f t="shared" si="98"/>
        <v>48399</v>
      </c>
      <c r="B148" s="298">
        <f t="shared" si="99"/>
        <v>64913.349999999926</v>
      </c>
      <c r="C148" s="14">
        <f t="shared" si="89"/>
        <v>433.95</v>
      </c>
      <c r="D148" s="14">
        <f t="shared" si="111"/>
        <v>177</v>
      </c>
      <c r="E148" s="14">
        <f t="shared" si="90"/>
        <v>256.95</v>
      </c>
      <c r="F148" s="298">
        <f t="shared" si="100"/>
        <v>18781.440000000002</v>
      </c>
      <c r="G148" s="298">
        <f t="shared" si="101"/>
        <v>39697.149999999987</v>
      </c>
      <c r="H148" s="298">
        <f t="shared" si="91"/>
        <v>64736.349999999926</v>
      </c>
      <c r="I148" s="451">
        <f t="shared" si="92"/>
        <v>7</v>
      </c>
      <c r="J148" s="298">
        <f t="shared" si="102"/>
        <v>345651.7999999997</v>
      </c>
      <c r="K148" s="298">
        <f t="shared" si="80"/>
        <v>2701.27</v>
      </c>
      <c r="L148" s="298">
        <f t="shared" si="112"/>
        <v>468.94000000000005</v>
      </c>
      <c r="M148" s="298">
        <f t="shared" si="81"/>
        <v>2232.33</v>
      </c>
      <c r="N148" s="298">
        <f t="shared" si="103"/>
        <v>31872.14000000001</v>
      </c>
      <c r="O148" s="298">
        <f t="shared" si="104"/>
        <v>208540.89000000007</v>
      </c>
      <c r="P148" s="298">
        <f t="shared" si="93"/>
        <v>345182.85999999969</v>
      </c>
      <c r="Q148" s="542">
        <f t="shared" si="94"/>
        <v>48399</v>
      </c>
      <c r="R148" s="298">
        <f t="shared" si="79"/>
        <v>268297.43000000017</v>
      </c>
      <c r="S148" s="535">
        <f t="shared" si="105"/>
        <v>7.7499999999999999E-2</v>
      </c>
      <c r="T148" s="298">
        <f t="shared" si="95"/>
        <v>3493.12</v>
      </c>
      <c r="U148" s="298">
        <f t="shared" si="82"/>
        <v>1760.37</v>
      </c>
      <c r="V148" s="298">
        <f t="shared" si="96"/>
        <v>1732.75</v>
      </c>
      <c r="W148" s="298">
        <f t="shared" si="88"/>
        <v>0</v>
      </c>
      <c r="X148" s="298">
        <f t="shared" si="88"/>
        <v>0</v>
      </c>
      <c r="Y148" s="298">
        <f t="shared" si="83"/>
        <v>3493.12</v>
      </c>
      <c r="Z148" s="298">
        <f t="shared" si="84"/>
        <v>110517.94000000002</v>
      </c>
      <c r="AA148" s="298">
        <f t="shared" si="85"/>
        <v>136167.23999999996</v>
      </c>
      <c r="AB148" s="298">
        <f t="shared" si="97"/>
        <v>266537.06000000017</v>
      </c>
      <c r="AC148" s="451">
        <f t="shared" si="106"/>
        <v>88</v>
      </c>
      <c r="AD148" s="552">
        <f t="shared" si="107"/>
        <v>-6272.1500000000196</v>
      </c>
      <c r="AE148" s="552">
        <f t="shared" si="77"/>
        <v>201800.71000000025</v>
      </c>
      <c r="AF148" s="552">
        <f t="shared" si="78"/>
        <v>195528.56000000023</v>
      </c>
      <c r="AG148" s="552">
        <f t="shared" si="108"/>
        <v>3059.17</v>
      </c>
      <c r="AH148" s="552">
        <f t="shared" si="109"/>
        <v>292943</v>
      </c>
      <c r="AI148" s="552"/>
      <c r="AJ148" s="14">
        <f t="shared" si="86"/>
        <v>3059.17</v>
      </c>
      <c r="AK148" s="14">
        <f t="shared" si="87"/>
        <v>207195.73000000021</v>
      </c>
      <c r="AL148" s="552">
        <f>IF(R148&lt;=0,0,+([1]Profit!$B$4+AM147)*$AL$1/12)</f>
        <v>1304.5956399568822</v>
      </c>
      <c r="AM148" s="14">
        <f t="shared" si="110"/>
        <v>104242.85162270976</v>
      </c>
    </row>
    <row r="149" spans="1:39" x14ac:dyDescent="0.25">
      <c r="A149" s="542">
        <f t="shared" si="98"/>
        <v>48429</v>
      </c>
      <c r="B149" s="298">
        <f t="shared" si="99"/>
        <v>64736.349999999926</v>
      </c>
      <c r="C149" s="14">
        <f t="shared" si="89"/>
        <v>433.95</v>
      </c>
      <c r="D149" s="14">
        <f t="shared" si="111"/>
        <v>177.7</v>
      </c>
      <c r="E149" s="14">
        <f t="shared" si="90"/>
        <v>256.25</v>
      </c>
      <c r="F149" s="298">
        <f t="shared" si="100"/>
        <v>18959.140000000003</v>
      </c>
      <c r="G149" s="298">
        <f t="shared" si="101"/>
        <v>39953.399999999987</v>
      </c>
      <c r="H149" s="298">
        <f t="shared" si="91"/>
        <v>64558.649999999929</v>
      </c>
      <c r="I149" s="451">
        <f t="shared" si="92"/>
        <v>7</v>
      </c>
      <c r="J149" s="298">
        <f t="shared" si="102"/>
        <v>345182.85999999969</v>
      </c>
      <c r="K149" s="298">
        <f t="shared" si="80"/>
        <v>2701.27</v>
      </c>
      <c r="L149" s="298">
        <f t="shared" si="112"/>
        <v>471.96000000000004</v>
      </c>
      <c r="M149" s="298">
        <f t="shared" si="81"/>
        <v>2229.31</v>
      </c>
      <c r="N149" s="298">
        <f t="shared" si="103"/>
        <v>32344.100000000009</v>
      </c>
      <c r="O149" s="298">
        <f t="shared" si="104"/>
        <v>210770.20000000007</v>
      </c>
      <c r="P149" s="298">
        <f t="shared" si="93"/>
        <v>344710.89999999967</v>
      </c>
      <c r="Q149" s="542">
        <f t="shared" si="94"/>
        <v>48429</v>
      </c>
      <c r="R149" s="298">
        <f t="shared" si="79"/>
        <v>266537.06000000017</v>
      </c>
      <c r="S149" s="535">
        <f t="shared" si="105"/>
        <v>7.7499999999999999E-2</v>
      </c>
      <c r="T149" s="298">
        <f t="shared" si="95"/>
        <v>3493.12</v>
      </c>
      <c r="U149" s="298">
        <f t="shared" si="82"/>
        <v>1771.7299999999998</v>
      </c>
      <c r="V149" s="298">
        <f t="shared" si="96"/>
        <v>1721.39</v>
      </c>
      <c r="W149" s="298">
        <f t="shared" si="88"/>
        <v>0</v>
      </c>
      <c r="X149" s="298">
        <f t="shared" si="88"/>
        <v>0</v>
      </c>
      <c r="Y149" s="298">
        <f t="shared" si="83"/>
        <v>3493.12</v>
      </c>
      <c r="Z149" s="298">
        <f t="shared" si="84"/>
        <v>112289.67000000001</v>
      </c>
      <c r="AA149" s="298">
        <f t="shared" si="85"/>
        <v>137888.62999999998</v>
      </c>
      <c r="AB149" s="298">
        <f t="shared" si="97"/>
        <v>264765.33000000019</v>
      </c>
      <c r="AC149" s="451">
        <f t="shared" si="106"/>
        <v>89</v>
      </c>
      <c r="AD149" s="552">
        <f t="shared" si="107"/>
        <v>-7064.00000000002</v>
      </c>
      <c r="AE149" s="552">
        <f t="shared" si="77"/>
        <v>200206.68000000025</v>
      </c>
      <c r="AF149" s="552">
        <f t="shared" si="78"/>
        <v>193142.68000000023</v>
      </c>
      <c r="AG149" s="552">
        <f t="shared" si="108"/>
        <v>3059.17</v>
      </c>
      <c r="AH149" s="552">
        <f t="shared" si="109"/>
        <v>291348.96999999997</v>
      </c>
      <c r="AI149" s="552"/>
      <c r="AJ149" s="14">
        <f t="shared" si="86"/>
        <v>3059.17</v>
      </c>
      <c r="AK149" s="14">
        <f t="shared" si="87"/>
        <v>210254.90000000023</v>
      </c>
      <c r="AL149" s="552">
        <f>IF(R149&lt;=0,0,+([1]Profit!$B$4+AM148)*$AL$1/12)</f>
        <v>1307.8571290567745</v>
      </c>
      <c r="AM149" s="14">
        <f t="shared" si="110"/>
        <v>105550.70875176653</v>
      </c>
    </row>
    <row r="150" spans="1:39" x14ac:dyDescent="0.25">
      <c r="A150" s="542">
        <f t="shared" si="98"/>
        <v>48459</v>
      </c>
      <c r="B150" s="298">
        <f t="shared" si="99"/>
        <v>64558.649999999929</v>
      </c>
      <c r="C150" s="14">
        <f t="shared" si="89"/>
        <v>433.95</v>
      </c>
      <c r="D150" s="14">
        <f t="shared" si="111"/>
        <v>178.41</v>
      </c>
      <c r="E150" s="14">
        <f t="shared" si="90"/>
        <v>255.54</v>
      </c>
      <c r="F150" s="298">
        <f t="shared" si="100"/>
        <v>19137.550000000003</v>
      </c>
      <c r="G150" s="298">
        <f t="shared" si="101"/>
        <v>40208.939999999988</v>
      </c>
      <c r="H150" s="298">
        <f t="shared" si="91"/>
        <v>64380.239999999925</v>
      </c>
      <c r="I150" s="451">
        <f t="shared" si="92"/>
        <v>7</v>
      </c>
      <c r="J150" s="298">
        <f t="shared" si="102"/>
        <v>344710.89999999967</v>
      </c>
      <c r="K150" s="298">
        <f t="shared" si="80"/>
        <v>2701.27</v>
      </c>
      <c r="L150" s="298">
        <f t="shared" si="112"/>
        <v>475.00999999999976</v>
      </c>
      <c r="M150" s="298">
        <f t="shared" si="81"/>
        <v>2226.2600000000002</v>
      </c>
      <c r="N150" s="298">
        <f t="shared" si="103"/>
        <v>32819.110000000008</v>
      </c>
      <c r="O150" s="298">
        <f t="shared" si="104"/>
        <v>212996.46000000008</v>
      </c>
      <c r="P150" s="298">
        <f t="shared" si="93"/>
        <v>344235.88999999966</v>
      </c>
      <c r="Q150" s="542">
        <f t="shared" si="94"/>
        <v>48459</v>
      </c>
      <c r="R150" s="298">
        <f t="shared" si="79"/>
        <v>264765.33000000019</v>
      </c>
      <c r="S150" s="535">
        <f t="shared" si="105"/>
        <v>7.7499999999999999E-2</v>
      </c>
      <c r="T150" s="298">
        <f t="shared" si="95"/>
        <v>3493.12</v>
      </c>
      <c r="U150" s="298">
        <f t="shared" si="82"/>
        <v>1783.1799999999998</v>
      </c>
      <c r="V150" s="298">
        <f t="shared" si="96"/>
        <v>1709.94</v>
      </c>
      <c r="W150" s="298">
        <f t="shared" si="88"/>
        <v>0</v>
      </c>
      <c r="X150" s="298">
        <f t="shared" si="88"/>
        <v>0</v>
      </c>
      <c r="Y150" s="298">
        <f t="shared" si="83"/>
        <v>3493.12</v>
      </c>
      <c r="Z150" s="298">
        <f t="shared" si="84"/>
        <v>114072.85</v>
      </c>
      <c r="AA150" s="298">
        <f t="shared" si="85"/>
        <v>139598.56999999998</v>
      </c>
      <c r="AB150" s="298">
        <f t="shared" si="97"/>
        <v>262982.1500000002</v>
      </c>
      <c r="AC150" s="451">
        <f t="shared" si="106"/>
        <v>90</v>
      </c>
      <c r="AD150" s="552">
        <f t="shared" si="107"/>
        <v>-7855.8500000000204</v>
      </c>
      <c r="AE150" s="552">
        <f t="shared" si="77"/>
        <v>198601.91000000027</v>
      </c>
      <c r="AF150" s="552">
        <f t="shared" si="78"/>
        <v>190746.06000000023</v>
      </c>
      <c r="AG150" s="552">
        <f t="shared" si="108"/>
        <v>3059.17</v>
      </c>
      <c r="AH150" s="552">
        <f t="shared" si="109"/>
        <v>289744.19999999995</v>
      </c>
      <c r="AI150" s="552"/>
      <c r="AJ150" s="14">
        <f t="shared" si="86"/>
        <v>3059.17</v>
      </c>
      <c r="AK150" s="14">
        <f t="shared" si="87"/>
        <v>213314.07000000024</v>
      </c>
      <c r="AL150" s="552">
        <f>IF(R150&lt;=0,0,+([1]Profit!$B$4+AM149)*$AL$1/12)</f>
        <v>1311.1267718794161</v>
      </c>
      <c r="AM150" s="14">
        <f t="shared" si="110"/>
        <v>106861.83552364595</v>
      </c>
    </row>
    <row r="151" spans="1:39" x14ac:dyDescent="0.25">
      <c r="A151" s="542">
        <f t="shared" si="98"/>
        <v>48489</v>
      </c>
      <c r="B151" s="298">
        <f t="shared" si="99"/>
        <v>64380.239999999925</v>
      </c>
      <c r="C151" s="14">
        <f t="shared" si="89"/>
        <v>433.95</v>
      </c>
      <c r="D151" s="14">
        <f t="shared" si="111"/>
        <v>179.10999999999999</v>
      </c>
      <c r="E151" s="14">
        <f t="shared" si="90"/>
        <v>254.84</v>
      </c>
      <c r="F151" s="298">
        <f t="shared" si="100"/>
        <v>19316.660000000003</v>
      </c>
      <c r="G151" s="298">
        <f t="shared" si="101"/>
        <v>40463.779999999984</v>
      </c>
      <c r="H151" s="298">
        <f t="shared" si="91"/>
        <v>64201.129999999925</v>
      </c>
      <c r="I151" s="451">
        <f t="shared" si="92"/>
        <v>7</v>
      </c>
      <c r="J151" s="298">
        <f t="shared" si="102"/>
        <v>344235.88999999966</v>
      </c>
      <c r="K151" s="298">
        <f t="shared" si="80"/>
        <v>2701.27</v>
      </c>
      <c r="L151" s="298">
        <f t="shared" si="112"/>
        <v>478.07999999999993</v>
      </c>
      <c r="M151" s="298">
        <f t="shared" si="81"/>
        <v>2223.19</v>
      </c>
      <c r="N151" s="298">
        <f t="shared" si="103"/>
        <v>33297.19000000001</v>
      </c>
      <c r="O151" s="298">
        <f t="shared" si="104"/>
        <v>215219.65000000008</v>
      </c>
      <c r="P151" s="298">
        <f t="shared" si="93"/>
        <v>343757.80999999965</v>
      </c>
      <c r="Q151" s="542">
        <f t="shared" si="94"/>
        <v>48489</v>
      </c>
      <c r="R151" s="298">
        <f t="shared" si="79"/>
        <v>262982.1500000002</v>
      </c>
      <c r="S151" s="535">
        <f t="shared" si="105"/>
        <v>7.7499999999999999E-2</v>
      </c>
      <c r="T151" s="298">
        <f t="shared" si="95"/>
        <v>3493.12</v>
      </c>
      <c r="U151" s="298">
        <f t="shared" si="82"/>
        <v>1794.6899999999998</v>
      </c>
      <c r="V151" s="298">
        <f t="shared" si="96"/>
        <v>1698.43</v>
      </c>
      <c r="W151" s="298">
        <f t="shared" si="88"/>
        <v>0</v>
      </c>
      <c r="X151" s="298">
        <f t="shared" si="88"/>
        <v>0</v>
      </c>
      <c r="Y151" s="298">
        <f t="shared" si="83"/>
        <v>3493.12</v>
      </c>
      <c r="Z151" s="298">
        <f t="shared" si="84"/>
        <v>115867.54000000001</v>
      </c>
      <c r="AA151" s="298">
        <f t="shared" si="85"/>
        <v>141296.99999999997</v>
      </c>
      <c r="AB151" s="298">
        <f t="shared" si="97"/>
        <v>261187.4600000002</v>
      </c>
      <c r="AC151" s="451">
        <f t="shared" si="106"/>
        <v>91</v>
      </c>
      <c r="AD151" s="552">
        <f t="shared" si="107"/>
        <v>-8647.7000000000207</v>
      </c>
      <c r="AE151" s="552">
        <f t="shared" si="77"/>
        <v>196986.33000000028</v>
      </c>
      <c r="AF151" s="552">
        <f t="shared" si="78"/>
        <v>188338.63000000027</v>
      </c>
      <c r="AG151" s="552">
        <f t="shared" si="108"/>
        <v>3059.17</v>
      </c>
      <c r="AH151" s="552">
        <f t="shared" si="109"/>
        <v>288128.62</v>
      </c>
      <c r="AI151" s="552"/>
      <c r="AJ151" s="14">
        <f t="shared" si="86"/>
        <v>3059.17</v>
      </c>
      <c r="AK151" s="14">
        <f t="shared" si="87"/>
        <v>216373.24000000025</v>
      </c>
      <c r="AL151" s="552">
        <f>IF(R151&lt;=0,0,+([1]Profit!$B$4+AM150)*$AL$1/12)</f>
        <v>1314.4045888091148</v>
      </c>
      <c r="AM151" s="14">
        <f t="shared" si="110"/>
        <v>108176.24011245507</v>
      </c>
    </row>
    <row r="152" spans="1:39" x14ac:dyDescent="0.25">
      <c r="A152" s="542">
        <f t="shared" si="98"/>
        <v>48519</v>
      </c>
      <c r="B152" s="298">
        <f t="shared" si="99"/>
        <v>64201.129999999925</v>
      </c>
      <c r="C152" s="14">
        <f t="shared" si="89"/>
        <v>433.95</v>
      </c>
      <c r="D152" s="14">
        <f t="shared" si="111"/>
        <v>179.82</v>
      </c>
      <c r="E152" s="14">
        <f t="shared" si="90"/>
        <v>254.13</v>
      </c>
      <c r="F152" s="298">
        <f t="shared" si="100"/>
        <v>19496.480000000003</v>
      </c>
      <c r="G152" s="298">
        <f t="shared" si="101"/>
        <v>40717.909999999982</v>
      </c>
      <c r="H152" s="298">
        <f t="shared" si="91"/>
        <v>64021.309999999925</v>
      </c>
      <c r="I152" s="451">
        <f t="shared" si="92"/>
        <v>7</v>
      </c>
      <c r="J152" s="298">
        <f t="shared" si="102"/>
        <v>343757.80999999965</v>
      </c>
      <c r="K152" s="298">
        <f t="shared" si="80"/>
        <v>2701.27</v>
      </c>
      <c r="L152" s="298">
        <f t="shared" si="112"/>
        <v>481.17000000000007</v>
      </c>
      <c r="M152" s="298">
        <f t="shared" si="81"/>
        <v>2220.1</v>
      </c>
      <c r="N152" s="298">
        <f t="shared" si="103"/>
        <v>33778.360000000008</v>
      </c>
      <c r="O152" s="298">
        <f t="shared" si="104"/>
        <v>217439.75000000009</v>
      </c>
      <c r="P152" s="298">
        <f t="shared" si="93"/>
        <v>343276.63999999966</v>
      </c>
      <c r="Q152" s="542">
        <f t="shared" si="94"/>
        <v>48519</v>
      </c>
      <c r="R152" s="298">
        <f t="shared" si="79"/>
        <v>261187.4600000002</v>
      </c>
      <c r="S152" s="535">
        <f t="shared" si="105"/>
        <v>7.7499999999999999E-2</v>
      </c>
      <c r="T152" s="298">
        <f t="shared" si="95"/>
        <v>3493.12</v>
      </c>
      <c r="U152" s="298">
        <f t="shared" si="82"/>
        <v>1806.28</v>
      </c>
      <c r="V152" s="298">
        <f t="shared" si="96"/>
        <v>1686.84</v>
      </c>
      <c r="W152" s="298">
        <f t="shared" si="88"/>
        <v>0</v>
      </c>
      <c r="X152" s="298">
        <f t="shared" si="88"/>
        <v>0</v>
      </c>
      <c r="Y152" s="298">
        <f t="shared" si="83"/>
        <v>3493.12</v>
      </c>
      <c r="Z152" s="298">
        <f t="shared" si="84"/>
        <v>117673.82</v>
      </c>
      <c r="AA152" s="298">
        <f t="shared" si="85"/>
        <v>142983.83999999997</v>
      </c>
      <c r="AB152" s="298">
        <f t="shared" si="97"/>
        <v>259381.1800000002</v>
      </c>
      <c r="AC152" s="451">
        <f t="shared" si="106"/>
        <v>92</v>
      </c>
      <c r="AD152" s="552">
        <f t="shared" si="107"/>
        <v>-9439.5500000000211</v>
      </c>
      <c r="AE152" s="552">
        <f t="shared" si="77"/>
        <v>195359.87000000029</v>
      </c>
      <c r="AF152" s="552">
        <f t="shared" si="78"/>
        <v>185920.32000000027</v>
      </c>
      <c r="AG152" s="552">
        <f t="shared" si="108"/>
        <v>3059.17</v>
      </c>
      <c r="AH152" s="552">
        <f t="shared" si="109"/>
        <v>286502.15999999997</v>
      </c>
      <c r="AI152" s="552"/>
      <c r="AJ152" s="14">
        <f t="shared" si="86"/>
        <v>3059.17</v>
      </c>
      <c r="AK152" s="14">
        <f t="shared" si="87"/>
        <v>219432.41000000027</v>
      </c>
      <c r="AL152" s="552">
        <f>IF(R152&lt;=0,0,+([1]Profit!$B$4+AM151)*$AL$1/12)</f>
        <v>1317.6906002811377</v>
      </c>
      <c r="AM152" s="14">
        <f t="shared" si="110"/>
        <v>109493.93071273621</v>
      </c>
    </row>
    <row r="153" spans="1:39" x14ac:dyDescent="0.25">
      <c r="A153" s="542">
        <f t="shared" si="98"/>
        <v>48549</v>
      </c>
      <c r="B153" s="298">
        <f t="shared" si="99"/>
        <v>64021.309999999925</v>
      </c>
      <c r="C153" s="14">
        <f t="shared" si="89"/>
        <v>433.95</v>
      </c>
      <c r="D153" s="14">
        <f t="shared" si="111"/>
        <v>180.53</v>
      </c>
      <c r="E153" s="14">
        <f t="shared" si="90"/>
        <v>253.42</v>
      </c>
      <c r="F153" s="298">
        <f t="shared" si="100"/>
        <v>19677.010000000002</v>
      </c>
      <c r="G153" s="298">
        <f t="shared" si="101"/>
        <v>40971.32999999998</v>
      </c>
      <c r="H153" s="298">
        <f t="shared" si="91"/>
        <v>63840.779999999926</v>
      </c>
      <c r="I153" s="451">
        <f t="shared" si="92"/>
        <v>7</v>
      </c>
      <c r="J153" s="298">
        <f t="shared" si="102"/>
        <v>343276.63999999966</v>
      </c>
      <c r="K153" s="298">
        <f t="shared" si="80"/>
        <v>2701.27</v>
      </c>
      <c r="L153" s="298">
        <f t="shared" si="112"/>
        <v>484.2800000000002</v>
      </c>
      <c r="M153" s="298">
        <f t="shared" si="81"/>
        <v>2216.9899999999998</v>
      </c>
      <c r="N153" s="298">
        <f t="shared" si="103"/>
        <v>34262.640000000007</v>
      </c>
      <c r="O153" s="298">
        <f t="shared" si="104"/>
        <v>219656.74000000008</v>
      </c>
      <c r="P153" s="298">
        <f t="shared" si="93"/>
        <v>342792.35999999964</v>
      </c>
      <c r="Q153" s="542">
        <f t="shared" si="94"/>
        <v>48549</v>
      </c>
      <c r="R153" s="298">
        <f t="shared" si="79"/>
        <v>259381.1800000002</v>
      </c>
      <c r="S153" s="535">
        <f t="shared" si="105"/>
        <v>7.7499999999999999E-2</v>
      </c>
      <c r="T153" s="298">
        <f t="shared" si="95"/>
        <v>3493.12</v>
      </c>
      <c r="U153" s="298">
        <f t="shared" si="82"/>
        <v>1817.9499999999998</v>
      </c>
      <c r="V153" s="298">
        <f t="shared" si="96"/>
        <v>1675.17</v>
      </c>
      <c r="W153" s="298">
        <f t="shared" si="88"/>
        <v>0</v>
      </c>
      <c r="X153" s="298">
        <f t="shared" si="88"/>
        <v>0</v>
      </c>
      <c r="Y153" s="298">
        <f t="shared" si="83"/>
        <v>3493.12</v>
      </c>
      <c r="Z153" s="298">
        <f t="shared" si="84"/>
        <v>119491.77</v>
      </c>
      <c r="AA153" s="298">
        <f t="shared" si="85"/>
        <v>144659.00999999998</v>
      </c>
      <c r="AB153" s="298">
        <f t="shared" si="97"/>
        <v>257563.23000000019</v>
      </c>
      <c r="AC153" s="451">
        <f t="shared" si="106"/>
        <v>93</v>
      </c>
      <c r="AD153" s="552">
        <f t="shared" si="107"/>
        <v>-10231.400000000021</v>
      </c>
      <c r="AE153" s="552">
        <f t="shared" si="77"/>
        <v>193722.45000000024</v>
      </c>
      <c r="AF153" s="552">
        <f t="shared" si="78"/>
        <v>183491.05000000022</v>
      </c>
      <c r="AG153" s="552">
        <f t="shared" si="108"/>
        <v>3059.17</v>
      </c>
      <c r="AH153" s="552">
        <f t="shared" si="109"/>
        <v>284864.74</v>
      </c>
      <c r="AI153" s="552"/>
      <c r="AJ153" s="14">
        <f t="shared" si="86"/>
        <v>3059.17</v>
      </c>
      <c r="AK153" s="14">
        <f t="shared" si="87"/>
        <v>222491.58000000028</v>
      </c>
      <c r="AL153" s="552">
        <f>IF(R153&lt;=0,0,+([1]Profit!$B$4+AM152)*$AL$1/12)</f>
        <v>1320.9848267818404</v>
      </c>
      <c r="AM153" s="14">
        <f t="shared" si="110"/>
        <v>110814.91553951806</v>
      </c>
    </row>
    <row r="154" spans="1:39" x14ac:dyDescent="0.25">
      <c r="A154" s="542">
        <f t="shared" si="98"/>
        <v>48579</v>
      </c>
      <c r="B154" s="298">
        <f t="shared" si="99"/>
        <v>63840.779999999926</v>
      </c>
      <c r="C154" s="14">
        <f t="shared" si="89"/>
        <v>433.95</v>
      </c>
      <c r="D154" s="14">
        <f t="shared" si="111"/>
        <v>181.25</v>
      </c>
      <c r="E154" s="14">
        <f t="shared" si="90"/>
        <v>252.7</v>
      </c>
      <c r="F154" s="298">
        <f t="shared" si="100"/>
        <v>19858.260000000002</v>
      </c>
      <c r="G154" s="298">
        <f t="shared" si="101"/>
        <v>41224.029999999977</v>
      </c>
      <c r="H154" s="298">
        <f t="shared" si="91"/>
        <v>63659.529999999926</v>
      </c>
      <c r="I154" s="451">
        <f t="shared" si="92"/>
        <v>7</v>
      </c>
      <c r="J154" s="298">
        <f t="shared" si="102"/>
        <v>342792.35999999964</v>
      </c>
      <c r="K154" s="298">
        <f t="shared" si="80"/>
        <v>2701.27</v>
      </c>
      <c r="L154" s="298">
        <f t="shared" si="112"/>
        <v>487.40000000000009</v>
      </c>
      <c r="M154" s="298">
        <f t="shared" si="81"/>
        <v>2213.87</v>
      </c>
      <c r="N154" s="298">
        <f t="shared" si="103"/>
        <v>34750.040000000008</v>
      </c>
      <c r="O154" s="298">
        <f t="shared" si="104"/>
        <v>221870.61000000007</v>
      </c>
      <c r="P154" s="298">
        <f t="shared" si="93"/>
        <v>342304.95999999961</v>
      </c>
      <c r="Q154" s="542">
        <f t="shared" si="94"/>
        <v>48579</v>
      </c>
      <c r="R154" s="298">
        <f t="shared" si="79"/>
        <v>257563.23000000019</v>
      </c>
      <c r="S154" s="535">
        <f t="shared" si="105"/>
        <v>7.7499999999999999E-2</v>
      </c>
      <c r="T154" s="298">
        <f t="shared" si="95"/>
        <v>3493.12</v>
      </c>
      <c r="U154" s="298">
        <f t="shared" si="82"/>
        <v>1829.6899999999998</v>
      </c>
      <c r="V154" s="298">
        <f t="shared" si="96"/>
        <v>1663.43</v>
      </c>
      <c r="W154" s="298">
        <f t="shared" si="88"/>
        <v>0</v>
      </c>
      <c r="X154" s="298">
        <f t="shared" si="88"/>
        <v>0</v>
      </c>
      <c r="Y154" s="298">
        <f t="shared" si="83"/>
        <v>3493.12</v>
      </c>
      <c r="Z154" s="298">
        <f t="shared" si="84"/>
        <v>121321.46</v>
      </c>
      <c r="AA154" s="298">
        <f t="shared" si="85"/>
        <v>146322.43999999997</v>
      </c>
      <c r="AB154" s="298">
        <f t="shared" si="97"/>
        <v>255733.54000000018</v>
      </c>
      <c r="AC154" s="451">
        <f t="shared" si="106"/>
        <v>94</v>
      </c>
      <c r="AD154" s="552">
        <f t="shared" si="107"/>
        <v>-11023.250000000022</v>
      </c>
      <c r="AE154" s="552">
        <f t="shared" si="77"/>
        <v>192074.01000000024</v>
      </c>
      <c r="AF154" s="552">
        <f t="shared" si="78"/>
        <v>181050.76000000021</v>
      </c>
      <c r="AG154" s="552">
        <f t="shared" si="108"/>
        <v>3059.17</v>
      </c>
      <c r="AH154" s="552">
        <f t="shared" si="109"/>
        <v>283216.3</v>
      </c>
      <c r="AI154" s="552"/>
      <c r="AJ154" s="14">
        <f t="shared" si="86"/>
        <v>3059.17</v>
      </c>
      <c r="AK154" s="14">
        <f t="shared" si="87"/>
        <v>225550.75000000029</v>
      </c>
      <c r="AL154" s="552">
        <f>IF(R154&lt;=0,0,+([1]Profit!$B$4+AM153)*$AL$1/12)</f>
        <v>1324.287288848795</v>
      </c>
      <c r="AM154" s="14">
        <f t="shared" si="110"/>
        <v>112139.20282836685</v>
      </c>
    </row>
    <row r="155" spans="1:39" x14ac:dyDescent="0.25">
      <c r="A155" s="542">
        <f t="shared" si="98"/>
        <v>48609</v>
      </c>
      <c r="B155" s="298">
        <f t="shared" si="99"/>
        <v>63659.529999999926</v>
      </c>
      <c r="C155" s="14">
        <f t="shared" si="89"/>
        <v>433.95</v>
      </c>
      <c r="D155" s="14">
        <f t="shared" si="111"/>
        <v>181.95999999999998</v>
      </c>
      <c r="E155" s="14">
        <f t="shared" si="90"/>
        <v>251.99</v>
      </c>
      <c r="F155" s="298">
        <f t="shared" si="100"/>
        <v>20040.22</v>
      </c>
      <c r="G155" s="298">
        <f t="shared" si="101"/>
        <v>41476.019999999975</v>
      </c>
      <c r="H155" s="298">
        <f t="shared" si="91"/>
        <v>63477.569999999927</v>
      </c>
      <c r="I155" s="451">
        <f t="shared" si="92"/>
        <v>7</v>
      </c>
      <c r="J155" s="298">
        <f t="shared" si="102"/>
        <v>342304.95999999961</v>
      </c>
      <c r="K155" s="298">
        <f t="shared" si="80"/>
        <v>2701.27</v>
      </c>
      <c r="L155" s="298">
        <f t="shared" si="112"/>
        <v>490.55000000000018</v>
      </c>
      <c r="M155" s="298">
        <f t="shared" si="81"/>
        <v>2210.7199999999998</v>
      </c>
      <c r="N155" s="298">
        <f t="shared" si="103"/>
        <v>35240.590000000011</v>
      </c>
      <c r="O155" s="298">
        <f t="shared" si="104"/>
        <v>224081.33000000007</v>
      </c>
      <c r="P155" s="298">
        <f t="shared" si="93"/>
        <v>341814.40999999963</v>
      </c>
      <c r="Q155" s="542">
        <f t="shared" si="94"/>
        <v>48609</v>
      </c>
      <c r="R155" s="298">
        <f t="shared" si="79"/>
        <v>255733.54000000018</v>
      </c>
      <c r="S155" s="535">
        <f t="shared" si="105"/>
        <v>7.7499999999999999E-2</v>
      </c>
      <c r="T155" s="298">
        <f t="shared" si="95"/>
        <v>3493.12</v>
      </c>
      <c r="U155" s="298">
        <f t="shared" si="82"/>
        <v>1841.51</v>
      </c>
      <c r="V155" s="298">
        <f t="shared" si="96"/>
        <v>1651.61</v>
      </c>
      <c r="W155" s="298">
        <f t="shared" si="88"/>
        <v>0</v>
      </c>
      <c r="X155" s="298">
        <f t="shared" si="88"/>
        <v>0</v>
      </c>
      <c r="Y155" s="298">
        <f t="shared" si="83"/>
        <v>3493.12</v>
      </c>
      <c r="Z155" s="298">
        <f t="shared" si="84"/>
        <v>123162.97</v>
      </c>
      <c r="AA155" s="298">
        <f t="shared" si="85"/>
        <v>147974.04999999996</v>
      </c>
      <c r="AB155" s="298">
        <f t="shared" si="97"/>
        <v>253892.03000000017</v>
      </c>
      <c r="AC155" s="451">
        <f t="shared" si="106"/>
        <v>95</v>
      </c>
      <c r="AD155" s="552">
        <f t="shared" si="107"/>
        <v>-11815.100000000022</v>
      </c>
      <c r="AE155" s="552">
        <f t="shared" si="77"/>
        <v>190414.46000000025</v>
      </c>
      <c r="AF155" s="552">
        <f t="shared" si="78"/>
        <v>178599.36000000022</v>
      </c>
      <c r="AG155" s="552">
        <f t="shared" si="108"/>
        <v>3059.17</v>
      </c>
      <c r="AH155" s="552">
        <f t="shared" si="109"/>
        <v>281556.75</v>
      </c>
      <c r="AI155" s="552"/>
      <c r="AJ155" s="14">
        <f t="shared" si="86"/>
        <v>3059.17</v>
      </c>
      <c r="AK155" s="14">
        <f t="shared" si="87"/>
        <v>228609.9200000003</v>
      </c>
      <c r="AL155" s="552">
        <f>IF(R155&lt;=0,0,+([1]Profit!$B$4+AM154)*$AL$1/12)</f>
        <v>1327.5980070709172</v>
      </c>
      <c r="AM155" s="14">
        <f t="shared" si="110"/>
        <v>113466.80083543777</v>
      </c>
    </row>
    <row r="156" spans="1:39" x14ac:dyDescent="0.25">
      <c r="A156" s="542">
        <f t="shared" si="98"/>
        <v>48639</v>
      </c>
      <c r="B156" s="298">
        <f t="shared" si="99"/>
        <v>63477.569999999927</v>
      </c>
      <c r="C156" s="14">
        <f t="shared" si="89"/>
        <v>433.95</v>
      </c>
      <c r="D156" s="14">
        <f t="shared" si="111"/>
        <v>182.67999999999998</v>
      </c>
      <c r="E156" s="14">
        <f t="shared" si="90"/>
        <v>251.27</v>
      </c>
      <c r="F156" s="298">
        <f t="shared" si="100"/>
        <v>20222.900000000001</v>
      </c>
      <c r="G156" s="298">
        <f t="shared" si="101"/>
        <v>41727.289999999972</v>
      </c>
      <c r="H156" s="298">
        <f t="shared" si="91"/>
        <v>63294.889999999927</v>
      </c>
      <c r="I156" s="451">
        <f t="shared" si="92"/>
        <v>8</v>
      </c>
      <c r="J156" s="298">
        <f t="shared" si="102"/>
        <v>341814.40999999963</v>
      </c>
      <c r="K156" s="298">
        <f t="shared" si="80"/>
        <v>2701.27</v>
      </c>
      <c r="L156" s="298">
        <f t="shared" si="112"/>
        <v>493.7199999999998</v>
      </c>
      <c r="M156" s="298">
        <f t="shared" si="81"/>
        <v>2207.5500000000002</v>
      </c>
      <c r="N156" s="298">
        <f t="shared" si="103"/>
        <v>35734.310000000012</v>
      </c>
      <c r="O156" s="298">
        <f t="shared" si="104"/>
        <v>226288.88000000006</v>
      </c>
      <c r="P156" s="298">
        <f t="shared" si="93"/>
        <v>341320.68999999965</v>
      </c>
      <c r="Q156" s="542">
        <f t="shared" si="94"/>
        <v>48639</v>
      </c>
      <c r="R156" s="298">
        <f t="shared" si="79"/>
        <v>253892.03000000017</v>
      </c>
      <c r="S156" s="535">
        <f t="shared" si="105"/>
        <v>7.7499999999999999E-2</v>
      </c>
      <c r="T156" s="298">
        <f t="shared" si="95"/>
        <v>3493.12</v>
      </c>
      <c r="U156" s="298">
        <f t="shared" si="82"/>
        <v>1853.3999999999999</v>
      </c>
      <c r="V156" s="298">
        <f t="shared" si="96"/>
        <v>1639.72</v>
      </c>
      <c r="W156" s="298">
        <f t="shared" ref="W156:X171" si="113">+W155</f>
        <v>0</v>
      </c>
      <c r="X156" s="298">
        <f t="shared" si="113"/>
        <v>0</v>
      </c>
      <c r="Y156" s="298">
        <f t="shared" si="83"/>
        <v>3493.12</v>
      </c>
      <c r="Z156" s="298">
        <f t="shared" si="84"/>
        <v>125016.37</v>
      </c>
      <c r="AA156" s="298">
        <f t="shared" si="85"/>
        <v>149613.76999999996</v>
      </c>
      <c r="AB156" s="298">
        <f t="shared" si="97"/>
        <v>252038.63000000018</v>
      </c>
      <c r="AC156" s="451">
        <f t="shared" si="106"/>
        <v>96</v>
      </c>
      <c r="AD156" s="552">
        <f t="shared" si="107"/>
        <v>-12606.950000000023</v>
      </c>
      <c r="AE156" s="552">
        <f t="shared" si="77"/>
        <v>188743.74000000025</v>
      </c>
      <c r="AF156" s="552">
        <f t="shared" si="78"/>
        <v>176136.79000000024</v>
      </c>
      <c r="AG156" s="552">
        <f t="shared" si="108"/>
        <v>3059.17</v>
      </c>
      <c r="AH156" s="552">
        <f t="shared" si="109"/>
        <v>279886.03000000003</v>
      </c>
      <c r="AI156" s="552"/>
      <c r="AJ156" s="14">
        <f t="shared" si="86"/>
        <v>3059.17</v>
      </c>
      <c r="AK156" s="14">
        <f t="shared" si="87"/>
        <v>231669.09000000032</v>
      </c>
      <c r="AL156" s="552">
        <f>IF(R156&lt;=0,0,+([1]Profit!$B$4+AM155)*$AL$1/12)</f>
        <v>1330.9170020885942</v>
      </c>
      <c r="AM156" s="14">
        <f t="shared" si="110"/>
        <v>114797.71783752636</v>
      </c>
    </row>
    <row r="157" spans="1:39" x14ac:dyDescent="0.25">
      <c r="A157" s="542">
        <f t="shared" si="98"/>
        <v>48669</v>
      </c>
      <c r="B157" s="298">
        <f t="shared" si="99"/>
        <v>63294.889999999927</v>
      </c>
      <c r="C157" s="14">
        <f t="shared" si="89"/>
        <v>433.95</v>
      </c>
      <c r="D157" s="14">
        <f t="shared" si="111"/>
        <v>183.41</v>
      </c>
      <c r="E157" s="14">
        <f t="shared" si="90"/>
        <v>250.54</v>
      </c>
      <c r="F157" s="298">
        <f t="shared" si="100"/>
        <v>20406.310000000001</v>
      </c>
      <c r="G157" s="298">
        <f t="shared" si="101"/>
        <v>41977.829999999973</v>
      </c>
      <c r="H157" s="298">
        <f t="shared" si="91"/>
        <v>63111.479999999923</v>
      </c>
      <c r="I157" s="451">
        <f t="shared" si="92"/>
        <v>8</v>
      </c>
      <c r="J157" s="298">
        <f t="shared" si="102"/>
        <v>341320.68999999965</v>
      </c>
      <c r="K157" s="298">
        <f t="shared" si="80"/>
        <v>2701.27</v>
      </c>
      <c r="L157" s="298">
        <f t="shared" si="112"/>
        <v>496.90999999999985</v>
      </c>
      <c r="M157" s="298">
        <f t="shared" si="81"/>
        <v>2204.36</v>
      </c>
      <c r="N157" s="298">
        <f t="shared" si="103"/>
        <v>36231.220000000016</v>
      </c>
      <c r="O157" s="298">
        <f t="shared" si="104"/>
        <v>228493.24000000005</v>
      </c>
      <c r="P157" s="298">
        <f t="shared" si="93"/>
        <v>340823.77999999968</v>
      </c>
      <c r="Q157" s="542">
        <f t="shared" si="94"/>
        <v>48669</v>
      </c>
      <c r="R157" s="298">
        <f t="shared" si="79"/>
        <v>252038.63000000018</v>
      </c>
      <c r="S157" s="535">
        <f t="shared" si="105"/>
        <v>7.7499999999999999E-2</v>
      </c>
      <c r="T157" s="298">
        <f t="shared" si="95"/>
        <v>3493.12</v>
      </c>
      <c r="U157" s="298">
        <f t="shared" si="82"/>
        <v>1865.37</v>
      </c>
      <c r="V157" s="298">
        <f t="shared" si="96"/>
        <v>1627.75</v>
      </c>
      <c r="W157" s="298">
        <f t="shared" si="113"/>
        <v>0</v>
      </c>
      <c r="X157" s="298">
        <f t="shared" si="113"/>
        <v>0</v>
      </c>
      <c r="Y157" s="298">
        <f t="shared" si="83"/>
        <v>3493.12</v>
      </c>
      <c r="Z157" s="298">
        <f t="shared" si="84"/>
        <v>126881.73999999999</v>
      </c>
      <c r="AA157" s="298">
        <f t="shared" si="85"/>
        <v>151241.51999999996</v>
      </c>
      <c r="AB157" s="298">
        <f t="shared" si="97"/>
        <v>250173.26000000018</v>
      </c>
      <c r="AC157" s="451">
        <f t="shared" si="106"/>
        <v>97</v>
      </c>
      <c r="AD157" s="552">
        <f t="shared" si="107"/>
        <v>-13398.800000000023</v>
      </c>
      <c r="AE157" s="552">
        <f t="shared" si="77"/>
        <v>187061.78000000026</v>
      </c>
      <c r="AF157" s="552">
        <f t="shared" si="78"/>
        <v>173662.98000000024</v>
      </c>
      <c r="AG157" s="552">
        <f t="shared" si="108"/>
        <v>3059.17</v>
      </c>
      <c r="AH157" s="552">
        <f t="shared" si="109"/>
        <v>278204.07</v>
      </c>
      <c r="AI157" s="552"/>
      <c r="AJ157" s="14">
        <f t="shared" si="86"/>
        <v>3059.17</v>
      </c>
      <c r="AK157" s="14">
        <f t="shared" si="87"/>
        <v>234728.26000000033</v>
      </c>
      <c r="AL157" s="552">
        <f>IF(R157&lt;=0,0,+([1]Profit!$B$4+AM156)*$AL$1/12)</f>
        <v>1334.2442945938158</v>
      </c>
      <c r="AM157" s="14">
        <f t="shared" si="110"/>
        <v>116131.96213212017</v>
      </c>
    </row>
    <row r="158" spans="1:39" ht="15.75" thickBot="1" x14ac:dyDescent="0.3">
      <c r="A158" s="545">
        <f t="shared" si="98"/>
        <v>48699</v>
      </c>
      <c r="B158" s="371">
        <f t="shared" si="99"/>
        <v>63111.479999999923</v>
      </c>
      <c r="C158" s="21">
        <f t="shared" si="89"/>
        <v>433.95</v>
      </c>
      <c r="D158" s="21">
        <f t="shared" si="111"/>
        <v>184.13</v>
      </c>
      <c r="E158" s="21">
        <f t="shared" si="90"/>
        <v>249.82</v>
      </c>
      <c r="F158" s="371">
        <f t="shared" si="100"/>
        <v>20590.440000000002</v>
      </c>
      <c r="G158" s="371">
        <f t="shared" si="101"/>
        <v>42227.649999999972</v>
      </c>
      <c r="H158" s="371">
        <f t="shared" si="91"/>
        <v>62927.349999999926</v>
      </c>
      <c r="I158" s="452">
        <f t="shared" si="92"/>
        <v>8</v>
      </c>
      <c r="J158" s="371">
        <f t="shared" si="102"/>
        <v>340823.77999999968</v>
      </c>
      <c r="K158" s="371">
        <f t="shared" si="80"/>
        <v>2701.27</v>
      </c>
      <c r="L158" s="371">
        <f t="shared" si="112"/>
        <v>500.11999999999989</v>
      </c>
      <c r="M158" s="371">
        <f t="shared" si="81"/>
        <v>2201.15</v>
      </c>
      <c r="N158" s="371">
        <f t="shared" si="103"/>
        <v>36731.340000000018</v>
      </c>
      <c r="O158" s="371">
        <f t="shared" si="104"/>
        <v>230694.39000000004</v>
      </c>
      <c r="P158" s="371">
        <f t="shared" si="93"/>
        <v>340323.65999999968</v>
      </c>
      <c r="Q158" s="545">
        <f t="shared" si="94"/>
        <v>48699</v>
      </c>
      <c r="R158" s="371">
        <f t="shared" si="79"/>
        <v>250173.26000000018</v>
      </c>
      <c r="S158" s="536">
        <f t="shared" si="105"/>
        <v>7.7499999999999999E-2</v>
      </c>
      <c r="T158" s="371">
        <f t="shared" si="95"/>
        <v>3493.12</v>
      </c>
      <c r="U158" s="371">
        <f t="shared" si="82"/>
        <v>1877.4199999999998</v>
      </c>
      <c r="V158" s="371">
        <f t="shared" si="96"/>
        <v>1615.7</v>
      </c>
      <c r="W158" s="371">
        <f t="shared" si="113"/>
        <v>0</v>
      </c>
      <c r="X158" s="371">
        <f t="shared" si="113"/>
        <v>0</v>
      </c>
      <c r="Y158" s="371">
        <f t="shared" si="83"/>
        <v>3493.12</v>
      </c>
      <c r="Z158" s="371">
        <f t="shared" si="84"/>
        <v>128759.15999999999</v>
      </c>
      <c r="AA158" s="371">
        <f t="shared" si="85"/>
        <v>152857.21999999997</v>
      </c>
      <c r="AB158" s="371">
        <f t="shared" si="97"/>
        <v>248295.84000000017</v>
      </c>
      <c r="AC158" s="452">
        <f t="shared" si="106"/>
        <v>98</v>
      </c>
      <c r="AD158" s="553">
        <f t="shared" si="107"/>
        <v>-14190.650000000023</v>
      </c>
      <c r="AE158" s="553">
        <f t="shared" si="77"/>
        <v>185368.49000000025</v>
      </c>
      <c r="AF158" s="553">
        <f t="shared" si="78"/>
        <v>171177.84000000023</v>
      </c>
      <c r="AG158" s="553">
        <f t="shared" si="108"/>
        <v>3059.17</v>
      </c>
      <c r="AH158" s="553">
        <f t="shared" si="109"/>
        <v>276510.78000000003</v>
      </c>
      <c r="AI158" s="553"/>
      <c r="AJ158" s="21">
        <f t="shared" si="86"/>
        <v>3059.17</v>
      </c>
      <c r="AK158" s="21">
        <f t="shared" si="87"/>
        <v>237787.43000000034</v>
      </c>
      <c r="AL158" s="553">
        <f>IF(R158&lt;=0,0,+([1]Profit!$B$4+AM157)*$AL$1/12)</f>
        <v>1337.5799053303003</v>
      </c>
      <c r="AM158" s="21">
        <f t="shared" si="110"/>
        <v>117469.54203745048</v>
      </c>
    </row>
    <row r="159" spans="1:39" x14ac:dyDescent="0.25">
      <c r="A159" s="542">
        <f t="shared" si="98"/>
        <v>48729</v>
      </c>
      <c r="B159" s="298">
        <f t="shared" si="99"/>
        <v>62927.349999999926</v>
      </c>
      <c r="C159" s="14">
        <f t="shared" si="89"/>
        <v>433.95</v>
      </c>
      <c r="D159" s="14">
        <f t="shared" si="111"/>
        <v>184.85999999999999</v>
      </c>
      <c r="E159" s="14">
        <f t="shared" si="90"/>
        <v>249.09</v>
      </c>
      <c r="F159" s="298">
        <f t="shared" si="100"/>
        <v>20775.300000000003</v>
      </c>
      <c r="G159" s="298">
        <f t="shared" si="101"/>
        <v>42476.739999999969</v>
      </c>
      <c r="H159" s="298">
        <f t="shared" si="91"/>
        <v>62742.489999999925</v>
      </c>
      <c r="I159" s="451">
        <f t="shared" si="92"/>
        <v>8</v>
      </c>
      <c r="J159" s="298">
        <f t="shared" si="102"/>
        <v>340323.65999999968</v>
      </c>
      <c r="K159" s="298">
        <f t="shared" si="80"/>
        <v>2701.27</v>
      </c>
      <c r="L159" s="298">
        <f t="shared" si="112"/>
        <v>503.34999999999991</v>
      </c>
      <c r="M159" s="298">
        <f t="shared" si="81"/>
        <v>2197.92</v>
      </c>
      <c r="N159" s="298">
        <f t="shared" si="103"/>
        <v>37234.690000000017</v>
      </c>
      <c r="O159" s="298">
        <f t="shared" si="104"/>
        <v>232892.31000000006</v>
      </c>
      <c r="P159" s="298">
        <f t="shared" si="93"/>
        <v>339820.30999999971</v>
      </c>
      <c r="Q159" s="542">
        <f t="shared" si="94"/>
        <v>48729</v>
      </c>
      <c r="R159" s="298">
        <f t="shared" si="79"/>
        <v>248295.84000000017</v>
      </c>
      <c r="S159" s="535">
        <f t="shared" si="105"/>
        <v>7.7499999999999999E-2</v>
      </c>
      <c r="T159" s="298">
        <f t="shared" si="95"/>
        <v>3493.12</v>
      </c>
      <c r="U159" s="298">
        <f t="shared" si="82"/>
        <v>1889.54</v>
      </c>
      <c r="V159" s="298">
        <f t="shared" si="96"/>
        <v>1603.58</v>
      </c>
      <c r="W159" s="298">
        <f t="shared" si="113"/>
        <v>0</v>
      </c>
      <c r="X159" s="298">
        <f t="shared" si="113"/>
        <v>0</v>
      </c>
      <c r="Y159" s="298">
        <f t="shared" si="83"/>
        <v>3493.12</v>
      </c>
      <c r="Z159" s="298">
        <f t="shared" si="84"/>
        <v>130648.69999999998</v>
      </c>
      <c r="AA159" s="298">
        <f t="shared" si="85"/>
        <v>154460.79999999996</v>
      </c>
      <c r="AB159" s="298">
        <f t="shared" si="97"/>
        <v>246406.30000000016</v>
      </c>
      <c r="AC159" s="451">
        <f t="shared" si="106"/>
        <v>99</v>
      </c>
      <c r="AD159" s="552">
        <f t="shared" si="107"/>
        <v>-14982.500000000024</v>
      </c>
      <c r="AE159" s="552">
        <f t="shared" si="77"/>
        <v>183663.81000000023</v>
      </c>
      <c r="AF159" s="552">
        <f t="shared" si="78"/>
        <v>168681.3100000002</v>
      </c>
      <c r="AG159" s="552">
        <f t="shared" si="108"/>
        <v>3059.17</v>
      </c>
      <c r="AH159" s="552">
        <f t="shared" si="109"/>
        <v>274806.09999999998</v>
      </c>
      <c r="AI159" s="552"/>
      <c r="AJ159" s="14">
        <f t="shared" si="86"/>
        <v>3059.17</v>
      </c>
      <c r="AK159" s="14">
        <f t="shared" si="87"/>
        <v>240846.60000000036</v>
      </c>
      <c r="AL159" s="552">
        <f>IF(R159&lt;=0,0,+([1]Profit!$B$4+AM158)*$AL$1/12)</f>
        <v>1340.9238550936261</v>
      </c>
      <c r="AM159" s="14">
        <f t="shared" si="110"/>
        <v>118810.4658925441</v>
      </c>
    </row>
    <row r="160" spans="1:39" x14ac:dyDescent="0.25">
      <c r="A160" s="542">
        <f t="shared" si="98"/>
        <v>48759</v>
      </c>
      <c r="B160" s="298">
        <f t="shared" si="99"/>
        <v>62742.489999999925</v>
      </c>
      <c r="C160" s="14">
        <f t="shared" si="89"/>
        <v>433.95</v>
      </c>
      <c r="D160" s="14">
        <f t="shared" si="111"/>
        <v>185.58999999999997</v>
      </c>
      <c r="E160" s="14">
        <f t="shared" si="90"/>
        <v>248.36</v>
      </c>
      <c r="F160" s="298">
        <f t="shared" si="100"/>
        <v>20960.890000000003</v>
      </c>
      <c r="G160" s="298">
        <f t="shared" si="101"/>
        <v>42725.099999999969</v>
      </c>
      <c r="H160" s="298">
        <f t="shared" si="91"/>
        <v>62556.899999999929</v>
      </c>
      <c r="I160" s="451">
        <f t="shared" si="92"/>
        <v>8</v>
      </c>
      <c r="J160" s="298">
        <f t="shared" si="102"/>
        <v>339820.30999999971</v>
      </c>
      <c r="K160" s="298">
        <f t="shared" si="80"/>
        <v>2701.27</v>
      </c>
      <c r="L160" s="298">
        <f t="shared" si="112"/>
        <v>506.59999999999991</v>
      </c>
      <c r="M160" s="298">
        <f t="shared" si="81"/>
        <v>2194.67</v>
      </c>
      <c r="N160" s="298">
        <f t="shared" si="103"/>
        <v>37741.290000000015</v>
      </c>
      <c r="O160" s="298">
        <f t="shared" si="104"/>
        <v>235086.98000000007</v>
      </c>
      <c r="P160" s="298">
        <f t="shared" si="93"/>
        <v>339313.70999999973</v>
      </c>
      <c r="Q160" s="542">
        <f t="shared" si="94"/>
        <v>48759</v>
      </c>
      <c r="R160" s="298">
        <f t="shared" si="79"/>
        <v>246406.30000000016</v>
      </c>
      <c r="S160" s="535">
        <f t="shared" si="105"/>
        <v>7.7499999999999999E-2</v>
      </c>
      <c r="T160" s="298">
        <f t="shared" si="95"/>
        <v>3493.12</v>
      </c>
      <c r="U160" s="298">
        <f t="shared" si="82"/>
        <v>1901.75</v>
      </c>
      <c r="V160" s="298">
        <f t="shared" si="96"/>
        <v>1591.37</v>
      </c>
      <c r="W160" s="298">
        <f t="shared" si="113"/>
        <v>0</v>
      </c>
      <c r="X160" s="298">
        <f t="shared" si="113"/>
        <v>0</v>
      </c>
      <c r="Y160" s="298">
        <f t="shared" si="83"/>
        <v>3493.12</v>
      </c>
      <c r="Z160" s="298">
        <f t="shared" si="84"/>
        <v>132550.44999999998</v>
      </c>
      <c r="AA160" s="298">
        <f t="shared" si="85"/>
        <v>156052.16999999995</v>
      </c>
      <c r="AB160" s="298">
        <f t="shared" si="97"/>
        <v>244504.55000000016</v>
      </c>
      <c r="AC160" s="451">
        <f t="shared" si="106"/>
        <v>100</v>
      </c>
      <c r="AD160" s="552">
        <f t="shared" si="107"/>
        <v>-15774.350000000024</v>
      </c>
      <c r="AE160" s="552">
        <f t="shared" si="77"/>
        <v>181947.65000000023</v>
      </c>
      <c r="AF160" s="552">
        <f t="shared" si="78"/>
        <v>166173.30000000019</v>
      </c>
      <c r="AG160" s="552">
        <f t="shared" si="108"/>
        <v>3059.17</v>
      </c>
      <c r="AH160" s="552">
        <f t="shared" si="109"/>
        <v>273089.94000000006</v>
      </c>
      <c r="AI160" s="552"/>
      <c r="AJ160" s="14">
        <f t="shared" si="86"/>
        <v>3059.17</v>
      </c>
      <c r="AK160" s="14">
        <f t="shared" si="87"/>
        <v>243905.77000000037</v>
      </c>
      <c r="AL160" s="552">
        <f>IF(R160&lt;=0,0,+([1]Profit!$B$4+AM159)*$AL$1/12)</f>
        <v>1344.2761647313603</v>
      </c>
      <c r="AM160" s="14">
        <f t="shared" si="110"/>
        <v>120154.74205727546</v>
      </c>
    </row>
    <row r="161" spans="1:39" x14ac:dyDescent="0.25">
      <c r="A161" s="542">
        <f t="shared" si="98"/>
        <v>48789</v>
      </c>
      <c r="B161" s="298">
        <f t="shared" si="99"/>
        <v>62556.899999999929</v>
      </c>
      <c r="C161" s="14">
        <f t="shared" si="89"/>
        <v>433.95</v>
      </c>
      <c r="D161" s="14">
        <f t="shared" si="111"/>
        <v>186.32999999999998</v>
      </c>
      <c r="E161" s="14">
        <f t="shared" si="90"/>
        <v>247.62</v>
      </c>
      <c r="F161" s="298">
        <f t="shared" si="100"/>
        <v>21147.220000000005</v>
      </c>
      <c r="G161" s="298">
        <f t="shared" si="101"/>
        <v>42972.719999999972</v>
      </c>
      <c r="H161" s="298">
        <f t="shared" si="91"/>
        <v>62370.569999999927</v>
      </c>
      <c r="I161" s="451">
        <f t="shared" si="92"/>
        <v>8</v>
      </c>
      <c r="J161" s="298">
        <f t="shared" si="102"/>
        <v>339313.70999999973</v>
      </c>
      <c r="K161" s="298">
        <f t="shared" si="80"/>
        <v>2701.27</v>
      </c>
      <c r="L161" s="298">
        <f t="shared" si="112"/>
        <v>509.86999999999989</v>
      </c>
      <c r="M161" s="298">
        <f t="shared" si="81"/>
        <v>2191.4</v>
      </c>
      <c r="N161" s="298">
        <f t="shared" si="103"/>
        <v>38251.160000000018</v>
      </c>
      <c r="O161" s="298">
        <f t="shared" si="104"/>
        <v>237278.38000000006</v>
      </c>
      <c r="P161" s="298">
        <f t="shared" si="93"/>
        <v>338803.83999999973</v>
      </c>
      <c r="Q161" s="542">
        <f t="shared" si="94"/>
        <v>48789</v>
      </c>
      <c r="R161" s="298">
        <f t="shared" si="79"/>
        <v>244504.55000000016</v>
      </c>
      <c r="S161" s="535">
        <f t="shared" si="105"/>
        <v>7.7499999999999999E-2</v>
      </c>
      <c r="T161" s="298">
        <f t="shared" si="95"/>
        <v>3493.12</v>
      </c>
      <c r="U161" s="298">
        <f t="shared" si="82"/>
        <v>1914.03</v>
      </c>
      <c r="V161" s="298">
        <f t="shared" si="96"/>
        <v>1579.09</v>
      </c>
      <c r="W161" s="298">
        <f t="shared" si="113"/>
        <v>0</v>
      </c>
      <c r="X161" s="298">
        <f t="shared" si="113"/>
        <v>0</v>
      </c>
      <c r="Y161" s="298">
        <f t="shared" si="83"/>
        <v>3493.12</v>
      </c>
      <c r="Z161" s="298">
        <f t="shared" si="84"/>
        <v>134464.47999999998</v>
      </c>
      <c r="AA161" s="298">
        <f t="shared" si="85"/>
        <v>157631.25999999995</v>
      </c>
      <c r="AB161" s="298">
        <f t="shared" si="97"/>
        <v>242590.52000000016</v>
      </c>
      <c r="AC161" s="451">
        <f t="shared" si="106"/>
        <v>101</v>
      </c>
      <c r="AD161" s="552">
        <f t="shared" si="107"/>
        <v>-16566.200000000023</v>
      </c>
      <c r="AE161" s="552">
        <f t="shared" si="77"/>
        <v>180219.95000000024</v>
      </c>
      <c r="AF161" s="552">
        <f t="shared" si="78"/>
        <v>163653.75000000023</v>
      </c>
      <c r="AG161" s="552">
        <f t="shared" si="108"/>
        <v>3059.17</v>
      </c>
      <c r="AH161" s="552">
        <f t="shared" si="109"/>
        <v>271362.24000000005</v>
      </c>
      <c r="AI161" s="552"/>
      <c r="AJ161" s="14">
        <f t="shared" si="86"/>
        <v>3059.17</v>
      </c>
      <c r="AK161" s="14">
        <f t="shared" si="87"/>
        <v>246964.94000000038</v>
      </c>
      <c r="AL161" s="552">
        <f>IF(R161&lt;=0,0,+([1]Profit!$B$4+AM160)*$AL$1/12)</f>
        <v>1347.6368551431885</v>
      </c>
      <c r="AM161" s="14">
        <f t="shared" si="110"/>
        <v>121502.37891241866</v>
      </c>
    </row>
    <row r="162" spans="1:39" x14ac:dyDescent="0.25">
      <c r="A162" s="542">
        <f t="shared" si="98"/>
        <v>48819</v>
      </c>
      <c r="B162" s="298">
        <f t="shared" si="99"/>
        <v>62370.569999999927</v>
      </c>
      <c r="C162" s="14">
        <f t="shared" si="89"/>
        <v>433.95</v>
      </c>
      <c r="D162" s="14">
        <f t="shared" si="111"/>
        <v>187.07</v>
      </c>
      <c r="E162" s="14">
        <f t="shared" si="90"/>
        <v>246.88</v>
      </c>
      <c r="F162" s="298">
        <f t="shared" si="100"/>
        <v>21334.290000000005</v>
      </c>
      <c r="G162" s="298">
        <f t="shared" si="101"/>
        <v>43219.599999999969</v>
      </c>
      <c r="H162" s="298">
        <f t="shared" si="91"/>
        <v>62183.499999999927</v>
      </c>
      <c r="I162" s="451">
        <f t="shared" si="92"/>
        <v>8</v>
      </c>
      <c r="J162" s="298">
        <f t="shared" si="102"/>
        <v>338803.83999999973</v>
      </c>
      <c r="K162" s="298">
        <f t="shared" si="80"/>
        <v>2701.27</v>
      </c>
      <c r="L162" s="298">
        <f t="shared" si="112"/>
        <v>513.15999999999985</v>
      </c>
      <c r="M162" s="298">
        <f t="shared" si="81"/>
        <v>2188.11</v>
      </c>
      <c r="N162" s="298">
        <f t="shared" si="103"/>
        <v>38764.320000000022</v>
      </c>
      <c r="O162" s="298">
        <f t="shared" si="104"/>
        <v>239466.49000000005</v>
      </c>
      <c r="P162" s="298">
        <f t="shared" si="93"/>
        <v>338290.67999999976</v>
      </c>
      <c r="Q162" s="542">
        <f t="shared" si="94"/>
        <v>48819</v>
      </c>
      <c r="R162" s="298">
        <f t="shared" si="79"/>
        <v>242590.52000000016</v>
      </c>
      <c r="S162" s="535">
        <f t="shared" si="105"/>
        <v>7.7499999999999999E-2</v>
      </c>
      <c r="T162" s="298">
        <f t="shared" si="95"/>
        <v>3493.12</v>
      </c>
      <c r="U162" s="298">
        <f t="shared" si="82"/>
        <v>1926.3899999999999</v>
      </c>
      <c r="V162" s="298">
        <f t="shared" si="96"/>
        <v>1566.73</v>
      </c>
      <c r="W162" s="298">
        <f t="shared" si="113"/>
        <v>0</v>
      </c>
      <c r="X162" s="298">
        <f t="shared" si="113"/>
        <v>0</v>
      </c>
      <c r="Y162" s="298">
        <f t="shared" si="83"/>
        <v>3493.12</v>
      </c>
      <c r="Z162" s="298">
        <f t="shared" si="84"/>
        <v>136390.87</v>
      </c>
      <c r="AA162" s="298">
        <f t="shared" si="85"/>
        <v>159197.98999999996</v>
      </c>
      <c r="AB162" s="298">
        <f t="shared" si="97"/>
        <v>240664.13000000015</v>
      </c>
      <c r="AC162" s="451">
        <f t="shared" si="106"/>
        <v>102</v>
      </c>
      <c r="AD162" s="552">
        <f t="shared" si="107"/>
        <v>-17358.050000000021</v>
      </c>
      <c r="AE162" s="552">
        <f t="shared" si="77"/>
        <v>178480.63000000024</v>
      </c>
      <c r="AF162" s="552">
        <f t="shared" si="78"/>
        <v>161122.58000000022</v>
      </c>
      <c r="AG162" s="552">
        <f t="shared" si="108"/>
        <v>3059.17</v>
      </c>
      <c r="AH162" s="552">
        <f t="shared" si="109"/>
        <v>269622.92</v>
      </c>
      <c r="AI162" s="552"/>
      <c r="AJ162" s="14">
        <f t="shared" si="86"/>
        <v>3059.17</v>
      </c>
      <c r="AK162" s="14">
        <f t="shared" si="87"/>
        <v>250024.11000000039</v>
      </c>
      <c r="AL162" s="552">
        <f>IF(R162&lt;=0,0,+([1]Profit!$B$4+AM161)*$AL$1/12)</f>
        <v>1351.0059472810465</v>
      </c>
      <c r="AM162" s="14">
        <f t="shared" si="110"/>
        <v>122853.38485969971</v>
      </c>
    </row>
    <row r="163" spans="1:39" x14ac:dyDescent="0.25">
      <c r="A163" s="542">
        <f t="shared" si="98"/>
        <v>48849</v>
      </c>
      <c r="B163" s="298">
        <f t="shared" si="99"/>
        <v>62183.499999999927</v>
      </c>
      <c r="C163" s="14">
        <f t="shared" si="89"/>
        <v>433.95</v>
      </c>
      <c r="D163" s="14">
        <f t="shared" si="111"/>
        <v>187.81</v>
      </c>
      <c r="E163" s="14">
        <f t="shared" si="90"/>
        <v>246.14</v>
      </c>
      <c r="F163" s="298">
        <f t="shared" si="100"/>
        <v>21522.100000000006</v>
      </c>
      <c r="G163" s="298">
        <f t="shared" si="101"/>
        <v>43465.739999999969</v>
      </c>
      <c r="H163" s="298">
        <f t="shared" si="91"/>
        <v>61995.68999999993</v>
      </c>
      <c r="I163" s="451">
        <f t="shared" si="92"/>
        <v>8</v>
      </c>
      <c r="J163" s="298">
        <f t="shared" si="102"/>
        <v>338290.67999999976</v>
      </c>
      <c r="K163" s="298">
        <f t="shared" si="80"/>
        <v>2701.27</v>
      </c>
      <c r="L163" s="298">
        <f t="shared" si="112"/>
        <v>516.48</v>
      </c>
      <c r="M163" s="298">
        <f t="shared" si="81"/>
        <v>2184.79</v>
      </c>
      <c r="N163" s="298">
        <f t="shared" si="103"/>
        <v>39280.800000000025</v>
      </c>
      <c r="O163" s="298">
        <f t="shared" si="104"/>
        <v>241651.28000000006</v>
      </c>
      <c r="P163" s="298">
        <f t="shared" si="93"/>
        <v>337774.19999999978</v>
      </c>
      <c r="Q163" s="542">
        <f t="shared" si="94"/>
        <v>48849</v>
      </c>
      <c r="R163" s="298">
        <f t="shared" si="79"/>
        <v>240664.13000000015</v>
      </c>
      <c r="S163" s="535">
        <f t="shared" si="105"/>
        <v>7.7499999999999999E-2</v>
      </c>
      <c r="T163" s="298">
        <f t="shared" si="95"/>
        <v>3493.12</v>
      </c>
      <c r="U163" s="298">
        <f t="shared" si="82"/>
        <v>1938.83</v>
      </c>
      <c r="V163" s="298">
        <f t="shared" si="96"/>
        <v>1554.29</v>
      </c>
      <c r="W163" s="298">
        <f t="shared" si="113"/>
        <v>0</v>
      </c>
      <c r="X163" s="298">
        <f t="shared" si="113"/>
        <v>0</v>
      </c>
      <c r="Y163" s="298">
        <f t="shared" si="83"/>
        <v>3493.12</v>
      </c>
      <c r="Z163" s="298">
        <f t="shared" si="84"/>
        <v>138329.69999999998</v>
      </c>
      <c r="AA163" s="298">
        <f t="shared" si="85"/>
        <v>160752.27999999997</v>
      </c>
      <c r="AB163" s="298">
        <f t="shared" si="97"/>
        <v>238725.30000000016</v>
      </c>
      <c r="AC163" s="451">
        <f t="shared" si="106"/>
        <v>103</v>
      </c>
      <c r="AD163" s="552">
        <f t="shared" si="107"/>
        <v>-18149.90000000002</v>
      </c>
      <c r="AE163" s="552">
        <f t="shared" si="77"/>
        <v>176729.61000000022</v>
      </c>
      <c r="AF163" s="552">
        <f t="shared" si="78"/>
        <v>158579.7100000002</v>
      </c>
      <c r="AG163" s="552">
        <f t="shared" si="108"/>
        <v>3059.17</v>
      </c>
      <c r="AH163" s="552">
        <f t="shared" si="109"/>
        <v>267871.90000000002</v>
      </c>
      <c r="AI163" s="552"/>
      <c r="AJ163" s="14">
        <f t="shared" si="86"/>
        <v>3059.17</v>
      </c>
      <c r="AK163" s="14">
        <f t="shared" si="87"/>
        <v>253083.28000000041</v>
      </c>
      <c r="AL163" s="552">
        <f>IF(R163&lt;=0,0,+([1]Profit!$B$4+AM162)*$AL$1/12)</f>
        <v>1354.3834621492495</v>
      </c>
      <c r="AM163" s="14">
        <f t="shared" si="110"/>
        <v>124207.76832184895</v>
      </c>
    </row>
    <row r="164" spans="1:39" x14ac:dyDescent="0.25">
      <c r="A164" s="542">
        <f t="shared" si="98"/>
        <v>48879</v>
      </c>
      <c r="B164" s="298">
        <f t="shared" si="99"/>
        <v>61995.68999999993</v>
      </c>
      <c r="C164" s="14">
        <f t="shared" si="89"/>
        <v>433.95</v>
      </c>
      <c r="D164" s="14">
        <f t="shared" si="111"/>
        <v>188.54999999999998</v>
      </c>
      <c r="E164" s="14">
        <f t="shared" si="90"/>
        <v>245.4</v>
      </c>
      <c r="F164" s="298">
        <f t="shared" si="100"/>
        <v>21710.650000000005</v>
      </c>
      <c r="G164" s="298">
        <f t="shared" si="101"/>
        <v>43711.13999999997</v>
      </c>
      <c r="H164" s="298">
        <f t="shared" si="91"/>
        <v>61807.139999999927</v>
      </c>
      <c r="I164" s="451">
        <f t="shared" si="92"/>
        <v>8</v>
      </c>
      <c r="J164" s="298">
        <f t="shared" si="102"/>
        <v>337774.19999999978</v>
      </c>
      <c r="K164" s="298">
        <f t="shared" si="80"/>
        <v>2701.27</v>
      </c>
      <c r="L164" s="298">
        <f t="shared" si="112"/>
        <v>519.80999999999995</v>
      </c>
      <c r="M164" s="298">
        <f t="shared" si="81"/>
        <v>2181.46</v>
      </c>
      <c r="N164" s="298">
        <f t="shared" si="103"/>
        <v>39800.610000000022</v>
      </c>
      <c r="O164" s="298">
        <f t="shared" si="104"/>
        <v>243832.74000000005</v>
      </c>
      <c r="P164" s="298">
        <f t="shared" si="93"/>
        <v>337254.38999999978</v>
      </c>
      <c r="Q164" s="542">
        <f t="shared" si="94"/>
        <v>48879</v>
      </c>
      <c r="R164" s="298">
        <f t="shared" si="79"/>
        <v>238725.30000000016</v>
      </c>
      <c r="S164" s="535">
        <f t="shared" si="105"/>
        <v>7.7499999999999999E-2</v>
      </c>
      <c r="T164" s="298">
        <f t="shared" si="95"/>
        <v>3493.12</v>
      </c>
      <c r="U164" s="298">
        <f t="shared" si="82"/>
        <v>1951.35</v>
      </c>
      <c r="V164" s="298">
        <f t="shared" si="96"/>
        <v>1541.77</v>
      </c>
      <c r="W164" s="298">
        <f t="shared" si="113"/>
        <v>0</v>
      </c>
      <c r="X164" s="298">
        <f t="shared" si="113"/>
        <v>0</v>
      </c>
      <c r="Y164" s="298">
        <f t="shared" si="83"/>
        <v>3493.12</v>
      </c>
      <c r="Z164" s="298">
        <f t="shared" si="84"/>
        <v>140281.04999999999</v>
      </c>
      <c r="AA164" s="298">
        <f t="shared" si="85"/>
        <v>162294.04999999996</v>
      </c>
      <c r="AB164" s="298">
        <f t="shared" si="97"/>
        <v>236773.95000000016</v>
      </c>
      <c r="AC164" s="451">
        <f t="shared" si="106"/>
        <v>104</v>
      </c>
      <c r="AD164" s="552">
        <f t="shared" si="107"/>
        <v>-18941.750000000018</v>
      </c>
      <c r="AE164" s="552">
        <f t="shared" si="77"/>
        <v>174966.81000000023</v>
      </c>
      <c r="AF164" s="552">
        <f t="shared" si="78"/>
        <v>156025.0600000002</v>
      </c>
      <c r="AG164" s="552">
        <f t="shared" si="108"/>
        <v>3059.17</v>
      </c>
      <c r="AH164" s="552">
        <f t="shared" si="109"/>
        <v>266109.10000000003</v>
      </c>
      <c r="AI164" s="552"/>
      <c r="AJ164" s="14">
        <f t="shared" si="86"/>
        <v>3059.17</v>
      </c>
      <c r="AK164" s="14">
        <f t="shared" si="87"/>
        <v>256142.45000000042</v>
      </c>
      <c r="AL164" s="552">
        <f>IF(R164&lt;=0,0,+([1]Profit!$B$4+AM163)*$AL$1/12)</f>
        <v>1357.7694208046223</v>
      </c>
      <c r="AM164" s="14">
        <f t="shared" si="110"/>
        <v>125565.53774265357</v>
      </c>
    </row>
    <row r="165" spans="1:39" x14ac:dyDescent="0.25">
      <c r="A165" s="542">
        <f t="shared" si="98"/>
        <v>48909</v>
      </c>
      <c r="B165" s="298">
        <f t="shared" si="99"/>
        <v>61807.139999999927</v>
      </c>
      <c r="C165" s="14">
        <f t="shared" si="89"/>
        <v>433.95</v>
      </c>
      <c r="D165" s="14">
        <f t="shared" si="111"/>
        <v>189.29999999999998</v>
      </c>
      <c r="E165" s="14">
        <f t="shared" si="90"/>
        <v>244.65</v>
      </c>
      <c r="F165" s="298">
        <f t="shared" si="100"/>
        <v>21899.950000000004</v>
      </c>
      <c r="G165" s="298">
        <f t="shared" si="101"/>
        <v>43955.789999999972</v>
      </c>
      <c r="H165" s="298">
        <f t="shared" si="91"/>
        <v>61617.839999999924</v>
      </c>
      <c r="I165" s="451">
        <f t="shared" si="92"/>
        <v>8</v>
      </c>
      <c r="J165" s="298">
        <f t="shared" si="102"/>
        <v>337254.38999999978</v>
      </c>
      <c r="K165" s="298">
        <f t="shared" si="80"/>
        <v>2701.27</v>
      </c>
      <c r="L165" s="298">
        <f t="shared" si="112"/>
        <v>523.17000000000007</v>
      </c>
      <c r="M165" s="298">
        <f t="shared" si="81"/>
        <v>2178.1</v>
      </c>
      <c r="N165" s="298">
        <f t="shared" si="103"/>
        <v>40323.780000000021</v>
      </c>
      <c r="O165" s="298">
        <f t="shared" si="104"/>
        <v>246010.84000000005</v>
      </c>
      <c r="P165" s="298">
        <f t="shared" si="93"/>
        <v>336731.2199999998</v>
      </c>
      <c r="Q165" s="542">
        <f t="shared" si="94"/>
        <v>48909</v>
      </c>
      <c r="R165" s="298">
        <f t="shared" si="79"/>
        <v>236773.95000000016</v>
      </c>
      <c r="S165" s="535">
        <f t="shared" si="105"/>
        <v>7.7499999999999999E-2</v>
      </c>
      <c r="T165" s="298">
        <f t="shared" si="95"/>
        <v>3493.12</v>
      </c>
      <c r="U165" s="298">
        <f t="shared" si="82"/>
        <v>1963.9499999999998</v>
      </c>
      <c r="V165" s="298">
        <f t="shared" si="96"/>
        <v>1529.17</v>
      </c>
      <c r="W165" s="298">
        <f t="shared" si="113"/>
        <v>0</v>
      </c>
      <c r="X165" s="298">
        <f t="shared" si="113"/>
        <v>0</v>
      </c>
      <c r="Y165" s="298">
        <f t="shared" si="83"/>
        <v>3493.12</v>
      </c>
      <c r="Z165" s="298">
        <f t="shared" si="84"/>
        <v>142245</v>
      </c>
      <c r="AA165" s="298">
        <f t="shared" si="85"/>
        <v>163823.21999999997</v>
      </c>
      <c r="AB165" s="298">
        <f t="shared" si="97"/>
        <v>234810.00000000015</v>
      </c>
      <c r="AC165" s="451">
        <f t="shared" si="106"/>
        <v>105</v>
      </c>
      <c r="AD165" s="552">
        <f t="shared" si="107"/>
        <v>-19733.600000000017</v>
      </c>
      <c r="AE165" s="552">
        <f t="shared" si="77"/>
        <v>173192.16000000021</v>
      </c>
      <c r="AF165" s="552">
        <f t="shared" si="78"/>
        <v>153458.5600000002</v>
      </c>
      <c r="AG165" s="552">
        <f t="shared" si="108"/>
        <v>3059.17</v>
      </c>
      <c r="AH165" s="552">
        <f t="shared" si="109"/>
        <v>264334.45</v>
      </c>
      <c r="AI165" s="552"/>
      <c r="AJ165" s="14">
        <f t="shared" si="86"/>
        <v>3059.17</v>
      </c>
      <c r="AK165" s="14">
        <f t="shared" si="87"/>
        <v>259201.62000000043</v>
      </c>
      <c r="AL165" s="552">
        <f>IF(R165&lt;=0,0,+([1]Profit!$B$4+AM164)*$AL$1/12)</f>
        <v>1361.1638443566342</v>
      </c>
      <c r="AM165" s="14">
        <f t="shared" si="110"/>
        <v>126926.7015870102</v>
      </c>
    </row>
    <row r="166" spans="1:39" x14ac:dyDescent="0.25">
      <c r="A166" s="542">
        <f t="shared" si="98"/>
        <v>48939</v>
      </c>
      <c r="B166" s="298">
        <f t="shared" si="99"/>
        <v>61617.839999999924</v>
      </c>
      <c r="C166" s="14">
        <f t="shared" si="89"/>
        <v>433.95</v>
      </c>
      <c r="D166" s="14">
        <f t="shared" si="111"/>
        <v>190.04999999999998</v>
      </c>
      <c r="E166" s="14">
        <f t="shared" si="90"/>
        <v>243.9</v>
      </c>
      <c r="F166" s="298">
        <f t="shared" si="100"/>
        <v>22090.000000000004</v>
      </c>
      <c r="G166" s="298">
        <f t="shared" si="101"/>
        <v>44199.689999999973</v>
      </c>
      <c r="H166" s="298">
        <f t="shared" si="91"/>
        <v>61427.789999999921</v>
      </c>
      <c r="I166" s="451">
        <f t="shared" si="92"/>
        <v>8</v>
      </c>
      <c r="J166" s="298">
        <f t="shared" si="102"/>
        <v>336731.2199999998</v>
      </c>
      <c r="K166" s="298">
        <f t="shared" si="80"/>
        <v>2701.27</v>
      </c>
      <c r="L166" s="298">
        <f t="shared" si="112"/>
        <v>526.55000000000018</v>
      </c>
      <c r="M166" s="298">
        <f t="shared" si="81"/>
        <v>2174.7199999999998</v>
      </c>
      <c r="N166" s="298">
        <f t="shared" si="103"/>
        <v>40850.330000000024</v>
      </c>
      <c r="O166" s="298">
        <f t="shared" si="104"/>
        <v>248185.56000000006</v>
      </c>
      <c r="P166" s="298">
        <f t="shared" si="93"/>
        <v>336204.66999999981</v>
      </c>
      <c r="Q166" s="542">
        <f t="shared" si="94"/>
        <v>48939</v>
      </c>
      <c r="R166" s="298">
        <f t="shared" si="79"/>
        <v>234810.00000000015</v>
      </c>
      <c r="S166" s="535">
        <f t="shared" si="105"/>
        <v>7.7499999999999999E-2</v>
      </c>
      <c r="T166" s="298">
        <f t="shared" si="95"/>
        <v>3493.12</v>
      </c>
      <c r="U166" s="298">
        <f t="shared" si="82"/>
        <v>1976.6399999999999</v>
      </c>
      <c r="V166" s="298">
        <f t="shared" si="96"/>
        <v>1516.48</v>
      </c>
      <c r="W166" s="298">
        <f t="shared" si="113"/>
        <v>0</v>
      </c>
      <c r="X166" s="298">
        <f t="shared" si="113"/>
        <v>0</v>
      </c>
      <c r="Y166" s="298">
        <f t="shared" si="83"/>
        <v>3493.12</v>
      </c>
      <c r="Z166" s="298">
        <f t="shared" si="84"/>
        <v>144221.64000000001</v>
      </c>
      <c r="AA166" s="298">
        <f t="shared" si="85"/>
        <v>165339.69999999998</v>
      </c>
      <c r="AB166" s="298">
        <f t="shared" si="97"/>
        <v>232833.36000000013</v>
      </c>
      <c r="AC166" s="451">
        <f t="shared" si="106"/>
        <v>106</v>
      </c>
      <c r="AD166" s="552">
        <f t="shared" si="107"/>
        <v>-20525.450000000015</v>
      </c>
      <c r="AE166" s="552">
        <f t="shared" si="77"/>
        <v>171405.57000000021</v>
      </c>
      <c r="AF166" s="552">
        <f t="shared" si="78"/>
        <v>150880.1200000002</v>
      </c>
      <c r="AG166" s="552">
        <f t="shared" si="108"/>
        <v>3059.17</v>
      </c>
      <c r="AH166" s="552">
        <f t="shared" si="109"/>
        <v>262547.86</v>
      </c>
      <c r="AI166" s="552"/>
      <c r="AJ166" s="14">
        <f t="shared" si="86"/>
        <v>3059.17</v>
      </c>
      <c r="AK166" s="14">
        <f t="shared" si="87"/>
        <v>262260.79000000044</v>
      </c>
      <c r="AL166" s="552">
        <f>IF(R166&lt;=0,0,+([1]Profit!$B$4+AM165)*$AL$1/12)</f>
        <v>1364.5667539675253</v>
      </c>
      <c r="AM166" s="14">
        <f t="shared" si="110"/>
        <v>128291.26834097772</v>
      </c>
    </row>
    <row r="167" spans="1:39" x14ac:dyDescent="0.25">
      <c r="A167" s="542">
        <f t="shared" si="98"/>
        <v>48969</v>
      </c>
      <c r="B167" s="298">
        <f t="shared" si="99"/>
        <v>61427.789999999921</v>
      </c>
      <c r="C167" s="14">
        <f t="shared" si="89"/>
        <v>433.95</v>
      </c>
      <c r="D167" s="14">
        <f t="shared" si="111"/>
        <v>190.79999999999998</v>
      </c>
      <c r="E167" s="14">
        <f t="shared" si="90"/>
        <v>243.15</v>
      </c>
      <c r="F167" s="298">
        <f t="shared" si="100"/>
        <v>22280.800000000003</v>
      </c>
      <c r="G167" s="298">
        <f t="shared" si="101"/>
        <v>44442.839999999975</v>
      </c>
      <c r="H167" s="298">
        <f t="shared" si="91"/>
        <v>61236.989999999918</v>
      </c>
      <c r="I167" s="451">
        <f t="shared" si="92"/>
        <v>8</v>
      </c>
      <c r="J167" s="298">
        <f t="shared" si="102"/>
        <v>336204.66999999981</v>
      </c>
      <c r="K167" s="298">
        <f t="shared" si="80"/>
        <v>2701.27</v>
      </c>
      <c r="L167" s="298">
        <f t="shared" si="112"/>
        <v>529.94999999999982</v>
      </c>
      <c r="M167" s="298">
        <f t="shared" si="81"/>
        <v>2171.3200000000002</v>
      </c>
      <c r="N167" s="298">
        <f t="shared" si="103"/>
        <v>41380.280000000021</v>
      </c>
      <c r="O167" s="298">
        <f t="shared" si="104"/>
        <v>250356.88000000006</v>
      </c>
      <c r="P167" s="298">
        <f t="shared" si="93"/>
        <v>335674.7199999998</v>
      </c>
      <c r="Q167" s="542">
        <f t="shared" si="94"/>
        <v>48969</v>
      </c>
      <c r="R167" s="298">
        <f t="shared" si="79"/>
        <v>232833.36000000013</v>
      </c>
      <c r="S167" s="535">
        <f t="shared" si="105"/>
        <v>7.7499999999999999E-2</v>
      </c>
      <c r="T167" s="298">
        <f t="shared" si="95"/>
        <v>3493.12</v>
      </c>
      <c r="U167" s="298">
        <f t="shared" si="82"/>
        <v>1989.3999999999999</v>
      </c>
      <c r="V167" s="298">
        <f t="shared" si="96"/>
        <v>1503.72</v>
      </c>
      <c r="W167" s="298">
        <f t="shared" si="113"/>
        <v>0</v>
      </c>
      <c r="X167" s="298">
        <f t="shared" si="113"/>
        <v>0</v>
      </c>
      <c r="Y167" s="298">
        <f t="shared" si="83"/>
        <v>3493.12</v>
      </c>
      <c r="Z167" s="298">
        <f t="shared" si="84"/>
        <v>146211.04</v>
      </c>
      <c r="AA167" s="298">
        <f t="shared" si="85"/>
        <v>166843.41999999998</v>
      </c>
      <c r="AB167" s="298">
        <f t="shared" si="97"/>
        <v>230843.96000000014</v>
      </c>
      <c r="AC167" s="451">
        <f t="shared" si="106"/>
        <v>107</v>
      </c>
      <c r="AD167" s="552">
        <f t="shared" si="107"/>
        <v>-21317.300000000014</v>
      </c>
      <c r="AE167" s="552">
        <f t="shared" si="77"/>
        <v>169606.9700000002</v>
      </c>
      <c r="AF167" s="552">
        <f t="shared" si="78"/>
        <v>148289.67000000019</v>
      </c>
      <c r="AG167" s="552">
        <f t="shared" si="108"/>
        <v>3059.17</v>
      </c>
      <c r="AH167" s="552">
        <f t="shared" si="109"/>
        <v>260749.25999999998</v>
      </c>
      <c r="AI167" s="552"/>
      <c r="AJ167" s="14">
        <f t="shared" si="86"/>
        <v>3059.17</v>
      </c>
      <c r="AK167" s="14">
        <f t="shared" si="87"/>
        <v>265319.96000000043</v>
      </c>
      <c r="AL167" s="552">
        <f>IF(R167&lt;=0,0,+([1]Profit!$B$4+AM166)*$AL$1/12)</f>
        <v>1367.9781708524442</v>
      </c>
      <c r="AM167" s="14">
        <f t="shared" si="110"/>
        <v>129659.24651183016</v>
      </c>
    </row>
    <row r="168" spans="1:39" x14ac:dyDescent="0.25">
      <c r="A168" s="542">
        <f t="shared" si="98"/>
        <v>48999</v>
      </c>
      <c r="B168" s="298">
        <f t="shared" si="99"/>
        <v>61236.989999999918</v>
      </c>
      <c r="C168" s="14">
        <f t="shared" si="89"/>
        <v>433.95</v>
      </c>
      <c r="D168" s="14">
        <f t="shared" si="111"/>
        <v>191.54999999999998</v>
      </c>
      <c r="E168" s="14">
        <f t="shared" si="90"/>
        <v>242.4</v>
      </c>
      <c r="F168" s="298">
        <f t="shared" si="100"/>
        <v>22472.350000000002</v>
      </c>
      <c r="G168" s="298">
        <f t="shared" si="101"/>
        <v>44685.239999999976</v>
      </c>
      <c r="H168" s="298">
        <f t="shared" si="91"/>
        <v>61045.439999999915</v>
      </c>
      <c r="I168" s="451">
        <f t="shared" si="92"/>
        <v>9</v>
      </c>
      <c r="J168" s="298">
        <f t="shared" si="102"/>
        <v>335674.7199999998</v>
      </c>
      <c r="K168" s="298">
        <f t="shared" si="80"/>
        <v>2701.27</v>
      </c>
      <c r="L168" s="298">
        <f t="shared" si="112"/>
        <v>533.36999999999989</v>
      </c>
      <c r="M168" s="298">
        <f t="shared" si="81"/>
        <v>2167.9</v>
      </c>
      <c r="N168" s="298">
        <f t="shared" si="103"/>
        <v>41913.650000000023</v>
      </c>
      <c r="O168" s="298">
        <f t="shared" si="104"/>
        <v>252524.78000000006</v>
      </c>
      <c r="P168" s="298">
        <f t="shared" si="93"/>
        <v>335141.3499999998</v>
      </c>
      <c r="Q168" s="542">
        <f t="shared" si="94"/>
        <v>48999</v>
      </c>
      <c r="R168" s="298">
        <f t="shared" si="79"/>
        <v>230843.96000000014</v>
      </c>
      <c r="S168" s="535">
        <f t="shared" si="105"/>
        <v>7.7499999999999999E-2</v>
      </c>
      <c r="T168" s="298">
        <f t="shared" si="95"/>
        <v>3493.12</v>
      </c>
      <c r="U168" s="298">
        <f t="shared" si="82"/>
        <v>2002.25</v>
      </c>
      <c r="V168" s="298">
        <f t="shared" si="96"/>
        <v>1490.87</v>
      </c>
      <c r="W168" s="298">
        <f t="shared" si="113"/>
        <v>0</v>
      </c>
      <c r="X168" s="298">
        <f t="shared" si="113"/>
        <v>0</v>
      </c>
      <c r="Y168" s="298">
        <f t="shared" si="83"/>
        <v>3493.12</v>
      </c>
      <c r="Z168" s="298">
        <f t="shared" si="84"/>
        <v>148213.29</v>
      </c>
      <c r="AA168" s="298">
        <f t="shared" si="85"/>
        <v>168334.28999999998</v>
      </c>
      <c r="AB168" s="298">
        <f t="shared" si="97"/>
        <v>228841.71000000014</v>
      </c>
      <c r="AC168" s="451">
        <f t="shared" si="106"/>
        <v>108</v>
      </c>
      <c r="AD168" s="552">
        <f t="shared" si="107"/>
        <v>-22109.150000000012</v>
      </c>
      <c r="AE168" s="552">
        <f t="shared" si="77"/>
        <v>167796.27000000022</v>
      </c>
      <c r="AF168" s="552">
        <f t="shared" si="78"/>
        <v>145687.1200000002</v>
      </c>
      <c r="AG168" s="552">
        <f t="shared" si="108"/>
        <v>3059.17</v>
      </c>
      <c r="AH168" s="552">
        <f t="shared" si="109"/>
        <v>258938.55999999997</v>
      </c>
      <c r="AI168" s="552"/>
      <c r="AJ168" s="14">
        <f t="shared" si="86"/>
        <v>3059.17</v>
      </c>
      <c r="AK168" s="14">
        <f t="shared" si="87"/>
        <v>268379.13000000041</v>
      </c>
      <c r="AL168" s="552">
        <f>IF(R168&lt;=0,0,+([1]Profit!$B$4+AM167)*$AL$1/12)</f>
        <v>1371.3981162795753</v>
      </c>
      <c r="AM168" s="14">
        <f t="shared" si="110"/>
        <v>131030.64462810973</v>
      </c>
    </row>
    <row r="169" spans="1:39" x14ac:dyDescent="0.25">
      <c r="A169" s="542">
        <f t="shared" si="98"/>
        <v>49029</v>
      </c>
      <c r="B169" s="298">
        <f t="shared" si="99"/>
        <v>61045.439999999915</v>
      </c>
      <c r="C169" s="14">
        <f t="shared" si="89"/>
        <v>433.95</v>
      </c>
      <c r="D169" s="14">
        <f t="shared" si="111"/>
        <v>192.31</v>
      </c>
      <c r="E169" s="14">
        <f t="shared" si="90"/>
        <v>241.64</v>
      </c>
      <c r="F169" s="298">
        <f t="shared" si="100"/>
        <v>22664.660000000003</v>
      </c>
      <c r="G169" s="298">
        <f t="shared" si="101"/>
        <v>44926.879999999976</v>
      </c>
      <c r="H169" s="298">
        <f t="shared" si="91"/>
        <v>60853.129999999917</v>
      </c>
      <c r="I169" s="451">
        <f t="shared" si="92"/>
        <v>9</v>
      </c>
      <c r="J169" s="298">
        <f t="shared" si="102"/>
        <v>335141.3499999998</v>
      </c>
      <c r="K169" s="298">
        <f t="shared" si="80"/>
        <v>2701.27</v>
      </c>
      <c r="L169" s="298">
        <f t="shared" si="112"/>
        <v>536.82000000000016</v>
      </c>
      <c r="M169" s="298">
        <f t="shared" si="81"/>
        <v>2164.4499999999998</v>
      </c>
      <c r="N169" s="298">
        <f t="shared" si="103"/>
        <v>42450.470000000023</v>
      </c>
      <c r="O169" s="298">
        <f t="shared" si="104"/>
        <v>254689.23000000007</v>
      </c>
      <c r="P169" s="298">
        <f t="shared" si="93"/>
        <v>334604.5299999998</v>
      </c>
      <c r="Q169" s="542">
        <f t="shared" si="94"/>
        <v>49029</v>
      </c>
      <c r="R169" s="298">
        <f t="shared" si="79"/>
        <v>228841.71000000014</v>
      </c>
      <c r="S169" s="535">
        <f t="shared" si="105"/>
        <v>7.7499999999999999E-2</v>
      </c>
      <c r="T169" s="298">
        <f t="shared" si="95"/>
        <v>3493.12</v>
      </c>
      <c r="U169" s="298">
        <f t="shared" si="82"/>
        <v>2015.1799999999998</v>
      </c>
      <c r="V169" s="298">
        <f t="shared" si="96"/>
        <v>1477.94</v>
      </c>
      <c r="W169" s="298">
        <f t="shared" si="113"/>
        <v>0</v>
      </c>
      <c r="X169" s="298">
        <f t="shared" si="113"/>
        <v>0</v>
      </c>
      <c r="Y169" s="298">
        <f t="shared" si="83"/>
        <v>3493.12</v>
      </c>
      <c r="Z169" s="298">
        <f t="shared" si="84"/>
        <v>150228.47</v>
      </c>
      <c r="AA169" s="298">
        <f t="shared" si="85"/>
        <v>169812.22999999998</v>
      </c>
      <c r="AB169" s="298">
        <f t="shared" si="97"/>
        <v>226826.53000000014</v>
      </c>
      <c r="AC169" s="451">
        <f t="shared" si="106"/>
        <v>109</v>
      </c>
      <c r="AD169" s="552">
        <f t="shared" si="107"/>
        <v>-22901.000000000011</v>
      </c>
      <c r="AE169" s="552">
        <f t="shared" si="77"/>
        <v>165973.40000000023</v>
      </c>
      <c r="AF169" s="552">
        <f t="shared" si="78"/>
        <v>143072.40000000023</v>
      </c>
      <c r="AG169" s="552">
        <f t="shared" si="108"/>
        <v>3059.17</v>
      </c>
      <c r="AH169" s="552">
        <f t="shared" si="109"/>
        <v>257115.69000000003</v>
      </c>
      <c r="AI169" s="552"/>
      <c r="AJ169" s="14">
        <f t="shared" si="86"/>
        <v>3059.17</v>
      </c>
      <c r="AK169" s="14">
        <f t="shared" si="87"/>
        <v>271438.3000000004</v>
      </c>
      <c r="AL169" s="552">
        <f>IF(R169&lt;=0,0,+([1]Profit!$B$4+AM168)*$AL$1/12)</f>
        <v>1374.8266115702743</v>
      </c>
      <c r="AM169" s="14">
        <f t="shared" si="110"/>
        <v>132405.47123968002</v>
      </c>
    </row>
    <row r="170" spans="1:39" ht="15.75" thickBot="1" x14ac:dyDescent="0.3">
      <c r="A170" s="545">
        <f t="shared" si="98"/>
        <v>49059</v>
      </c>
      <c r="B170" s="371">
        <f t="shared" si="99"/>
        <v>60853.129999999917</v>
      </c>
      <c r="C170" s="21">
        <f t="shared" si="89"/>
        <v>433.95</v>
      </c>
      <c r="D170" s="21">
        <f t="shared" si="111"/>
        <v>193.07</v>
      </c>
      <c r="E170" s="21">
        <f t="shared" si="90"/>
        <v>240.88</v>
      </c>
      <c r="F170" s="371">
        <f t="shared" si="100"/>
        <v>22857.730000000003</v>
      </c>
      <c r="G170" s="371">
        <f t="shared" si="101"/>
        <v>45167.759999999973</v>
      </c>
      <c r="H170" s="371">
        <f t="shared" si="91"/>
        <v>60660.059999999918</v>
      </c>
      <c r="I170" s="452">
        <f t="shared" si="92"/>
        <v>9</v>
      </c>
      <c r="J170" s="371">
        <f t="shared" si="102"/>
        <v>334604.5299999998</v>
      </c>
      <c r="K170" s="371">
        <f t="shared" si="80"/>
        <v>2701.27</v>
      </c>
      <c r="L170" s="371">
        <f t="shared" si="112"/>
        <v>540.2800000000002</v>
      </c>
      <c r="M170" s="371">
        <f t="shared" si="81"/>
        <v>2160.9899999999998</v>
      </c>
      <c r="N170" s="371">
        <f t="shared" si="103"/>
        <v>42990.750000000022</v>
      </c>
      <c r="O170" s="371">
        <f t="shared" si="104"/>
        <v>256850.22000000006</v>
      </c>
      <c r="P170" s="371">
        <f t="shared" si="93"/>
        <v>334064.24999999977</v>
      </c>
      <c r="Q170" s="545">
        <f t="shared" si="94"/>
        <v>49059</v>
      </c>
      <c r="R170" s="371">
        <f t="shared" si="79"/>
        <v>226826.53000000014</v>
      </c>
      <c r="S170" s="536">
        <f t="shared" si="105"/>
        <v>7.7499999999999999E-2</v>
      </c>
      <c r="T170" s="371">
        <f t="shared" si="95"/>
        <v>3493.12</v>
      </c>
      <c r="U170" s="371">
        <f t="shared" si="82"/>
        <v>2028.1999999999998</v>
      </c>
      <c r="V170" s="371">
        <f t="shared" si="96"/>
        <v>1464.92</v>
      </c>
      <c r="W170" s="371">
        <f t="shared" si="113"/>
        <v>0</v>
      </c>
      <c r="X170" s="371">
        <f t="shared" si="113"/>
        <v>0</v>
      </c>
      <c r="Y170" s="371">
        <f t="shared" si="83"/>
        <v>3493.12</v>
      </c>
      <c r="Z170" s="371">
        <f t="shared" si="84"/>
        <v>152256.67000000001</v>
      </c>
      <c r="AA170" s="371">
        <f t="shared" si="85"/>
        <v>171277.15</v>
      </c>
      <c r="AB170" s="371">
        <f t="shared" si="97"/>
        <v>224798.33000000013</v>
      </c>
      <c r="AC170" s="452">
        <f t="shared" si="106"/>
        <v>110</v>
      </c>
      <c r="AD170" s="553">
        <f t="shared" si="107"/>
        <v>-23692.850000000009</v>
      </c>
      <c r="AE170" s="553">
        <f t="shared" si="77"/>
        <v>164138.27000000022</v>
      </c>
      <c r="AF170" s="553">
        <f t="shared" si="78"/>
        <v>140445.42000000022</v>
      </c>
      <c r="AG170" s="553">
        <f t="shared" si="108"/>
        <v>3059.17</v>
      </c>
      <c r="AH170" s="553">
        <f t="shared" si="109"/>
        <v>255280.55999999997</v>
      </c>
      <c r="AI170" s="553"/>
      <c r="AJ170" s="21">
        <f t="shared" si="86"/>
        <v>3059.17</v>
      </c>
      <c r="AK170" s="21">
        <f t="shared" si="87"/>
        <v>274497.47000000038</v>
      </c>
      <c r="AL170" s="553">
        <f>IF(R170&lt;=0,0,+([1]Profit!$B$4+AM169)*$AL$1/12)</f>
        <v>1378.2636780991998</v>
      </c>
      <c r="AM170" s="21">
        <f t="shared" si="110"/>
        <v>133783.73491777922</v>
      </c>
    </row>
    <row r="171" spans="1:39" x14ac:dyDescent="0.25">
      <c r="A171" s="542">
        <f t="shared" si="98"/>
        <v>49089</v>
      </c>
      <c r="B171" s="298">
        <f t="shared" si="99"/>
        <v>60660.059999999918</v>
      </c>
      <c r="C171" s="14">
        <f t="shared" si="89"/>
        <v>433.95</v>
      </c>
      <c r="D171" s="14">
        <f t="shared" si="111"/>
        <v>193.83999999999997</v>
      </c>
      <c r="E171" s="14">
        <f t="shared" si="90"/>
        <v>240.11</v>
      </c>
      <c r="F171" s="298">
        <f t="shared" si="100"/>
        <v>23051.570000000003</v>
      </c>
      <c r="G171" s="298">
        <f t="shared" si="101"/>
        <v>45407.869999999974</v>
      </c>
      <c r="H171" s="298">
        <f t="shared" si="91"/>
        <v>60466.219999999921</v>
      </c>
      <c r="I171" s="451">
        <f t="shared" si="92"/>
        <v>9</v>
      </c>
      <c r="J171" s="298">
        <f t="shared" si="102"/>
        <v>334064.24999999977</v>
      </c>
      <c r="K171" s="298">
        <f t="shared" si="80"/>
        <v>2701.27</v>
      </c>
      <c r="L171" s="298">
        <f t="shared" si="112"/>
        <v>543.77</v>
      </c>
      <c r="M171" s="298">
        <f t="shared" si="81"/>
        <v>2157.5</v>
      </c>
      <c r="N171" s="298">
        <f t="shared" si="103"/>
        <v>43534.520000000019</v>
      </c>
      <c r="O171" s="298">
        <f t="shared" si="104"/>
        <v>259007.72000000006</v>
      </c>
      <c r="P171" s="298">
        <f t="shared" si="93"/>
        <v>333520.47999999975</v>
      </c>
      <c r="Q171" s="542">
        <f t="shared" si="94"/>
        <v>49089</v>
      </c>
      <c r="R171" s="298">
        <f t="shared" si="79"/>
        <v>224798.33000000013</v>
      </c>
      <c r="S171" s="535">
        <f t="shared" si="105"/>
        <v>7.7499999999999999E-2</v>
      </c>
      <c r="T171" s="298">
        <f t="shared" si="95"/>
        <v>3493.12</v>
      </c>
      <c r="U171" s="298">
        <f t="shared" si="82"/>
        <v>2041.3</v>
      </c>
      <c r="V171" s="298">
        <f t="shared" si="96"/>
        <v>1451.82</v>
      </c>
      <c r="W171" s="298">
        <f t="shared" si="113"/>
        <v>0</v>
      </c>
      <c r="X171" s="298">
        <f t="shared" si="113"/>
        <v>0</v>
      </c>
      <c r="Y171" s="298">
        <f t="shared" si="83"/>
        <v>3493.12</v>
      </c>
      <c r="Z171" s="298">
        <f t="shared" si="84"/>
        <v>154297.97</v>
      </c>
      <c r="AA171" s="298">
        <f t="shared" si="85"/>
        <v>172728.97</v>
      </c>
      <c r="AB171" s="298">
        <f t="shared" si="97"/>
        <v>222757.03000000014</v>
      </c>
      <c r="AC171" s="451">
        <f t="shared" si="106"/>
        <v>111</v>
      </c>
      <c r="AD171" s="552">
        <f t="shared" si="107"/>
        <v>-24484.700000000008</v>
      </c>
      <c r="AE171" s="552">
        <f t="shared" si="77"/>
        <v>162290.81000000023</v>
      </c>
      <c r="AF171" s="552">
        <f t="shared" si="78"/>
        <v>137806.11000000022</v>
      </c>
      <c r="AG171" s="552">
        <f t="shared" si="108"/>
        <v>3059.17</v>
      </c>
      <c r="AH171" s="552">
        <f t="shared" si="109"/>
        <v>253433.1</v>
      </c>
      <c r="AI171" s="552"/>
      <c r="AJ171" s="14">
        <f t="shared" si="86"/>
        <v>3059.17</v>
      </c>
      <c r="AK171" s="14">
        <f t="shared" si="87"/>
        <v>277556.64000000036</v>
      </c>
      <c r="AL171" s="552">
        <f>IF(R171&lt;=0,0,+([1]Profit!$B$4+AM170)*$AL$1/12)</f>
        <v>1381.709337294448</v>
      </c>
      <c r="AM171" s="14">
        <f t="shared" si="110"/>
        <v>135165.44425507367</v>
      </c>
    </row>
    <row r="172" spans="1:39" x14ac:dyDescent="0.25">
      <c r="A172" s="542">
        <f t="shared" si="98"/>
        <v>49119</v>
      </c>
      <c r="B172" s="298">
        <f t="shared" si="99"/>
        <v>60466.219999999921</v>
      </c>
      <c r="C172" s="14">
        <f t="shared" si="89"/>
        <v>433.95</v>
      </c>
      <c r="D172" s="14">
        <f t="shared" si="111"/>
        <v>194.6</v>
      </c>
      <c r="E172" s="14">
        <f t="shared" si="90"/>
        <v>239.35</v>
      </c>
      <c r="F172" s="298">
        <f t="shared" si="100"/>
        <v>23246.170000000002</v>
      </c>
      <c r="G172" s="298">
        <f t="shared" si="101"/>
        <v>45647.219999999972</v>
      </c>
      <c r="H172" s="298">
        <f t="shared" si="91"/>
        <v>60271.619999999923</v>
      </c>
      <c r="I172" s="451">
        <f t="shared" si="92"/>
        <v>9</v>
      </c>
      <c r="J172" s="298">
        <f t="shared" si="102"/>
        <v>333520.47999999975</v>
      </c>
      <c r="K172" s="298">
        <f t="shared" si="80"/>
        <v>2701.27</v>
      </c>
      <c r="L172" s="298">
        <f t="shared" si="112"/>
        <v>547.2800000000002</v>
      </c>
      <c r="M172" s="298">
        <f t="shared" si="81"/>
        <v>2153.9899999999998</v>
      </c>
      <c r="N172" s="298">
        <f t="shared" si="103"/>
        <v>44081.800000000017</v>
      </c>
      <c r="O172" s="298">
        <f t="shared" si="104"/>
        <v>261161.71000000005</v>
      </c>
      <c r="P172" s="298">
        <f t="shared" si="93"/>
        <v>332973.19999999972</v>
      </c>
      <c r="Q172" s="542">
        <f t="shared" si="94"/>
        <v>49119</v>
      </c>
      <c r="R172" s="298">
        <f t="shared" si="79"/>
        <v>222757.03000000014</v>
      </c>
      <c r="S172" s="535">
        <f t="shared" si="105"/>
        <v>7.7499999999999999E-2</v>
      </c>
      <c r="T172" s="298">
        <f t="shared" si="95"/>
        <v>3493.12</v>
      </c>
      <c r="U172" s="298">
        <f t="shared" si="82"/>
        <v>2054.4799999999996</v>
      </c>
      <c r="V172" s="298">
        <f t="shared" si="96"/>
        <v>1438.64</v>
      </c>
      <c r="W172" s="298">
        <f t="shared" ref="W172:X187" si="114">+W171</f>
        <v>0</v>
      </c>
      <c r="X172" s="298">
        <f t="shared" si="114"/>
        <v>0</v>
      </c>
      <c r="Y172" s="298">
        <f t="shared" si="83"/>
        <v>3493.12</v>
      </c>
      <c r="Z172" s="298">
        <f t="shared" si="84"/>
        <v>156352.45000000001</v>
      </c>
      <c r="AA172" s="298">
        <f t="shared" si="85"/>
        <v>174167.61000000002</v>
      </c>
      <c r="AB172" s="298">
        <f t="shared" si="97"/>
        <v>220702.55000000013</v>
      </c>
      <c r="AC172" s="451">
        <f t="shared" si="106"/>
        <v>112</v>
      </c>
      <c r="AD172" s="552">
        <f t="shared" si="107"/>
        <v>-25276.550000000007</v>
      </c>
      <c r="AE172" s="552">
        <f t="shared" si="77"/>
        <v>160430.93000000023</v>
      </c>
      <c r="AF172" s="552">
        <f t="shared" si="78"/>
        <v>135154.38000000021</v>
      </c>
      <c r="AG172" s="552">
        <f t="shared" si="108"/>
        <v>3059.17</v>
      </c>
      <c r="AH172" s="552">
        <f t="shared" si="109"/>
        <v>251573.21999999997</v>
      </c>
      <c r="AI172" s="552"/>
      <c r="AJ172" s="14">
        <f t="shared" si="86"/>
        <v>3059.17</v>
      </c>
      <c r="AK172" s="14">
        <f t="shared" si="87"/>
        <v>280615.81000000035</v>
      </c>
      <c r="AL172" s="552">
        <f>IF(R172&lt;=0,0,+([1]Profit!$B$4+AM171)*$AL$1/12)</f>
        <v>1385.1636106376843</v>
      </c>
      <c r="AM172" s="14">
        <f t="shared" si="110"/>
        <v>136550.60786571135</v>
      </c>
    </row>
    <row r="173" spans="1:39" x14ac:dyDescent="0.25">
      <c r="A173" s="542">
        <f t="shared" si="98"/>
        <v>49149</v>
      </c>
      <c r="B173" s="298">
        <f t="shared" si="99"/>
        <v>60271.619999999923</v>
      </c>
      <c r="C173" s="14">
        <f t="shared" si="89"/>
        <v>433.95</v>
      </c>
      <c r="D173" s="14">
        <f t="shared" si="111"/>
        <v>195.36999999999998</v>
      </c>
      <c r="E173" s="14">
        <f t="shared" si="90"/>
        <v>238.58</v>
      </c>
      <c r="F173" s="298">
        <f t="shared" si="100"/>
        <v>23441.54</v>
      </c>
      <c r="G173" s="298">
        <f t="shared" si="101"/>
        <v>45885.799999999974</v>
      </c>
      <c r="H173" s="298">
        <f t="shared" si="91"/>
        <v>60076.24999999992</v>
      </c>
      <c r="I173" s="451">
        <f t="shared" si="92"/>
        <v>9</v>
      </c>
      <c r="J173" s="298">
        <f t="shared" si="102"/>
        <v>332973.19999999972</v>
      </c>
      <c r="K173" s="298">
        <f t="shared" si="80"/>
        <v>2701.27</v>
      </c>
      <c r="L173" s="298">
        <f t="shared" si="112"/>
        <v>550.82000000000016</v>
      </c>
      <c r="M173" s="298">
        <f t="shared" si="81"/>
        <v>2150.4499999999998</v>
      </c>
      <c r="N173" s="298">
        <f t="shared" si="103"/>
        <v>44632.620000000017</v>
      </c>
      <c r="O173" s="298">
        <f t="shared" si="104"/>
        <v>263312.16000000003</v>
      </c>
      <c r="P173" s="298">
        <f t="shared" si="93"/>
        <v>332422.37999999971</v>
      </c>
      <c r="Q173" s="542">
        <f t="shared" si="94"/>
        <v>49149</v>
      </c>
      <c r="R173" s="298">
        <f t="shared" si="79"/>
        <v>220702.55000000013</v>
      </c>
      <c r="S173" s="535">
        <f t="shared" si="105"/>
        <v>7.7499999999999999E-2</v>
      </c>
      <c r="T173" s="298">
        <f t="shared" si="95"/>
        <v>3493.12</v>
      </c>
      <c r="U173" s="298">
        <f t="shared" si="82"/>
        <v>2067.75</v>
      </c>
      <c r="V173" s="298">
        <f t="shared" si="96"/>
        <v>1425.37</v>
      </c>
      <c r="W173" s="298">
        <f t="shared" si="114"/>
        <v>0</v>
      </c>
      <c r="X173" s="298">
        <f t="shared" si="114"/>
        <v>0</v>
      </c>
      <c r="Y173" s="298">
        <f t="shared" si="83"/>
        <v>3493.12</v>
      </c>
      <c r="Z173" s="298">
        <f t="shared" si="84"/>
        <v>158420.20000000001</v>
      </c>
      <c r="AA173" s="298">
        <f t="shared" si="85"/>
        <v>175592.98</v>
      </c>
      <c r="AB173" s="298">
        <f t="shared" si="97"/>
        <v>218634.80000000013</v>
      </c>
      <c r="AC173" s="451">
        <f t="shared" si="106"/>
        <v>113</v>
      </c>
      <c r="AD173" s="552">
        <f t="shared" si="107"/>
        <v>-26068.400000000005</v>
      </c>
      <c r="AE173" s="552">
        <f t="shared" si="77"/>
        <v>158558.55000000022</v>
      </c>
      <c r="AF173" s="552">
        <f t="shared" si="78"/>
        <v>132490.15000000023</v>
      </c>
      <c r="AG173" s="552">
        <f t="shared" si="108"/>
        <v>3059.17</v>
      </c>
      <c r="AH173" s="552">
        <f t="shared" si="109"/>
        <v>249700.83999999997</v>
      </c>
      <c r="AI173" s="552"/>
      <c r="AJ173" s="14">
        <f t="shared" si="86"/>
        <v>3059.17</v>
      </c>
      <c r="AK173" s="14">
        <f t="shared" si="87"/>
        <v>283674.98000000033</v>
      </c>
      <c r="AL173" s="552">
        <f>IF(R173&lt;=0,0,+([1]Profit!$B$4+AM172)*$AL$1/12)</f>
        <v>1388.6265196642782</v>
      </c>
      <c r="AM173" s="14">
        <f t="shared" si="110"/>
        <v>137939.23438537563</v>
      </c>
    </row>
    <row r="174" spans="1:39" x14ac:dyDescent="0.25">
      <c r="A174" s="542">
        <f t="shared" si="98"/>
        <v>49179</v>
      </c>
      <c r="B174" s="298">
        <f t="shared" si="99"/>
        <v>60076.24999999992</v>
      </c>
      <c r="C174" s="14">
        <f t="shared" si="89"/>
        <v>433.95</v>
      </c>
      <c r="D174" s="14">
        <f t="shared" si="111"/>
        <v>196.14999999999998</v>
      </c>
      <c r="E174" s="14">
        <f t="shared" si="90"/>
        <v>237.8</v>
      </c>
      <c r="F174" s="298">
        <f t="shared" si="100"/>
        <v>23637.690000000002</v>
      </c>
      <c r="G174" s="298">
        <f t="shared" si="101"/>
        <v>46123.599999999977</v>
      </c>
      <c r="H174" s="298">
        <f t="shared" si="91"/>
        <v>59880.099999999919</v>
      </c>
      <c r="I174" s="451">
        <f t="shared" si="92"/>
        <v>9</v>
      </c>
      <c r="J174" s="298">
        <f t="shared" si="102"/>
        <v>332422.37999999971</v>
      </c>
      <c r="K174" s="298">
        <f t="shared" si="80"/>
        <v>2701.27</v>
      </c>
      <c r="L174" s="298">
        <f t="shared" si="112"/>
        <v>554.38000000000011</v>
      </c>
      <c r="M174" s="298">
        <f t="shared" si="81"/>
        <v>2146.89</v>
      </c>
      <c r="N174" s="298">
        <f t="shared" si="103"/>
        <v>45187.000000000015</v>
      </c>
      <c r="O174" s="298">
        <f t="shared" si="104"/>
        <v>265459.05000000005</v>
      </c>
      <c r="P174" s="298">
        <f t="shared" si="93"/>
        <v>331867.99999999971</v>
      </c>
      <c r="Q174" s="542">
        <f t="shared" si="94"/>
        <v>49179</v>
      </c>
      <c r="R174" s="298">
        <f t="shared" si="79"/>
        <v>218634.80000000013</v>
      </c>
      <c r="S174" s="535">
        <f t="shared" si="105"/>
        <v>7.7499999999999999E-2</v>
      </c>
      <c r="T174" s="298">
        <f t="shared" si="95"/>
        <v>3493.12</v>
      </c>
      <c r="U174" s="298">
        <f t="shared" si="82"/>
        <v>2081.1</v>
      </c>
      <c r="V174" s="298">
        <f t="shared" si="96"/>
        <v>1412.02</v>
      </c>
      <c r="W174" s="298">
        <f t="shared" si="114"/>
        <v>0</v>
      </c>
      <c r="X174" s="298">
        <f t="shared" si="114"/>
        <v>0</v>
      </c>
      <c r="Y174" s="298">
        <f t="shared" si="83"/>
        <v>3493.12</v>
      </c>
      <c r="Z174" s="298">
        <f t="shared" si="84"/>
        <v>160501.30000000002</v>
      </c>
      <c r="AA174" s="298">
        <f t="shared" si="85"/>
        <v>177005</v>
      </c>
      <c r="AB174" s="298">
        <f t="shared" si="97"/>
        <v>216553.70000000013</v>
      </c>
      <c r="AC174" s="451">
        <f t="shared" si="106"/>
        <v>114</v>
      </c>
      <c r="AD174" s="552">
        <f t="shared" si="107"/>
        <v>-26860.250000000004</v>
      </c>
      <c r="AE174" s="552">
        <f t="shared" si="77"/>
        <v>156673.60000000021</v>
      </c>
      <c r="AF174" s="552">
        <f t="shared" si="78"/>
        <v>129813.35000000021</v>
      </c>
      <c r="AG174" s="552">
        <f t="shared" si="108"/>
        <v>3059.17</v>
      </c>
      <c r="AH174" s="552">
        <f t="shared" si="109"/>
        <v>247815.88999999998</v>
      </c>
      <c r="AI174" s="552"/>
      <c r="AJ174" s="14">
        <f t="shared" si="86"/>
        <v>3059.17</v>
      </c>
      <c r="AK174" s="14">
        <f t="shared" si="87"/>
        <v>286734.15000000031</v>
      </c>
      <c r="AL174" s="552">
        <f>IF(R174&lt;=0,0,+([1]Profit!$B$4+AM173)*$AL$1/12)</f>
        <v>1392.098085963439</v>
      </c>
      <c r="AM174" s="14">
        <f t="shared" si="110"/>
        <v>139331.33247133906</v>
      </c>
    </row>
    <row r="175" spans="1:39" x14ac:dyDescent="0.25">
      <c r="A175" s="542">
        <f t="shared" si="98"/>
        <v>49209</v>
      </c>
      <c r="B175" s="298">
        <f t="shared" si="99"/>
        <v>59880.099999999919</v>
      </c>
      <c r="C175" s="14">
        <f t="shared" si="89"/>
        <v>433.95</v>
      </c>
      <c r="D175" s="14">
        <f t="shared" si="111"/>
        <v>196.92</v>
      </c>
      <c r="E175" s="14">
        <f t="shared" si="90"/>
        <v>237.03</v>
      </c>
      <c r="F175" s="298">
        <f t="shared" si="100"/>
        <v>23834.61</v>
      </c>
      <c r="G175" s="298">
        <f t="shared" si="101"/>
        <v>46360.629999999976</v>
      </c>
      <c r="H175" s="298">
        <f t="shared" si="91"/>
        <v>59683.17999999992</v>
      </c>
      <c r="I175" s="451">
        <f t="shared" si="92"/>
        <v>9</v>
      </c>
      <c r="J175" s="298">
        <f t="shared" si="102"/>
        <v>331867.99999999971</v>
      </c>
      <c r="K175" s="298">
        <f t="shared" si="80"/>
        <v>2701.27</v>
      </c>
      <c r="L175" s="298">
        <f t="shared" si="112"/>
        <v>557.96</v>
      </c>
      <c r="M175" s="298">
        <f t="shared" si="81"/>
        <v>2143.31</v>
      </c>
      <c r="N175" s="298">
        <f t="shared" si="103"/>
        <v>45744.960000000014</v>
      </c>
      <c r="O175" s="298">
        <f t="shared" si="104"/>
        <v>267602.36000000004</v>
      </c>
      <c r="P175" s="298">
        <f t="shared" si="93"/>
        <v>331310.03999999969</v>
      </c>
      <c r="Q175" s="542">
        <f t="shared" si="94"/>
        <v>49209</v>
      </c>
      <c r="R175" s="298">
        <f t="shared" si="79"/>
        <v>216553.70000000013</v>
      </c>
      <c r="S175" s="535">
        <f t="shared" si="105"/>
        <v>7.7499999999999999E-2</v>
      </c>
      <c r="T175" s="298">
        <f t="shared" si="95"/>
        <v>3493.12</v>
      </c>
      <c r="U175" s="298">
        <f t="shared" si="82"/>
        <v>2094.54</v>
      </c>
      <c r="V175" s="298">
        <f t="shared" si="96"/>
        <v>1398.58</v>
      </c>
      <c r="W175" s="298">
        <f t="shared" si="114"/>
        <v>0</v>
      </c>
      <c r="X175" s="298">
        <f t="shared" si="114"/>
        <v>0</v>
      </c>
      <c r="Y175" s="298">
        <f t="shared" si="83"/>
        <v>3493.12</v>
      </c>
      <c r="Z175" s="298">
        <f t="shared" si="84"/>
        <v>162595.84000000003</v>
      </c>
      <c r="AA175" s="298">
        <f t="shared" si="85"/>
        <v>178403.58</v>
      </c>
      <c r="AB175" s="298">
        <f t="shared" si="97"/>
        <v>214459.16000000012</v>
      </c>
      <c r="AC175" s="451">
        <f t="shared" si="106"/>
        <v>115</v>
      </c>
      <c r="AD175" s="552">
        <f t="shared" si="107"/>
        <v>-27652.100000000002</v>
      </c>
      <c r="AE175" s="552">
        <f t="shared" si="77"/>
        <v>154775.98000000021</v>
      </c>
      <c r="AF175" s="552">
        <f t="shared" si="78"/>
        <v>127123.88000000021</v>
      </c>
      <c r="AG175" s="552">
        <f t="shared" si="108"/>
        <v>3059.17</v>
      </c>
      <c r="AH175" s="552">
        <f t="shared" si="109"/>
        <v>245918.26999999996</v>
      </c>
      <c r="AI175" s="552"/>
      <c r="AJ175" s="14">
        <f t="shared" si="86"/>
        <v>3059.17</v>
      </c>
      <c r="AK175" s="14">
        <f t="shared" si="87"/>
        <v>289793.3200000003</v>
      </c>
      <c r="AL175" s="552">
        <f>IF(R175&lt;=0,0,+([1]Profit!$B$4+AM174)*$AL$1/12)</f>
        <v>1395.5783311783478</v>
      </c>
      <c r="AM175" s="14">
        <f t="shared" si="110"/>
        <v>140726.91080251741</v>
      </c>
    </row>
    <row r="176" spans="1:39" x14ac:dyDescent="0.25">
      <c r="A176" s="542">
        <f t="shared" si="98"/>
        <v>49239</v>
      </c>
      <c r="B176" s="298">
        <f t="shared" si="99"/>
        <v>59683.17999999992</v>
      </c>
      <c r="C176" s="14">
        <f t="shared" si="89"/>
        <v>433.95</v>
      </c>
      <c r="D176" s="14">
        <f t="shared" si="111"/>
        <v>197.7</v>
      </c>
      <c r="E176" s="14">
        <f t="shared" si="90"/>
        <v>236.25</v>
      </c>
      <c r="F176" s="298">
        <f t="shared" si="100"/>
        <v>24032.31</v>
      </c>
      <c r="G176" s="298">
        <f t="shared" si="101"/>
        <v>46596.879999999976</v>
      </c>
      <c r="H176" s="298">
        <f t="shared" si="91"/>
        <v>59485.479999999923</v>
      </c>
      <c r="I176" s="451">
        <f t="shared" si="92"/>
        <v>9</v>
      </c>
      <c r="J176" s="298">
        <f t="shared" si="102"/>
        <v>331310.03999999969</v>
      </c>
      <c r="K176" s="298">
        <f t="shared" si="80"/>
        <v>2701.27</v>
      </c>
      <c r="L176" s="298">
        <f t="shared" si="112"/>
        <v>561.55999999999995</v>
      </c>
      <c r="M176" s="298">
        <f t="shared" si="81"/>
        <v>2139.71</v>
      </c>
      <c r="N176" s="298">
        <f t="shared" si="103"/>
        <v>46306.520000000011</v>
      </c>
      <c r="O176" s="298">
        <f t="shared" si="104"/>
        <v>269742.07000000007</v>
      </c>
      <c r="P176" s="298">
        <f t="shared" si="93"/>
        <v>330748.47999999969</v>
      </c>
      <c r="Q176" s="542">
        <f t="shared" si="94"/>
        <v>49239</v>
      </c>
      <c r="R176" s="298">
        <f t="shared" si="79"/>
        <v>214459.16000000012</v>
      </c>
      <c r="S176" s="535">
        <f t="shared" si="105"/>
        <v>7.7499999999999999E-2</v>
      </c>
      <c r="T176" s="298">
        <f t="shared" si="95"/>
        <v>3493.12</v>
      </c>
      <c r="U176" s="298">
        <f t="shared" si="82"/>
        <v>2108.0699999999997</v>
      </c>
      <c r="V176" s="298">
        <f t="shared" si="96"/>
        <v>1385.05</v>
      </c>
      <c r="W176" s="298">
        <f t="shared" si="114"/>
        <v>0</v>
      </c>
      <c r="X176" s="298">
        <f t="shared" si="114"/>
        <v>0</v>
      </c>
      <c r="Y176" s="298">
        <f t="shared" si="83"/>
        <v>3493.12</v>
      </c>
      <c r="Z176" s="298">
        <f t="shared" si="84"/>
        <v>164703.91000000003</v>
      </c>
      <c r="AA176" s="298">
        <f t="shared" si="85"/>
        <v>179788.62999999998</v>
      </c>
      <c r="AB176" s="298">
        <f t="shared" si="97"/>
        <v>212351.09000000011</v>
      </c>
      <c r="AC176" s="451">
        <f t="shared" si="106"/>
        <v>116</v>
      </c>
      <c r="AD176" s="552">
        <f t="shared" si="107"/>
        <v>-28443.95</v>
      </c>
      <c r="AE176" s="552">
        <f t="shared" si="77"/>
        <v>152865.61000000019</v>
      </c>
      <c r="AF176" s="552">
        <f t="shared" si="78"/>
        <v>124421.66000000019</v>
      </c>
      <c r="AG176" s="552">
        <f t="shared" si="108"/>
        <v>3059.17</v>
      </c>
      <c r="AH176" s="552">
        <f t="shared" si="109"/>
        <v>244007.89999999997</v>
      </c>
      <c r="AI176" s="552"/>
      <c r="AJ176" s="14">
        <f t="shared" si="86"/>
        <v>3059.17</v>
      </c>
      <c r="AK176" s="14">
        <f t="shared" si="87"/>
        <v>292852.49000000028</v>
      </c>
      <c r="AL176" s="552">
        <f>IF(R176&lt;=0,0,+([1]Profit!$B$4+AM175)*$AL$1/12)</f>
        <v>1399.0672770062936</v>
      </c>
      <c r="AM176" s="14">
        <f t="shared" si="110"/>
        <v>142125.97807952369</v>
      </c>
    </row>
    <row r="177" spans="1:39" x14ac:dyDescent="0.25">
      <c r="A177" s="542">
        <f t="shared" si="98"/>
        <v>49269</v>
      </c>
      <c r="B177" s="298">
        <f t="shared" si="99"/>
        <v>59485.479999999923</v>
      </c>
      <c r="C177" s="14">
        <f t="shared" si="89"/>
        <v>433.95</v>
      </c>
      <c r="D177" s="14">
        <f t="shared" si="111"/>
        <v>198.48999999999998</v>
      </c>
      <c r="E177" s="14">
        <f t="shared" si="90"/>
        <v>235.46</v>
      </c>
      <c r="F177" s="298">
        <f t="shared" si="100"/>
        <v>24230.800000000003</v>
      </c>
      <c r="G177" s="298">
        <f t="shared" si="101"/>
        <v>46832.339999999975</v>
      </c>
      <c r="H177" s="298">
        <f t="shared" si="91"/>
        <v>59286.989999999925</v>
      </c>
      <c r="I177" s="451">
        <f t="shared" si="92"/>
        <v>9</v>
      </c>
      <c r="J177" s="298">
        <f t="shared" si="102"/>
        <v>330748.47999999969</v>
      </c>
      <c r="K177" s="298">
        <f t="shared" si="80"/>
        <v>2701.27</v>
      </c>
      <c r="L177" s="298">
        <f t="shared" si="112"/>
        <v>565.19000000000005</v>
      </c>
      <c r="M177" s="298">
        <f t="shared" si="81"/>
        <v>2136.08</v>
      </c>
      <c r="N177" s="298">
        <f t="shared" si="103"/>
        <v>46871.710000000014</v>
      </c>
      <c r="O177" s="298">
        <f t="shared" si="104"/>
        <v>271878.15000000008</v>
      </c>
      <c r="P177" s="298">
        <f t="shared" si="93"/>
        <v>330183.28999999969</v>
      </c>
      <c r="Q177" s="542">
        <f t="shared" si="94"/>
        <v>49269</v>
      </c>
      <c r="R177" s="298">
        <f t="shared" si="79"/>
        <v>212351.09000000011</v>
      </c>
      <c r="S177" s="535">
        <f t="shared" si="105"/>
        <v>7.7499999999999999E-2</v>
      </c>
      <c r="T177" s="298">
        <f t="shared" si="95"/>
        <v>3493.12</v>
      </c>
      <c r="U177" s="298">
        <f t="shared" si="82"/>
        <v>2121.6899999999996</v>
      </c>
      <c r="V177" s="298">
        <f t="shared" si="96"/>
        <v>1371.43</v>
      </c>
      <c r="W177" s="298">
        <f t="shared" si="114"/>
        <v>0</v>
      </c>
      <c r="X177" s="298">
        <f t="shared" si="114"/>
        <v>0</v>
      </c>
      <c r="Y177" s="298">
        <f t="shared" si="83"/>
        <v>3493.12</v>
      </c>
      <c r="Z177" s="298">
        <f t="shared" si="84"/>
        <v>166825.60000000003</v>
      </c>
      <c r="AA177" s="298">
        <f t="shared" si="85"/>
        <v>181160.05999999997</v>
      </c>
      <c r="AB177" s="298">
        <f t="shared" si="97"/>
        <v>210229.40000000011</v>
      </c>
      <c r="AC177" s="451">
        <f t="shared" si="106"/>
        <v>117</v>
      </c>
      <c r="AD177" s="552">
        <f t="shared" si="107"/>
        <v>-29235.8</v>
      </c>
      <c r="AE177" s="552">
        <f t="shared" si="77"/>
        <v>150942.41000000018</v>
      </c>
      <c r="AF177" s="552">
        <f t="shared" si="78"/>
        <v>121706.61000000018</v>
      </c>
      <c r="AG177" s="552">
        <f t="shared" si="108"/>
        <v>3059.17</v>
      </c>
      <c r="AH177" s="552">
        <f t="shared" si="109"/>
        <v>242084.69999999995</v>
      </c>
      <c r="AI177" s="552"/>
      <c r="AJ177" s="14">
        <f t="shared" si="86"/>
        <v>3059.17</v>
      </c>
      <c r="AK177" s="14">
        <f t="shared" si="87"/>
        <v>295911.66000000027</v>
      </c>
      <c r="AL177" s="552">
        <f>IF(R177&lt;=0,0,+([1]Profit!$B$4+AM176)*$AL$1/12)</f>
        <v>1402.564945198809</v>
      </c>
      <c r="AM177" s="14">
        <f t="shared" si="110"/>
        <v>143528.54302472249</v>
      </c>
    </row>
    <row r="178" spans="1:39" x14ac:dyDescent="0.25">
      <c r="A178" s="542">
        <f t="shared" si="98"/>
        <v>49299</v>
      </c>
      <c r="B178" s="298">
        <f t="shared" si="99"/>
        <v>59286.989999999925</v>
      </c>
      <c r="C178" s="14">
        <f t="shared" si="89"/>
        <v>433.95</v>
      </c>
      <c r="D178" s="14">
        <f t="shared" si="111"/>
        <v>199.26999999999998</v>
      </c>
      <c r="E178" s="14">
        <f t="shared" si="90"/>
        <v>234.68</v>
      </c>
      <c r="F178" s="298">
        <f t="shared" si="100"/>
        <v>24430.070000000003</v>
      </c>
      <c r="G178" s="298">
        <f t="shared" si="101"/>
        <v>47067.019999999975</v>
      </c>
      <c r="H178" s="298">
        <f t="shared" si="91"/>
        <v>59087.719999999928</v>
      </c>
      <c r="I178" s="451">
        <f t="shared" si="92"/>
        <v>9</v>
      </c>
      <c r="J178" s="298">
        <f t="shared" si="102"/>
        <v>330183.28999999969</v>
      </c>
      <c r="K178" s="298">
        <f t="shared" si="80"/>
        <v>2701.27</v>
      </c>
      <c r="L178" s="298">
        <f t="shared" si="112"/>
        <v>568.84000000000015</v>
      </c>
      <c r="M178" s="298">
        <f t="shared" si="81"/>
        <v>2132.4299999999998</v>
      </c>
      <c r="N178" s="298">
        <f t="shared" si="103"/>
        <v>47440.550000000017</v>
      </c>
      <c r="O178" s="298">
        <f t="shared" si="104"/>
        <v>274010.58000000007</v>
      </c>
      <c r="P178" s="298">
        <f t="shared" si="93"/>
        <v>329614.44999999966</v>
      </c>
      <c r="Q178" s="542">
        <f t="shared" si="94"/>
        <v>49299</v>
      </c>
      <c r="R178" s="298">
        <f t="shared" si="79"/>
        <v>210229.40000000011</v>
      </c>
      <c r="S178" s="535">
        <f t="shared" si="105"/>
        <v>7.7499999999999999E-2</v>
      </c>
      <c r="T178" s="298">
        <f t="shared" si="95"/>
        <v>3493.12</v>
      </c>
      <c r="U178" s="298">
        <f t="shared" si="82"/>
        <v>2135.39</v>
      </c>
      <c r="V178" s="298">
        <f t="shared" si="96"/>
        <v>1357.73</v>
      </c>
      <c r="W178" s="298">
        <f t="shared" si="114"/>
        <v>0</v>
      </c>
      <c r="X178" s="298">
        <f t="shared" si="114"/>
        <v>0</v>
      </c>
      <c r="Y178" s="298">
        <f t="shared" si="83"/>
        <v>3493.12</v>
      </c>
      <c r="Z178" s="298">
        <f t="shared" si="84"/>
        <v>168960.99000000005</v>
      </c>
      <c r="AA178" s="298">
        <f t="shared" si="85"/>
        <v>182517.78999999998</v>
      </c>
      <c r="AB178" s="298">
        <f t="shared" si="97"/>
        <v>208094.0100000001</v>
      </c>
      <c r="AC178" s="451">
        <f t="shared" si="106"/>
        <v>118</v>
      </c>
      <c r="AD178" s="552">
        <f t="shared" si="107"/>
        <v>-30027.649999999998</v>
      </c>
      <c r="AE178" s="552">
        <f t="shared" si="77"/>
        <v>149006.29000000015</v>
      </c>
      <c r="AF178" s="552">
        <f t="shared" si="78"/>
        <v>118978.64000000016</v>
      </c>
      <c r="AG178" s="552">
        <f t="shared" si="108"/>
        <v>3059.17</v>
      </c>
      <c r="AH178" s="552">
        <f t="shared" si="109"/>
        <v>240148.57999999996</v>
      </c>
      <c r="AI178" s="552"/>
      <c r="AJ178" s="14">
        <f t="shared" si="86"/>
        <v>3059.17</v>
      </c>
      <c r="AK178" s="14">
        <f t="shared" si="87"/>
        <v>298970.83000000025</v>
      </c>
      <c r="AL178" s="552">
        <f>IF(R178&lt;=0,0,+([1]Profit!$B$4+AM177)*$AL$1/12)</f>
        <v>1406.0713575618063</v>
      </c>
      <c r="AM178" s="14">
        <f t="shared" si="110"/>
        <v>144934.61438228429</v>
      </c>
    </row>
    <row r="179" spans="1:39" x14ac:dyDescent="0.25">
      <c r="A179" s="542">
        <f t="shared" si="98"/>
        <v>49329</v>
      </c>
      <c r="B179" s="298">
        <f t="shared" si="99"/>
        <v>59087.719999999928</v>
      </c>
      <c r="C179" s="14">
        <f t="shared" si="89"/>
        <v>433.95</v>
      </c>
      <c r="D179" s="14">
        <f t="shared" si="111"/>
        <v>200.06</v>
      </c>
      <c r="E179" s="14">
        <f t="shared" si="90"/>
        <v>233.89</v>
      </c>
      <c r="F179" s="298">
        <f t="shared" si="100"/>
        <v>24630.130000000005</v>
      </c>
      <c r="G179" s="298">
        <f t="shared" si="101"/>
        <v>47300.909999999974</v>
      </c>
      <c r="H179" s="298">
        <f t="shared" si="91"/>
        <v>58887.659999999931</v>
      </c>
      <c r="I179" s="451">
        <f t="shared" si="92"/>
        <v>9</v>
      </c>
      <c r="J179" s="298">
        <f t="shared" si="102"/>
        <v>329614.44999999966</v>
      </c>
      <c r="K179" s="298">
        <f t="shared" si="80"/>
        <v>2701.27</v>
      </c>
      <c r="L179" s="298">
        <f t="shared" si="112"/>
        <v>572.50999999999976</v>
      </c>
      <c r="M179" s="298">
        <f t="shared" si="81"/>
        <v>2128.7600000000002</v>
      </c>
      <c r="N179" s="298">
        <f t="shared" si="103"/>
        <v>48013.060000000019</v>
      </c>
      <c r="O179" s="298">
        <f t="shared" si="104"/>
        <v>276139.34000000008</v>
      </c>
      <c r="P179" s="298">
        <f t="shared" si="93"/>
        <v>329041.93999999965</v>
      </c>
      <c r="Q179" s="542">
        <f t="shared" si="94"/>
        <v>49329</v>
      </c>
      <c r="R179" s="298">
        <f t="shared" si="79"/>
        <v>208094.0100000001</v>
      </c>
      <c r="S179" s="535">
        <f t="shared" si="105"/>
        <v>7.7499999999999999E-2</v>
      </c>
      <c r="T179" s="298">
        <f t="shared" si="95"/>
        <v>3493.12</v>
      </c>
      <c r="U179" s="298">
        <f t="shared" si="82"/>
        <v>2149.1799999999998</v>
      </c>
      <c r="V179" s="298">
        <f t="shared" si="96"/>
        <v>1343.94</v>
      </c>
      <c r="W179" s="298">
        <f t="shared" si="114"/>
        <v>0</v>
      </c>
      <c r="X179" s="298">
        <f t="shared" si="114"/>
        <v>0</v>
      </c>
      <c r="Y179" s="298">
        <f t="shared" si="83"/>
        <v>3493.12</v>
      </c>
      <c r="Z179" s="298">
        <f t="shared" si="84"/>
        <v>171110.17000000004</v>
      </c>
      <c r="AA179" s="298">
        <f t="shared" si="85"/>
        <v>183861.72999999998</v>
      </c>
      <c r="AB179" s="298">
        <f t="shared" si="97"/>
        <v>205944.8300000001</v>
      </c>
      <c r="AC179" s="451">
        <f t="shared" si="106"/>
        <v>119</v>
      </c>
      <c r="AD179" s="552">
        <f t="shared" si="107"/>
        <v>-30819.499999999996</v>
      </c>
      <c r="AE179" s="552">
        <f t="shared" si="77"/>
        <v>147057.17000000016</v>
      </c>
      <c r="AF179" s="552">
        <f t="shared" si="78"/>
        <v>116237.67000000016</v>
      </c>
      <c r="AG179" s="552">
        <f t="shared" si="108"/>
        <v>3059.17</v>
      </c>
      <c r="AH179" s="552">
        <f t="shared" si="109"/>
        <v>238199.45999999996</v>
      </c>
      <c r="AI179" s="552"/>
      <c r="AJ179" s="14">
        <f t="shared" si="86"/>
        <v>3059.17</v>
      </c>
      <c r="AK179" s="14">
        <f t="shared" si="87"/>
        <v>302030.00000000023</v>
      </c>
      <c r="AL179" s="552">
        <f>IF(R179&lt;=0,0,+([1]Profit!$B$4+AM178)*$AL$1/12)</f>
        <v>1409.5865359557104</v>
      </c>
      <c r="AM179" s="14">
        <f t="shared" si="110"/>
        <v>146344.20091824001</v>
      </c>
    </row>
    <row r="180" spans="1:39" x14ac:dyDescent="0.25">
      <c r="A180" s="542">
        <f t="shared" si="98"/>
        <v>49359</v>
      </c>
      <c r="B180" s="298">
        <f t="shared" si="99"/>
        <v>58887.659999999931</v>
      </c>
      <c r="C180" s="14">
        <f t="shared" si="89"/>
        <v>433.95</v>
      </c>
      <c r="D180" s="14">
        <f t="shared" si="111"/>
        <v>200.85</v>
      </c>
      <c r="E180" s="14">
        <f t="shared" si="90"/>
        <v>233.1</v>
      </c>
      <c r="F180" s="298">
        <f t="shared" si="100"/>
        <v>24830.980000000003</v>
      </c>
      <c r="G180" s="298">
        <f t="shared" si="101"/>
        <v>47534.009999999973</v>
      </c>
      <c r="H180" s="298">
        <f t="shared" si="91"/>
        <v>58686.809999999932</v>
      </c>
      <c r="I180" s="451">
        <f t="shared" si="92"/>
        <v>10</v>
      </c>
      <c r="J180" s="298">
        <f t="shared" si="102"/>
        <v>329041.93999999965</v>
      </c>
      <c r="K180" s="298">
        <f t="shared" si="80"/>
        <v>2701.27</v>
      </c>
      <c r="L180" s="298">
        <f t="shared" si="112"/>
        <v>576.21</v>
      </c>
      <c r="M180" s="298">
        <f t="shared" si="81"/>
        <v>2125.06</v>
      </c>
      <c r="N180" s="298">
        <f t="shared" si="103"/>
        <v>48589.270000000019</v>
      </c>
      <c r="O180" s="298">
        <f t="shared" si="104"/>
        <v>278264.40000000008</v>
      </c>
      <c r="P180" s="298">
        <f t="shared" si="93"/>
        <v>328465.72999999963</v>
      </c>
      <c r="Q180" s="542">
        <f t="shared" si="94"/>
        <v>49359</v>
      </c>
      <c r="R180" s="298">
        <f t="shared" si="79"/>
        <v>205944.8300000001</v>
      </c>
      <c r="S180" s="535">
        <f t="shared" si="105"/>
        <v>7.7499999999999999E-2</v>
      </c>
      <c r="T180" s="298">
        <f t="shared" si="95"/>
        <v>3493.12</v>
      </c>
      <c r="U180" s="298">
        <f t="shared" si="82"/>
        <v>2163.06</v>
      </c>
      <c r="V180" s="298">
        <f t="shared" si="96"/>
        <v>1330.06</v>
      </c>
      <c r="W180" s="298">
        <f t="shared" si="114"/>
        <v>0</v>
      </c>
      <c r="X180" s="298">
        <f t="shared" si="114"/>
        <v>0</v>
      </c>
      <c r="Y180" s="298">
        <f t="shared" si="83"/>
        <v>3493.12</v>
      </c>
      <c r="Z180" s="298">
        <f t="shared" si="84"/>
        <v>173273.23000000004</v>
      </c>
      <c r="AA180" s="298">
        <f t="shared" si="85"/>
        <v>185191.78999999998</v>
      </c>
      <c r="AB180" s="298">
        <f t="shared" si="97"/>
        <v>203781.77000000011</v>
      </c>
      <c r="AC180" s="451">
        <f t="shared" si="106"/>
        <v>120</v>
      </c>
      <c r="AD180" s="552">
        <f t="shared" si="107"/>
        <v>-31611.349999999995</v>
      </c>
      <c r="AE180" s="552">
        <f t="shared" si="77"/>
        <v>145094.96000000017</v>
      </c>
      <c r="AF180" s="552">
        <f t="shared" si="78"/>
        <v>113483.61000000018</v>
      </c>
      <c r="AG180" s="552">
        <f t="shared" si="108"/>
        <v>3059.17</v>
      </c>
      <c r="AH180" s="552">
        <f t="shared" si="109"/>
        <v>236237.24999999994</v>
      </c>
      <c r="AI180" s="552"/>
      <c r="AJ180" s="14">
        <f t="shared" si="86"/>
        <v>3059.17</v>
      </c>
      <c r="AK180" s="14">
        <f t="shared" si="87"/>
        <v>305089.17000000022</v>
      </c>
      <c r="AL180" s="552">
        <f>IF(R180&lt;=0,0,+([1]Profit!$B$4+AM179)*$AL$1/12)</f>
        <v>1413.1105022955999</v>
      </c>
      <c r="AM180" s="14">
        <f t="shared" si="110"/>
        <v>147757.31142053561</v>
      </c>
    </row>
    <row r="181" spans="1:39" x14ac:dyDescent="0.25">
      <c r="A181" s="542">
        <f t="shared" si="98"/>
        <v>49389</v>
      </c>
      <c r="B181" s="298">
        <f t="shared" si="99"/>
        <v>58686.809999999932</v>
      </c>
      <c r="C181" s="14">
        <f t="shared" si="89"/>
        <v>433.95</v>
      </c>
      <c r="D181" s="14">
        <f t="shared" si="111"/>
        <v>201.64999999999998</v>
      </c>
      <c r="E181" s="14">
        <f t="shared" si="90"/>
        <v>232.3</v>
      </c>
      <c r="F181" s="298">
        <f t="shared" si="100"/>
        <v>25032.630000000005</v>
      </c>
      <c r="G181" s="298">
        <f t="shared" si="101"/>
        <v>47766.309999999976</v>
      </c>
      <c r="H181" s="298">
        <f t="shared" si="91"/>
        <v>58485.159999999931</v>
      </c>
      <c r="I181" s="451">
        <f t="shared" si="92"/>
        <v>10</v>
      </c>
      <c r="J181" s="298">
        <f t="shared" si="102"/>
        <v>328465.72999999963</v>
      </c>
      <c r="K181" s="298">
        <f t="shared" si="80"/>
        <v>2701.27</v>
      </c>
      <c r="L181" s="298">
        <f t="shared" si="112"/>
        <v>579.92999999999984</v>
      </c>
      <c r="M181" s="298">
        <f t="shared" si="81"/>
        <v>2121.34</v>
      </c>
      <c r="N181" s="298">
        <f t="shared" si="103"/>
        <v>49169.200000000019</v>
      </c>
      <c r="O181" s="298">
        <f t="shared" si="104"/>
        <v>280385.74000000011</v>
      </c>
      <c r="P181" s="298">
        <f t="shared" si="93"/>
        <v>327885.79999999964</v>
      </c>
      <c r="Q181" s="542">
        <f t="shared" si="94"/>
        <v>49389</v>
      </c>
      <c r="R181" s="298">
        <f t="shared" si="79"/>
        <v>203781.77000000011</v>
      </c>
      <c r="S181" s="535">
        <f t="shared" si="105"/>
        <v>7.7499999999999999E-2</v>
      </c>
      <c r="T181" s="298">
        <f t="shared" si="95"/>
        <v>3493.12</v>
      </c>
      <c r="U181" s="298">
        <f t="shared" si="82"/>
        <v>2177.0299999999997</v>
      </c>
      <c r="V181" s="298">
        <f t="shared" si="96"/>
        <v>1316.09</v>
      </c>
      <c r="W181" s="298">
        <f t="shared" si="114"/>
        <v>0</v>
      </c>
      <c r="X181" s="298">
        <f t="shared" si="114"/>
        <v>0</v>
      </c>
      <c r="Y181" s="298">
        <f t="shared" si="83"/>
        <v>3493.12</v>
      </c>
      <c r="Z181" s="298">
        <f t="shared" si="84"/>
        <v>175450.26000000004</v>
      </c>
      <c r="AA181" s="298">
        <f t="shared" si="85"/>
        <v>186507.87999999998</v>
      </c>
      <c r="AB181" s="298">
        <f t="shared" si="97"/>
        <v>201604.74000000011</v>
      </c>
      <c r="AC181" s="451">
        <f t="shared" si="106"/>
        <v>121</v>
      </c>
      <c r="AD181" s="552">
        <f t="shared" si="107"/>
        <v>-32403.199999999993</v>
      </c>
      <c r="AE181" s="552">
        <f t="shared" si="77"/>
        <v>143119.58000000019</v>
      </c>
      <c r="AF181" s="552">
        <f t="shared" si="78"/>
        <v>110716.38000000019</v>
      </c>
      <c r="AG181" s="552">
        <f t="shared" si="108"/>
        <v>3059.17</v>
      </c>
      <c r="AH181" s="552">
        <f t="shared" si="109"/>
        <v>234261.86999999997</v>
      </c>
      <c r="AI181" s="552"/>
      <c r="AJ181" s="14">
        <f t="shared" si="86"/>
        <v>3059.17</v>
      </c>
      <c r="AK181" s="14">
        <f t="shared" si="87"/>
        <v>308148.3400000002</v>
      </c>
      <c r="AL181" s="552">
        <f>IF(R181&lt;=0,0,+([1]Profit!$B$4+AM180)*$AL$1/12)</f>
        <v>1416.6432785513391</v>
      </c>
      <c r="AM181" s="14">
        <f t="shared" si="110"/>
        <v>149173.95469908696</v>
      </c>
    </row>
    <row r="182" spans="1:39" ht="15.75" thickBot="1" x14ac:dyDescent="0.3">
      <c r="A182" s="545">
        <f t="shared" si="98"/>
        <v>49419</v>
      </c>
      <c r="B182" s="371">
        <f t="shared" si="99"/>
        <v>58485.159999999931</v>
      </c>
      <c r="C182" s="21">
        <f t="shared" si="89"/>
        <v>433.95</v>
      </c>
      <c r="D182" s="21">
        <f t="shared" si="111"/>
        <v>202.45</v>
      </c>
      <c r="E182" s="21">
        <f t="shared" si="90"/>
        <v>231.5</v>
      </c>
      <c r="F182" s="371">
        <f t="shared" si="100"/>
        <v>25235.080000000005</v>
      </c>
      <c r="G182" s="371">
        <f t="shared" si="101"/>
        <v>47997.809999999976</v>
      </c>
      <c r="H182" s="371">
        <f t="shared" si="91"/>
        <v>58282.709999999934</v>
      </c>
      <c r="I182" s="452">
        <f t="shared" si="92"/>
        <v>10</v>
      </c>
      <c r="J182" s="371">
        <f t="shared" si="102"/>
        <v>327885.79999999964</v>
      </c>
      <c r="K182" s="371">
        <f t="shared" si="80"/>
        <v>2701.27</v>
      </c>
      <c r="L182" s="371">
        <f t="shared" si="112"/>
        <v>583.67000000000007</v>
      </c>
      <c r="M182" s="371">
        <f t="shared" si="81"/>
        <v>2117.6</v>
      </c>
      <c r="N182" s="371">
        <f t="shared" si="103"/>
        <v>49752.870000000017</v>
      </c>
      <c r="O182" s="371">
        <f t="shared" si="104"/>
        <v>282503.34000000008</v>
      </c>
      <c r="P182" s="371">
        <f t="shared" si="93"/>
        <v>327302.12999999966</v>
      </c>
      <c r="Q182" s="545">
        <f t="shared" si="94"/>
        <v>49419</v>
      </c>
      <c r="R182" s="371">
        <f t="shared" si="79"/>
        <v>201604.74000000011</v>
      </c>
      <c r="S182" s="536">
        <f t="shared" si="105"/>
        <v>7.7499999999999999E-2</v>
      </c>
      <c r="T182" s="371">
        <f t="shared" si="95"/>
        <v>3493.12</v>
      </c>
      <c r="U182" s="371">
        <f t="shared" si="82"/>
        <v>2191.09</v>
      </c>
      <c r="V182" s="371">
        <f t="shared" si="96"/>
        <v>1302.03</v>
      </c>
      <c r="W182" s="371">
        <f t="shared" si="114"/>
        <v>0</v>
      </c>
      <c r="X182" s="371">
        <f t="shared" si="114"/>
        <v>0</v>
      </c>
      <c r="Y182" s="371">
        <f t="shared" si="83"/>
        <v>3493.12</v>
      </c>
      <c r="Z182" s="371">
        <f t="shared" si="84"/>
        <v>177641.35000000003</v>
      </c>
      <c r="AA182" s="371">
        <f t="shared" si="85"/>
        <v>187809.90999999997</v>
      </c>
      <c r="AB182" s="371">
        <f t="shared" si="97"/>
        <v>199413.65000000011</v>
      </c>
      <c r="AC182" s="452">
        <f t="shared" si="106"/>
        <v>122</v>
      </c>
      <c r="AD182" s="553">
        <f t="shared" si="107"/>
        <v>-33195.049999999996</v>
      </c>
      <c r="AE182" s="553">
        <f t="shared" si="77"/>
        <v>141130.94000000018</v>
      </c>
      <c r="AF182" s="553">
        <f t="shared" si="78"/>
        <v>107935.89000000019</v>
      </c>
      <c r="AG182" s="553">
        <f t="shared" si="108"/>
        <v>3059.17</v>
      </c>
      <c r="AH182" s="553">
        <f t="shared" si="109"/>
        <v>232273.22999999998</v>
      </c>
      <c r="AI182" s="553"/>
      <c r="AJ182" s="21">
        <f t="shared" si="86"/>
        <v>3059.17</v>
      </c>
      <c r="AK182" s="21">
        <f t="shared" si="87"/>
        <v>311207.51000000018</v>
      </c>
      <c r="AL182" s="553">
        <f>IF(R182&lt;=0,0,+([1]Profit!$B$4+AM181)*$AL$1/12)</f>
        <v>1420.1848867477174</v>
      </c>
      <c r="AM182" s="21">
        <f t="shared" si="110"/>
        <v>150594.13958583467</v>
      </c>
    </row>
    <row r="183" spans="1:39" x14ac:dyDescent="0.25">
      <c r="A183" s="542">
        <f t="shared" si="98"/>
        <v>49449</v>
      </c>
      <c r="B183" s="298">
        <f t="shared" si="99"/>
        <v>58282.709999999934</v>
      </c>
      <c r="C183" s="14">
        <f t="shared" si="89"/>
        <v>433.95</v>
      </c>
      <c r="D183" s="14">
        <f t="shared" si="111"/>
        <v>203.25</v>
      </c>
      <c r="E183" s="14">
        <f t="shared" si="90"/>
        <v>230.7</v>
      </c>
      <c r="F183" s="298">
        <f t="shared" si="100"/>
        <v>25438.330000000005</v>
      </c>
      <c r="G183" s="298">
        <f t="shared" si="101"/>
        <v>48228.509999999973</v>
      </c>
      <c r="H183" s="298">
        <f t="shared" si="91"/>
        <v>58079.459999999934</v>
      </c>
      <c r="I183" s="451">
        <f t="shared" si="92"/>
        <v>10</v>
      </c>
      <c r="J183" s="298">
        <f t="shared" si="102"/>
        <v>327302.12999999966</v>
      </c>
      <c r="K183" s="298">
        <f t="shared" si="80"/>
        <v>2701.27</v>
      </c>
      <c r="L183" s="298">
        <f t="shared" si="112"/>
        <v>587.44000000000005</v>
      </c>
      <c r="M183" s="298">
        <f t="shared" si="81"/>
        <v>2113.83</v>
      </c>
      <c r="N183" s="298">
        <f t="shared" si="103"/>
        <v>50340.310000000019</v>
      </c>
      <c r="O183" s="298">
        <f t="shared" si="104"/>
        <v>284617.1700000001</v>
      </c>
      <c r="P183" s="298">
        <f t="shared" si="93"/>
        <v>326714.68999999965</v>
      </c>
      <c r="Q183" s="542">
        <f t="shared" si="94"/>
        <v>49449</v>
      </c>
      <c r="R183" s="298">
        <f t="shared" si="79"/>
        <v>199413.65000000011</v>
      </c>
      <c r="S183" s="535">
        <f t="shared" si="105"/>
        <v>7.7499999999999999E-2</v>
      </c>
      <c r="T183" s="298">
        <f t="shared" si="95"/>
        <v>3493.12</v>
      </c>
      <c r="U183" s="298">
        <f t="shared" si="82"/>
        <v>2205.2399999999998</v>
      </c>
      <c r="V183" s="298">
        <f t="shared" si="96"/>
        <v>1287.8800000000001</v>
      </c>
      <c r="W183" s="298">
        <f t="shared" si="114"/>
        <v>0</v>
      </c>
      <c r="X183" s="298">
        <f t="shared" si="114"/>
        <v>0</v>
      </c>
      <c r="Y183" s="298">
        <f t="shared" si="83"/>
        <v>3493.12</v>
      </c>
      <c r="Z183" s="298">
        <f t="shared" si="84"/>
        <v>179846.59000000003</v>
      </c>
      <c r="AA183" s="298">
        <f t="shared" si="85"/>
        <v>189097.78999999998</v>
      </c>
      <c r="AB183" s="298">
        <f t="shared" si="97"/>
        <v>197208.41000000012</v>
      </c>
      <c r="AC183" s="451">
        <f t="shared" si="106"/>
        <v>123</v>
      </c>
      <c r="AD183" s="552">
        <f t="shared" si="107"/>
        <v>-33986.899999999994</v>
      </c>
      <c r="AE183" s="552">
        <f t="shared" si="77"/>
        <v>139128.95000000019</v>
      </c>
      <c r="AF183" s="552">
        <f t="shared" si="78"/>
        <v>105142.05000000019</v>
      </c>
      <c r="AG183" s="552">
        <f t="shared" si="108"/>
        <v>3059.17</v>
      </c>
      <c r="AH183" s="552">
        <f t="shared" si="109"/>
        <v>230271.24</v>
      </c>
      <c r="AI183" s="552"/>
      <c r="AJ183" s="14">
        <f t="shared" si="86"/>
        <v>3059.17</v>
      </c>
      <c r="AK183" s="14">
        <f t="shared" si="87"/>
        <v>314266.68000000017</v>
      </c>
      <c r="AL183" s="552">
        <f>IF(R183&lt;=0,0,+([1]Profit!$B$4+AM182)*$AL$1/12)</f>
        <v>1423.7353489645866</v>
      </c>
      <c r="AM183" s="14">
        <f t="shared" si="110"/>
        <v>152017.87493479924</v>
      </c>
    </row>
    <row r="184" spans="1:39" x14ac:dyDescent="0.25">
      <c r="A184" s="542">
        <f t="shared" si="98"/>
        <v>49479</v>
      </c>
      <c r="B184" s="298">
        <f t="shared" si="99"/>
        <v>58079.459999999934</v>
      </c>
      <c r="C184" s="14">
        <f t="shared" si="89"/>
        <v>433.95</v>
      </c>
      <c r="D184" s="14">
        <f t="shared" si="111"/>
        <v>204.04999999999998</v>
      </c>
      <c r="E184" s="14">
        <f t="shared" si="90"/>
        <v>229.9</v>
      </c>
      <c r="F184" s="298">
        <f t="shared" si="100"/>
        <v>25642.380000000005</v>
      </c>
      <c r="G184" s="298">
        <f t="shared" si="101"/>
        <v>48458.409999999974</v>
      </c>
      <c r="H184" s="298">
        <f t="shared" si="91"/>
        <v>57875.409999999931</v>
      </c>
      <c r="I184" s="451">
        <f t="shared" si="92"/>
        <v>10</v>
      </c>
      <c r="J184" s="298">
        <f t="shared" si="102"/>
        <v>326714.68999999965</v>
      </c>
      <c r="K184" s="298">
        <f t="shared" si="80"/>
        <v>2701.27</v>
      </c>
      <c r="L184" s="298">
        <f t="shared" si="112"/>
        <v>591.23999999999978</v>
      </c>
      <c r="M184" s="298">
        <f t="shared" si="81"/>
        <v>2110.0300000000002</v>
      </c>
      <c r="N184" s="298">
        <f t="shared" si="103"/>
        <v>50931.550000000017</v>
      </c>
      <c r="O184" s="298">
        <f t="shared" si="104"/>
        <v>286727.20000000013</v>
      </c>
      <c r="P184" s="298">
        <f t="shared" si="93"/>
        <v>326123.44999999966</v>
      </c>
      <c r="Q184" s="542">
        <f t="shared" si="94"/>
        <v>49479</v>
      </c>
      <c r="R184" s="298">
        <f t="shared" si="79"/>
        <v>197208.41000000012</v>
      </c>
      <c r="S184" s="535">
        <f t="shared" si="105"/>
        <v>7.7499999999999999E-2</v>
      </c>
      <c r="T184" s="298">
        <f t="shared" si="95"/>
        <v>3493.12</v>
      </c>
      <c r="U184" s="298">
        <f t="shared" si="82"/>
        <v>2219.4799999999996</v>
      </c>
      <c r="V184" s="298">
        <f t="shared" si="96"/>
        <v>1273.6400000000001</v>
      </c>
      <c r="W184" s="298">
        <f t="shared" si="114"/>
        <v>0</v>
      </c>
      <c r="X184" s="298">
        <f t="shared" si="114"/>
        <v>0</v>
      </c>
      <c r="Y184" s="298">
        <f t="shared" si="83"/>
        <v>3493.12</v>
      </c>
      <c r="Z184" s="298">
        <f t="shared" si="84"/>
        <v>182066.07000000004</v>
      </c>
      <c r="AA184" s="298">
        <f t="shared" si="85"/>
        <v>190371.43</v>
      </c>
      <c r="AB184" s="298">
        <f t="shared" si="97"/>
        <v>194988.93000000011</v>
      </c>
      <c r="AC184" s="451">
        <f t="shared" si="106"/>
        <v>124</v>
      </c>
      <c r="AD184" s="552">
        <f t="shared" si="107"/>
        <v>-34778.749999999993</v>
      </c>
      <c r="AE184" s="552">
        <f t="shared" si="77"/>
        <v>137113.52000000019</v>
      </c>
      <c r="AF184" s="552">
        <f t="shared" si="78"/>
        <v>102334.77000000019</v>
      </c>
      <c r="AG184" s="552">
        <f t="shared" si="108"/>
        <v>3059.17</v>
      </c>
      <c r="AH184" s="552">
        <f t="shared" si="109"/>
        <v>228255.80999999997</v>
      </c>
      <c r="AI184" s="552"/>
      <c r="AJ184" s="14">
        <f t="shared" si="86"/>
        <v>3059.17</v>
      </c>
      <c r="AK184" s="14">
        <f t="shared" si="87"/>
        <v>317325.85000000015</v>
      </c>
      <c r="AL184" s="552">
        <f>IF(R184&lt;=0,0,+([1]Profit!$B$4+AM183)*$AL$1/12)</f>
        <v>1427.2946873369981</v>
      </c>
      <c r="AM184" s="14">
        <f t="shared" si="110"/>
        <v>153445.16962213625</v>
      </c>
    </row>
    <row r="185" spans="1:39" x14ac:dyDescent="0.25">
      <c r="A185" s="542">
        <f t="shared" si="98"/>
        <v>49509</v>
      </c>
      <c r="B185" s="298">
        <f t="shared" si="99"/>
        <v>57875.409999999931</v>
      </c>
      <c r="C185" s="14">
        <f t="shared" si="89"/>
        <v>433.95</v>
      </c>
      <c r="D185" s="14">
        <f t="shared" si="111"/>
        <v>204.85999999999999</v>
      </c>
      <c r="E185" s="14">
        <f t="shared" si="90"/>
        <v>229.09</v>
      </c>
      <c r="F185" s="298">
        <f t="shared" si="100"/>
        <v>25847.240000000005</v>
      </c>
      <c r="G185" s="298">
        <f t="shared" si="101"/>
        <v>48687.499999999971</v>
      </c>
      <c r="H185" s="298">
        <f t="shared" si="91"/>
        <v>57670.54999999993</v>
      </c>
      <c r="I185" s="451">
        <f t="shared" si="92"/>
        <v>10</v>
      </c>
      <c r="J185" s="298">
        <f t="shared" si="102"/>
        <v>326123.44999999966</v>
      </c>
      <c r="K185" s="298">
        <f t="shared" si="80"/>
        <v>2701.27</v>
      </c>
      <c r="L185" s="298">
        <f t="shared" si="112"/>
        <v>595.05999999999995</v>
      </c>
      <c r="M185" s="298">
        <f t="shared" si="81"/>
        <v>2106.21</v>
      </c>
      <c r="N185" s="298">
        <f t="shared" si="103"/>
        <v>51526.610000000015</v>
      </c>
      <c r="O185" s="298">
        <f t="shared" si="104"/>
        <v>288833.41000000015</v>
      </c>
      <c r="P185" s="298">
        <f t="shared" si="93"/>
        <v>325528.38999999966</v>
      </c>
      <c r="Q185" s="542">
        <f t="shared" si="94"/>
        <v>49509</v>
      </c>
      <c r="R185" s="298">
        <f t="shared" si="79"/>
        <v>194988.93000000011</v>
      </c>
      <c r="S185" s="535">
        <f t="shared" si="105"/>
        <v>7.7499999999999999E-2</v>
      </c>
      <c r="T185" s="298">
        <f t="shared" si="95"/>
        <v>3493.12</v>
      </c>
      <c r="U185" s="298">
        <f t="shared" si="82"/>
        <v>2233.8199999999997</v>
      </c>
      <c r="V185" s="298">
        <f t="shared" si="96"/>
        <v>1259.3</v>
      </c>
      <c r="W185" s="298">
        <f t="shared" si="114"/>
        <v>0</v>
      </c>
      <c r="X185" s="298">
        <f t="shared" si="114"/>
        <v>0</v>
      </c>
      <c r="Y185" s="298">
        <f t="shared" si="83"/>
        <v>3493.12</v>
      </c>
      <c r="Z185" s="298">
        <f t="shared" si="84"/>
        <v>184299.89000000004</v>
      </c>
      <c r="AA185" s="298">
        <f t="shared" si="85"/>
        <v>191630.72999999998</v>
      </c>
      <c r="AB185" s="298">
        <f t="shared" si="97"/>
        <v>192755.1100000001</v>
      </c>
      <c r="AC185" s="451">
        <f t="shared" si="106"/>
        <v>125</v>
      </c>
      <c r="AD185" s="552">
        <f t="shared" si="107"/>
        <v>-35570.599999999991</v>
      </c>
      <c r="AE185" s="552">
        <f t="shared" si="77"/>
        <v>135084.56000000017</v>
      </c>
      <c r="AF185" s="552">
        <f t="shared" si="78"/>
        <v>99513.960000000181</v>
      </c>
      <c r="AG185" s="552">
        <f t="shared" si="108"/>
        <v>3059.17</v>
      </c>
      <c r="AH185" s="552">
        <f t="shared" si="109"/>
        <v>226226.84999999995</v>
      </c>
      <c r="AI185" s="552"/>
      <c r="AJ185" s="14">
        <f t="shared" si="86"/>
        <v>3059.17</v>
      </c>
      <c r="AK185" s="14">
        <f t="shared" si="87"/>
        <v>320385.02000000014</v>
      </c>
      <c r="AL185" s="552">
        <f>IF(R185&lt;=0,0,+([1]Profit!$B$4+AM184)*$AL$1/12)</f>
        <v>1430.8629240553407</v>
      </c>
      <c r="AM185" s="14">
        <f t="shared" si="110"/>
        <v>154876.03254619159</v>
      </c>
    </row>
    <row r="186" spans="1:39" x14ac:dyDescent="0.25">
      <c r="A186" s="542">
        <f t="shared" si="98"/>
        <v>49539</v>
      </c>
      <c r="B186" s="298">
        <f t="shared" si="99"/>
        <v>57670.54999999993</v>
      </c>
      <c r="C186" s="14">
        <f t="shared" si="89"/>
        <v>433.95</v>
      </c>
      <c r="D186" s="14">
        <f t="shared" si="111"/>
        <v>205.67</v>
      </c>
      <c r="E186" s="14">
        <f t="shared" si="90"/>
        <v>228.28</v>
      </c>
      <c r="F186" s="298">
        <f t="shared" si="100"/>
        <v>26052.910000000003</v>
      </c>
      <c r="G186" s="298">
        <f t="shared" si="101"/>
        <v>48915.77999999997</v>
      </c>
      <c r="H186" s="298">
        <f t="shared" si="91"/>
        <v>57464.879999999932</v>
      </c>
      <c r="I186" s="451">
        <f t="shared" si="92"/>
        <v>10</v>
      </c>
      <c r="J186" s="298">
        <f t="shared" si="102"/>
        <v>325528.38999999966</v>
      </c>
      <c r="K186" s="298">
        <f t="shared" si="80"/>
        <v>2701.27</v>
      </c>
      <c r="L186" s="298">
        <f t="shared" si="112"/>
        <v>598.90000000000009</v>
      </c>
      <c r="M186" s="298">
        <f t="shared" si="81"/>
        <v>2102.37</v>
      </c>
      <c r="N186" s="298">
        <f t="shared" si="103"/>
        <v>52125.510000000017</v>
      </c>
      <c r="O186" s="298">
        <f t="shared" si="104"/>
        <v>290935.78000000014</v>
      </c>
      <c r="P186" s="298">
        <f t="shared" si="93"/>
        <v>324929.48999999964</v>
      </c>
      <c r="Q186" s="542">
        <f t="shared" si="94"/>
        <v>49539</v>
      </c>
      <c r="R186" s="298">
        <f t="shared" si="79"/>
        <v>192755.1100000001</v>
      </c>
      <c r="S186" s="535">
        <f t="shared" si="105"/>
        <v>7.7499999999999999E-2</v>
      </c>
      <c r="T186" s="298">
        <f t="shared" si="95"/>
        <v>3493.12</v>
      </c>
      <c r="U186" s="298">
        <f t="shared" si="82"/>
        <v>2248.2399999999998</v>
      </c>
      <c r="V186" s="298">
        <f t="shared" si="96"/>
        <v>1244.8800000000001</v>
      </c>
      <c r="W186" s="298">
        <f t="shared" si="114"/>
        <v>0</v>
      </c>
      <c r="X186" s="298">
        <f t="shared" si="114"/>
        <v>0</v>
      </c>
      <c r="Y186" s="298">
        <f t="shared" si="83"/>
        <v>3493.12</v>
      </c>
      <c r="Z186" s="298">
        <f t="shared" si="84"/>
        <v>186548.13000000003</v>
      </c>
      <c r="AA186" s="298">
        <f t="shared" si="85"/>
        <v>192875.61</v>
      </c>
      <c r="AB186" s="298">
        <f t="shared" si="97"/>
        <v>190506.87000000011</v>
      </c>
      <c r="AC186" s="451">
        <f t="shared" si="106"/>
        <v>126</v>
      </c>
      <c r="AD186" s="552">
        <f t="shared" si="107"/>
        <v>-36362.44999999999</v>
      </c>
      <c r="AE186" s="552">
        <f t="shared" si="77"/>
        <v>133041.99000000017</v>
      </c>
      <c r="AF186" s="552">
        <f t="shared" si="78"/>
        <v>96679.540000000183</v>
      </c>
      <c r="AG186" s="552">
        <f t="shared" si="108"/>
        <v>3059.17</v>
      </c>
      <c r="AH186" s="552">
        <f t="shared" si="109"/>
        <v>224184.28</v>
      </c>
      <c r="AI186" s="552"/>
      <c r="AJ186" s="14">
        <f t="shared" si="86"/>
        <v>3059.17</v>
      </c>
      <c r="AK186" s="14">
        <f t="shared" si="87"/>
        <v>323444.19000000012</v>
      </c>
      <c r="AL186" s="552">
        <f>IF(R186&lt;=0,0,+([1]Profit!$B$4+AM185)*$AL$1/12)</f>
        <v>1434.440081365479</v>
      </c>
      <c r="AM186" s="14">
        <f t="shared" si="110"/>
        <v>156310.47262755706</v>
      </c>
    </row>
    <row r="187" spans="1:39" x14ac:dyDescent="0.25">
      <c r="A187" s="542">
        <f t="shared" si="98"/>
        <v>49569</v>
      </c>
      <c r="B187" s="298">
        <f t="shared" si="99"/>
        <v>57464.879999999932</v>
      </c>
      <c r="C187" s="14">
        <f t="shared" si="89"/>
        <v>433.95</v>
      </c>
      <c r="D187" s="14">
        <f t="shared" si="111"/>
        <v>206.48</v>
      </c>
      <c r="E187" s="14">
        <f t="shared" si="90"/>
        <v>227.47</v>
      </c>
      <c r="F187" s="298">
        <f t="shared" si="100"/>
        <v>26259.390000000003</v>
      </c>
      <c r="G187" s="298">
        <f t="shared" si="101"/>
        <v>49143.249999999971</v>
      </c>
      <c r="H187" s="298">
        <f t="shared" si="91"/>
        <v>57258.399999999929</v>
      </c>
      <c r="I187" s="451">
        <f t="shared" si="92"/>
        <v>10</v>
      </c>
      <c r="J187" s="298">
        <f t="shared" si="102"/>
        <v>324929.48999999964</v>
      </c>
      <c r="K187" s="298">
        <f t="shared" si="80"/>
        <v>2701.27</v>
      </c>
      <c r="L187" s="298">
        <f t="shared" si="112"/>
        <v>602.77</v>
      </c>
      <c r="M187" s="298">
        <f t="shared" si="81"/>
        <v>2098.5</v>
      </c>
      <c r="N187" s="298">
        <f t="shared" si="103"/>
        <v>52728.280000000013</v>
      </c>
      <c r="O187" s="298">
        <f t="shared" si="104"/>
        <v>293034.28000000014</v>
      </c>
      <c r="P187" s="298">
        <f t="shared" si="93"/>
        <v>324326.71999999962</v>
      </c>
      <c r="Q187" s="542">
        <f t="shared" si="94"/>
        <v>49569</v>
      </c>
      <c r="R187" s="298">
        <f t="shared" si="79"/>
        <v>190506.87000000011</v>
      </c>
      <c r="S187" s="535">
        <f t="shared" si="105"/>
        <v>7.7499999999999999E-2</v>
      </c>
      <c r="T187" s="298">
        <f t="shared" si="95"/>
        <v>3493.12</v>
      </c>
      <c r="U187" s="298">
        <f t="shared" si="82"/>
        <v>2262.7600000000002</v>
      </c>
      <c r="V187" s="298">
        <f t="shared" si="96"/>
        <v>1230.3599999999999</v>
      </c>
      <c r="W187" s="298">
        <f t="shared" si="114"/>
        <v>0</v>
      </c>
      <c r="X187" s="298">
        <f t="shared" si="114"/>
        <v>0</v>
      </c>
      <c r="Y187" s="298">
        <f t="shared" si="83"/>
        <v>3493.12</v>
      </c>
      <c r="Z187" s="298">
        <f t="shared" si="84"/>
        <v>188810.89000000004</v>
      </c>
      <c r="AA187" s="298">
        <f t="shared" si="85"/>
        <v>194105.96999999997</v>
      </c>
      <c r="AB187" s="298">
        <f t="shared" si="97"/>
        <v>188244.1100000001</v>
      </c>
      <c r="AC187" s="451">
        <f t="shared" si="106"/>
        <v>127</v>
      </c>
      <c r="AD187" s="552">
        <f t="shared" si="107"/>
        <v>-37154.299999999988</v>
      </c>
      <c r="AE187" s="552">
        <f t="shared" si="77"/>
        <v>130985.71000000017</v>
      </c>
      <c r="AF187" s="552">
        <f t="shared" si="78"/>
        <v>93831.410000000178</v>
      </c>
      <c r="AG187" s="552">
        <f t="shared" si="108"/>
        <v>3059.17</v>
      </c>
      <c r="AH187" s="552">
        <f t="shared" si="109"/>
        <v>222127.99999999997</v>
      </c>
      <c r="AI187" s="552"/>
      <c r="AJ187" s="14">
        <f t="shared" si="86"/>
        <v>3059.17</v>
      </c>
      <c r="AK187" s="14">
        <f t="shared" si="87"/>
        <v>326503.3600000001</v>
      </c>
      <c r="AL187" s="552">
        <f>IF(R187&lt;=0,0,+([1]Profit!$B$4+AM186)*$AL$1/12)</f>
        <v>1438.0261815688928</v>
      </c>
      <c r="AM187" s="14">
        <f t="shared" si="110"/>
        <v>157748.49880912594</v>
      </c>
    </row>
    <row r="188" spans="1:39" x14ac:dyDescent="0.25">
      <c r="A188" s="542">
        <f t="shared" si="98"/>
        <v>49599</v>
      </c>
      <c r="B188" s="298">
        <f t="shared" si="99"/>
        <v>57258.399999999929</v>
      </c>
      <c r="C188" s="14">
        <f t="shared" si="89"/>
        <v>433.95</v>
      </c>
      <c r="D188" s="14">
        <f t="shared" si="111"/>
        <v>207.29999999999998</v>
      </c>
      <c r="E188" s="14">
        <f t="shared" si="90"/>
        <v>226.65</v>
      </c>
      <c r="F188" s="298">
        <f t="shared" si="100"/>
        <v>26466.690000000002</v>
      </c>
      <c r="G188" s="298">
        <f t="shared" si="101"/>
        <v>49369.899999999972</v>
      </c>
      <c r="H188" s="298">
        <f t="shared" si="91"/>
        <v>57051.099999999926</v>
      </c>
      <c r="I188" s="451">
        <f t="shared" si="92"/>
        <v>10</v>
      </c>
      <c r="J188" s="298">
        <f t="shared" si="102"/>
        <v>324326.71999999962</v>
      </c>
      <c r="K188" s="298">
        <f t="shared" si="80"/>
        <v>2701.27</v>
      </c>
      <c r="L188" s="298">
        <f t="shared" si="112"/>
        <v>606.65999999999985</v>
      </c>
      <c r="M188" s="298">
        <f t="shared" si="81"/>
        <v>2094.61</v>
      </c>
      <c r="N188" s="298">
        <f t="shared" si="103"/>
        <v>53334.940000000017</v>
      </c>
      <c r="O188" s="298">
        <f t="shared" si="104"/>
        <v>295128.89000000013</v>
      </c>
      <c r="P188" s="298">
        <f t="shared" si="93"/>
        <v>323720.05999999965</v>
      </c>
      <c r="Q188" s="542">
        <f t="shared" si="94"/>
        <v>49599</v>
      </c>
      <c r="R188" s="298">
        <f t="shared" si="79"/>
        <v>188244.1100000001</v>
      </c>
      <c r="S188" s="535">
        <f t="shared" si="105"/>
        <v>7.7499999999999999E-2</v>
      </c>
      <c r="T188" s="298">
        <f t="shared" si="95"/>
        <v>3493.12</v>
      </c>
      <c r="U188" s="298">
        <f t="shared" si="82"/>
        <v>2277.38</v>
      </c>
      <c r="V188" s="298">
        <f t="shared" si="96"/>
        <v>1215.74</v>
      </c>
      <c r="W188" s="298">
        <f t="shared" ref="W188:X203" si="115">+W187</f>
        <v>0</v>
      </c>
      <c r="X188" s="298">
        <f t="shared" si="115"/>
        <v>0</v>
      </c>
      <c r="Y188" s="298">
        <f t="shared" si="83"/>
        <v>3493.12</v>
      </c>
      <c r="Z188" s="298">
        <f t="shared" si="84"/>
        <v>191088.27000000005</v>
      </c>
      <c r="AA188" s="298">
        <f t="shared" si="85"/>
        <v>195321.70999999996</v>
      </c>
      <c r="AB188" s="298">
        <f t="shared" si="97"/>
        <v>185966.7300000001</v>
      </c>
      <c r="AC188" s="451">
        <f t="shared" si="106"/>
        <v>128</v>
      </c>
      <c r="AD188" s="552">
        <f t="shared" si="107"/>
        <v>-37946.149999999987</v>
      </c>
      <c r="AE188" s="552">
        <f t="shared" ref="AE188:AE251" si="116">AB188-H188</f>
        <v>128915.63000000018</v>
      </c>
      <c r="AF188" s="552">
        <f t="shared" ref="AF188:AF251" si="117">SUM(AD188:AE188)</f>
        <v>90969.480000000185</v>
      </c>
      <c r="AG188" s="552">
        <f t="shared" si="108"/>
        <v>3059.17</v>
      </c>
      <c r="AH188" s="552">
        <f t="shared" si="109"/>
        <v>220057.91999999995</v>
      </c>
      <c r="AI188" s="552"/>
      <c r="AJ188" s="14">
        <f t="shared" si="86"/>
        <v>3059.17</v>
      </c>
      <c r="AK188" s="14">
        <f t="shared" si="87"/>
        <v>329562.53000000009</v>
      </c>
      <c r="AL188" s="552">
        <f>IF(R188&lt;=0,0,+([1]Profit!$B$4+AM187)*$AL$1/12)</f>
        <v>1441.6212470228149</v>
      </c>
      <c r="AM188" s="14">
        <f t="shared" si="110"/>
        <v>159190.12005614876</v>
      </c>
    </row>
    <row r="189" spans="1:39" x14ac:dyDescent="0.25">
      <c r="A189" s="542">
        <f t="shared" si="98"/>
        <v>49629</v>
      </c>
      <c r="B189" s="298">
        <f t="shared" si="99"/>
        <v>57051.099999999926</v>
      </c>
      <c r="C189" s="14">
        <f t="shared" si="89"/>
        <v>433.95</v>
      </c>
      <c r="D189" s="14">
        <f t="shared" si="111"/>
        <v>208.11999999999998</v>
      </c>
      <c r="E189" s="14">
        <f t="shared" si="90"/>
        <v>225.83</v>
      </c>
      <c r="F189" s="298">
        <f t="shared" si="100"/>
        <v>26674.81</v>
      </c>
      <c r="G189" s="298">
        <f t="shared" si="101"/>
        <v>49595.729999999974</v>
      </c>
      <c r="H189" s="298">
        <f t="shared" si="91"/>
        <v>56842.979999999923</v>
      </c>
      <c r="I189" s="451">
        <f t="shared" si="92"/>
        <v>10</v>
      </c>
      <c r="J189" s="298">
        <f t="shared" si="102"/>
        <v>323720.05999999965</v>
      </c>
      <c r="K189" s="298">
        <f t="shared" si="80"/>
        <v>2701.27</v>
      </c>
      <c r="L189" s="298">
        <f t="shared" si="112"/>
        <v>610.57999999999993</v>
      </c>
      <c r="M189" s="298">
        <f t="shared" si="81"/>
        <v>2090.69</v>
      </c>
      <c r="N189" s="298">
        <f t="shared" si="103"/>
        <v>53945.520000000019</v>
      </c>
      <c r="O189" s="298">
        <f t="shared" si="104"/>
        <v>297219.58000000013</v>
      </c>
      <c r="P189" s="298">
        <f t="shared" si="93"/>
        <v>323109.47999999963</v>
      </c>
      <c r="Q189" s="542">
        <f t="shared" si="94"/>
        <v>49629</v>
      </c>
      <c r="R189" s="298">
        <f t="shared" ref="R189:R252" si="118">IF(Q189&gt;$J$10,IF(+AB188&lt;0,0,+AB188),0)</f>
        <v>185966.7300000001</v>
      </c>
      <c r="S189" s="535">
        <f t="shared" si="105"/>
        <v>7.7499999999999999E-2</v>
      </c>
      <c r="T189" s="298">
        <f t="shared" si="95"/>
        <v>3493.12</v>
      </c>
      <c r="U189" s="298">
        <f t="shared" si="82"/>
        <v>2292.08</v>
      </c>
      <c r="V189" s="298">
        <f t="shared" si="96"/>
        <v>1201.04</v>
      </c>
      <c r="W189" s="298">
        <f t="shared" si="115"/>
        <v>0</v>
      </c>
      <c r="X189" s="298">
        <f t="shared" si="115"/>
        <v>0</v>
      </c>
      <c r="Y189" s="298">
        <f t="shared" si="83"/>
        <v>3493.12</v>
      </c>
      <c r="Z189" s="298">
        <f t="shared" si="84"/>
        <v>193380.35000000003</v>
      </c>
      <c r="AA189" s="298">
        <f t="shared" si="85"/>
        <v>196522.74999999997</v>
      </c>
      <c r="AB189" s="298">
        <f t="shared" si="97"/>
        <v>183674.65000000011</v>
      </c>
      <c r="AC189" s="451">
        <f t="shared" si="106"/>
        <v>129</v>
      </c>
      <c r="AD189" s="552">
        <f t="shared" si="107"/>
        <v>-38737.999999999985</v>
      </c>
      <c r="AE189" s="552">
        <f t="shared" si="116"/>
        <v>126831.67000000019</v>
      </c>
      <c r="AF189" s="552">
        <f t="shared" si="117"/>
        <v>88093.670000000202</v>
      </c>
      <c r="AG189" s="552">
        <f t="shared" si="108"/>
        <v>3059.17</v>
      </c>
      <c r="AH189" s="552">
        <f t="shared" si="109"/>
        <v>217973.95999999996</v>
      </c>
      <c r="AI189" s="552"/>
      <c r="AJ189" s="14">
        <f t="shared" si="86"/>
        <v>3059.17</v>
      </c>
      <c r="AK189" s="14">
        <f t="shared" si="87"/>
        <v>332621.70000000007</v>
      </c>
      <c r="AL189" s="552">
        <f>IF(R189&lt;=0,0,+([1]Profit!$B$4+AM188)*$AL$1/12)</f>
        <v>1445.2253001403717</v>
      </c>
      <c r="AM189" s="14">
        <f t="shared" si="110"/>
        <v>160635.34535628912</v>
      </c>
    </row>
    <row r="190" spans="1:39" x14ac:dyDescent="0.25">
      <c r="A190" s="542">
        <f t="shared" si="98"/>
        <v>49659</v>
      </c>
      <c r="B190" s="298">
        <f t="shared" si="99"/>
        <v>56842.979999999923</v>
      </c>
      <c r="C190" s="14">
        <f t="shared" si="89"/>
        <v>433.95</v>
      </c>
      <c r="D190" s="14">
        <f t="shared" si="111"/>
        <v>208.95</v>
      </c>
      <c r="E190" s="14">
        <f t="shared" si="90"/>
        <v>225</v>
      </c>
      <c r="F190" s="298">
        <f t="shared" si="100"/>
        <v>26883.760000000002</v>
      </c>
      <c r="G190" s="298">
        <f t="shared" si="101"/>
        <v>49820.729999999974</v>
      </c>
      <c r="H190" s="298">
        <f t="shared" si="91"/>
        <v>56634.029999999926</v>
      </c>
      <c r="I190" s="451">
        <f t="shared" si="92"/>
        <v>10</v>
      </c>
      <c r="J190" s="298">
        <f t="shared" si="102"/>
        <v>323109.47999999963</v>
      </c>
      <c r="K190" s="298">
        <f t="shared" ref="K190:K253" si="119">IF($J$10&lt;=A190,IF(+$P189&lt;=0,0,$J$9),0)</f>
        <v>2701.27</v>
      </c>
      <c r="L190" s="298">
        <f t="shared" si="112"/>
        <v>614.52</v>
      </c>
      <c r="M190" s="298">
        <f t="shared" ref="M190:M253" si="120">IF($J$10&lt;=A190,ROUND(J190*($J$7/12),2),0)</f>
        <v>2086.75</v>
      </c>
      <c r="N190" s="298">
        <f t="shared" si="103"/>
        <v>54560.040000000015</v>
      </c>
      <c r="O190" s="298">
        <f t="shared" si="104"/>
        <v>299306.33000000013</v>
      </c>
      <c r="P190" s="298">
        <f t="shared" si="93"/>
        <v>322494.95999999961</v>
      </c>
      <c r="Q190" s="542">
        <f t="shared" si="94"/>
        <v>49659</v>
      </c>
      <c r="R190" s="298">
        <f t="shared" si="118"/>
        <v>183674.65000000011</v>
      </c>
      <c r="S190" s="535">
        <f t="shared" si="105"/>
        <v>7.7499999999999999E-2</v>
      </c>
      <c r="T190" s="298">
        <f t="shared" si="95"/>
        <v>3493.12</v>
      </c>
      <c r="U190" s="298">
        <f t="shared" ref="U190:U253" si="121">+T190-V190</f>
        <v>2306.89</v>
      </c>
      <c r="V190" s="298">
        <f t="shared" si="96"/>
        <v>1186.23</v>
      </c>
      <c r="W190" s="298">
        <f t="shared" si="115"/>
        <v>0</v>
      </c>
      <c r="X190" s="298">
        <f t="shared" si="115"/>
        <v>0</v>
      </c>
      <c r="Y190" s="298">
        <f t="shared" ref="Y190:Y253" si="122">SUM(U190:X190)</f>
        <v>3493.12</v>
      </c>
      <c r="Z190" s="298">
        <f t="shared" ref="Z190:Z253" si="123">+U190+Z189</f>
        <v>195687.24000000005</v>
      </c>
      <c r="AA190" s="298">
        <f t="shared" ref="AA190:AA253" si="124">+AA189+V190</f>
        <v>197708.97999999998</v>
      </c>
      <c r="AB190" s="298">
        <f t="shared" si="97"/>
        <v>181367.7600000001</v>
      </c>
      <c r="AC190" s="451">
        <f t="shared" si="106"/>
        <v>130</v>
      </c>
      <c r="AD190" s="552">
        <f t="shared" si="107"/>
        <v>-39529.849999999984</v>
      </c>
      <c r="AE190" s="552">
        <f t="shared" si="116"/>
        <v>124733.73000000017</v>
      </c>
      <c r="AF190" s="552">
        <f t="shared" si="117"/>
        <v>85203.880000000179</v>
      </c>
      <c r="AG190" s="552">
        <f t="shared" si="108"/>
        <v>3059.17</v>
      </c>
      <c r="AH190" s="552">
        <f t="shared" si="109"/>
        <v>215876.01999999996</v>
      </c>
      <c r="AI190" s="552"/>
      <c r="AJ190" s="14">
        <f t="shared" ref="AJ190:AJ253" si="125">+AG190-AI190</f>
        <v>3059.17</v>
      </c>
      <c r="AK190" s="14">
        <f t="shared" si="87"/>
        <v>335680.87000000005</v>
      </c>
      <c r="AL190" s="552">
        <f>IF(R190&lt;=0,0,+([1]Profit!$B$4+AM189)*$AL$1/12)</f>
        <v>1448.8383633907226</v>
      </c>
      <c r="AM190" s="14">
        <f t="shared" si="110"/>
        <v>162084.18371967986</v>
      </c>
    </row>
    <row r="191" spans="1:39" x14ac:dyDescent="0.25">
      <c r="A191" s="542">
        <f t="shared" si="98"/>
        <v>49689</v>
      </c>
      <c r="B191" s="298">
        <f t="shared" si="99"/>
        <v>56634.029999999926</v>
      </c>
      <c r="C191" s="14">
        <f t="shared" si="89"/>
        <v>433.95</v>
      </c>
      <c r="D191" s="14">
        <f t="shared" si="111"/>
        <v>209.76999999999998</v>
      </c>
      <c r="E191" s="14">
        <f t="shared" si="90"/>
        <v>224.18</v>
      </c>
      <c r="F191" s="298">
        <f t="shared" si="100"/>
        <v>27093.530000000002</v>
      </c>
      <c r="G191" s="298">
        <f t="shared" si="101"/>
        <v>50044.909999999974</v>
      </c>
      <c r="H191" s="298">
        <f t="shared" si="91"/>
        <v>56424.259999999929</v>
      </c>
      <c r="I191" s="451">
        <f t="shared" si="92"/>
        <v>10</v>
      </c>
      <c r="J191" s="298">
        <f t="shared" si="102"/>
        <v>322494.95999999961</v>
      </c>
      <c r="K191" s="298">
        <f t="shared" si="119"/>
        <v>2701.27</v>
      </c>
      <c r="L191" s="298">
        <f t="shared" si="112"/>
        <v>618.48999999999978</v>
      </c>
      <c r="M191" s="298">
        <f t="shared" si="120"/>
        <v>2082.7800000000002</v>
      </c>
      <c r="N191" s="298">
        <f t="shared" si="103"/>
        <v>55178.530000000013</v>
      </c>
      <c r="O191" s="298">
        <f t="shared" si="104"/>
        <v>301389.11000000016</v>
      </c>
      <c r="P191" s="298">
        <f t="shared" si="93"/>
        <v>321876.46999999962</v>
      </c>
      <c r="Q191" s="542">
        <f t="shared" si="94"/>
        <v>49689</v>
      </c>
      <c r="R191" s="298">
        <f t="shared" si="118"/>
        <v>181367.7600000001</v>
      </c>
      <c r="S191" s="535">
        <f t="shared" si="105"/>
        <v>7.7499999999999999E-2</v>
      </c>
      <c r="T191" s="298">
        <f t="shared" si="95"/>
        <v>3493.12</v>
      </c>
      <c r="U191" s="298">
        <f t="shared" si="121"/>
        <v>2321.79</v>
      </c>
      <c r="V191" s="298">
        <f t="shared" si="96"/>
        <v>1171.33</v>
      </c>
      <c r="W191" s="298">
        <f t="shared" si="115"/>
        <v>0</v>
      </c>
      <c r="X191" s="298">
        <f t="shared" si="115"/>
        <v>0</v>
      </c>
      <c r="Y191" s="298">
        <f t="shared" si="122"/>
        <v>3493.12</v>
      </c>
      <c r="Z191" s="298">
        <f t="shared" si="123"/>
        <v>198009.03000000006</v>
      </c>
      <c r="AA191" s="298">
        <f t="shared" si="124"/>
        <v>198880.30999999997</v>
      </c>
      <c r="AB191" s="298">
        <f t="shared" si="97"/>
        <v>179045.97000000009</v>
      </c>
      <c r="AC191" s="451">
        <f t="shared" si="106"/>
        <v>131</v>
      </c>
      <c r="AD191" s="552">
        <f t="shared" si="107"/>
        <v>-40321.699999999983</v>
      </c>
      <c r="AE191" s="552">
        <f t="shared" si="116"/>
        <v>122621.71000000017</v>
      </c>
      <c r="AF191" s="552">
        <f t="shared" si="117"/>
        <v>82300.010000000184</v>
      </c>
      <c r="AG191" s="552">
        <f t="shared" si="108"/>
        <v>3059.17</v>
      </c>
      <c r="AH191" s="552">
        <f t="shared" si="109"/>
        <v>213763.99999999997</v>
      </c>
      <c r="AI191" s="552"/>
      <c r="AJ191" s="14">
        <f t="shared" si="125"/>
        <v>3059.17</v>
      </c>
      <c r="AK191" s="14">
        <f t="shared" si="87"/>
        <v>338740.04000000004</v>
      </c>
      <c r="AL191" s="552">
        <f>IF(R191&lt;=0,0,+([1]Profit!$B$4+AM190)*$AL$1/12)</f>
        <v>1452.4604592991993</v>
      </c>
      <c r="AM191" s="14">
        <f t="shared" si="110"/>
        <v>163536.64417897907</v>
      </c>
    </row>
    <row r="192" spans="1:39" x14ac:dyDescent="0.25">
      <c r="A192" s="542">
        <f t="shared" si="98"/>
        <v>49719</v>
      </c>
      <c r="B192" s="298">
        <f t="shared" si="99"/>
        <v>56424.259999999929</v>
      </c>
      <c r="C192" s="14">
        <f t="shared" si="89"/>
        <v>433.95</v>
      </c>
      <c r="D192" s="14">
        <f t="shared" si="111"/>
        <v>210.6</v>
      </c>
      <c r="E192" s="14">
        <f t="shared" si="90"/>
        <v>223.35</v>
      </c>
      <c r="F192" s="298">
        <f t="shared" si="100"/>
        <v>27304.13</v>
      </c>
      <c r="G192" s="298">
        <f t="shared" si="101"/>
        <v>50268.259999999973</v>
      </c>
      <c r="H192" s="298">
        <f t="shared" si="91"/>
        <v>56213.659999999931</v>
      </c>
      <c r="I192" s="451">
        <f t="shared" si="92"/>
        <v>11</v>
      </c>
      <c r="J192" s="298">
        <f t="shared" si="102"/>
        <v>321876.46999999962</v>
      </c>
      <c r="K192" s="298">
        <f t="shared" si="119"/>
        <v>2701.27</v>
      </c>
      <c r="L192" s="298">
        <f t="shared" si="112"/>
        <v>622.48</v>
      </c>
      <c r="M192" s="298">
        <f t="shared" si="120"/>
        <v>2078.79</v>
      </c>
      <c r="N192" s="298">
        <f t="shared" si="103"/>
        <v>55801.010000000017</v>
      </c>
      <c r="O192" s="298">
        <f t="shared" si="104"/>
        <v>303467.90000000014</v>
      </c>
      <c r="P192" s="298">
        <f t="shared" si="93"/>
        <v>321253.98999999964</v>
      </c>
      <c r="Q192" s="542">
        <f t="shared" si="94"/>
        <v>49719</v>
      </c>
      <c r="R192" s="298">
        <f t="shared" si="118"/>
        <v>179045.97000000009</v>
      </c>
      <c r="S192" s="535">
        <f t="shared" si="105"/>
        <v>7.7499999999999999E-2</v>
      </c>
      <c r="T192" s="298">
        <f t="shared" si="95"/>
        <v>3493.12</v>
      </c>
      <c r="U192" s="298">
        <f t="shared" si="121"/>
        <v>2336.7799999999997</v>
      </c>
      <c r="V192" s="298">
        <f t="shared" si="96"/>
        <v>1156.3399999999999</v>
      </c>
      <c r="W192" s="298">
        <f t="shared" si="115"/>
        <v>0</v>
      </c>
      <c r="X192" s="298">
        <f t="shared" si="115"/>
        <v>0</v>
      </c>
      <c r="Y192" s="298">
        <f t="shared" si="122"/>
        <v>3493.12</v>
      </c>
      <c r="Z192" s="298">
        <f t="shared" si="123"/>
        <v>200345.81000000006</v>
      </c>
      <c r="AA192" s="298">
        <f t="shared" si="124"/>
        <v>200036.64999999997</v>
      </c>
      <c r="AB192" s="298">
        <f t="shared" si="97"/>
        <v>176709.19000000009</v>
      </c>
      <c r="AC192" s="451">
        <f t="shared" si="106"/>
        <v>132</v>
      </c>
      <c r="AD192" s="552">
        <f t="shared" si="107"/>
        <v>-41113.549999999981</v>
      </c>
      <c r="AE192" s="552">
        <f t="shared" si="116"/>
        <v>120495.53000000016</v>
      </c>
      <c r="AF192" s="552">
        <f t="shared" si="117"/>
        <v>79381.980000000185</v>
      </c>
      <c r="AG192" s="552">
        <f t="shared" si="108"/>
        <v>3059.17</v>
      </c>
      <c r="AH192" s="552">
        <f t="shared" si="109"/>
        <v>211637.81999999995</v>
      </c>
      <c r="AI192" s="552"/>
      <c r="AJ192" s="14">
        <f t="shared" si="125"/>
        <v>3059.17</v>
      </c>
      <c r="AK192" s="14">
        <f t="shared" si="87"/>
        <v>341799.21</v>
      </c>
      <c r="AL192" s="552">
        <f>IF(R192&lt;=0,0,+([1]Profit!$B$4+AM191)*$AL$1/12)</f>
        <v>1456.0916104474479</v>
      </c>
      <c r="AM192" s="14">
        <f t="shared" si="110"/>
        <v>164992.73578942652</v>
      </c>
    </row>
    <row r="193" spans="1:39" x14ac:dyDescent="0.25">
      <c r="A193" s="542">
        <f t="shared" si="98"/>
        <v>49749</v>
      </c>
      <c r="B193" s="298">
        <f t="shared" si="99"/>
        <v>56213.659999999931</v>
      </c>
      <c r="C193" s="14">
        <f t="shared" si="89"/>
        <v>433.95</v>
      </c>
      <c r="D193" s="14">
        <f t="shared" si="111"/>
        <v>211.44</v>
      </c>
      <c r="E193" s="14">
        <f t="shared" si="90"/>
        <v>222.51</v>
      </c>
      <c r="F193" s="298">
        <f t="shared" si="100"/>
        <v>27515.57</v>
      </c>
      <c r="G193" s="298">
        <f t="shared" si="101"/>
        <v>50490.769999999975</v>
      </c>
      <c r="H193" s="298">
        <f t="shared" si="91"/>
        <v>56002.219999999928</v>
      </c>
      <c r="I193" s="451">
        <f t="shared" si="92"/>
        <v>11</v>
      </c>
      <c r="J193" s="298">
        <f t="shared" si="102"/>
        <v>321253.98999999964</v>
      </c>
      <c r="K193" s="298">
        <f t="shared" si="119"/>
        <v>2701.27</v>
      </c>
      <c r="L193" s="298">
        <f t="shared" si="112"/>
        <v>626.5</v>
      </c>
      <c r="M193" s="298">
        <f t="shared" si="120"/>
        <v>2074.77</v>
      </c>
      <c r="N193" s="298">
        <f t="shared" si="103"/>
        <v>56427.510000000017</v>
      </c>
      <c r="O193" s="298">
        <f t="shared" si="104"/>
        <v>305542.67000000016</v>
      </c>
      <c r="P193" s="298">
        <f t="shared" si="93"/>
        <v>320627.48999999964</v>
      </c>
      <c r="Q193" s="542">
        <f t="shared" si="94"/>
        <v>49749</v>
      </c>
      <c r="R193" s="298">
        <f t="shared" si="118"/>
        <v>176709.19000000009</v>
      </c>
      <c r="S193" s="535">
        <f t="shared" si="105"/>
        <v>7.7499999999999999E-2</v>
      </c>
      <c r="T193" s="298">
        <f t="shared" si="95"/>
        <v>3493.12</v>
      </c>
      <c r="U193" s="298">
        <f t="shared" si="121"/>
        <v>2351.87</v>
      </c>
      <c r="V193" s="298">
        <f t="shared" si="96"/>
        <v>1141.25</v>
      </c>
      <c r="W193" s="298">
        <f t="shared" si="115"/>
        <v>0</v>
      </c>
      <c r="X193" s="298">
        <f t="shared" si="115"/>
        <v>0</v>
      </c>
      <c r="Y193" s="298">
        <f t="shared" si="122"/>
        <v>3493.12</v>
      </c>
      <c r="Z193" s="298">
        <f t="shared" si="123"/>
        <v>202697.68000000005</v>
      </c>
      <c r="AA193" s="298">
        <f t="shared" si="124"/>
        <v>201177.89999999997</v>
      </c>
      <c r="AB193" s="298">
        <f t="shared" si="97"/>
        <v>174357.32000000009</v>
      </c>
      <c r="AC193" s="451">
        <f t="shared" si="106"/>
        <v>133</v>
      </c>
      <c r="AD193" s="552">
        <f t="shared" si="107"/>
        <v>-41905.39999999998</v>
      </c>
      <c r="AE193" s="552">
        <f t="shared" si="116"/>
        <v>118355.10000000017</v>
      </c>
      <c r="AF193" s="552">
        <f t="shared" si="117"/>
        <v>76449.700000000186</v>
      </c>
      <c r="AG193" s="552">
        <f t="shared" si="108"/>
        <v>3059.17</v>
      </c>
      <c r="AH193" s="552">
        <f t="shared" si="109"/>
        <v>209497.38999999996</v>
      </c>
      <c r="AI193" s="552"/>
      <c r="AJ193" s="14">
        <f t="shared" si="125"/>
        <v>3059.17</v>
      </c>
      <c r="AK193" s="14">
        <f t="shared" si="87"/>
        <v>344858.38</v>
      </c>
      <c r="AL193" s="552">
        <f>IF(R193&lt;=0,0,+([1]Profit!$B$4+AM192)*$AL$1/12)</f>
        <v>1459.731839473566</v>
      </c>
      <c r="AM193" s="14">
        <f t="shared" si="110"/>
        <v>166452.46762890008</v>
      </c>
    </row>
    <row r="194" spans="1:39" ht="15.75" thickBot="1" x14ac:dyDescent="0.3">
      <c r="A194" s="545">
        <f t="shared" si="98"/>
        <v>49779</v>
      </c>
      <c r="B194" s="371">
        <f t="shared" si="99"/>
        <v>56002.219999999928</v>
      </c>
      <c r="C194" s="21">
        <f t="shared" si="89"/>
        <v>433.95</v>
      </c>
      <c r="D194" s="21">
        <f t="shared" si="111"/>
        <v>212.26999999999998</v>
      </c>
      <c r="E194" s="21">
        <f t="shared" si="90"/>
        <v>221.68</v>
      </c>
      <c r="F194" s="371">
        <f t="shared" si="100"/>
        <v>27727.84</v>
      </c>
      <c r="G194" s="371">
        <f t="shared" si="101"/>
        <v>50712.449999999975</v>
      </c>
      <c r="H194" s="371">
        <f t="shared" si="91"/>
        <v>55789.949999999932</v>
      </c>
      <c r="I194" s="452">
        <f t="shared" si="92"/>
        <v>11</v>
      </c>
      <c r="J194" s="371">
        <f t="shared" si="102"/>
        <v>320627.48999999964</v>
      </c>
      <c r="K194" s="371">
        <f t="shared" si="119"/>
        <v>2701.27</v>
      </c>
      <c r="L194" s="371">
        <f t="shared" si="112"/>
        <v>630.55000000000018</v>
      </c>
      <c r="M194" s="371">
        <f t="shared" si="120"/>
        <v>2070.7199999999998</v>
      </c>
      <c r="N194" s="371">
        <f t="shared" si="103"/>
        <v>57058.060000000019</v>
      </c>
      <c r="O194" s="371">
        <f t="shared" si="104"/>
        <v>307613.39000000013</v>
      </c>
      <c r="P194" s="371">
        <f t="shared" si="93"/>
        <v>319996.93999999965</v>
      </c>
      <c r="Q194" s="545">
        <f t="shared" si="94"/>
        <v>49779</v>
      </c>
      <c r="R194" s="371">
        <f t="shared" si="118"/>
        <v>174357.32000000009</v>
      </c>
      <c r="S194" s="536">
        <f t="shared" si="105"/>
        <v>7.7499999999999999E-2</v>
      </c>
      <c r="T194" s="371">
        <f t="shared" si="95"/>
        <v>3493.12</v>
      </c>
      <c r="U194" s="371">
        <f t="shared" si="121"/>
        <v>2367.06</v>
      </c>
      <c r="V194" s="371">
        <f t="shared" si="96"/>
        <v>1126.06</v>
      </c>
      <c r="W194" s="371">
        <f t="shared" si="115"/>
        <v>0</v>
      </c>
      <c r="X194" s="371">
        <f t="shared" si="115"/>
        <v>0</v>
      </c>
      <c r="Y194" s="371">
        <f t="shared" si="122"/>
        <v>3493.12</v>
      </c>
      <c r="Z194" s="371">
        <f t="shared" si="123"/>
        <v>205064.74000000005</v>
      </c>
      <c r="AA194" s="371">
        <f t="shared" si="124"/>
        <v>202303.95999999996</v>
      </c>
      <c r="AB194" s="371">
        <f t="shared" si="97"/>
        <v>171990.2600000001</v>
      </c>
      <c r="AC194" s="452">
        <f t="shared" si="106"/>
        <v>134</v>
      </c>
      <c r="AD194" s="553">
        <f t="shared" si="107"/>
        <v>-42697.249999999978</v>
      </c>
      <c r="AE194" s="553">
        <f t="shared" si="116"/>
        <v>116200.31000000017</v>
      </c>
      <c r="AF194" s="553">
        <f t="shared" si="117"/>
        <v>73503.060000000201</v>
      </c>
      <c r="AG194" s="553">
        <f t="shared" si="108"/>
        <v>3059.17</v>
      </c>
      <c r="AH194" s="553">
        <f t="shared" si="109"/>
        <v>207342.59999999998</v>
      </c>
      <c r="AI194" s="553"/>
      <c r="AJ194" s="21">
        <f t="shared" si="125"/>
        <v>3059.17</v>
      </c>
      <c r="AK194" s="21">
        <f t="shared" ref="AK194:AK257" si="126">IF(P194&lt;=0,0,+AJ194+AK193)</f>
        <v>347917.55</v>
      </c>
      <c r="AL194" s="553">
        <f>IF(R194&lt;=0,0,+([1]Profit!$B$4+AM193)*$AL$1/12)</f>
        <v>1463.3811690722503</v>
      </c>
      <c r="AM194" s="21">
        <f t="shared" si="110"/>
        <v>167915.84879797231</v>
      </c>
    </row>
    <row r="195" spans="1:39" x14ac:dyDescent="0.25">
      <c r="A195" s="542">
        <f t="shared" si="98"/>
        <v>49809</v>
      </c>
      <c r="B195" s="298">
        <f t="shared" si="99"/>
        <v>55789.949999999932</v>
      </c>
      <c r="C195" s="14">
        <f t="shared" si="89"/>
        <v>433.95</v>
      </c>
      <c r="D195" s="14">
        <f t="shared" si="111"/>
        <v>213.10999999999999</v>
      </c>
      <c r="E195" s="14">
        <f t="shared" si="90"/>
        <v>220.84</v>
      </c>
      <c r="F195" s="298">
        <f t="shared" si="100"/>
        <v>27940.95</v>
      </c>
      <c r="G195" s="298">
        <f t="shared" si="101"/>
        <v>50933.289999999972</v>
      </c>
      <c r="H195" s="298">
        <f t="shared" si="91"/>
        <v>55576.839999999931</v>
      </c>
      <c r="I195" s="451">
        <f t="shared" si="92"/>
        <v>11</v>
      </c>
      <c r="J195" s="298">
        <f t="shared" si="102"/>
        <v>319996.93999999965</v>
      </c>
      <c r="K195" s="298">
        <f t="shared" si="119"/>
        <v>2701.27</v>
      </c>
      <c r="L195" s="298">
        <f t="shared" si="112"/>
        <v>634.61999999999989</v>
      </c>
      <c r="M195" s="298">
        <f t="shared" si="120"/>
        <v>2066.65</v>
      </c>
      <c r="N195" s="298">
        <f t="shared" si="103"/>
        <v>57692.680000000022</v>
      </c>
      <c r="O195" s="298">
        <f t="shared" si="104"/>
        <v>309680.04000000015</v>
      </c>
      <c r="P195" s="298">
        <f t="shared" si="93"/>
        <v>319362.31999999966</v>
      </c>
      <c r="Q195" s="542">
        <f t="shared" si="94"/>
        <v>49809</v>
      </c>
      <c r="R195" s="298">
        <f t="shared" si="118"/>
        <v>171990.2600000001</v>
      </c>
      <c r="S195" s="535">
        <f t="shared" si="105"/>
        <v>7.7499999999999999E-2</v>
      </c>
      <c r="T195" s="298">
        <f t="shared" si="95"/>
        <v>3493.12</v>
      </c>
      <c r="U195" s="298">
        <f t="shared" si="121"/>
        <v>2382.35</v>
      </c>
      <c r="V195" s="298">
        <f t="shared" si="96"/>
        <v>1110.77</v>
      </c>
      <c r="W195" s="298">
        <f t="shared" si="115"/>
        <v>0</v>
      </c>
      <c r="X195" s="298">
        <f t="shared" si="115"/>
        <v>0</v>
      </c>
      <c r="Y195" s="298">
        <f t="shared" si="122"/>
        <v>3493.12</v>
      </c>
      <c r="Z195" s="298">
        <f t="shared" si="123"/>
        <v>207447.09000000005</v>
      </c>
      <c r="AA195" s="298">
        <f t="shared" si="124"/>
        <v>203414.72999999995</v>
      </c>
      <c r="AB195" s="298">
        <f t="shared" si="97"/>
        <v>169607.91000000009</v>
      </c>
      <c r="AC195" s="451">
        <f t="shared" si="106"/>
        <v>135</v>
      </c>
      <c r="AD195" s="552">
        <f t="shared" si="107"/>
        <v>-43489.099999999977</v>
      </c>
      <c r="AE195" s="552">
        <f t="shared" si="116"/>
        <v>114031.07000000015</v>
      </c>
      <c r="AF195" s="552">
        <f t="shared" si="117"/>
        <v>70541.970000000176</v>
      </c>
      <c r="AG195" s="552">
        <f t="shared" si="108"/>
        <v>3059.17</v>
      </c>
      <c r="AH195" s="552">
        <f t="shared" si="109"/>
        <v>205173.35999999996</v>
      </c>
      <c r="AI195" s="552"/>
      <c r="AJ195" s="14">
        <f t="shared" si="125"/>
        <v>3059.17</v>
      </c>
      <c r="AK195" s="14">
        <f t="shared" si="126"/>
        <v>350976.72</v>
      </c>
      <c r="AL195" s="552">
        <f>IF(R195&lt;=0,0,+([1]Profit!$B$4+AM194)*$AL$1/12)</f>
        <v>1467.0396219949307</v>
      </c>
      <c r="AM195" s="14">
        <f t="shared" si="110"/>
        <v>169382.88841996723</v>
      </c>
    </row>
    <row r="196" spans="1:39" x14ac:dyDescent="0.25">
      <c r="A196" s="542">
        <f t="shared" si="98"/>
        <v>49839</v>
      </c>
      <c r="B196" s="298">
        <f t="shared" si="99"/>
        <v>55576.839999999931</v>
      </c>
      <c r="C196" s="14">
        <f t="shared" si="89"/>
        <v>433.95</v>
      </c>
      <c r="D196" s="14">
        <f t="shared" si="111"/>
        <v>213.95999999999998</v>
      </c>
      <c r="E196" s="14">
        <f t="shared" si="90"/>
        <v>219.99</v>
      </c>
      <c r="F196" s="298">
        <f t="shared" si="100"/>
        <v>28154.91</v>
      </c>
      <c r="G196" s="298">
        <f t="shared" si="101"/>
        <v>51153.27999999997</v>
      </c>
      <c r="H196" s="298">
        <f t="shared" si="91"/>
        <v>55362.879999999932</v>
      </c>
      <c r="I196" s="451">
        <f t="shared" si="92"/>
        <v>11</v>
      </c>
      <c r="J196" s="298">
        <f t="shared" si="102"/>
        <v>319362.31999999966</v>
      </c>
      <c r="K196" s="298">
        <f t="shared" si="119"/>
        <v>2701.27</v>
      </c>
      <c r="L196" s="298">
        <f t="shared" si="112"/>
        <v>638.7199999999998</v>
      </c>
      <c r="M196" s="298">
        <f t="shared" si="120"/>
        <v>2062.5500000000002</v>
      </c>
      <c r="N196" s="298">
        <f t="shared" si="103"/>
        <v>58331.400000000023</v>
      </c>
      <c r="O196" s="298">
        <f t="shared" si="104"/>
        <v>311742.59000000014</v>
      </c>
      <c r="P196" s="298">
        <f t="shared" si="93"/>
        <v>318723.59999999969</v>
      </c>
      <c r="Q196" s="542">
        <f t="shared" si="94"/>
        <v>49839</v>
      </c>
      <c r="R196" s="298">
        <f t="shared" si="118"/>
        <v>169607.91000000009</v>
      </c>
      <c r="S196" s="535">
        <f t="shared" si="105"/>
        <v>7.7499999999999999E-2</v>
      </c>
      <c r="T196" s="298">
        <f t="shared" si="95"/>
        <v>3493.12</v>
      </c>
      <c r="U196" s="298">
        <f t="shared" si="121"/>
        <v>2397.7399999999998</v>
      </c>
      <c r="V196" s="298">
        <f t="shared" si="96"/>
        <v>1095.3800000000001</v>
      </c>
      <c r="W196" s="298">
        <f t="shared" si="115"/>
        <v>0</v>
      </c>
      <c r="X196" s="298">
        <f t="shared" si="115"/>
        <v>0</v>
      </c>
      <c r="Y196" s="298">
        <f t="shared" si="122"/>
        <v>3493.12</v>
      </c>
      <c r="Z196" s="298">
        <f t="shared" si="123"/>
        <v>209844.83000000005</v>
      </c>
      <c r="AA196" s="298">
        <f t="shared" si="124"/>
        <v>204510.10999999996</v>
      </c>
      <c r="AB196" s="298">
        <f t="shared" si="97"/>
        <v>167210.1700000001</v>
      </c>
      <c r="AC196" s="451">
        <f t="shared" si="106"/>
        <v>136</v>
      </c>
      <c r="AD196" s="552">
        <f t="shared" si="107"/>
        <v>-44280.949999999975</v>
      </c>
      <c r="AE196" s="552">
        <f t="shared" si="116"/>
        <v>111847.29000000017</v>
      </c>
      <c r="AF196" s="552">
        <f t="shared" si="117"/>
        <v>67566.3400000002</v>
      </c>
      <c r="AG196" s="552">
        <f t="shared" si="108"/>
        <v>3059.17</v>
      </c>
      <c r="AH196" s="552">
        <f t="shared" si="109"/>
        <v>202989.57999999993</v>
      </c>
      <c r="AI196" s="552"/>
      <c r="AJ196" s="14">
        <f t="shared" si="125"/>
        <v>3059.17</v>
      </c>
      <c r="AK196" s="14">
        <f t="shared" si="126"/>
        <v>354035.88999999996</v>
      </c>
      <c r="AL196" s="552">
        <f>IF(R196&lt;=0,0,+([1]Profit!$B$4+AM195)*$AL$1/12)</f>
        <v>1470.7072210499182</v>
      </c>
      <c r="AM196" s="14">
        <f t="shared" si="110"/>
        <v>170853.59564101716</v>
      </c>
    </row>
    <row r="197" spans="1:39" x14ac:dyDescent="0.25">
      <c r="A197" s="542">
        <f t="shared" si="98"/>
        <v>49869</v>
      </c>
      <c r="B197" s="298">
        <f t="shared" si="99"/>
        <v>55362.879999999932</v>
      </c>
      <c r="C197" s="14">
        <f t="shared" si="89"/>
        <v>433.95</v>
      </c>
      <c r="D197" s="14">
        <f t="shared" si="111"/>
        <v>214.81</v>
      </c>
      <c r="E197" s="14">
        <f t="shared" si="90"/>
        <v>219.14</v>
      </c>
      <c r="F197" s="298">
        <f t="shared" si="100"/>
        <v>28369.72</v>
      </c>
      <c r="G197" s="298">
        <f t="shared" si="101"/>
        <v>51372.419999999969</v>
      </c>
      <c r="H197" s="298">
        <f t="shared" si="91"/>
        <v>55148.069999999934</v>
      </c>
      <c r="I197" s="451">
        <f t="shared" si="92"/>
        <v>11</v>
      </c>
      <c r="J197" s="298">
        <f t="shared" si="102"/>
        <v>318723.59999999969</v>
      </c>
      <c r="K197" s="298">
        <f t="shared" si="119"/>
        <v>2701.27</v>
      </c>
      <c r="L197" s="298">
        <f t="shared" si="112"/>
        <v>642.84999999999991</v>
      </c>
      <c r="M197" s="298">
        <f t="shared" si="120"/>
        <v>2058.42</v>
      </c>
      <c r="N197" s="298">
        <f t="shared" si="103"/>
        <v>58974.250000000022</v>
      </c>
      <c r="O197" s="298">
        <f t="shared" si="104"/>
        <v>313801.01000000013</v>
      </c>
      <c r="P197" s="298">
        <f t="shared" si="93"/>
        <v>318080.74999999971</v>
      </c>
      <c r="Q197" s="542">
        <f t="shared" si="94"/>
        <v>49869</v>
      </c>
      <c r="R197" s="298">
        <f t="shared" si="118"/>
        <v>167210.1700000001</v>
      </c>
      <c r="S197" s="535">
        <f t="shared" si="105"/>
        <v>7.7499999999999999E-2</v>
      </c>
      <c r="T197" s="298">
        <f t="shared" si="95"/>
        <v>3493.12</v>
      </c>
      <c r="U197" s="298">
        <f t="shared" si="121"/>
        <v>2413.2199999999998</v>
      </c>
      <c r="V197" s="298">
        <f t="shared" si="96"/>
        <v>1079.9000000000001</v>
      </c>
      <c r="W197" s="298">
        <f t="shared" si="115"/>
        <v>0</v>
      </c>
      <c r="X197" s="298">
        <f t="shared" si="115"/>
        <v>0</v>
      </c>
      <c r="Y197" s="298">
        <f t="shared" si="122"/>
        <v>3493.12</v>
      </c>
      <c r="Z197" s="298">
        <f t="shared" si="123"/>
        <v>212258.05000000005</v>
      </c>
      <c r="AA197" s="298">
        <f t="shared" si="124"/>
        <v>205590.00999999995</v>
      </c>
      <c r="AB197" s="298">
        <f t="shared" si="97"/>
        <v>164796.9500000001</v>
      </c>
      <c r="AC197" s="451">
        <f t="shared" si="106"/>
        <v>137</v>
      </c>
      <c r="AD197" s="552">
        <f t="shared" si="107"/>
        <v>-45072.799999999974</v>
      </c>
      <c r="AE197" s="552">
        <f t="shared" si="116"/>
        <v>109648.88000000016</v>
      </c>
      <c r="AF197" s="552">
        <f t="shared" si="117"/>
        <v>64576.080000000191</v>
      </c>
      <c r="AG197" s="552">
        <f t="shared" si="108"/>
        <v>3059.17</v>
      </c>
      <c r="AH197" s="552">
        <f t="shared" si="109"/>
        <v>200791.16999999993</v>
      </c>
      <c r="AI197" s="552"/>
      <c r="AJ197" s="14">
        <f t="shared" si="125"/>
        <v>3059.17</v>
      </c>
      <c r="AK197" s="14">
        <f t="shared" si="126"/>
        <v>357095.05999999994</v>
      </c>
      <c r="AL197" s="552">
        <f>IF(R197&lt;=0,0,+([1]Profit!$B$4+AM196)*$AL$1/12)</f>
        <v>1474.383989102543</v>
      </c>
      <c r="AM197" s="14">
        <f t="shared" si="110"/>
        <v>172327.97963011972</v>
      </c>
    </row>
    <row r="198" spans="1:39" x14ac:dyDescent="0.25">
      <c r="A198" s="542">
        <f t="shared" si="98"/>
        <v>49899</v>
      </c>
      <c r="B198" s="298">
        <f t="shared" si="99"/>
        <v>55148.069999999934</v>
      </c>
      <c r="C198" s="14">
        <f t="shared" si="89"/>
        <v>433.95</v>
      </c>
      <c r="D198" s="14">
        <f t="shared" si="111"/>
        <v>215.66</v>
      </c>
      <c r="E198" s="14">
        <f t="shared" si="90"/>
        <v>218.29</v>
      </c>
      <c r="F198" s="298">
        <f t="shared" si="100"/>
        <v>28585.38</v>
      </c>
      <c r="G198" s="298">
        <f t="shared" si="101"/>
        <v>51590.70999999997</v>
      </c>
      <c r="H198" s="298">
        <f t="shared" si="91"/>
        <v>54932.409999999931</v>
      </c>
      <c r="I198" s="451">
        <f t="shared" si="92"/>
        <v>11</v>
      </c>
      <c r="J198" s="298">
        <f t="shared" si="102"/>
        <v>318080.74999999971</v>
      </c>
      <c r="K198" s="298">
        <f t="shared" si="119"/>
        <v>2701.27</v>
      </c>
      <c r="L198" s="298">
        <f t="shared" si="112"/>
        <v>647</v>
      </c>
      <c r="M198" s="298">
        <f t="shared" si="120"/>
        <v>2054.27</v>
      </c>
      <c r="N198" s="298">
        <f t="shared" si="103"/>
        <v>59621.250000000022</v>
      </c>
      <c r="O198" s="298">
        <f t="shared" si="104"/>
        <v>315855.28000000014</v>
      </c>
      <c r="P198" s="298">
        <f t="shared" si="93"/>
        <v>317433.74999999971</v>
      </c>
      <c r="Q198" s="542">
        <f t="shared" si="94"/>
        <v>49899</v>
      </c>
      <c r="R198" s="298">
        <f t="shared" si="118"/>
        <v>164796.9500000001</v>
      </c>
      <c r="S198" s="535">
        <f t="shared" si="105"/>
        <v>7.7499999999999999E-2</v>
      </c>
      <c r="T198" s="298">
        <f t="shared" si="95"/>
        <v>3493.12</v>
      </c>
      <c r="U198" s="298">
        <f t="shared" si="121"/>
        <v>2428.81</v>
      </c>
      <c r="V198" s="298">
        <f t="shared" si="96"/>
        <v>1064.31</v>
      </c>
      <c r="W198" s="298">
        <f t="shared" si="115"/>
        <v>0</v>
      </c>
      <c r="X198" s="298">
        <f t="shared" si="115"/>
        <v>0</v>
      </c>
      <c r="Y198" s="298">
        <f t="shared" si="122"/>
        <v>3493.12</v>
      </c>
      <c r="Z198" s="298">
        <f t="shared" si="123"/>
        <v>214686.86000000004</v>
      </c>
      <c r="AA198" s="298">
        <f t="shared" si="124"/>
        <v>206654.31999999995</v>
      </c>
      <c r="AB198" s="298">
        <f t="shared" si="97"/>
        <v>162368.1400000001</v>
      </c>
      <c r="AC198" s="451">
        <f t="shared" si="106"/>
        <v>138</v>
      </c>
      <c r="AD198" s="552">
        <f t="shared" si="107"/>
        <v>-45864.649999999972</v>
      </c>
      <c r="AE198" s="552">
        <f t="shared" si="116"/>
        <v>107435.73000000017</v>
      </c>
      <c r="AF198" s="552">
        <f t="shared" si="117"/>
        <v>61571.080000000198</v>
      </c>
      <c r="AG198" s="552">
        <f t="shared" si="108"/>
        <v>3059.17</v>
      </c>
      <c r="AH198" s="552">
        <f t="shared" si="109"/>
        <v>198578.01999999996</v>
      </c>
      <c r="AI198" s="552"/>
      <c r="AJ198" s="14">
        <f t="shared" si="125"/>
        <v>3059.17</v>
      </c>
      <c r="AK198" s="14">
        <f t="shared" si="126"/>
        <v>360154.22999999992</v>
      </c>
      <c r="AL198" s="552">
        <f>IF(R198&lt;=0,0,+([1]Profit!$B$4+AM197)*$AL$1/12)</f>
        <v>1478.0699490752993</v>
      </c>
      <c r="AM198" s="14">
        <f t="shared" si="110"/>
        <v>173806.04957919501</v>
      </c>
    </row>
    <row r="199" spans="1:39" x14ac:dyDescent="0.25">
      <c r="A199" s="542">
        <f t="shared" si="98"/>
        <v>49929</v>
      </c>
      <c r="B199" s="298">
        <f t="shared" si="99"/>
        <v>54932.409999999931</v>
      </c>
      <c r="C199" s="14">
        <f t="shared" si="89"/>
        <v>433.95</v>
      </c>
      <c r="D199" s="14">
        <f t="shared" si="111"/>
        <v>216.51</v>
      </c>
      <c r="E199" s="14">
        <f t="shared" si="90"/>
        <v>217.44</v>
      </c>
      <c r="F199" s="298">
        <f t="shared" si="100"/>
        <v>28801.89</v>
      </c>
      <c r="G199" s="298">
        <f t="shared" si="101"/>
        <v>51808.149999999972</v>
      </c>
      <c r="H199" s="298">
        <f t="shared" si="91"/>
        <v>54715.899999999929</v>
      </c>
      <c r="I199" s="451">
        <f t="shared" si="92"/>
        <v>11</v>
      </c>
      <c r="J199" s="298">
        <f t="shared" si="102"/>
        <v>317433.74999999971</v>
      </c>
      <c r="K199" s="298">
        <f t="shared" si="119"/>
        <v>2701.27</v>
      </c>
      <c r="L199" s="298">
        <f t="shared" si="112"/>
        <v>651.17999999999984</v>
      </c>
      <c r="M199" s="298">
        <f t="shared" si="120"/>
        <v>2050.09</v>
      </c>
      <c r="N199" s="298">
        <f t="shared" si="103"/>
        <v>60272.430000000022</v>
      </c>
      <c r="O199" s="298">
        <f t="shared" si="104"/>
        <v>317905.37000000017</v>
      </c>
      <c r="P199" s="298">
        <f t="shared" si="93"/>
        <v>316782.56999999972</v>
      </c>
      <c r="Q199" s="542">
        <f t="shared" si="94"/>
        <v>49929</v>
      </c>
      <c r="R199" s="298">
        <f t="shared" si="118"/>
        <v>162368.1400000001</v>
      </c>
      <c r="S199" s="535">
        <f t="shared" si="105"/>
        <v>7.7499999999999999E-2</v>
      </c>
      <c r="T199" s="298">
        <f t="shared" si="95"/>
        <v>3493.12</v>
      </c>
      <c r="U199" s="298">
        <f t="shared" si="121"/>
        <v>2444.4899999999998</v>
      </c>
      <c r="V199" s="298">
        <f t="shared" si="96"/>
        <v>1048.6300000000001</v>
      </c>
      <c r="W199" s="298">
        <f t="shared" si="115"/>
        <v>0</v>
      </c>
      <c r="X199" s="298">
        <f t="shared" si="115"/>
        <v>0</v>
      </c>
      <c r="Y199" s="298">
        <f t="shared" si="122"/>
        <v>3493.12</v>
      </c>
      <c r="Z199" s="298">
        <f t="shared" si="123"/>
        <v>217131.35000000003</v>
      </c>
      <c r="AA199" s="298">
        <f t="shared" si="124"/>
        <v>207702.94999999995</v>
      </c>
      <c r="AB199" s="298">
        <f t="shared" si="97"/>
        <v>159923.65000000011</v>
      </c>
      <c r="AC199" s="451">
        <f t="shared" si="106"/>
        <v>139</v>
      </c>
      <c r="AD199" s="552">
        <f t="shared" si="107"/>
        <v>-46656.499999999971</v>
      </c>
      <c r="AE199" s="552">
        <f t="shared" si="116"/>
        <v>105207.75000000017</v>
      </c>
      <c r="AF199" s="552">
        <f t="shared" si="117"/>
        <v>58551.250000000204</v>
      </c>
      <c r="AG199" s="552">
        <f t="shared" si="108"/>
        <v>3059.17</v>
      </c>
      <c r="AH199" s="552">
        <f t="shared" si="109"/>
        <v>196350.03999999998</v>
      </c>
      <c r="AI199" s="552"/>
      <c r="AJ199" s="14">
        <f t="shared" si="125"/>
        <v>3059.17</v>
      </c>
      <c r="AK199" s="14">
        <f t="shared" si="126"/>
        <v>363213.39999999991</v>
      </c>
      <c r="AL199" s="552">
        <f>IF(R199&lt;=0,0,+([1]Profit!$B$4+AM198)*$AL$1/12)</f>
        <v>1481.7651239479874</v>
      </c>
      <c r="AM199" s="14">
        <f t="shared" si="110"/>
        <v>175287.814703143</v>
      </c>
    </row>
    <row r="200" spans="1:39" x14ac:dyDescent="0.25">
      <c r="A200" s="542">
        <f t="shared" si="98"/>
        <v>49959</v>
      </c>
      <c r="B200" s="298">
        <f t="shared" si="99"/>
        <v>54715.899999999929</v>
      </c>
      <c r="C200" s="14">
        <f t="shared" si="89"/>
        <v>433.95</v>
      </c>
      <c r="D200" s="14">
        <f t="shared" si="111"/>
        <v>217.36999999999998</v>
      </c>
      <c r="E200" s="14">
        <f t="shared" si="90"/>
        <v>216.58</v>
      </c>
      <c r="F200" s="298">
        <f t="shared" si="100"/>
        <v>29019.26</v>
      </c>
      <c r="G200" s="298">
        <f t="shared" si="101"/>
        <v>52024.729999999974</v>
      </c>
      <c r="H200" s="298">
        <f t="shared" si="91"/>
        <v>54498.529999999926</v>
      </c>
      <c r="I200" s="451">
        <f t="shared" si="92"/>
        <v>11</v>
      </c>
      <c r="J200" s="298">
        <f t="shared" si="102"/>
        <v>316782.56999999972</v>
      </c>
      <c r="K200" s="298">
        <f t="shared" si="119"/>
        <v>2701.27</v>
      </c>
      <c r="L200" s="298">
        <f t="shared" si="112"/>
        <v>655.37999999999988</v>
      </c>
      <c r="M200" s="298">
        <f t="shared" si="120"/>
        <v>2045.89</v>
      </c>
      <c r="N200" s="298">
        <f t="shared" si="103"/>
        <v>60927.810000000019</v>
      </c>
      <c r="O200" s="298">
        <f t="shared" si="104"/>
        <v>319951.26000000018</v>
      </c>
      <c r="P200" s="298">
        <f t="shared" si="93"/>
        <v>316127.18999999971</v>
      </c>
      <c r="Q200" s="542">
        <f t="shared" si="94"/>
        <v>49959</v>
      </c>
      <c r="R200" s="298">
        <f t="shared" si="118"/>
        <v>159923.65000000011</v>
      </c>
      <c r="S200" s="535">
        <f t="shared" si="105"/>
        <v>7.7499999999999999E-2</v>
      </c>
      <c r="T200" s="298">
        <f t="shared" si="95"/>
        <v>3493.12</v>
      </c>
      <c r="U200" s="298">
        <f t="shared" si="121"/>
        <v>2460.2799999999997</v>
      </c>
      <c r="V200" s="298">
        <f t="shared" si="96"/>
        <v>1032.8399999999999</v>
      </c>
      <c r="W200" s="298">
        <f t="shared" si="115"/>
        <v>0</v>
      </c>
      <c r="X200" s="298">
        <f t="shared" si="115"/>
        <v>0</v>
      </c>
      <c r="Y200" s="298">
        <f t="shared" si="122"/>
        <v>3493.12</v>
      </c>
      <c r="Z200" s="298">
        <f t="shared" si="123"/>
        <v>219591.63000000003</v>
      </c>
      <c r="AA200" s="298">
        <f t="shared" si="124"/>
        <v>208735.78999999995</v>
      </c>
      <c r="AB200" s="298">
        <f t="shared" si="97"/>
        <v>157463.37000000011</v>
      </c>
      <c r="AC200" s="451">
        <f t="shared" si="106"/>
        <v>140</v>
      </c>
      <c r="AD200" s="552">
        <f t="shared" si="107"/>
        <v>-47448.349999999969</v>
      </c>
      <c r="AE200" s="552">
        <f t="shared" si="116"/>
        <v>102964.84000000019</v>
      </c>
      <c r="AF200" s="552">
        <f t="shared" si="117"/>
        <v>55516.490000000216</v>
      </c>
      <c r="AG200" s="552">
        <f t="shared" si="108"/>
        <v>3059.17</v>
      </c>
      <c r="AH200" s="552">
        <f t="shared" si="109"/>
        <v>194107.12999999998</v>
      </c>
      <c r="AI200" s="552"/>
      <c r="AJ200" s="14">
        <f t="shared" si="125"/>
        <v>3059.17</v>
      </c>
      <c r="AK200" s="14">
        <f t="shared" si="126"/>
        <v>366272.56999999989</v>
      </c>
      <c r="AL200" s="552">
        <f>IF(R200&lt;=0,0,+([1]Profit!$B$4+AM199)*$AL$1/12)</f>
        <v>1485.4695367578572</v>
      </c>
      <c r="AM200" s="14">
        <f t="shared" si="110"/>
        <v>176773.28423990085</v>
      </c>
    </row>
    <row r="201" spans="1:39" x14ac:dyDescent="0.25">
      <c r="A201" s="542">
        <f t="shared" si="98"/>
        <v>49989</v>
      </c>
      <c r="B201" s="298">
        <f t="shared" si="99"/>
        <v>54498.529999999926</v>
      </c>
      <c r="C201" s="14">
        <f t="shared" si="89"/>
        <v>433.95</v>
      </c>
      <c r="D201" s="14">
        <f t="shared" si="111"/>
        <v>218.23</v>
      </c>
      <c r="E201" s="14">
        <f t="shared" si="90"/>
        <v>215.72</v>
      </c>
      <c r="F201" s="298">
        <f t="shared" si="100"/>
        <v>29237.489999999998</v>
      </c>
      <c r="G201" s="298">
        <f t="shared" si="101"/>
        <v>52240.449999999975</v>
      </c>
      <c r="H201" s="298">
        <f t="shared" si="91"/>
        <v>54280.299999999923</v>
      </c>
      <c r="I201" s="451">
        <f t="shared" si="92"/>
        <v>11</v>
      </c>
      <c r="J201" s="298">
        <f t="shared" si="102"/>
        <v>316127.18999999971</v>
      </c>
      <c r="K201" s="298">
        <f t="shared" si="119"/>
        <v>2701.27</v>
      </c>
      <c r="L201" s="298">
        <f t="shared" si="112"/>
        <v>659.61999999999989</v>
      </c>
      <c r="M201" s="298">
        <f t="shared" si="120"/>
        <v>2041.65</v>
      </c>
      <c r="N201" s="298">
        <f t="shared" si="103"/>
        <v>61587.430000000022</v>
      </c>
      <c r="O201" s="298">
        <f t="shared" si="104"/>
        <v>321992.91000000021</v>
      </c>
      <c r="P201" s="298">
        <f t="shared" si="93"/>
        <v>315467.56999999972</v>
      </c>
      <c r="Q201" s="542">
        <f t="shared" si="94"/>
        <v>49989</v>
      </c>
      <c r="R201" s="298">
        <f t="shared" si="118"/>
        <v>157463.37000000011</v>
      </c>
      <c r="S201" s="535">
        <f t="shared" si="105"/>
        <v>7.7499999999999999E-2</v>
      </c>
      <c r="T201" s="298">
        <f t="shared" si="95"/>
        <v>3493.12</v>
      </c>
      <c r="U201" s="298">
        <f t="shared" si="121"/>
        <v>2476.17</v>
      </c>
      <c r="V201" s="298">
        <f t="shared" si="96"/>
        <v>1016.95</v>
      </c>
      <c r="W201" s="298">
        <f t="shared" si="115"/>
        <v>0</v>
      </c>
      <c r="X201" s="298">
        <f t="shared" si="115"/>
        <v>0</v>
      </c>
      <c r="Y201" s="298">
        <f t="shared" si="122"/>
        <v>3493.12</v>
      </c>
      <c r="Z201" s="298">
        <f t="shared" si="123"/>
        <v>222067.80000000005</v>
      </c>
      <c r="AA201" s="298">
        <f t="shared" si="124"/>
        <v>209752.73999999996</v>
      </c>
      <c r="AB201" s="298">
        <f t="shared" si="97"/>
        <v>154987.2000000001</v>
      </c>
      <c r="AC201" s="451">
        <f t="shared" si="106"/>
        <v>141</v>
      </c>
      <c r="AD201" s="552">
        <f t="shared" si="107"/>
        <v>-48240.199999999968</v>
      </c>
      <c r="AE201" s="552">
        <f t="shared" si="116"/>
        <v>100706.90000000017</v>
      </c>
      <c r="AF201" s="552">
        <f t="shared" si="117"/>
        <v>52466.700000000201</v>
      </c>
      <c r="AG201" s="552">
        <f t="shared" si="108"/>
        <v>3059.17</v>
      </c>
      <c r="AH201" s="552">
        <f t="shared" si="109"/>
        <v>191849.18999999994</v>
      </c>
      <c r="AI201" s="552"/>
      <c r="AJ201" s="14">
        <f t="shared" si="125"/>
        <v>3059.17</v>
      </c>
      <c r="AK201" s="14">
        <f t="shared" si="126"/>
        <v>369331.73999999987</v>
      </c>
      <c r="AL201" s="552">
        <f>IF(R201&lt;=0,0,+([1]Profit!$B$4+AM200)*$AL$1/12)</f>
        <v>1489.1832105997521</v>
      </c>
      <c r="AM201" s="14">
        <f t="shared" si="110"/>
        <v>178262.46745050061</v>
      </c>
    </row>
    <row r="202" spans="1:39" x14ac:dyDescent="0.25">
      <c r="A202" s="542">
        <f t="shared" si="98"/>
        <v>50019</v>
      </c>
      <c r="B202" s="298">
        <f t="shared" si="99"/>
        <v>54280.299999999923</v>
      </c>
      <c r="C202" s="14">
        <f t="shared" si="89"/>
        <v>433.95</v>
      </c>
      <c r="D202" s="14">
        <f t="shared" si="111"/>
        <v>219.08999999999997</v>
      </c>
      <c r="E202" s="14">
        <f t="shared" si="90"/>
        <v>214.86</v>
      </c>
      <c r="F202" s="298">
        <f t="shared" si="100"/>
        <v>29456.579999999998</v>
      </c>
      <c r="G202" s="298">
        <f t="shared" si="101"/>
        <v>52455.309999999976</v>
      </c>
      <c r="H202" s="298">
        <f t="shared" si="91"/>
        <v>54061.209999999926</v>
      </c>
      <c r="I202" s="451">
        <f t="shared" si="92"/>
        <v>11</v>
      </c>
      <c r="J202" s="298">
        <f t="shared" si="102"/>
        <v>315467.56999999972</v>
      </c>
      <c r="K202" s="298">
        <f t="shared" si="119"/>
        <v>2701.27</v>
      </c>
      <c r="L202" s="298">
        <f t="shared" si="112"/>
        <v>663.87999999999988</v>
      </c>
      <c r="M202" s="298">
        <f t="shared" si="120"/>
        <v>2037.39</v>
      </c>
      <c r="N202" s="298">
        <f t="shared" si="103"/>
        <v>62251.310000000019</v>
      </c>
      <c r="O202" s="298">
        <f t="shared" si="104"/>
        <v>324030.30000000022</v>
      </c>
      <c r="P202" s="298">
        <f t="shared" si="93"/>
        <v>314803.68999999971</v>
      </c>
      <c r="Q202" s="542">
        <f t="shared" si="94"/>
        <v>50019</v>
      </c>
      <c r="R202" s="298">
        <f t="shared" si="118"/>
        <v>154987.2000000001</v>
      </c>
      <c r="S202" s="535">
        <f t="shared" si="105"/>
        <v>7.7499999999999999E-2</v>
      </c>
      <c r="T202" s="298">
        <f t="shared" si="95"/>
        <v>3493.12</v>
      </c>
      <c r="U202" s="298">
        <f t="shared" si="121"/>
        <v>2492.16</v>
      </c>
      <c r="V202" s="298">
        <f t="shared" si="96"/>
        <v>1000.96</v>
      </c>
      <c r="W202" s="298">
        <f t="shared" si="115"/>
        <v>0</v>
      </c>
      <c r="X202" s="298">
        <f t="shared" si="115"/>
        <v>0</v>
      </c>
      <c r="Y202" s="298">
        <f t="shared" si="122"/>
        <v>3493.12</v>
      </c>
      <c r="Z202" s="298">
        <f t="shared" si="123"/>
        <v>224559.96000000005</v>
      </c>
      <c r="AA202" s="298">
        <f t="shared" si="124"/>
        <v>210753.69999999995</v>
      </c>
      <c r="AB202" s="298">
        <f t="shared" si="97"/>
        <v>152495.0400000001</v>
      </c>
      <c r="AC202" s="451">
        <f t="shared" si="106"/>
        <v>142</v>
      </c>
      <c r="AD202" s="552">
        <f t="shared" si="107"/>
        <v>-49032.049999999967</v>
      </c>
      <c r="AE202" s="552">
        <f t="shared" si="116"/>
        <v>98433.830000000162</v>
      </c>
      <c r="AF202" s="552">
        <f t="shared" si="117"/>
        <v>49401.780000000195</v>
      </c>
      <c r="AG202" s="552">
        <f t="shared" si="108"/>
        <v>3059.17</v>
      </c>
      <c r="AH202" s="552">
        <f t="shared" si="109"/>
        <v>189576.11999999997</v>
      </c>
      <c r="AI202" s="552"/>
      <c r="AJ202" s="14">
        <f t="shared" si="125"/>
        <v>3059.17</v>
      </c>
      <c r="AK202" s="14">
        <f t="shared" si="126"/>
        <v>372390.90999999986</v>
      </c>
      <c r="AL202" s="552">
        <f>IF(R202&lt;=0,0,+([1]Profit!$B$4+AM201)*$AL$1/12)</f>
        <v>1492.9061686262514</v>
      </c>
      <c r="AM202" s="14">
        <f t="shared" si="110"/>
        <v>179755.37361912685</v>
      </c>
    </row>
    <row r="203" spans="1:39" x14ac:dyDescent="0.25">
      <c r="A203" s="542">
        <f t="shared" si="98"/>
        <v>50049</v>
      </c>
      <c r="B203" s="298">
        <f t="shared" si="99"/>
        <v>54061.209999999926</v>
      </c>
      <c r="C203" s="14">
        <f t="shared" si="89"/>
        <v>433.95</v>
      </c>
      <c r="D203" s="14">
        <f t="shared" si="111"/>
        <v>219.95999999999998</v>
      </c>
      <c r="E203" s="14">
        <f t="shared" si="90"/>
        <v>213.99</v>
      </c>
      <c r="F203" s="298">
        <f t="shared" si="100"/>
        <v>29676.539999999997</v>
      </c>
      <c r="G203" s="298">
        <f t="shared" si="101"/>
        <v>52669.299999999974</v>
      </c>
      <c r="H203" s="298">
        <f t="shared" si="91"/>
        <v>53841.249999999927</v>
      </c>
      <c r="I203" s="451">
        <f t="shared" si="92"/>
        <v>11</v>
      </c>
      <c r="J203" s="298">
        <f t="shared" si="102"/>
        <v>314803.68999999971</v>
      </c>
      <c r="K203" s="298">
        <f t="shared" si="119"/>
        <v>2701.27</v>
      </c>
      <c r="L203" s="298">
        <f t="shared" si="112"/>
        <v>668.16000000000008</v>
      </c>
      <c r="M203" s="298">
        <f t="shared" si="120"/>
        <v>2033.11</v>
      </c>
      <c r="N203" s="298">
        <f t="shared" si="103"/>
        <v>62919.470000000023</v>
      </c>
      <c r="O203" s="298">
        <f t="shared" si="104"/>
        <v>326063.41000000021</v>
      </c>
      <c r="P203" s="298">
        <f t="shared" si="93"/>
        <v>314135.52999999974</v>
      </c>
      <c r="Q203" s="542">
        <f t="shared" si="94"/>
        <v>50049</v>
      </c>
      <c r="R203" s="298">
        <f t="shared" si="118"/>
        <v>152495.0400000001</v>
      </c>
      <c r="S203" s="535">
        <f t="shared" si="105"/>
        <v>7.7499999999999999E-2</v>
      </c>
      <c r="T203" s="298">
        <f t="shared" si="95"/>
        <v>3493.12</v>
      </c>
      <c r="U203" s="298">
        <f t="shared" si="121"/>
        <v>2508.2599999999998</v>
      </c>
      <c r="V203" s="298">
        <f t="shared" si="96"/>
        <v>984.86</v>
      </c>
      <c r="W203" s="298">
        <f t="shared" si="115"/>
        <v>0</v>
      </c>
      <c r="X203" s="298">
        <f t="shared" si="115"/>
        <v>0</v>
      </c>
      <c r="Y203" s="298">
        <f t="shared" si="122"/>
        <v>3493.12</v>
      </c>
      <c r="Z203" s="298">
        <f t="shared" si="123"/>
        <v>227068.22000000006</v>
      </c>
      <c r="AA203" s="298">
        <f t="shared" si="124"/>
        <v>211738.55999999994</v>
      </c>
      <c r="AB203" s="298">
        <f t="shared" si="97"/>
        <v>149986.78000000009</v>
      </c>
      <c r="AC203" s="451">
        <f t="shared" si="106"/>
        <v>143</v>
      </c>
      <c r="AD203" s="552">
        <f t="shared" si="107"/>
        <v>-49823.899999999965</v>
      </c>
      <c r="AE203" s="552">
        <f t="shared" si="116"/>
        <v>96145.530000000159</v>
      </c>
      <c r="AF203" s="552">
        <f t="shared" si="117"/>
        <v>46321.630000000194</v>
      </c>
      <c r="AG203" s="552">
        <f t="shared" si="108"/>
        <v>3059.17</v>
      </c>
      <c r="AH203" s="552">
        <f t="shared" si="109"/>
        <v>187287.81999999992</v>
      </c>
      <c r="AI203" s="552"/>
      <c r="AJ203" s="14">
        <f t="shared" si="125"/>
        <v>3059.17</v>
      </c>
      <c r="AK203" s="14">
        <f t="shared" si="126"/>
        <v>375450.07999999984</v>
      </c>
      <c r="AL203" s="552">
        <f>IF(R203&lt;=0,0,+([1]Profit!$B$4+AM202)*$AL$1/12)</f>
        <v>1496.6384340478171</v>
      </c>
      <c r="AM203" s="14">
        <f t="shared" si="110"/>
        <v>181252.01205317467</v>
      </c>
    </row>
    <row r="204" spans="1:39" x14ac:dyDescent="0.25">
      <c r="A204" s="542">
        <f t="shared" si="98"/>
        <v>50079</v>
      </c>
      <c r="B204" s="298">
        <f t="shared" si="99"/>
        <v>53841.249999999927</v>
      </c>
      <c r="C204" s="14">
        <f t="shared" si="89"/>
        <v>433.95</v>
      </c>
      <c r="D204" s="14">
        <f t="shared" si="111"/>
        <v>220.82999999999998</v>
      </c>
      <c r="E204" s="14">
        <f t="shared" si="90"/>
        <v>213.12</v>
      </c>
      <c r="F204" s="298">
        <f t="shared" si="100"/>
        <v>29897.37</v>
      </c>
      <c r="G204" s="298">
        <f t="shared" si="101"/>
        <v>52882.419999999976</v>
      </c>
      <c r="H204" s="298">
        <f t="shared" si="91"/>
        <v>53620.419999999925</v>
      </c>
      <c r="I204" s="451">
        <f t="shared" si="92"/>
        <v>12</v>
      </c>
      <c r="J204" s="298">
        <f t="shared" si="102"/>
        <v>314135.52999999974</v>
      </c>
      <c r="K204" s="298">
        <f t="shared" si="119"/>
        <v>2701.27</v>
      </c>
      <c r="L204" s="298">
        <f t="shared" si="112"/>
        <v>672.48</v>
      </c>
      <c r="M204" s="298">
        <f t="shared" si="120"/>
        <v>2028.79</v>
      </c>
      <c r="N204" s="298">
        <f t="shared" si="103"/>
        <v>63591.950000000026</v>
      </c>
      <c r="O204" s="298">
        <f t="shared" si="104"/>
        <v>328092.20000000019</v>
      </c>
      <c r="P204" s="298">
        <f t="shared" si="93"/>
        <v>313463.04999999976</v>
      </c>
      <c r="Q204" s="542">
        <f t="shared" si="94"/>
        <v>50079</v>
      </c>
      <c r="R204" s="298">
        <f t="shared" si="118"/>
        <v>149986.78000000009</v>
      </c>
      <c r="S204" s="535">
        <f t="shared" si="105"/>
        <v>7.7499999999999999E-2</v>
      </c>
      <c r="T204" s="298">
        <f t="shared" si="95"/>
        <v>3493.12</v>
      </c>
      <c r="U204" s="298">
        <f t="shared" si="121"/>
        <v>2524.46</v>
      </c>
      <c r="V204" s="298">
        <f t="shared" si="96"/>
        <v>968.66</v>
      </c>
      <c r="W204" s="298">
        <f t="shared" ref="W204:X219" si="127">+W203</f>
        <v>0</v>
      </c>
      <c r="X204" s="298">
        <f t="shared" si="127"/>
        <v>0</v>
      </c>
      <c r="Y204" s="298">
        <f t="shared" si="122"/>
        <v>3493.12</v>
      </c>
      <c r="Z204" s="298">
        <f t="shared" si="123"/>
        <v>229592.68000000005</v>
      </c>
      <c r="AA204" s="298">
        <f t="shared" si="124"/>
        <v>212707.21999999994</v>
      </c>
      <c r="AB204" s="298">
        <f t="shared" si="97"/>
        <v>147462.32000000009</v>
      </c>
      <c r="AC204" s="451">
        <f t="shared" si="106"/>
        <v>144</v>
      </c>
      <c r="AD204" s="552">
        <f t="shared" si="107"/>
        <v>-50615.749999999964</v>
      </c>
      <c r="AE204" s="552">
        <f t="shared" si="116"/>
        <v>93841.900000000169</v>
      </c>
      <c r="AF204" s="552">
        <f t="shared" si="117"/>
        <v>43226.150000000205</v>
      </c>
      <c r="AG204" s="552">
        <f t="shared" si="108"/>
        <v>3059.17</v>
      </c>
      <c r="AH204" s="552">
        <f t="shared" si="109"/>
        <v>184984.18999999994</v>
      </c>
      <c r="AI204" s="552"/>
      <c r="AJ204" s="14">
        <f t="shared" si="125"/>
        <v>3059.17</v>
      </c>
      <c r="AK204" s="14">
        <f t="shared" si="126"/>
        <v>378509.24999999983</v>
      </c>
      <c r="AL204" s="552">
        <f>IF(R204&lt;=0,0,+([1]Profit!$B$4+AM203)*$AL$1/12)</f>
        <v>1500.3800301329366</v>
      </c>
      <c r="AM204" s="14">
        <f t="shared" si="110"/>
        <v>182752.39208330761</v>
      </c>
    </row>
    <row r="205" spans="1:39" x14ac:dyDescent="0.25">
      <c r="A205" s="542">
        <f t="shared" si="98"/>
        <v>50109</v>
      </c>
      <c r="B205" s="298">
        <f t="shared" si="99"/>
        <v>53620.419999999925</v>
      </c>
      <c r="C205" s="14">
        <f t="shared" si="89"/>
        <v>433.95</v>
      </c>
      <c r="D205" s="14">
        <f t="shared" si="111"/>
        <v>221.7</v>
      </c>
      <c r="E205" s="14">
        <f t="shared" si="90"/>
        <v>212.25</v>
      </c>
      <c r="F205" s="298">
        <f t="shared" si="100"/>
        <v>30119.07</v>
      </c>
      <c r="G205" s="298">
        <f t="shared" si="101"/>
        <v>53094.669999999976</v>
      </c>
      <c r="H205" s="298">
        <f t="shared" si="91"/>
        <v>53398.719999999928</v>
      </c>
      <c r="I205" s="451">
        <f t="shared" si="92"/>
        <v>12</v>
      </c>
      <c r="J205" s="298">
        <f t="shared" si="102"/>
        <v>313463.04999999976</v>
      </c>
      <c r="K205" s="298">
        <f t="shared" si="119"/>
        <v>2701.27</v>
      </c>
      <c r="L205" s="298">
        <f t="shared" si="112"/>
        <v>676.81999999999994</v>
      </c>
      <c r="M205" s="298">
        <f t="shared" si="120"/>
        <v>2024.45</v>
      </c>
      <c r="N205" s="298">
        <f t="shared" si="103"/>
        <v>64268.770000000026</v>
      </c>
      <c r="O205" s="298">
        <f t="shared" si="104"/>
        <v>330116.6500000002</v>
      </c>
      <c r="P205" s="298">
        <f t="shared" si="93"/>
        <v>312786.22999999975</v>
      </c>
      <c r="Q205" s="542">
        <f t="shared" si="94"/>
        <v>50109</v>
      </c>
      <c r="R205" s="298">
        <f t="shared" si="118"/>
        <v>147462.32000000009</v>
      </c>
      <c r="S205" s="535">
        <f t="shared" si="105"/>
        <v>7.7499999999999999E-2</v>
      </c>
      <c r="T205" s="298">
        <f t="shared" si="95"/>
        <v>3493.12</v>
      </c>
      <c r="U205" s="298">
        <f t="shared" si="121"/>
        <v>2540.7599999999998</v>
      </c>
      <c r="V205" s="298">
        <f t="shared" si="96"/>
        <v>952.36</v>
      </c>
      <c r="W205" s="298">
        <f t="shared" si="127"/>
        <v>0</v>
      </c>
      <c r="X205" s="298">
        <f t="shared" si="127"/>
        <v>0</v>
      </c>
      <c r="Y205" s="298">
        <f t="shared" si="122"/>
        <v>3493.12</v>
      </c>
      <c r="Z205" s="298">
        <f t="shared" si="123"/>
        <v>232133.44000000006</v>
      </c>
      <c r="AA205" s="298">
        <f t="shared" si="124"/>
        <v>213659.57999999993</v>
      </c>
      <c r="AB205" s="298">
        <f t="shared" si="97"/>
        <v>144921.56000000008</v>
      </c>
      <c r="AC205" s="451">
        <f t="shared" si="106"/>
        <v>145</v>
      </c>
      <c r="AD205" s="552">
        <f t="shared" si="107"/>
        <v>-51407.599999999962</v>
      </c>
      <c r="AE205" s="552">
        <f t="shared" si="116"/>
        <v>91522.840000000157</v>
      </c>
      <c r="AF205" s="552">
        <f t="shared" si="117"/>
        <v>40115.240000000194</v>
      </c>
      <c r="AG205" s="552">
        <f t="shared" si="108"/>
        <v>3059.17</v>
      </c>
      <c r="AH205" s="552">
        <f t="shared" si="109"/>
        <v>182665.12999999995</v>
      </c>
      <c r="AI205" s="552"/>
      <c r="AJ205" s="14">
        <f t="shared" si="125"/>
        <v>3059.17</v>
      </c>
      <c r="AK205" s="14">
        <f t="shared" si="126"/>
        <v>381568.41999999981</v>
      </c>
      <c r="AL205" s="552">
        <f>IF(R205&lt;=0,0,+([1]Profit!$B$4+AM204)*$AL$1/12)</f>
        <v>1504.130980208269</v>
      </c>
      <c r="AM205" s="14">
        <f t="shared" si="110"/>
        <v>184256.5230635159</v>
      </c>
    </row>
    <row r="206" spans="1:39" ht="15.75" thickBot="1" x14ac:dyDescent="0.3">
      <c r="A206" s="545">
        <f t="shared" si="98"/>
        <v>50139</v>
      </c>
      <c r="B206" s="371">
        <f t="shared" si="99"/>
        <v>53398.719999999928</v>
      </c>
      <c r="C206" s="21">
        <f t="shared" si="89"/>
        <v>433.95</v>
      </c>
      <c r="D206" s="21">
        <f t="shared" si="111"/>
        <v>222.57999999999998</v>
      </c>
      <c r="E206" s="21">
        <f t="shared" si="90"/>
        <v>211.37</v>
      </c>
      <c r="F206" s="371">
        <f t="shared" si="100"/>
        <v>30341.65</v>
      </c>
      <c r="G206" s="371">
        <f t="shared" si="101"/>
        <v>53306.039999999979</v>
      </c>
      <c r="H206" s="371">
        <f t="shared" si="91"/>
        <v>53176.139999999927</v>
      </c>
      <c r="I206" s="452">
        <f t="shared" si="92"/>
        <v>12</v>
      </c>
      <c r="J206" s="371">
        <f t="shared" si="102"/>
        <v>312786.22999999975</v>
      </c>
      <c r="K206" s="371">
        <f t="shared" si="119"/>
        <v>2701.27</v>
      </c>
      <c r="L206" s="371">
        <f t="shared" si="112"/>
        <v>681.19</v>
      </c>
      <c r="M206" s="371">
        <f t="shared" si="120"/>
        <v>2020.08</v>
      </c>
      <c r="N206" s="371">
        <f t="shared" si="103"/>
        <v>64949.960000000028</v>
      </c>
      <c r="O206" s="371">
        <f t="shared" si="104"/>
        <v>332136.73000000021</v>
      </c>
      <c r="P206" s="371">
        <f t="shared" si="93"/>
        <v>312105.03999999975</v>
      </c>
      <c r="Q206" s="545">
        <f t="shared" si="94"/>
        <v>50139</v>
      </c>
      <c r="R206" s="371">
        <f t="shared" si="118"/>
        <v>144921.56000000008</v>
      </c>
      <c r="S206" s="536">
        <f t="shared" si="105"/>
        <v>7.7499999999999999E-2</v>
      </c>
      <c r="T206" s="371">
        <f t="shared" si="95"/>
        <v>3493.12</v>
      </c>
      <c r="U206" s="371">
        <f t="shared" si="121"/>
        <v>2557.17</v>
      </c>
      <c r="V206" s="371">
        <f t="shared" si="96"/>
        <v>935.95</v>
      </c>
      <c r="W206" s="371">
        <f t="shared" si="127"/>
        <v>0</v>
      </c>
      <c r="X206" s="371">
        <f t="shared" si="127"/>
        <v>0</v>
      </c>
      <c r="Y206" s="371">
        <f t="shared" si="122"/>
        <v>3493.12</v>
      </c>
      <c r="Z206" s="371">
        <f t="shared" si="123"/>
        <v>234690.61000000007</v>
      </c>
      <c r="AA206" s="371">
        <f t="shared" si="124"/>
        <v>214595.52999999994</v>
      </c>
      <c r="AB206" s="371">
        <f t="shared" si="97"/>
        <v>142364.39000000007</v>
      </c>
      <c r="AC206" s="452">
        <f t="shared" si="106"/>
        <v>146</v>
      </c>
      <c r="AD206" s="553">
        <f t="shared" si="107"/>
        <v>-52199.449999999961</v>
      </c>
      <c r="AE206" s="553">
        <f t="shared" si="116"/>
        <v>89188.250000000146</v>
      </c>
      <c r="AF206" s="553">
        <f t="shared" si="117"/>
        <v>36988.800000000185</v>
      </c>
      <c r="AG206" s="553">
        <f t="shared" si="108"/>
        <v>3059.17</v>
      </c>
      <c r="AH206" s="553">
        <f t="shared" si="109"/>
        <v>180330.53999999995</v>
      </c>
      <c r="AI206" s="553"/>
      <c r="AJ206" s="21">
        <f t="shared" si="125"/>
        <v>3059.17</v>
      </c>
      <c r="AK206" s="21">
        <f t="shared" si="126"/>
        <v>384627.58999999979</v>
      </c>
      <c r="AL206" s="553">
        <f>IF(R206&lt;=0,0,+([1]Profit!$B$4+AM205)*$AL$1/12)</f>
        <v>1507.8913076587896</v>
      </c>
      <c r="AM206" s="21">
        <f t="shared" si="110"/>
        <v>185764.41437117467</v>
      </c>
    </row>
    <row r="207" spans="1:39" x14ac:dyDescent="0.25">
      <c r="A207" s="542">
        <f t="shared" si="98"/>
        <v>50169</v>
      </c>
      <c r="B207" s="298">
        <f t="shared" si="99"/>
        <v>53176.139999999927</v>
      </c>
      <c r="C207" s="14">
        <f t="shared" ref="C207:C270" si="128">IF(+$H206&lt;=0,0,$C$5)</f>
        <v>433.95</v>
      </c>
      <c r="D207" s="14">
        <f t="shared" si="111"/>
        <v>223.45999999999998</v>
      </c>
      <c r="E207" s="14">
        <f t="shared" ref="E207:E270" si="129">ROUND($B207*($C$3/12), 2)</f>
        <v>210.49</v>
      </c>
      <c r="F207" s="298">
        <f t="shared" si="100"/>
        <v>30565.11</v>
      </c>
      <c r="G207" s="298">
        <f t="shared" si="101"/>
        <v>53516.529999999977</v>
      </c>
      <c r="H207" s="298">
        <f t="shared" ref="H207:H270" si="130">+B207-D207</f>
        <v>52952.679999999928</v>
      </c>
      <c r="I207" s="451">
        <f t="shared" ref="I207:I270" si="131">IF(MOD(AC207,12)=0,AC207/12,I206)</f>
        <v>12</v>
      </c>
      <c r="J207" s="298">
        <f t="shared" si="102"/>
        <v>312105.03999999975</v>
      </c>
      <c r="K207" s="298">
        <f t="shared" si="119"/>
        <v>2701.27</v>
      </c>
      <c r="L207" s="298">
        <f t="shared" si="112"/>
        <v>685.58999999999992</v>
      </c>
      <c r="M207" s="298">
        <f t="shared" si="120"/>
        <v>2015.68</v>
      </c>
      <c r="N207" s="298">
        <f t="shared" si="103"/>
        <v>65635.550000000032</v>
      </c>
      <c r="O207" s="298">
        <f t="shared" si="104"/>
        <v>334152.41000000021</v>
      </c>
      <c r="P207" s="298">
        <f t="shared" ref="P207:P270" si="132">+J207-L207</f>
        <v>311419.44999999972</v>
      </c>
      <c r="Q207" s="542">
        <f t="shared" ref="Q207:Q270" si="133">+A207</f>
        <v>50169</v>
      </c>
      <c r="R207" s="298">
        <f t="shared" si="118"/>
        <v>142364.39000000007</v>
      </c>
      <c r="S207" s="535">
        <f t="shared" si="105"/>
        <v>7.7499999999999999E-2</v>
      </c>
      <c r="T207" s="298">
        <f t="shared" ref="T207:T270" si="134">IF($J$10&lt;=$A207,IF(+AB206&lt;=0,0,IF(S207=$T$9,$S$9,$S$10)),0)</f>
        <v>3493.12</v>
      </c>
      <c r="U207" s="298">
        <f t="shared" si="121"/>
        <v>2573.6799999999998</v>
      </c>
      <c r="V207" s="298">
        <f t="shared" ref="V207:V270" si="135">IF($J$10&lt;=$A207,ROUND(R207*(S207/12),2),0)</f>
        <v>919.44</v>
      </c>
      <c r="W207" s="298">
        <f t="shared" si="127"/>
        <v>0</v>
      </c>
      <c r="X207" s="298">
        <f t="shared" si="127"/>
        <v>0</v>
      </c>
      <c r="Y207" s="298">
        <f t="shared" si="122"/>
        <v>3493.12</v>
      </c>
      <c r="Z207" s="298">
        <f t="shared" si="123"/>
        <v>237264.29000000007</v>
      </c>
      <c r="AA207" s="298">
        <f t="shared" si="124"/>
        <v>215514.96999999994</v>
      </c>
      <c r="AB207" s="298">
        <f t="shared" ref="AB207:AB270" si="136">IF(Q207&lt;$J$10,$J$6,+R207-U207)</f>
        <v>139790.71000000008</v>
      </c>
      <c r="AC207" s="451">
        <f t="shared" si="106"/>
        <v>147</v>
      </c>
      <c r="AD207" s="552">
        <f t="shared" si="107"/>
        <v>-52991.299999999959</v>
      </c>
      <c r="AE207" s="552">
        <f t="shared" si="116"/>
        <v>86838.030000000144</v>
      </c>
      <c r="AF207" s="552">
        <f t="shared" si="117"/>
        <v>33846.730000000185</v>
      </c>
      <c r="AG207" s="552">
        <f t="shared" si="108"/>
        <v>3059.17</v>
      </c>
      <c r="AH207" s="552">
        <f t="shared" si="109"/>
        <v>177980.31999999992</v>
      </c>
      <c r="AI207" s="552"/>
      <c r="AJ207" s="14">
        <f t="shared" si="125"/>
        <v>3059.17</v>
      </c>
      <c r="AK207" s="14">
        <f t="shared" si="126"/>
        <v>387686.75999999978</v>
      </c>
      <c r="AL207" s="552">
        <f>IF(R207&lt;=0,0,+([1]Profit!$B$4+AM206)*$AL$1/12)</f>
        <v>1511.6610359279366</v>
      </c>
      <c r="AM207" s="14">
        <f t="shared" si="110"/>
        <v>187276.07540710262</v>
      </c>
    </row>
    <row r="208" spans="1:39" x14ac:dyDescent="0.25">
      <c r="A208" s="542">
        <f t="shared" ref="A208:A271" si="137">IF(H208&lt;=0," ",+A207+30)</f>
        <v>50199</v>
      </c>
      <c r="B208" s="298">
        <f t="shared" ref="B208:B271" si="138">IF(+H207&lt;0,0,+H207)</f>
        <v>52952.679999999928</v>
      </c>
      <c r="C208" s="14">
        <f t="shared" si="128"/>
        <v>433.95</v>
      </c>
      <c r="D208" s="14">
        <f t="shared" si="111"/>
        <v>224.35</v>
      </c>
      <c r="E208" s="14">
        <f t="shared" si="129"/>
        <v>209.6</v>
      </c>
      <c r="F208" s="298">
        <f t="shared" ref="F208:F271" si="139">$D208+$F207</f>
        <v>30789.46</v>
      </c>
      <c r="G208" s="298">
        <f t="shared" ref="G208:G271" si="140">$E208+$G207</f>
        <v>53726.129999999976</v>
      </c>
      <c r="H208" s="298">
        <f t="shared" si="130"/>
        <v>52728.329999999929</v>
      </c>
      <c r="I208" s="451">
        <f t="shared" si="131"/>
        <v>12</v>
      </c>
      <c r="J208" s="298">
        <f t="shared" ref="J208:J271" si="141">IF(+P207&lt;0,0,+P207)</f>
        <v>311419.44999999972</v>
      </c>
      <c r="K208" s="298">
        <f t="shared" si="119"/>
        <v>2701.27</v>
      </c>
      <c r="L208" s="298">
        <f t="shared" si="112"/>
        <v>690.02</v>
      </c>
      <c r="M208" s="298">
        <f t="shared" si="120"/>
        <v>2011.25</v>
      </c>
      <c r="N208" s="298">
        <f t="shared" ref="N208:N271" si="142">+L208+N207</f>
        <v>66325.570000000036</v>
      </c>
      <c r="O208" s="298">
        <f t="shared" ref="O208:O271" si="143">+O207+M208</f>
        <v>336163.66000000021</v>
      </c>
      <c r="P208" s="298">
        <f t="shared" si="132"/>
        <v>310729.4299999997</v>
      </c>
      <c r="Q208" s="542">
        <f t="shared" si="133"/>
        <v>50199</v>
      </c>
      <c r="R208" s="298">
        <f t="shared" si="118"/>
        <v>139790.71000000008</v>
      </c>
      <c r="S208" s="535">
        <f t="shared" ref="S208:S271" si="144">IF(AC208&gt;60,$T$10,$T$9)</f>
        <v>7.7499999999999999E-2</v>
      </c>
      <c r="T208" s="298">
        <f t="shared" si="134"/>
        <v>3493.12</v>
      </c>
      <c r="U208" s="298">
        <f t="shared" si="121"/>
        <v>2590.2999999999997</v>
      </c>
      <c r="V208" s="298">
        <f t="shared" si="135"/>
        <v>902.82</v>
      </c>
      <c r="W208" s="298">
        <f t="shared" si="127"/>
        <v>0</v>
      </c>
      <c r="X208" s="298">
        <f t="shared" si="127"/>
        <v>0</v>
      </c>
      <c r="Y208" s="298">
        <f t="shared" si="122"/>
        <v>3493.12</v>
      </c>
      <c r="Z208" s="298">
        <f t="shared" si="123"/>
        <v>239854.59000000005</v>
      </c>
      <c r="AA208" s="298">
        <f t="shared" si="124"/>
        <v>216417.78999999995</v>
      </c>
      <c r="AB208" s="298">
        <f t="shared" si="136"/>
        <v>137200.41000000009</v>
      </c>
      <c r="AC208" s="451">
        <f t="shared" ref="AC208:AC271" si="145">IF(J208&lt;&gt;"",IF(J208=$J$6,0,+AC207+1),0)</f>
        <v>148</v>
      </c>
      <c r="AD208" s="552">
        <f t="shared" ref="AD208:AD271" si="146">K208-T208+AD207</f>
        <v>-53783.149999999958</v>
      </c>
      <c r="AE208" s="552">
        <f t="shared" si="116"/>
        <v>84472.080000000162</v>
      </c>
      <c r="AF208" s="552">
        <f t="shared" si="117"/>
        <v>30688.930000000204</v>
      </c>
      <c r="AG208" s="552">
        <f t="shared" ref="AG208:AG271" si="147">IF(Q208&lt;=$C$10,0,+T208-$C208)</f>
        <v>3059.17</v>
      </c>
      <c r="AH208" s="552">
        <f t="shared" ref="AH208:AH271" si="148">IF(P208&lt;=0,0,+$T$5-$C$2+F208-Z208)</f>
        <v>175614.36999999997</v>
      </c>
      <c r="AI208" s="552"/>
      <c r="AJ208" s="14">
        <f t="shared" si="125"/>
        <v>3059.17</v>
      </c>
      <c r="AK208" s="14">
        <f t="shared" si="126"/>
        <v>390745.92999999976</v>
      </c>
      <c r="AL208" s="552">
        <f>IF(R208&lt;=0,0,+([1]Profit!$B$4+AM207)*$AL$1/12)</f>
        <v>1515.4401885177565</v>
      </c>
      <c r="AM208" s="14">
        <f t="shared" ref="AM208:AM271" si="149">IF(P208&lt;=0,0,+AM207+AL208)</f>
        <v>188791.51559562038</v>
      </c>
    </row>
    <row r="209" spans="1:39" x14ac:dyDescent="0.25">
      <c r="A209" s="542">
        <f t="shared" si="137"/>
        <v>50229</v>
      </c>
      <c r="B209" s="298">
        <f t="shared" si="138"/>
        <v>52728.329999999929</v>
      </c>
      <c r="C209" s="14">
        <f t="shared" si="128"/>
        <v>433.95</v>
      </c>
      <c r="D209" s="14">
        <f t="shared" ref="D209:D272" si="150">+C209-E209</f>
        <v>225.23</v>
      </c>
      <c r="E209" s="14">
        <f t="shared" si="129"/>
        <v>208.72</v>
      </c>
      <c r="F209" s="298">
        <f t="shared" si="139"/>
        <v>31014.69</v>
      </c>
      <c r="G209" s="298">
        <f t="shared" si="140"/>
        <v>53934.849999999977</v>
      </c>
      <c r="H209" s="298">
        <f t="shared" si="130"/>
        <v>52503.099999999926</v>
      </c>
      <c r="I209" s="451">
        <f t="shared" si="131"/>
        <v>12</v>
      </c>
      <c r="J209" s="298">
        <f t="shared" si="141"/>
        <v>310729.4299999997</v>
      </c>
      <c r="K209" s="298">
        <f t="shared" si="119"/>
        <v>2701.27</v>
      </c>
      <c r="L209" s="298">
        <f t="shared" ref="L209:L272" si="151">+K209-M209</f>
        <v>694.48</v>
      </c>
      <c r="M209" s="298">
        <f t="shared" si="120"/>
        <v>2006.79</v>
      </c>
      <c r="N209" s="298">
        <f t="shared" si="142"/>
        <v>67020.050000000032</v>
      </c>
      <c r="O209" s="298">
        <f t="shared" si="143"/>
        <v>338170.45000000019</v>
      </c>
      <c r="P209" s="298">
        <f t="shared" si="132"/>
        <v>310034.94999999972</v>
      </c>
      <c r="Q209" s="542">
        <f t="shared" si="133"/>
        <v>50229</v>
      </c>
      <c r="R209" s="298">
        <f t="shared" si="118"/>
        <v>137200.41000000009</v>
      </c>
      <c r="S209" s="535">
        <f t="shared" si="144"/>
        <v>7.7499999999999999E-2</v>
      </c>
      <c r="T209" s="298">
        <f t="shared" si="134"/>
        <v>3493.12</v>
      </c>
      <c r="U209" s="298">
        <f t="shared" si="121"/>
        <v>2607.0299999999997</v>
      </c>
      <c r="V209" s="298">
        <f t="shared" si="135"/>
        <v>886.09</v>
      </c>
      <c r="W209" s="298">
        <f t="shared" si="127"/>
        <v>0</v>
      </c>
      <c r="X209" s="298">
        <f t="shared" si="127"/>
        <v>0</v>
      </c>
      <c r="Y209" s="298">
        <f t="shared" si="122"/>
        <v>3493.12</v>
      </c>
      <c r="Z209" s="298">
        <f t="shared" si="123"/>
        <v>242461.62000000005</v>
      </c>
      <c r="AA209" s="298">
        <f t="shared" si="124"/>
        <v>217303.87999999995</v>
      </c>
      <c r="AB209" s="298">
        <f t="shared" si="136"/>
        <v>134593.38000000009</v>
      </c>
      <c r="AC209" s="451">
        <f t="shared" si="145"/>
        <v>149</v>
      </c>
      <c r="AD209" s="552">
        <f t="shared" si="146"/>
        <v>-54574.999999999956</v>
      </c>
      <c r="AE209" s="552">
        <f t="shared" si="116"/>
        <v>82090.280000000173</v>
      </c>
      <c r="AF209" s="552">
        <f t="shared" si="117"/>
        <v>27515.280000000217</v>
      </c>
      <c r="AG209" s="552">
        <f t="shared" si="147"/>
        <v>3059.17</v>
      </c>
      <c r="AH209" s="552">
        <f t="shared" si="148"/>
        <v>173232.56999999995</v>
      </c>
      <c r="AI209" s="552"/>
      <c r="AJ209" s="14">
        <f t="shared" si="125"/>
        <v>3059.17</v>
      </c>
      <c r="AK209" s="14">
        <f t="shared" si="126"/>
        <v>393805.09999999974</v>
      </c>
      <c r="AL209" s="552">
        <f>IF(R209&lt;=0,0,+([1]Profit!$B$4+AM208)*$AL$1/12)</f>
        <v>1519.2287889890511</v>
      </c>
      <c r="AM209" s="14">
        <f t="shared" si="149"/>
        <v>190310.74438460942</v>
      </c>
    </row>
    <row r="210" spans="1:39" x14ac:dyDescent="0.25">
      <c r="A210" s="542">
        <f t="shared" si="137"/>
        <v>50259</v>
      </c>
      <c r="B210" s="298">
        <f t="shared" si="138"/>
        <v>52503.099999999926</v>
      </c>
      <c r="C210" s="14">
        <f t="shared" si="128"/>
        <v>433.95</v>
      </c>
      <c r="D210" s="14">
        <f t="shared" si="150"/>
        <v>226.13</v>
      </c>
      <c r="E210" s="14">
        <f t="shared" si="129"/>
        <v>207.82</v>
      </c>
      <c r="F210" s="298">
        <f t="shared" si="139"/>
        <v>31240.82</v>
      </c>
      <c r="G210" s="298">
        <f t="shared" si="140"/>
        <v>54142.669999999976</v>
      </c>
      <c r="H210" s="298">
        <f t="shared" si="130"/>
        <v>52276.969999999928</v>
      </c>
      <c r="I210" s="451">
        <f t="shared" si="131"/>
        <v>12</v>
      </c>
      <c r="J210" s="298">
        <f t="shared" si="141"/>
        <v>310034.94999999972</v>
      </c>
      <c r="K210" s="298">
        <f t="shared" si="119"/>
        <v>2701.27</v>
      </c>
      <c r="L210" s="298">
        <f t="shared" si="151"/>
        <v>698.96</v>
      </c>
      <c r="M210" s="298">
        <f t="shared" si="120"/>
        <v>2002.31</v>
      </c>
      <c r="N210" s="298">
        <f t="shared" si="142"/>
        <v>67719.010000000038</v>
      </c>
      <c r="O210" s="298">
        <f t="shared" si="143"/>
        <v>340172.76000000018</v>
      </c>
      <c r="P210" s="298">
        <f t="shared" si="132"/>
        <v>309335.9899999997</v>
      </c>
      <c r="Q210" s="542">
        <f t="shared" si="133"/>
        <v>50259</v>
      </c>
      <c r="R210" s="298">
        <f t="shared" si="118"/>
        <v>134593.38000000009</v>
      </c>
      <c r="S210" s="535">
        <f t="shared" si="144"/>
        <v>7.7499999999999999E-2</v>
      </c>
      <c r="T210" s="298">
        <f t="shared" si="134"/>
        <v>3493.12</v>
      </c>
      <c r="U210" s="298">
        <f t="shared" si="121"/>
        <v>2623.87</v>
      </c>
      <c r="V210" s="298">
        <f t="shared" si="135"/>
        <v>869.25</v>
      </c>
      <c r="W210" s="298">
        <f t="shared" si="127"/>
        <v>0</v>
      </c>
      <c r="X210" s="298">
        <f t="shared" si="127"/>
        <v>0</v>
      </c>
      <c r="Y210" s="298">
        <f t="shared" si="122"/>
        <v>3493.12</v>
      </c>
      <c r="Z210" s="298">
        <f t="shared" si="123"/>
        <v>245085.49000000005</v>
      </c>
      <c r="AA210" s="298">
        <f t="shared" si="124"/>
        <v>218173.12999999995</v>
      </c>
      <c r="AB210" s="298">
        <f t="shared" si="136"/>
        <v>131969.5100000001</v>
      </c>
      <c r="AC210" s="451">
        <f t="shared" si="145"/>
        <v>150</v>
      </c>
      <c r="AD210" s="552">
        <f t="shared" si="146"/>
        <v>-55366.849999999955</v>
      </c>
      <c r="AE210" s="552">
        <f t="shared" si="116"/>
        <v>79692.540000000168</v>
      </c>
      <c r="AF210" s="552">
        <f t="shared" si="117"/>
        <v>24325.690000000213</v>
      </c>
      <c r="AG210" s="552">
        <f t="shared" si="147"/>
        <v>3059.17</v>
      </c>
      <c r="AH210" s="552">
        <f t="shared" si="148"/>
        <v>170834.82999999996</v>
      </c>
      <c r="AI210" s="552"/>
      <c r="AJ210" s="14">
        <f t="shared" si="125"/>
        <v>3059.17</v>
      </c>
      <c r="AK210" s="14">
        <f t="shared" si="126"/>
        <v>396864.26999999973</v>
      </c>
      <c r="AL210" s="552">
        <f>IF(R210&lt;=0,0,+([1]Profit!$B$4+AM209)*$AL$1/12)</f>
        <v>1523.0268609615234</v>
      </c>
      <c r="AM210" s="14">
        <f t="shared" si="149"/>
        <v>191833.77124557094</v>
      </c>
    </row>
    <row r="211" spans="1:39" x14ac:dyDescent="0.25">
      <c r="A211" s="542">
        <f t="shared" si="137"/>
        <v>50289</v>
      </c>
      <c r="B211" s="298">
        <f t="shared" si="138"/>
        <v>52276.969999999928</v>
      </c>
      <c r="C211" s="14">
        <f t="shared" si="128"/>
        <v>433.95</v>
      </c>
      <c r="D211" s="14">
        <f t="shared" si="150"/>
        <v>227.01999999999998</v>
      </c>
      <c r="E211" s="14">
        <f t="shared" si="129"/>
        <v>206.93</v>
      </c>
      <c r="F211" s="298">
        <f t="shared" si="139"/>
        <v>31467.84</v>
      </c>
      <c r="G211" s="298">
        <f t="shared" si="140"/>
        <v>54349.599999999977</v>
      </c>
      <c r="H211" s="298">
        <f t="shared" si="130"/>
        <v>52049.949999999932</v>
      </c>
      <c r="I211" s="451">
        <f t="shared" si="131"/>
        <v>12</v>
      </c>
      <c r="J211" s="298">
        <f t="shared" si="141"/>
        <v>309335.9899999997</v>
      </c>
      <c r="K211" s="298">
        <f t="shared" si="119"/>
        <v>2701.27</v>
      </c>
      <c r="L211" s="298">
        <f t="shared" si="151"/>
        <v>703.48</v>
      </c>
      <c r="M211" s="298">
        <f t="shared" si="120"/>
        <v>1997.79</v>
      </c>
      <c r="N211" s="298">
        <f t="shared" si="142"/>
        <v>68422.490000000034</v>
      </c>
      <c r="O211" s="298">
        <f t="shared" si="143"/>
        <v>342170.55000000016</v>
      </c>
      <c r="P211" s="298">
        <f t="shared" si="132"/>
        <v>308632.50999999972</v>
      </c>
      <c r="Q211" s="542">
        <f t="shared" si="133"/>
        <v>50289</v>
      </c>
      <c r="R211" s="298">
        <f t="shared" si="118"/>
        <v>131969.5100000001</v>
      </c>
      <c r="S211" s="535">
        <f t="shared" si="144"/>
        <v>7.7499999999999999E-2</v>
      </c>
      <c r="T211" s="298">
        <f t="shared" si="134"/>
        <v>3493.12</v>
      </c>
      <c r="U211" s="298">
        <f t="shared" si="121"/>
        <v>2640.8199999999997</v>
      </c>
      <c r="V211" s="298">
        <f t="shared" si="135"/>
        <v>852.3</v>
      </c>
      <c r="W211" s="298">
        <f t="shared" si="127"/>
        <v>0</v>
      </c>
      <c r="X211" s="298">
        <f t="shared" si="127"/>
        <v>0</v>
      </c>
      <c r="Y211" s="298">
        <f t="shared" si="122"/>
        <v>3493.12</v>
      </c>
      <c r="Z211" s="298">
        <f t="shared" si="123"/>
        <v>247726.31000000006</v>
      </c>
      <c r="AA211" s="298">
        <f t="shared" si="124"/>
        <v>219025.42999999993</v>
      </c>
      <c r="AB211" s="298">
        <f t="shared" si="136"/>
        <v>129328.69000000009</v>
      </c>
      <c r="AC211" s="451">
        <f t="shared" si="145"/>
        <v>151</v>
      </c>
      <c r="AD211" s="552">
        <f t="shared" si="146"/>
        <v>-56158.699999999953</v>
      </c>
      <c r="AE211" s="552">
        <f t="shared" si="116"/>
        <v>77278.740000000165</v>
      </c>
      <c r="AF211" s="552">
        <f t="shared" si="117"/>
        <v>21120.040000000212</v>
      </c>
      <c r="AG211" s="552">
        <f t="shared" si="147"/>
        <v>3059.17</v>
      </c>
      <c r="AH211" s="552">
        <f t="shared" si="148"/>
        <v>168421.02999999997</v>
      </c>
      <c r="AI211" s="552"/>
      <c r="AJ211" s="14">
        <f t="shared" si="125"/>
        <v>3059.17</v>
      </c>
      <c r="AK211" s="14">
        <f t="shared" si="126"/>
        <v>399923.43999999971</v>
      </c>
      <c r="AL211" s="552">
        <f>IF(R211&lt;=0,0,+([1]Profit!$B$4+AM210)*$AL$1/12)</f>
        <v>1526.8344281139273</v>
      </c>
      <c r="AM211" s="14">
        <f t="shared" si="149"/>
        <v>193360.60567368485</v>
      </c>
    </row>
    <row r="212" spans="1:39" x14ac:dyDescent="0.25">
      <c r="A212" s="542">
        <f t="shared" si="137"/>
        <v>50319</v>
      </c>
      <c r="B212" s="298">
        <f t="shared" si="138"/>
        <v>52049.949999999932</v>
      </c>
      <c r="C212" s="14">
        <f t="shared" si="128"/>
        <v>433.95</v>
      </c>
      <c r="D212" s="14">
        <f t="shared" si="150"/>
        <v>227.92</v>
      </c>
      <c r="E212" s="14">
        <f t="shared" si="129"/>
        <v>206.03</v>
      </c>
      <c r="F212" s="298">
        <f t="shared" si="139"/>
        <v>31695.759999999998</v>
      </c>
      <c r="G212" s="298">
        <f t="shared" si="140"/>
        <v>54555.629999999976</v>
      </c>
      <c r="H212" s="298">
        <f t="shared" si="130"/>
        <v>51822.029999999933</v>
      </c>
      <c r="I212" s="451">
        <f t="shared" si="131"/>
        <v>12</v>
      </c>
      <c r="J212" s="298">
        <f t="shared" si="141"/>
        <v>308632.50999999972</v>
      </c>
      <c r="K212" s="298">
        <f t="shared" si="119"/>
        <v>2701.27</v>
      </c>
      <c r="L212" s="298">
        <f t="shared" si="151"/>
        <v>708.02</v>
      </c>
      <c r="M212" s="298">
        <f t="shared" si="120"/>
        <v>1993.25</v>
      </c>
      <c r="N212" s="298">
        <f t="shared" si="142"/>
        <v>69130.510000000038</v>
      </c>
      <c r="O212" s="298">
        <f t="shared" si="143"/>
        <v>344163.80000000016</v>
      </c>
      <c r="P212" s="298">
        <f t="shared" si="132"/>
        <v>307924.4899999997</v>
      </c>
      <c r="Q212" s="542">
        <f t="shared" si="133"/>
        <v>50319</v>
      </c>
      <c r="R212" s="298">
        <f t="shared" si="118"/>
        <v>129328.69000000009</v>
      </c>
      <c r="S212" s="535">
        <f t="shared" si="144"/>
        <v>7.7499999999999999E-2</v>
      </c>
      <c r="T212" s="298">
        <f t="shared" si="134"/>
        <v>3493.12</v>
      </c>
      <c r="U212" s="298">
        <f t="shared" si="121"/>
        <v>2657.87</v>
      </c>
      <c r="V212" s="298">
        <f t="shared" si="135"/>
        <v>835.25</v>
      </c>
      <c r="W212" s="298">
        <f t="shared" si="127"/>
        <v>0</v>
      </c>
      <c r="X212" s="298">
        <f t="shared" si="127"/>
        <v>0</v>
      </c>
      <c r="Y212" s="298">
        <f t="shared" si="122"/>
        <v>3493.12</v>
      </c>
      <c r="Z212" s="298">
        <f t="shared" si="123"/>
        <v>250384.18000000005</v>
      </c>
      <c r="AA212" s="298">
        <f t="shared" si="124"/>
        <v>219860.67999999993</v>
      </c>
      <c r="AB212" s="298">
        <f t="shared" si="136"/>
        <v>126670.82000000009</v>
      </c>
      <c r="AC212" s="451">
        <f t="shared" si="145"/>
        <v>152</v>
      </c>
      <c r="AD212" s="552">
        <f t="shared" si="146"/>
        <v>-56950.549999999952</v>
      </c>
      <c r="AE212" s="552">
        <f t="shared" si="116"/>
        <v>74848.790000000154</v>
      </c>
      <c r="AF212" s="552">
        <f t="shared" si="117"/>
        <v>17898.240000000202</v>
      </c>
      <c r="AG212" s="552">
        <f t="shared" si="147"/>
        <v>3059.17</v>
      </c>
      <c r="AH212" s="552">
        <f t="shared" si="148"/>
        <v>165991.07999999996</v>
      </c>
      <c r="AI212" s="552"/>
      <c r="AJ212" s="14">
        <f t="shared" si="125"/>
        <v>3059.17</v>
      </c>
      <c r="AK212" s="14">
        <f t="shared" si="126"/>
        <v>402982.60999999969</v>
      </c>
      <c r="AL212" s="552">
        <f>IF(R212&lt;=0,0,+([1]Profit!$B$4+AM211)*$AL$1/12)</f>
        <v>1530.6515141842121</v>
      </c>
      <c r="AM212" s="14">
        <f t="shared" si="149"/>
        <v>194891.25718786908</v>
      </c>
    </row>
    <row r="213" spans="1:39" x14ac:dyDescent="0.25">
      <c r="A213" s="542">
        <f t="shared" si="137"/>
        <v>50349</v>
      </c>
      <c r="B213" s="298">
        <f t="shared" si="138"/>
        <v>51822.029999999933</v>
      </c>
      <c r="C213" s="14">
        <f t="shared" si="128"/>
        <v>433.95</v>
      </c>
      <c r="D213" s="14">
        <f t="shared" si="150"/>
        <v>228.82</v>
      </c>
      <c r="E213" s="14">
        <f t="shared" si="129"/>
        <v>205.13</v>
      </c>
      <c r="F213" s="298">
        <f t="shared" si="139"/>
        <v>31924.579999999998</v>
      </c>
      <c r="G213" s="298">
        <f t="shared" si="140"/>
        <v>54760.759999999973</v>
      </c>
      <c r="H213" s="298">
        <f t="shared" si="130"/>
        <v>51593.209999999934</v>
      </c>
      <c r="I213" s="451">
        <f t="shared" si="131"/>
        <v>12</v>
      </c>
      <c r="J213" s="298">
        <f t="shared" si="141"/>
        <v>307924.4899999997</v>
      </c>
      <c r="K213" s="298">
        <f t="shared" si="119"/>
        <v>2701.27</v>
      </c>
      <c r="L213" s="298">
        <f t="shared" si="151"/>
        <v>712.58999999999992</v>
      </c>
      <c r="M213" s="298">
        <f t="shared" si="120"/>
        <v>1988.68</v>
      </c>
      <c r="N213" s="298">
        <f t="shared" si="142"/>
        <v>69843.100000000035</v>
      </c>
      <c r="O213" s="298">
        <f t="shared" si="143"/>
        <v>346152.48000000016</v>
      </c>
      <c r="P213" s="298">
        <f t="shared" si="132"/>
        <v>307211.89999999967</v>
      </c>
      <c r="Q213" s="542">
        <f t="shared" si="133"/>
        <v>50349</v>
      </c>
      <c r="R213" s="298">
        <f t="shared" si="118"/>
        <v>126670.82000000009</v>
      </c>
      <c r="S213" s="535">
        <f t="shared" si="144"/>
        <v>7.7499999999999999E-2</v>
      </c>
      <c r="T213" s="298">
        <f t="shared" si="134"/>
        <v>3493.12</v>
      </c>
      <c r="U213" s="298">
        <f t="shared" si="121"/>
        <v>2675.04</v>
      </c>
      <c r="V213" s="298">
        <f t="shared" si="135"/>
        <v>818.08</v>
      </c>
      <c r="W213" s="298">
        <f t="shared" si="127"/>
        <v>0</v>
      </c>
      <c r="X213" s="298">
        <f t="shared" si="127"/>
        <v>0</v>
      </c>
      <c r="Y213" s="298">
        <f t="shared" si="122"/>
        <v>3493.12</v>
      </c>
      <c r="Z213" s="298">
        <f t="shared" si="123"/>
        <v>253059.22000000006</v>
      </c>
      <c r="AA213" s="298">
        <f t="shared" si="124"/>
        <v>220678.75999999992</v>
      </c>
      <c r="AB213" s="298">
        <f t="shared" si="136"/>
        <v>123995.7800000001</v>
      </c>
      <c r="AC213" s="451">
        <f t="shared" si="145"/>
        <v>153</v>
      </c>
      <c r="AD213" s="552">
        <f t="shared" si="146"/>
        <v>-57742.399999999951</v>
      </c>
      <c r="AE213" s="552">
        <f t="shared" si="116"/>
        <v>72402.570000000167</v>
      </c>
      <c r="AF213" s="552">
        <f t="shared" si="117"/>
        <v>14660.170000000217</v>
      </c>
      <c r="AG213" s="552">
        <f t="shared" si="147"/>
        <v>3059.17</v>
      </c>
      <c r="AH213" s="552">
        <f t="shared" si="148"/>
        <v>163544.85999999996</v>
      </c>
      <c r="AI213" s="552"/>
      <c r="AJ213" s="14">
        <f t="shared" si="125"/>
        <v>3059.17</v>
      </c>
      <c r="AK213" s="14">
        <f t="shared" si="126"/>
        <v>406041.77999999968</v>
      </c>
      <c r="AL213" s="552">
        <f>IF(R213&lt;=0,0,+([1]Profit!$B$4+AM212)*$AL$1/12)</f>
        <v>1534.4781429696725</v>
      </c>
      <c r="AM213" s="14">
        <f t="shared" si="149"/>
        <v>196425.73533083874</v>
      </c>
    </row>
    <row r="214" spans="1:39" x14ac:dyDescent="0.25">
      <c r="A214" s="542">
        <f t="shared" si="137"/>
        <v>50379</v>
      </c>
      <c r="B214" s="298">
        <f t="shared" si="138"/>
        <v>51593.209999999934</v>
      </c>
      <c r="C214" s="14">
        <f t="shared" si="128"/>
        <v>433.95</v>
      </c>
      <c r="D214" s="14">
        <f t="shared" si="150"/>
        <v>229.73</v>
      </c>
      <c r="E214" s="14">
        <f t="shared" si="129"/>
        <v>204.22</v>
      </c>
      <c r="F214" s="298">
        <f t="shared" si="139"/>
        <v>32154.309999999998</v>
      </c>
      <c r="G214" s="298">
        <f t="shared" si="140"/>
        <v>54964.979999999974</v>
      </c>
      <c r="H214" s="298">
        <f t="shared" si="130"/>
        <v>51363.47999999993</v>
      </c>
      <c r="I214" s="451">
        <f t="shared" si="131"/>
        <v>12</v>
      </c>
      <c r="J214" s="298">
        <f t="shared" si="141"/>
        <v>307211.89999999967</v>
      </c>
      <c r="K214" s="298">
        <f t="shared" si="119"/>
        <v>2701.27</v>
      </c>
      <c r="L214" s="298">
        <f t="shared" si="151"/>
        <v>717.19</v>
      </c>
      <c r="M214" s="298">
        <f t="shared" si="120"/>
        <v>1984.08</v>
      </c>
      <c r="N214" s="298">
        <f t="shared" si="142"/>
        <v>70560.290000000037</v>
      </c>
      <c r="O214" s="298">
        <f t="shared" si="143"/>
        <v>348136.56000000017</v>
      </c>
      <c r="P214" s="298">
        <f t="shared" si="132"/>
        <v>306494.70999999967</v>
      </c>
      <c r="Q214" s="542">
        <f t="shared" si="133"/>
        <v>50379</v>
      </c>
      <c r="R214" s="298">
        <f t="shared" si="118"/>
        <v>123995.7800000001</v>
      </c>
      <c r="S214" s="535">
        <f t="shared" si="144"/>
        <v>7.7499999999999999E-2</v>
      </c>
      <c r="T214" s="298">
        <f t="shared" si="134"/>
        <v>3493.12</v>
      </c>
      <c r="U214" s="298">
        <f t="shared" si="121"/>
        <v>2692.31</v>
      </c>
      <c r="V214" s="298">
        <f t="shared" si="135"/>
        <v>800.81</v>
      </c>
      <c r="W214" s="298">
        <f t="shared" si="127"/>
        <v>0</v>
      </c>
      <c r="X214" s="298">
        <f t="shared" si="127"/>
        <v>0</v>
      </c>
      <c r="Y214" s="298">
        <f t="shared" si="122"/>
        <v>3493.12</v>
      </c>
      <c r="Z214" s="298">
        <f t="shared" si="123"/>
        <v>255751.53000000006</v>
      </c>
      <c r="AA214" s="298">
        <f t="shared" si="124"/>
        <v>221479.56999999992</v>
      </c>
      <c r="AB214" s="298">
        <f t="shared" si="136"/>
        <v>121303.4700000001</v>
      </c>
      <c r="AC214" s="451">
        <f t="shared" si="145"/>
        <v>154</v>
      </c>
      <c r="AD214" s="552">
        <f t="shared" si="146"/>
        <v>-58534.249999999949</v>
      </c>
      <c r="AE214" s="552">
        <f t="shared" si="116"/>
        <v>69939.990000000165</v>
      </c>
      <c r="AF214" s="552">
        <f t="shared" si="117"/>
        <v>11405.740000000216</v>
      </c>
      <c r="AG214" s="552">
        <f t="shared" si="147"/>
        <v>3059.17</v>
      </c>
      <c r="AH214" s="552">
        <f t="shared" si="148"/>
        <v>161082.27999999994</v>
      </c>
      <c r="AI214" s="552"/>
      <c r="AJ214" s="14">
        <f t="shared" si="125"/>
        <v>3059.17</v>
      </c>
      <c r="AK214" s="14">
        <f t="shared" si="126"/>
        <v>409100.94999999966</v>
      </c>
      <c r="AL214" s="552">
        <f>IF(R214&lt;=0,0,+([1]Profit!$B$4+AM213)*$AL$1/12)</f>
        <v>1538.3143383270965</v>
      </c>
      <c r="AM214" s="14">
        <f t="shared" si="149"/>
        <v>197964.04966916583</v>
      </c>
    </row>
    <row r="215" spans="1:39" x14ac:dyDescent="0.25">
      <c r="A215" s="542">
        <f t="shared" si="137"/>
        <v>50409</v>
      </c>
      <c r="B215" s="298">
        <f t="shared" si="138"/>
        <v>51363.47999999993</v>
      </c>
      <c r="C215" s="14">
        <f t="shared" si="128"/>
        <v>433.95</v>
      </c>
      <c r="D215" s="14">
        <f t="shared" si="150"/>
        <v>230.64</v>
      </c>
      <c r="E215" s="14">
        <f t="shared" si="129"/>
        <v>203.31</v>
      </c>
      <c r="F215" s="298">
        <f t="shared" si="139"/>
        <v>32384.949999999997</v>
      </c>
      <c r="G215" s="298">
        <f t="shared" si="140"/>
        <v>55168.289999999972</v>
      </c>
      <c r="H215" s="298">
        <f t="shared" si="130"/>
        <v>51132.839999999931</v>
      </c>
      <c r="I215" s="451">
        <f t="shared" si="131"/>
        <v>12</v>
      </c>
      <c r="J215" s="298">
        <f t="shared" si="141"/>
        <v>306494.70999999967</v>
      </c>
      <c r="K215" s="298">
        <f t="shared" si="119"/>
        <v>2701.27</v>
      </c>
      <c r="L215" s="298">
        <f t="shared" si="151"/>
        <v>721.81999999999994</v>
      </c>
      <c r="M215" s="298">
        <f t="shared" si="120"/>
        <v>1979.45</v>
      </c>
      <c r="N215" s="298">
        <f t="shared" si="142"/>
        <v>71282.110000000044</v>
      </c>
      <c r="O215" s="298">
        <f t="shared" si="143"/>
        <v>350116.01000000018</v>
      </c>
      <c r="P215" s="298">
        <f t="shared" si="132"/>
        <v>305772.88999999966</v>
      </c>
      <c r="Q215" s="542">
        <f t="shared" si="133"/>
        <v>50409</v>
      </c>
      <c r="R215" s="298">
        <f t="shared" si="118"/>
        <v>121303.4700000001</v>
      </c>
      <c r="S215" s="535">
        <f t="shared" si="144"/>
        <v>7.7499999999999999E-2</v>
      </c>
      <c r="T215" s="298">
        <f t="shared" si="134"/>
        <v>3493.12</v>
      </c>
      <c r="U215" s="298">
        <f t="shared" si="121"/>
        <v>2709.7</v>
      </c>
      <c r="V215" s="298">
        <f t="shared" si="135"/>
        <v>783.42</v>
      </c>
      <c r="W215" s="298">
        <f t="shared" si="127"/>
        <v>0</v>
      </c>
      <c r="X215" s="298">
        <f t="shared" si="127"/>
        <v>0</v>
      </c>
      <c r="Y215" s="298">
        <f t="shared" si="122"/>
        <v>3493.12</v>
      </c>
      <c r="Z215" s="298">
        <f t="shared" si="123"/>
        <v>258461.23000000007</v>
      </c>
      <c r="AA215" s="298">
        <f t="shared" si="124"/>
        <v>222262.98999999993</v>
      </c>
      <c r="AB215" s="298">
        <f t="shared" si="136"/>
        <v>118593.77000000011</v>
      </c>
      <c r="AC215" s="451">
        <f t="shared" si="145"/>
        <v>155</v>
      </c>
      <c r="AD215" s="552">
        <f t="shared" si="146"/>
        <v>-59326.099999999948</v>
      </c>
      <c r="AE215" s="552">
        <f t="shared" si="116"/>
        <v>67460.930000000168</v>
      </c>
      <c r="AF215" s="552">
        <f t="shared" si="117"/>
        <v>8134.83000000022</v>
      </c>
      <c r="AG215" s="552">
        <f t="shared" si="147"/>
        <v>3059.17</v>
      </c>
      <c r="AH215" s="552">
        <f t="shared" si="148"/>
        <v>158603.21999999994</v>
      </c>
      <c r="AI215" s="552"/>
      <c r="AJ215" s="14">
        <f t="shared" si="125"/>
        <v>3059.17</v>
      </c>
      <c r="AK215" s="14">
        <f t="shared" si="126"/>
        <v>412160.11999999965</v>
      </c>
      <c r="AL215" s="552">
        <f>IF(R215&lt;=0,0,+([1]Profit!$B$4+AM214)*$AL$1/12)</f>
        <v>1542.1601241729147</v>
      </c>
      <c r="AM215" s="14">
        <f t="shared" si="149"/>
        <v>199506.20979333876</v>
      </c>
    </row>
    <row r="216" spans="1:39" x14ac:dyDescent="0.25">
      <c r="A216" s="542">
        <f t="shared" si="137"/>
        <v>50439</v>
      </c>
      <c r="B216" s="298">
        <f t="shared" si="138"/>
        <v>51132.839999999931</v>
      </c>
      <c r="C216" s="14">
        <f t="shared" si="128"/>
        <v>433.95</v>
      </c>
      <c r="D216" s="14">
        <f t="shared" si="150"/>
        <v>231.54999999999998</v>
      </c>
      <c r="E216" s="14">
        <f t="shared" si="129"/>
        <v>202.4</v>
      </c>
      <c r="F216" s="298">
        <f t="shared" si="139"/>
        <v>32616.499999999996</v>
      </c>
      <c r="G216" s="298">
        <f t="shared" si="140"/>
        <v>55370.689999999973</v>
      </c>
      <c r="H216" s="298">
        <f t="shared" si="130"/>
        <v>50901.289999999928</v>
      </c>
      <c r="I216" s="451">
        <f t="shared" si="131"/>
        <v>13</v>
      </c>
      <c r="J216" s="298">
        <f t="shared" si="141"/>
        <v>305772.88999999966</v>
      </c>
      <c r="K216" s="298">
        <f t="shared" si="119"/>
        <v>2701.27</v>
      </c>
      <c r="L216" s="298">
        <f t="shared" si="151"/>
        <v>726.49</v>
      </c>
      <c r="M216" s="298">
        <f t="shared" si="120"/>
        <v>1974.78</v>
      </c>
      <c r="N216" s="298">
        <f t="shared" si="142"/>
        <v>72008.600000000049</v>
      </c>
      <c r="O216" s="298">
        <f t="shared" si="143"/>
        <v>352090.79000000021</v>
      </c>
      <c r="P216" s="298">
        <f t="shared" si="132"/>
        <v>305046.39999999967</v>
      </c>
      <c r="Q216" s="542">
        <f t="shared" si="133"/>
        <v>50439</v>
      </c>
      <c r="R216" s="298">
        <f t="shared" si="118"/>
        <v>118593.77000000011</v>
      </c>
      <c r="S216" s="535">
        <f t="shared" si="144"/>
        <v>7.7499999999999999E-2</v>
      </c>
      <c r="T216" s="298">
        <f t="shared" si="134"/>
        <v>3493.12</v>
      </c>
      <c r="U216" s="298">
        <f t="shared" si="121"/>
        <v>2727.2</v>
      </c>
      <c r="V216" s="298">
        <f t="shared" si="135"/>
        <v>765.92</v>
      </c>
      <c r="W216" s="298">
        <f t="shared" si="127"/>
        <v>0</v>
      </c>
      <c r="X216" s="298">
        <f t="shared" si="127"/>
        <v>0</v>
      </c>
      <c r="Y216" s="298">
        <f t="shared" si="122"/>
        <v>3493.12</v>
      </c>
      <c r="Z216" s="298">
        <f t="shared" si="123"/>
        <v>261188.43000000008</v>
      </c>
      <c r="AA216" s="298">
        <f t="shared" si="124"/>
        <v>223028.90999999995</v>
      </c>
      <c r="AB216" s="298">
        <f t="shared" si="136"/>
        <v>115866.57000000011</v>
      </c>
      <c r="AC216" s="451">
        <f t="shared" si="145"/>
        <v>156</v>
      </c>
      <c r="AD216" s="552">
        <f t="shared" si="146"/>
        <v>-60117.949999999946</v>
      </c>
      <c r="AE216" s="552">
        <f t="shared" si="116"/>
        <v>64965.280000000181</v>
      </c>
      <c r="AF216" s="552">
        <f t="shared" si="117"/>
        <v>4847.3300000002346</v>
      </c>
      <c r="AG216" s="552">
        <f t="shared" si="147"/>
        <v>3059.17</v>
      </c>
      <c r="AH216" s="552">
        <f t="shared" si="148"/>
        <v>156107.56999999992</v>
      </c>
      <c r="AI216" s="552"/>
      <c r="AJ216" s="14">
        <f t="shared" si="125"/>
        <v>3059.17</v>
      </c>
      <c r="AK216" s="14">
        <f t="shared" si="126"/>
        <v>415219.28999999963</v>
      </c>
      <c r="AL216" s="552">
        <f>IF(R216&lt;=0,0,+([1]Profit!$B$4+AM215)*$AL$1/12)</f>
        <v>1546.0155244833468</v>
      </c>
      <c r="AM216" s="14">
        <f t="shared" si="149"/>
        <v>201052.2253178221</v>
      </c>
    </row>
    <row r="217" spans="1:39" x14ac:dyDescent="0.25">
      <c r="A217" s="542">
        <f t="shared" si="137"/>
        <v>50469</v>
      </c>
      <c r="B217" s="298">
        <f t="shared" si="138"/>
        <v>50901.289999999928</v>
      </c>
      <c r="C217" s="14">
        <f t="shared" si="128"/>
        <v>433.95</v>
      </c>
      <c r="D217" s="14">
        <f t="shared" si="150"/>
        <v>232.47</v>
      </c>
      <c r="E217" s="14">
        <f t="shared" si="129"/>
        <v>201.48</v>
      </c>
      <c r="F217" s="298">
        <f t="shared" si="139"/>
        <v>32848.969999999994</v>
      </c>
      <c r="G217" s="298">
        <f t="shared" si="140"/>
        <v>55572.169999999976</v>
      </c>
      <c r="H217" s="298">
        <f t="shared" si="130"/>
        <v>50668.819999999927</v>
      </c>
      <c r="I217" s="451">
        <f t="shared" si="131"/>
        <v>13</v>
      </c>
      <c r="J217" s="298">
        <f t="shared" si="141"/>
        <v>305046.39999999967</v>
      </c>
      <c r="K217" s="298">
        <f t="shared" si="119"/>
        <v>2701.27</v>
      </c>
      <c r="L217" s="298">
        <f t="shared" si="151"/>
        <v>731.18000000000006</v>
      </c>
      <c r="M217" s="298">
        <f t="shared" si="120"/>
        <v>1970.09</v>
      </c>
      <c r="N217" s="298">
        <f t="shared" si="142"/>
        <v>72739.780000000042</v>
      </c>
      <c r="O217" s="298">
        <f t="shared" si="143"/>
        <v>354060.88000000024</v>
      </c>
      <c r="P217" s="298">
        <f t="shared" si="132"/>
        <v>304315.21999999968</v>
      </c>
      <c r="Q217" s="542">
        <f t="shared" si="133"/>
        <v>50469</v>
      </c>
      <c r="R217" s="298">
        <f t="shared" si="118"/>
        <v>115866.57000000011</v>
      </c>
      <c r="S217" s="535">
        <f t="shared" si="144"/>
        <v>7.7499999999999999E-2</v>
      </c>
      <c r="T217" s="298">
        <f t="shared" si="134"/>
        <v>3493.12</v>
      </c>
      <c r="U217" s="298">
        <f t="shared" si="121"/>
        <v>2744.8199999999997</v>
      </c>
      <c r="V217" s="298">
        <f t="shared" si="135"/>
        <v>748.3</v>
      </c>
      <c r="W217" s="298">
        <f t="shared" si="127"/>
        <v>0</v>
      </c>
      <c r="X217" s="298">
        <f t="shared" si="127"/>
        <v>0</v>
      </c>
      <c r="Y217" s="298">
        <f t="shared" si="122"/>
        <v>3493.12</v>
      </c>
      <c r="Z217" s="298">
        <f t="shared" si="123"/>
        <v>263933.25000000006</v>
      </c>
      <c r="AA217" s="298">
        <f t="shared" si="124"/>
        <v>223777.20999999993</v>
      </c>
      <c r="AB217" s="298">
        <f t="shared" si="136"/>
        <v>113121.75000000012</v>
      </c>
      <c r="AC217" s="451">
        <f t="shared" si="145"/>
        <v>157</v>
      </c>
      <c r="AD217" s="552">
        <f t="shared" si="146"/>
        <v>-60909.799999999945</v>
      </c>
      <c r="AE217" s="552">
        <f t="shared" si="116"/>
        <v>62452.930000000189</v>
      </c>
      <c r="AF217" s="552">
        <f t="shared" si="117"/>
        <v>1543.1300000002448</v>
      </c>
      <c r="AG217" s="552">
        <f t="shared" si="147"/>
        <v>3059.17</v>
      </c>
      <c r="AH217" s="552">
        <f t="shared" si="148"/>
        <v>153595.21999999991</v>
      </c>
      <c r="AI217" s="552"/>
      <c r="AJ217" s="14">
        <f t="shared" si="125"/>
        <v>3059.17</v>
      </c>
      <c r="AK217" s="14">
        <f t="shared" si="126"/>
        <v>418278.45999999961</v>
      </c>
      <c r="AL217" s="552">
        <f>IF(R217&lt;=0,0,+([1]Profit!$B$4+AM216)*$AL$1/12)</f>
        <v>1549.880563294555</v>
      </c>
      <c r="AM217" s="14">
        <f t="shared" si="149"/>
        <v>202602.10588111664</v>
      </c>
    </row>
    <row r="218" spans="1:39" ht="15.75" thickBot="1" x14ac:dyDescent="0.3">
      <c r="A218" s="545">
        <f t="shared" si="137"/>
        <v>50499</v>
      </c>
      <c r="B218" s="371">
        <f t="shared" si="138"/>
        <v>50668.819999999927</v>
      </c>
      <c r="C218" s="21">
        <f t="shared" si="128"/>
        <v>433.95</v>
      </c>
      <c r="D218" s="21">
        <f t="shared" si="150"/>
        <v>233.39</v>
      </c>
      <c r="E218" s="21">
        <f t="shared" si="129"/>
        <v>200.56</v>
      </c>
      <c r="F218" s="371">
        <f t="shared" si="139"/>
        <v>33082.359999999993</v>
      </c>
      <c r="G218" s="371">
        <f t="shared" si="140"/>
        <v>55772.729999999974</v>
      </c>
      <c r="H218" s="371">
        <f t="shared" si="130"/>
        <v>50435.429999999928</v>
      </c>
      <c r="I218" s="452">
        <f t="shared" si="131"/>
        <v>13</v>
      </c>
      <c r="J218" s="371">
        <f t="shared" si="141"/>
        <v>304315.21999999968</v>
      </c>
      <c r="K218" s="371">
        <f t="shared" si="119"/>
        <v>2701.27</v>
      </c>
      <c r="L218" s="371">
        <f t="shared" si="151"/>
        <v>735.90000000000009</v>
      </c>
      <c r="M218" s="371">
        <f t="shared" si="120"/>
        <v>1965.37</v>
      </c>
      <c r="N218" s="371">
        <f t="shared" si="142"/>
        <v>73475.680000000037</v>
      </c>
      <c r="O218" s="371">
        <f t="shared" si="143"/>
        <v>356026.25000000023</v>
      </c>
      <c r="P218" s="371">
        <f t="shared" si="132"/>
        <v>303579.31999999966</v>
      </c>
      <c r="Q218" s="545">
        <f t="shared" si="133"/>
        <v>50499</v>
      </c>
      <c r="R218" s="371">
        <f t="shared" si="118"/>
        <v>113121.75000000012</v>
      </c>
      <c r="S218" s="536">
        <f t="shared" si="144"/>
        <v>7.7499999999999999E-2</v>
      </c>
      <c r="T218" s="371">
        <f t="shared" si="134"/>
        <v>3493.12</v>
      </c>
      <c r="U218" s="371">
        <f t="shared" si="121"/>
        <v>2762.54</v>
      </c>
      <c r="V218" s="371">
        <f t="shared" si="135"/>
        <v>730.58</v>
      </c>
      <c r="W218" s="371">
        <f t="shared" si="127"/>
        <v>0</v>
      </c>
      <c r="X218" s="371">
        <f t="shared" si="127"/>
        <v>0</v>
      </c>
      <c r="Y218" s="371">
        <f t="shared" si="122"/>
        <v>3493.12</v>
      </c>
      <c r="Z218" s="371">
        <f t="shared" si="123"/>
        <v>266695.79000000004</v>
      </c>
      <c r="AA218" s="371">
        <f t="shared" si="124"/>
        <v>224507.78999999992</v>
      </c>
      <c r="AB218" s="371">
        <f t="shared" si="136"/>
        <v>110359.21000000012</v>
      </c>
      <c r="AC218" s="452">
        <f t="shared" si="145"/>
        <v>158</v>
      </c>
      <c r="AD218" s="553">
        <f t="shared" si="146"/>
        <v>-61701.649999999943</v>
      </c>
      <c r="AE218" s="553">
        <f t="shared" si="116"/>
        <v>59923.780000000195</v>
      </c>
      <c r="AF218" s="553">
        <f t="shared" si="117"/>
        <v>-1777.869999999748</v>
      </c>
      <c r="AG218" s="553">
        <f t="shared" si="147"/>
        <v>3059.17</v>
      </c>
      <c r="AH218" s="553">
        <f t="shared" si="148"/>
        <v>151066.06999999995</v>
      </c>
      <c r="AI218" s="553"/>
      <c r="AJ218" s="21">
        <f t="shared" si="125"/>
        <v>3059.17</v>
      </c>
      <c r="AK218" s="21">
        <f t="shared" si="126"/>
        <v>421337.6299999996</v>
      </c>
      <c r="AL218" s="553">
        <f>IF(R218&lt;=0,0,+([1]Profit!$B$4+AM217)*$AL$1/12)</f>
        <v>1553.7552647027915</v>
      </c>
      <c r="AM218" s="21">
        <f t="shared" si="149"/>
        <v>204155.86114581942</v>
      </c>
    </row>
    <row r="219" spans="1:39" x14ac:dyDescent="0.25">
      <c r="A219" s="542">
        <f t="shared" si="137"/>
        <v>50529</v>
      </c>
      <c r="B219" s="298">
        <f t="shared" si="138"/>
        <v>50435.429999999928</v>
      </c>
      <c r="C219" s="14">
        <f t="shared" si="128"/>
        <v>433.95</v>
      </c>
      <c r="D219" s="14">
        <f t="shared" si="150"/>
        <v>234.31</v>
      </c>
      <c r="E219" s="14">
        <f t="shared" si="129"/>
        <v>199.64</v>
      </c>
      <c r="F219" s="298">
        <f t="shared" si="139"/>
        <v>33316.669999999991</v>
      </c>
      <c r="G219" s="298">
        <f t="shared" si="140"/>
        <v>55972.369999999974</v>
      </c>
      <c r="H219" s="298">
        <f t="shared" si="130"/>
        <v>50201.11999999993</v>
      </c>
      <c r="I219" s="451">
        <f t="shared" si="131"/>
        <v>13</v>
      </c>
      <c r="J219" s="298">
        <f t="shared" si="141"/>
        <v>303579.31999999966</v>
      </c>
      <c r="K219" s="298">
        <f t="shared" si="119"/>
        <v>2701.27</v>
      </c>
      <c r="L219" s="298">
        <f t="shared" si="151"/>
        <v>740.65000000000009</v>
      </c>
      <c r="M219" s="298">
        <f t="shared" si="120"/>
        <v>1960.62</v>
      </c>
      <c r="N219" s="298">
        <f t="shared" si="142"/>
        <v>74216.330000000031</v>
      </c>
      <c r="O219" s="298">
        <f t="shared" si="143"/>
        <v>357986.87000000023</v>
      </c>
      <c r="P219" s="298">
        <f t="shared" si="132"/>
        <v>302838.66999999963</v>
      </c>
      <c r="Q219" s="542">
        <f t="shared" si="133"/>
        <v>50529</v>
      </c>
      <c r="R219" s="298">
        <f t="shared" si="118"/>
        <v>110359.21000000012</v>
      </c>
      <c r="S219" s="535">
        <f t="shared" si="144"/>
        <v>7.7499999999999999E-2</v>
      </c>
      <c r="T219" s="298">
        <f t="shared" si="134"/>
        <v>3493.12</v>
      </c>
      <c r="U219" s="298">
        <f t="shared" si="121"/>
        <v>2780.38</v>
      </c>
      <c r="V219" s="298">
        <f t="shared" si="135"/>
        <v>712.74</v>
      </c>
      <c r="W219" s="298">
        <f t="shared" si="127"/>
        <v>0</v>
      </c>
      <c r="X219" s="298">
        <f t="shared" si="127"/>
        <v>0</v>
      </c>
      <c r="Y219" s="298">
        <f t="shared" si="122"/>
        <v>3493.12</v>
      </c>
      <c r="Z219" s="298">
        <f t="shared" si="123"/>
        <v>269476.17000000004</v>
      </c>
      <c r="AA219" s="298">
        <f t="shared" si="124"/>
        <v>225220.52999999991</v>
      </c>
      <c r="AB219" s="298">
        <f t="shared" si="136"/>
        <v>107578.83000000012</v>
      </c>
      <c r="AC219" s="451">
        <f t="shared" si="145"/>
        <v>159</v>
      </c>
      <c r="AD219" s="552">
        <f t="shared" si="146"/>
        <v>-62493.499999999942</v>
      </c>
      <c r="AE219" s="552">
        <f t="shared" si="116"/>
        <v>57377.710000000188</v>
      </c>
      <c r="AF219" s="552">
        <f t="shared" si="117"/>
        <v>-5115.7899999997535</v>
      </c>
      <c r="AG219" s="552">
        <f t="shared" si="147"/>
        <v>3059.17</v>
      </c>
      <c r="AH219" s="552">
        <f t="shared" si="148"/>
        <v>148519.99999999994</v>
      </c>
      <c r="AI219" s="552"/>
      <c r="AJ219" s="14">
        <f t="shared" si="125"/>
        <v>3059.17</v>
      </c>
      <c r="AK219" s="14">
        <f t="shared" si="126"/>
        <v>424396.79999999958</v>
      </c>
      <c r="AL219" s="552">
        <f>IF(R219&lt;=0,0,+([1]Profit!$B$4+AM218)*$AL$1/12)</f>
        <v>1557.6396528645485</v>
      </c>
      <c r="AM219" s="14">
        <f t="shared" si="149"/>
        <v>205713.50079868396</v>
      </c>
    </row>
    <row r="220" spans="1:39" x14ac:dyDescent="0.25">
      <c r="A220" s="542">
        <f t="shared" si="137"/>
        <v>50559</v>
      </c>
      <c r="B220" s="298">
        <f t="shared" si="138"/>
        <v>50201.11999999993</v>
      </c>
      <c r="C220" s="14">
        <f t="shared" si="128"/>
        <v>433.95</v>
      </c>
      <c r="D220" s="14">
        <f t="shared" si="150"/>
        <v>235.23999999999998</v>
      </c>
      <c r="E220" s="14">
        <f t="shared" si="129"/>
        <v>198.71</v>
      </c>
      <c r="F220" s="298">
        <f t="shared" si="139"/>
        <v>33551.909999999989</v>
      </c>
      <c r="G220" s="298">
        <f t="shared" si="140"/>
        <v>56171.079999999973</v>
      </c>
      <c r="H220" s="298">
        <f t="shared" si="130"/>
        <v>49965.879999999932</v>
      </c>
      <c r="I220" s="451">
        <f t="shared" si="131"/>
        <v>13</v>
      </c>
      <c r="J220" s="298">
        <f t="shared" si="141"/>
        <v>302838.66999999963</v>
      </c>
      <c r="K220" s="298">
        <f t="shared" si="119"/>
        <v>2701.27</v>
      </c>
      <c r="L220" s="298">
        <f t="shared" si="151"/>
        <v>745.44</v>
      </c>
      <c r="M220" s="298">
        <f t="shared" si="120"/>
        <v>1955.83</v>
      </c>
      <c r="N220" s="298">
        <f t="shared" si="142"/>
        <v>74961.770000000033</v>
      </c>
      <c r="O220" s="298">
        <f t="shared" si="143"/>
        <v>359942.70000000024</v>
      </c>
      <c r="P220" s="298">
        <f t="shared" si="132"/>
        <v>302093.22999999963</v>
      </c>
      <c r="Q220" s="542">
        <f t="shared" si="133"/>
        <v>50559</v>
      </c>
      <c r="R220" s="298">
        <f t="shared" si="118"/>
        <v>107578.83000000012</v>
      </c>
      <c r="S220" s="535">
        <f t="shared" si="144"/>
        <v>7.7499999999999999E-2</v>
      </c>
      <c r="T220" s="298">
        <f t="shared" si="134"/>
        <v>3493.12</v>
      </c>
      <c r="U220" s="298">
        <f t="shared" si="121"/>
        <v>2798.34</v>
      </c>
      <c r="V220" s="298">
        <f t="shared" si="135"/>
        <v>694.78</v>
      </c>
      <c r="W220" s="298">
        <f t="shared" ref="W220:X235" si="152">+W219</f>
        <v>0</v>
      </c>
      <c r="X220" s="298">
        <f t="shared" si="152"/>
        <v>0</v>
      </c>
      <c r="Y220" s="298">
        <f t="shared" si="122"/>
        <v>3493.12</v>
      </c>
      <c r="Z220" s="298">
        <f t="shared" si="123"/>
        <v>272274.51000000007</v>
      </c>
      <c r="AA220" s="298">
        <f t="shared" si="124"/>
        <v>225915.30999999991</v>
      </c>
      <c r="AB220" s="298">
        <f t="shared" si="136"/>
        <v>104780.49000000012</v>
      </c>
      <c r="AC220" s="451">
        <f t="shared" si="145"/>
        <v>160</v>
      </c>
      <c r="AD220" s="552">
        <f t="shared" si="146"/>
        <v>-63285.34999999994</v>
      </c>
      <c r="AE220" s="552">
        <f t="shared" si="116"/>
        <v>54814.61000000019</v>
      </c>
      <c r="AF220" s="552">
        <f t="shared" si="117"/>
        <v>-8470.7399999997506</v>
      </c>
      <c r="AG220" s="552">
        <f t="shared" si="147"/>
        <v>3059.17</v>
      </c>
      <c r="AH220" s="552">
        <f t="shared" si="148"/>
        <v>145956.89999999991</v>
      </c>
      <c r="AI220" s="552"/>
      <c r="AJ220" s="14">
        <f t="shared" si="125"/>
        <v>3059.17</v>
      </c>
      <c r="AK220" s="14">
        <f t="shared" si="126"/>
        <v>427455.96999999956</v>
      </c>
      <c r="AL220" s="552">
        <f>IF(R220&lt;=0,0,+([1]Profit!$B$4+AM219)*$AL$1/12)</f>
        <v>1561.5337519967097</v>
      </c>
      <c r="AM220" s="14">
        <f t="shared" si="149"/>
        <v>207275.03455068066</v>
      </c>
    </row>
    <row r="221" spans="1:39" x14ac:dyDescent="0.25">
      <c r="A221" s="542">
        <f t="shared" si="137"/>
        <v>50589</v>
      </c>
      <c r="B221" s="298">
        <f t="shared" si="138"/>
        <v>49965.879999999932</v>
      </c>
      <c r="C221" s="14">
        <f t="shared" si="128"/>
        <v>433.95</v>
      </c>
      <c r="D221" s="14">
        <f t="shared" si="150"/>
        <v>236.17</v>
      </c>
      <c r="E221" s="14">
        <f t="shared" si="129"/>
        <v>197.78</v>
      </c>
      <c r="F221" s="298">
        <f t="shared" si="139"/>
        <v>33788.079999999987</v>
      </c>
      <c r="G221" s="298">
        <f t="shared" si="140"/>
        <v>56368.859999999971</v>
      </c>
      <c r="H221" s="298">
        <f t="shared" si="130"/>
        <v>49729.709999999934</v>
      </c>
      <c r="I221" s="451">
        <f t="shared" si="131"/>
        <v>13</v>
      </c>
      <c r="J221" s="298">
        <f t="shared" si="141"/>
        <v>302093.22999999963</v>
      </c>
      <c r="K221" s="298">
        <f t="shared" si="119"/>
        <v>2701.27</v>
      </c>
      <c r="L221" s="298">
        <f t="shared" si="151"/>
        <v>750.25</v>
      </c>
      <c r="M221" s="298">
        <f t="shared" si="120"/>
        <v>1951.02</v>
      </c>
      <c r="N221" s="298">
        <f t="shared" si="142"/>
        <v>75712.020000000033</v>
      </c>
      <c r="O221" s="298">
        <f t="shared" si="143"/>
        <v>361893.72000000026</v>
      </c>
      <c r="P221" s="298">
        <f t="shared" si="132"/>
        <v>301342.97999999963</v>
      </c>
      <c r="Q221" s="542">
        <f t="shared" si="133"/>
        <v>50589</v>
      </c>
      <c r="R221" s="298">
        <f t="shared" si="118"/>
        <v>104780.49000000012</v>
      </c>
      <c r="S221" s="535">
        <f t="shared" si="144"/>
        <v>7.7499999999999999E-2</v>
      </c>
      <c r="T221" s="298">
        <f t="shared" si="134"/>
        <v>3493.12</v>
      </c>
      <c r="U221" s="298">
        <f t="shared" si="121"/>
        <v>2816.41</v>
      </c>
      <c r="V221" s="298">
        <f t="shared" si="135"/>
        <v>676.71</v>
      </c>
      <c r="W221" s="298">
        <f t="shared" si="152"/>
        <v>0</v>
      </c>
      <c r="X221" s="298">
        <f t="shared" si="152"/>
        <v>0</v>
      </c>
      <c r="Y221" s="298">
        <f t="shared" si="122"/>
        <v>3493.12</v>
      </c>
      <c r="Z221" s="298">
        <f t="shared" si="123"/>
        <v>275090.92000000004</v>
      </c>
      <c r="AA221" s="298">
        <f t="shared" si="124"/>
        <v>226592.0199999999</v>
      </c>
      <c r="AB221" s="298">
        <f t="shared" si="136"/>
        <v>101964.08000000012</v>
      </c>
      <c r="AC221" s="451">
        <f t="shared" si="145"/>
        <v>161</v>
      </c>
      <c r="AD221" s="552">
        <f t="shared" si="146"/>
        <v>-64077.199999999939</v>
      </c>
      <c r="AE221" s="552">
        <f t="shared" si="116"/>
        <v>52234.370000000185</v>
      </c>
      <c r="AF221" s="552">
        <f t="shared" si="117"/>
        <v>-11842.829999999754</v>
      </c>
      <c r="AG221" s="552">
        <f t="shared" si="147"/>
        <v>3059.17</v>
      </c>
      <c r="AH221" s="552">
        <f t="shared" si="148"/>
        <v>143376.65999999992</v>
      </c>
      <c r="AI221" s="552"/>
      <c r="AJ221" s="14">
        <f t="shared" si="125"/>
        <v>3059.17</v>
      </c>
      <c r="AK221" s="14">
        <f t="shared" si="126"/>
        <v>430515.13999999955</v>
      </c>
      <c r="AL221" s="552">
        <f>IF(R221&lt;=0,0,+([1]Profit!$B$4+AM220)*$AL$1/12)</f>
        <v>1565.4375863767016</v>
      </c>
      <c r="AM221" s="14">
        <f t="shared" si="149"/>
        <v>208840.47213705737</v>
      </c>
    </row>
    <row r="222" spans="1:39" x14ac:dyDescent="0.25">
      <c r="A222" s="542">
        <f t="shared" si="137"/>
        <v>50619</v>
      </c>
      <c r="B222" s="298">
        <f t="shared" si="138"/>
        <v>49729.709999999934</v>
      </c>
      <c r="C222" s="14">
        <f t="shared" si="128"/>
        <v>433.95</v>
      </c>
      <c r="D222" s="14">
        <f t="shared" si="150"/>
        <v>237.1</v>
      </c>
      <c r="E222" s="14">
        <f t="shared" si="129"/>
        <v>196.85</v>
      </c>
      <c r="F222" s="298">
        <f t="shared" si="139"/>
        <v>34025.179999999986</v>
      </c>
      <c r="G222" s="298">
        <f t="shared" si="140"/>
        <v>56565.70999999997</v>
      </c>
      <c r="H222" s="298">
        <f t="shared" si="130"/>
        <v>49492.609999999935</v>
      </c>
      <c r="I222" s="451">
        <f t="shared" si="131"/>
        <v>13</v>
      </c>
      <c r="J222" s="298">
        <f t="shared" si="141"/>
        <v>301342.97999999963</v>
      </c>
      <c r="K222" s="298">
        <f t="shared" si="119"/>
        <v>2701.27</v>
      </c>
      <c r="L222" s="298">
        <f t="shared" si="151"/>
        <v>755.09999999999991</v>
      </c>
      <c r="M222" s="298">
        <f t="shared" si="120"/>
        <v>1946.17</v>
      </c>
      <c r="N222" s="298">
        <f t="shared" si="142"/>
        <v>76467.120000000039</v>
      </c>
      <c r="O222" s="298">
        <f t="shared" si="143"/>
        <v>363839.89000000025</v>
      </c>
      <c r="P222" s="298">
        <f t="shared" si="132"/>
        <v>300587.87999999966</v>
      </c>
      <c r="Q222" s="542">
        <f t="shared" si="133"/>
        <v>50619</v>
      </c>
      <c r="R222" s="298">
        <f t="shared" si="118"/>
        <v>101964.08000000012</v>
      </c>
      <c r="S222" s="535">
        <f t="shared" si="144"/>
        <v>7.7499999999999999E-2</v>
      </c>
      <c r="T222" s="298">
        <f t="shared" si="134"/>
        <v>3493.12</v>
      </c>
      <c r="U222" s="298">
        <f t="shared" si="121"/>
        <v>2834.6</v>
      </c>
      <c r="V222" s="298">
        <f t="shared" si="135"/>
        <v>658.52</v>
      </c>
      <c r="W222" s="298">
        <f t="shared" si="152"/>
        <v>0</v>
      </c>
      <c r="X222" s="298">
        <f t="shared" si="152"/>
        <v>0</v>
      </c>
      <c r="Y222" s="298">
        <f t="shared" si="122"/>
        <v>3493.12</v>
      </c>
      <c r="Z222" s="298">
        <f t="shared" si="123"/>
        <v>277925.52</v>
      </c>
      <c r="AA222" s="298">
        <f t="shared" si="124"/>
        <v>227250.53999999989</v>
      </c>
      <c r="AB222" s="298">
        <f t="shared" si="136"/>
        <v>99129.480000000112</v>
      </c>
      <c r="AC222" s="451">
        <f t="shared" si="145"/>
        <v>162</v>
      </c>
      <c r="AD222" s="552">
        <f t="shared" si="146"/>
        <v>-64869.049999999937</v>
      </c>
      <c r="AE222" s="552">
        <f t="shared" si="116"/>
        <v>49636.870000000177</v>
      </c>
      <c r="AF222" s="552">
        <f t="shared" si="117"/>
        <v>-15232.17999999976</v>
      </c>
      <c r="AG222" s="552">
        <f t="shared" si="147"/>
        <v>3059.17</v>
      </c>
      <c r="AH222" s="552">
        <f t="shared" si="148"/>
        <v>140779.15999999997</v>
      </c>
      <c r="AI222" s="552"/>
      <c r="AJ222" s="14">
        <f t="shared" si="125"/>
        <v>3059.17</v>
      </c>
      <c r="AK222" s="14">
        <f t="shared" si="126"/>
        <v>433574.30999999953</v>
      </c>
      <c r="AL222" s="552">
        <f>IF(R222&lt;=0,0,+([1]Profit!$B$4+AM221)*$AL$1/12)</f>
        <v>1569.3511803426434</v>
      </c>
      <c r="AM222" s="14">
        <f t="shared" si="149"/>
        <v>210409.82331740001</v>
      </c>
    </row>
    <row r="223" spans="1:39" x14ac:dyDescent="0.25">
      <c r="A223" s="542">
        <f t="shared" si="137"/>
        <v>50649</v>
      </c>
      <c r="B223" s="298">
        <f t="shared" si="138"/>
        <v>49492.609999999935</v>
      </c>
      <c r="C223" s="14">
        <f t="shared" si="128"/>
        <v>433.95</v>
      </c>
      <c r="D223" s="14">
        <f t="shared" si="150"/>
        <v>238.04</v>
      </c>
      <c r="E223" s="14">
        <f t="shared" si="129"/>
        <v>195.91</v>
      </c>
      <c r="F223" s="298">
        <f t="shared" si="139"/>
        <v>34263.219999999987</v>
      </c>
      <c r="G223" s="298">
        <f t="shared" si="140"/>
        <v>56761.619999999974</v>
      </c>
      <c r="H223" s="298">
        <f t="shared" si="130"/>
        <v>49254.569999999934</v>
      </c>
      <c r="I223" s="451">
        <f t="shared" si="131"/>
        <v>13</v>
      </c>
      <c r="J223" s="298">
        <f t="shared" si="141"/>
        <v>300587.87999999966</v>
      </c>
      <c r="K223" s="298">
        <f t="shared" si="119"/>
        <v>2701.27</v>
      </c>
      <c r="L223" s="298">
        <f t="shared" si="151"/>
        <v>759.97</v>
      </c>
      <c r="M223" s="298">
        <f t="shared" si="120"/>
        <v>1941.3</v>
      </c>
      <c r="N223" s="298">
        <f t="shared" si="142"/>
        <v>77227.09000000004</v>
      </c>
      <c r="O223" s="298">
        <f t="shared" si="143"/>
        <v>365781.19000000024</v>
      </c>
      <c r="P223" s="298">
        <f t="shared" si="132"/>
        <v>299827.90999999968</v>
      </c>
      <c r="Q223" s="542">
        <f t="shared" si="133"/>
        <v>50649</v>
      </c>
      <c r="R223" s="298">
        <f t="shared" si="118"/>
        <v>99129.480000000112</v>
      </c>
      <c r="S223" s="535">
        <f t="shared" si="144"/>
        <v>7.7499999999999999E-2</v>
      </c>
      <c r="T223" s="298">
        <f t="shared" si="134"/>
        <v>3493.12</v>
      </c>
      <c r="U223" s="298">
        <f t="shared" si="121"/>
        <v>2852.91</v>
      </c>
      <c r="V223" s="298">
        <f t="shared" si="135"/>
        <v>640.21</v>
      </c>
      <c r="W223" s="298">
        <f t="shared" si="152"/>
        <v>0</v>
      </c>
      <c r="X223" s="298">
        <f t="shared" si="152"/>
        <v>0</v>
      </c>
      <c r="Y223" s="298">
        <f t="shared" si="122"/>
        <v>3493.12</v>
      </c>
      <c r="Z223" s="298">
        <f t="shared" si="123"/>
        <v>280778.43</v>
      </c>
      <c r="AA223" s="298">
        <f t="shared" si="124"/>
        <v>227890.74999999988</v>
      </c>
      <c r="AB223" s="298">
        <f t="shared" si="136"/>
        <v>96276.570000000109</v>
      </c>
      <c r="AC223" s="451">
        <f t="shared" si="145"/>
        <v>163</v>
      </c>
      <c r="AD223" s="552">
        <f t="shared" si="146"/>
        <v>-65660.899999999936</v>
      </c>
      <c r="AE223" s="552">
        <f t="shared" si="116"/>
        <v>47022.000000000175</v>
      </c>
      <c r="AF223" s="552">
        <f t="shared" si="117"/>
        <v>-18638.899999999761</v>
      </c>
      <c r="AG223" s="552">
        <f t="shared" si="147"/>
        <v>3059.17</v>
      </c>
      <c r="AH223" s="552">
        <f t="shared" si="148"/>
        <v>138164.28999999998</v>
      </c>
      <c r="AI223" s="552"/>
      <c r="AJ223" s="14">
        <f t="shared" si="125"/>
        <v>3059.17</v>
      </c>
      <c r="AK223" s="14">
        <f t="shared" si="126"/>
        <v>436633.47999999952</v>
      </c>
      <c r="AL223" s="552">
        <f>IF(R223&lt;=0,0,+([1]Profit!$B$4+AM222)*$AL$1/12)</f>
        <v>1573.2745582934997</v>
      </c>
      <c r="AM223" s="14">
        <f t="shared" si="149"/>
        <v>211983.09787569349</v>
      </c>
    </row>
    <row r="224" spans="1:39" x14ac:dyDescent="0.25">
      <c r="A224" s="542">
        <f t="shared" si="137"/>
        <v>50679</v>
      </c>
      <c r="B224" s="298">
        <f t="shared" si="138"/>
        <v>49254.569999999934</v>
      </c>
      <c r="C224" s="14">
        <f t="shared" si="128"/>
        <v>433.95</v>
      </c>
      <c r="D224" s="14">
        <f t="shared" si="150"/>
        <v>238.98</v>
      </c>
      <c r="E224" s="14">
        <f t="shared" si="129"/>
        <v>194.97</v>
      </c>
      <c r="F224" s="298">
        <f t="shared" si="139"/>
        <v>34502.19999999999</v>
      </c>
      <c r="G224" s="298">
        <f t="shared" si="140"/>
        <v>56956.589999999975</v>
      </c>
      <c r="H224" s="298">
        <f t="shared" si="130"/>
        <v>49015.589999999931</v>
      </c>
      <c r="I224" s="451">
        <f t="shared" si="131"/>
        <v>13</v>
      </c>
      <c r="J224" s="298">
        <f t="shared" si="141"/>
        <v>299827.90999999968</v>
      </c>
      <c r="K224" s="298">
        <f t="shared" si="119"/>
        <v>2701.27</v>
      </c>
      <c r="L224" s="298">
        <f t="shared" si="151"/>
        <v>764.87999999999988</v>
      </c>
      <c r="M224" s="298">
        <f t="shared" si="120"/>
        <v>1936.39</v>
      </c>
      <c r="N224" s="298">
        <f t="shared" si="142"/>
        <v>77991.970000000045</v>
      </c>
      <c r="O224" s="298">
        <f t="shared" si="143"/>
        <v>367717.58000000025</v>
      </c>
      <c r="P224" s="298">
        <f t="shared" si="132"/>
        <v>299063.02999999968</v>
      </c>
      <c r="Q224" s="542">
        <f t="shared" si="133"/>
        <v>50679</v>
      </c>
      <c r="R224" s="298">
        <f t="shared" si="118"/>
        <v>96276.570000000109</v>
      </c>
      <c r="S224" s="535">
        <f t="shared" si="144"/>
        <v>7.7499999999999999E-2</v>
      </c>
      <c r="T224" s="298">
        <f t="shared" si="134"/>
        <v>3493.12</v>
      </c>
      <c r="U224" s="298">
        <f t="shared" si="121"/>
        <v>2871.33</v>
      </c>
      <c r="V224" s="298">
        <f t="shared" si="135"/>
        <v>621.79</v>
      </c>
      <c r="W224" s="298">
        <f t="shared" si="152"/>
        <v>0</v>
      </c>
      <c r="X224" s="298">
        <f t="shared" si="152"/>
        <v>0</v>
      </c>
      <c r="Y224" s="298">
        <f t="shared" si="122"/>
        <v>3493.12</v>
      </c>
      <c r="Z224" s="298">
        <f t="shared" si="123"/>
        <v>283649.76</v>
      </c>
      <c r="AA224" s="298">
        <f t="shared" si="124"/>
        <v>228512.53999999989</v>
      </c>
      <c r="AB224" s="298">
        <f t="shared" si="136"/>
        <v>93405.240000000107</v>
      </c>
      <c r="AC224" s="451">
        <f t="shared" si="145"/>
        <v>164</v>
      </c>
      <c r="AD224" s="552">
        <f t="shared" si="146"/>
        <v>-66452.749999999942</v>
      </c>
      <c r="AE224" s="552">
        <f t="shared" si="116"/>
        <v>44389.650000000176</v>
      </c>
      <c r="AF224" s="552">
        <f t="shared" si="117"/>
        <v>-22063.099999999766</v>
      </c>
      <c r="AG224" s="552">
        <f t="shared" si="147"/>
        <v>3059.17</v>
      </c>
      <c r="AH224" s="552">
        <f t="shared" si="148"/>
        <v>135531.94</v>
      </c>
      <c r="AI224" s="552"/>
      <c r="AJ224" s="14">
        <f t="shared" si="125"/>
        <v>3059.17</v>
      </c>
      <c r="AK224" s="14">
        <f t="shared" si="126"/>
        <v>439692.6499999995</v>
      </c>
      <c r="AL224" s="552">
        <f>IF(R224&lt;=0,0,+([1]Profit!$B$4+AM223)*$AL$1/12)</f>
        <v>1577.2077446892336</v>
      </c>
      <c r="AM224" s="14">
        <f t="shared" si="149"/>
        <v>213560.30562038271</v>
      </c>
    </row>
    <row r="225" spans="1:39" x14ac:dyDescent="0.25">
      <c r="A225" s="542">
        <f t="shared" si="137"/>
        <v>50709</v>
      </c>
      <c r="B225" s="298">
        <f t="shared" si="138"/>
        <v>49015.589999999931</v>
      </c>
      <c r="C225" s="14">
        <f t="shared" si="128"/>
        <v>433.95</v>
      </c>
      <c r="D225" s="14">
        <f t="shared" si="150"/>
        <v>239.92999999999998</v>
      </c>
      <c r="E225" s="14">
        <f t="shared" si="129"/>
        <v>194.02</v>
      </c>
      <c r="F225" s="298">
        <f t="shared" si="139"/>
        <v>34742.12999999999</v>
      </c>
      <c r="G225" s="298">
        <f t="shared" si="140"/>
        <v>57150.609999999971</v>
      </c>
      <c r="H225" s="298">
        <f t="shared" si="130"/>
        <v>48775.659999999931</v>
      </c>
      <c r="I225" s="451">
        <f t="shared" si="131"/>
        <v>13</v>
      </c>
      <c r="J225" s="298">
        <f t="shared" si="141"/>
        <v>299063.02999999968</v>
      </c>
      <c r="K225" s="298">
        <f t="shared" si="119"/>
        <v>2701.27</v>
      </c>
      <c r="L225" s="298">
        <f t="shared" si="151"/>
        <v>769.81999999999994</v>
      </c>
      <c r="M225" s="298">
        <f t="shared" si="120"/>
        <v>1931.45</v>
      </c>
      <c r="N225" s="298">
        <f t="shared" si="142"/>
        <v>78761.790000000052</v>
      </c>
      <c r="O225" s="298">
        <f t="shared" si="143"/>
        <v>369649.03000000026</v>
      </c>
      <c r="P225" s="298">
        <f t="shared" si="132"/>
        <v>298293.20999999967</v>
      </c>
      <c r="Q225" s="542">
        <f t="shared" si="133"/>
        <v>50709</v>
      </c>
      <c r="R225" s="298">
        <f t="shared" si="118"/>
        <v>93405.240000000107</v>
      </c>
      <c r="S225" s="535">
        <f t="shared" si="144"/>
        <v>7.7499999999999999E-2</v>
      </c>
      <c r="T225" s="298">
        <f t="shared" si="134"/>
        <v>3493.12</v>
      </c>
      <c r="U225" s="298">
        <f t="shared" si="121"/>
        <v>2889.88</v>
      </c>
      <c r="V225" s="298">
        <f t="shared" si="135"/>
        <v>603.24</v>
      </c>
      <c r="W225" s="298">
        <f t="shared" si="152"/>
        <v>0</v>
      </c>
      <c r="X225" s="298">
        <f t="shared" si="152"/>
        <v>0</v>
      </c>
      <c r="Y225" s="298">
        <f t="shared" si="122"/>
        <v>3493.12</v>
      </c>
      <c r="Z225" s="298">
        <f t="shared" si="123"/>
        <v>286539.64</v>
      </c>
      <c r="AA225" s="298">
        <f t="shared" si="124"/>
        <v>229115.77999999988</v>
      </c>
      <c r="AB225" s="298">
        <f t="shared" si="136"/>
        <v>90515.360000000102</v>
      </c>
      <c r="AC225" s="451">
        <f t="shared" si="145"/>
        <v>165</v>
      </c>
      <c r="AD225" s="552">
        <f t="shared" si="146"/>
        <v>-67244.599999999948</v>
      </c>
      <c r="AE225" s="552">
        <f t="shared" si="116"/>
        <v>41739.700000000172</v>
      </c>
      <c r="AF225" s="552">
        <f t="shared" si="117"/>
        <v>-25504.899999999776</v>
      </c>
      <c r="AG225" s="552">
        <f t="shared" si="147"/>
        <v>3059.17</v>
      </c>
      <c r="AH225" s="552">
        <f t="shared" si="148"/>
        <v>132881.99</v>
      </c>
      <c r="AI225" s="552"/>
      <c r="AJ225" s="14">
        <f t="shared" si="125"/>
        <v>3059.17</v>
      </c>
      <c r="AK225" s="14">
        <f t="shared" si="126"/>
        <v>442751.81999999948</v>
      </c>
      <c r="AL225" s="552">
        <f>IF(R225&lt;=0,0,+([1]Profit!$B$4+AM224)*$AL$1/12)</f>
        <v>1581.1507640509569</v>
      </c>
      <c r="AM225" s="14">
        <f t="shared" si="149"/>
        <v>215141.45638443367</v>
      </c>
    </row>
    <row r="226" spans="1:39" x14ac:dyDescent="0.25">
      <c r="A226" s="542">
        <f t="shared" si="137"/>
        <v>50739</v>
      </c>
      <c r="B226" s="298">
        <f t="shared" si="138"/>
        <v>48775.659999999931</v>
      </c>
      <c r="C226" s="14">
        <f t="shared" si="128"/>
        <v>433.95</v>
      </c>
      <c r="D226" s="14">
        <f t="shared" si="150"/>
        <v>240.88</v>
      </c>
      <c r="E226" s="14">
        <f t="shared" si="129"/>
        <v>193.07</v>
      </c>
      <c r="F226" s="298">
        <f t="shared" si="139"/>
        <v>34983.009999999987</v>
      </c>
      <c r="G226" s="298">
        <f t="shared" si="140"/>
        <v>57343.679999999971</v>
      </c>
      <c r="H226" s="298">
        <f t="shared" si="130"/>
        <v>48534.779999999933</v>
      </c>
      <c r="I226" s="451">
        <f t="shared" si="131"/>
        <v>13</v>
      </c>
      <c r="J226" s="298">
        <f t="shared" si="141"/>
        <v>298293.20999999967</v>
      </c>
      <c r="K226" s="298">
        <f t="shared" si="119"/>
        <v>2701.27</v>
      </c>
      <c r="L226" s="298">
        <f t="shared" si="151"/>
        <v>774.79</v>
      </c>
      <c r="M226" s="298">
        <f t="shared" si="120"/>
        <v>1926.48</v>
      </c>
      <c r="N226" s="298">
        <f t="shared" si="142"/>
        <v>79536.580000000045</v>
      </c>
      <c r="O226" s="298">
        <f t="shared" si="143"/>
        <v>371575.51000000024</v>
      </c>
      <c r="P226" s="298">
        <f t="shared" si="132"/>
        <v>297518.41999999969</v>
      </c>
      <c r="Q226" s="542">
        <f t="shared" si="133"/>
        <v>50739</v>
      </c>
      <c r="R226" s="298">
        <f t="shared" si="118"/>
        <v>90515.360000000102</v>
      </c>
      <c r="S226" s="535">
        <f t="shared" si="144"/>
        <v>7.7499999999999999E-2</v>
      </c>
      <c r="T226" s="298">
        <f t="shared" si="134"/>
        <v>3493.12</v>
      </c>
      <c r="U226" s="298">
        <f t="shared" si="121"/>
        <v>2908.54</v>
      </c>
      <c r="V226" s="298">
        <f t="shared" si="135"/>
        <v>584.58000000000004</v>
      </c>
      <c r="W226" s="298">
        <f t="shared" si="152"/>
        <v>0</v>
      </c>
      <c r="X226" s="298">
        <f t="shared" si="152"/>
        <v>0</v>
      </c>
      <c r="Y226" s="298">
        <f t="shared" si="122"/>
        <v>3493.12</v>
      </c>
      <c r="Z226" s="298">
        <f t="shared" si="123"/>
        <v>289448.18</v>
      </c>
      <c r="AA226" s="298">
        <f t="shared" si="124"/>
        <v>229700.35999999987</v>
      </c>
      <c r="AB226" s="298">
        <f t="shared" si="136"/>
        <v>87606.820000000109</v>
      </c>
      <c r="AC226" s="451">
        <f t="shared" si="145"/>
        <v>166</v>
      </c>
      <c r="AD226" s="552">
        <f t="shared" si="146"/>
        <v>-68036.449999999953</v>
      </c>
      <c r="AE226" s="552">
        <f t="shared" si="116"/>
        <v>39072.040000000175</v>
      </c>
      <c r="AF226" s="552">
        <f t="shared" si="117"/>
        <v>-28964.409999999778</v>
      </c>
      <c r="AG226" s="552">
        <f t="shared" si="147"/>
        <v>3059.17</v>
      </c>
      <c r="AH226" s="552">
        <f t="shared" si="148"/>
        <v>130214.33000000002</v>
      </c>
      <c r="AI226" s="552"/>
      <c r="AJ226" s="14">
        <f t="shared" si="125"/>
        <v>3059.17</v>
      </c>
      <c r="AK226" s="14">
        <f t="shared" si="126"/>
        <v>445810.98999999947</v>
      </c>
      <c r="AL226" s="552">
        <f>IF(R226&lt;=0,0,+([1]Profit!$B$4+AM225)*$AL$1/12)</f>
        <v>1585.1036409610842</v>
      </c>
      <c r="AM226" s="14">
        <f t="shared" si="149"/>
        <v>216726.56002539475</v>
      </c>
    </row>
    <row r="227" spans="1:39" x14ac:dyDescent="0.25">
      <c r="A227" s="542">
        <f t="shared" si="137"/>
        <v>50769</v>
      </c>
      <c r="B227" s="298">
        <f t="shared" si="138"/>
        <v>48534.779999999933</v>
      </c>
      <c r="C227" s="14">
        <f t="shared" si="128"/>
        <v>433.95</v>
      </c>
      <c r="D227" s="14">
        <f t="shared" si="150"/>
        <v>241.82999999999998</v>
      </c>
      <c r="E227" s="14">
        <f t="shared" si="129"/>
        <v>192.12</v>
      </c>
      <c r="F227" s="298">
        <f t="shared" si="139"/>
        <v>35224.839999999989</v>
      </c>
      <c r="G227" s="298">
        <f t="shared" si="140"/>
        <v>57535.799999999974</v>
      </c>
      <c r="H227" s="298">
        <f t="shared" si="130"/>
        <v>48292.949999999932</v>
      </c>
      <c r="I227" s="451">
        <f t="shared" si="131"/>
        <v>13</v>
      </c>
      <c r="J227" s="298">
        <f t="shared" si="141"/>
        <v>297518.41999999969</v>
      </c>
      <c r="K227" s="298">
        <f t="shared" si="119"/>
        <v>2701.27</v>
      </c>
      <c r="L227" s="298">
        <f t="shared" si="151"/>
        <v>779.8</v>
      </c>
      <c r="M227" s="298">
        <f t="shared" si="120"/>
        <v>1921.47</v>
      </c>
      <c r="N227" s="298">
        <f t="shared" si="142"/>
        <v>80316.380000000048</v>
      </c>
      <c r="O227" s="298">
        <f t="shared" si="143"/>
        <v>373496.98000000021</v>
      </c>
      <c r="P227" s="298">
        <f t="shared" si="132"/>
        <v>296738.6199999997</v>
      </c>
      <c r="Q227" s="542">
        <f t="shared" si="133"/>
        <v>50769</v>
      </c>
      <c r="R227" s="298">
        <f t="shared" si="118"/>
        <v>87606.820000000109</v>
      </c>
      <c r="S227" s="535">
        <f t="shared" si="144"/>
        <v>7.7499999999999999E-2</v>
      </c>
      <c r="T227" s="298">
        <f t="shared" si="134"/>
        <v>3493.12</v>
      </c>
      <c r="U227" s="298">
        <f t="shared" si="121"/>
        <v>2927.33</v>
      </c>
      <c r="V227" s="298">
        <f t="shared" si="135"/>
        <v>565.79</v>
      </c>
      <c r="W227" s="298">
        <f t="shared" si="152"/>
        <v>0</v>
      </c>
      <c r="X227" s="298">
        <f t="shared" si="152"/>
        <v>0</v>
      </c>
      <c r="Y227" s="298">
        <f t="shared" si="122"/>
        <v>3493.12</v>
      </c>
      <c r="Z227" s="298">
        <f t="shared" si="123"/>
        <v>292375.51</v>
      </c>
      <c r="AA227" s="298">
        <f t="shared" si="124"/>
        <v>230266.14999999988</v>
      </c>
      <c r="AB227" s="298">
        <f t="shared" si="136"/>
        <v>84679.490000000107</v>
      </c>
      <c r="AC227" s="451">
        <f t="shared" si="145"/>
        <v>167</v>
      </c>
      <c r="AD227" s="552">
        <f t="shared" si="146"/>
        <v>-68828.299999999959</v>
      </c>
      <c r="AE227" s="552">
        <f t="shared" si="116"/>
        <v>36386.540000000175</v>
      </c>
      <c r="AF227" s="552">
        <f t="shared" si="117"/>
        <v>-32441.759999999784</v>
      </c>
      <c r="AG227" s="552">
        <f t="shared" si="147"/>
        <v>3059.17</v>
      </c>
      <c r="AH227" s="552">
        <f t="shared" si="148"/>
        <v>127528.82999999996</v>
      </c>
      <c r="AI227" s="552"/>
      <c r="AJ227" s="14">
        <f t="shared" si="125"/>
        <v>3059.17</v>
      </c>
      <c r="AK227" s="14">
        <f t="shared" si="126"/>
        <v>448870.15999999945</v>
      </c>
      <c r="AL227" s="552">
        <f>IF(R227&lt;=0,0,+([1]Profit!$B$4+AM226)*$AL$1/12)</f>
        <v>1589.066400063487</v>
      </c>
      <c r="AM227" s="14">
        <f t="shared" si="149"/>
        <v>218315.62642545823</v>
      </c>
    </row>
    <row r="228" spans="1:39" x14ac:dyDescent="0.25">
      <c r="A228" s="542">
        <f t="shared" si="137"/>
        <v>50799</v>
      </c>
      <c r="B228" s="298">
        <f t="shared" si="138"/>
        <v>48292.949999999932</v>
      </c>
      <c r="C228" s="14">
        <f t="shared" si="128"/>
        <v>433.95</v>
      </c>
      <c r="D228" s="14">
        <f t="shared" si="150"/>
        <v>242.79</v>
      </c>
      <c r="E228" s="14">
        <f t="shared" si="129"/>
        <v>191.16</v>
      </c>
      <c r="F228" s="298">
        <f t="shared" si="139"/>
        <v>35467.62999999999</v>
      </c>
      <c r="G228" s="298">
        <f t="shared" si="140"/>
        <v>57726.959999999977</v>
      </c>
      <c r="H228" s="298">
        <f t="shared" si="130"/>
        <v>48050.159999999931</v>
      </c>
      <c r="I228" s="451">
        <f t="shared" si="131"/>
        <v>14</v>
      </c>
      <c r="J228" s="298">
        <f t="shared" si="141"/>
        <v>296738.6199999997</v>
      </c>
      <c r="K228" s="298">
        <f t="shared" si="119"/>
        <v>2701.27</v>
      </c>
      <c r="L228" s="298">
        <f t="shared" si="151"/>
        <v>784.82999999999993</v>
      </c>
      <c r="M228" s="298">
        <f t="shared" si="120"/>
        <v>1916.44</v>
      </c>
      <c r="N228" s="298">
        <f t="shared" si="142"/>
        <v>81101.21000000005</v>
      </c>
      <c r="O228" s="298">
        <f t="shared" si="143"/>
        <v>375413.42000000022</v>
      </c>
      <c r="P228" s="298">
        <f t="shared" si="132"/>
        <v>295953.78999999969</v>
      </c>
      <c r="Q228" s="542">
        <f t="shared" si="133"/>
        <v>50799</v>
      </c>
      <c r="R228" s="298">
        <f t="shared" si="118"/>
        <v>84679.490000000107</v>
      </c>
      <c r="S228" s="535">
        <f t="shared" si="144"/>
        <v>7.7499999999999999E-2</v>
      </c>
      <c r="T228" s="298">
        <f t="shared" si="134"/>
        <v>3493.12</v>
      </c>
      <c r="U228" s="298">
        <f t="shared" si="121"/>
        <v>2946.23</v>
      </c>
      <c r="V228" s="298">
        <f t="shared" si="135"/>
        <v>546.89</v>
      </c>
      <c r="W228" s="298">
        <f t="shared" si="152"/>
        <v>0</v>
      </c>
      <c r="X228" s="298">
        <f t="shared" si="152"/>
        <v>0</v>
      </c>
      <c r="Y228" s="298">
        <f t="shared" si="122"/>
        <v>3493.12</v>
      </c>
      <c r="Z228" s="298">
        <f t="shared" si="123"/>
        <v>295321.74</v>
      </c>
      <c r="AA228" s="298">
        <f t="shared" si="124"/>
        <v>230813.03999999989</v>
      </c>
      <c r="AB228" s="298">
        <f t="shared" si="136"/>
        <v>81733.260000000111</v>
      </c>
      <c r="AC228" s="451">
        <f t="shared" si="145"/>
        <v>168</v>
      </c>
      <c r="AD228" s="552">
        <f t="shared" si="146"/>
        <v>-69620.149999999965</v>
      </c>
      <c r="AE228" s="552">
        <f t="shared" si="116"/>
        <v>33683.10000000018</v>
      </c>
      <c r="AF228" s="552">
        <f t="shared" si="117"/>
        <v>-35937.049999999785</v>
      </c>
      <c r="AG228" s="552">
        <f t="shared" si="147"/>
        <v>3059.17</v>
      </c>
      <c r="AH228" s="552">
        <f t="shared" si="148"/>
        <v>124825.39000000001</v>
      </c>
      <c r="AI228" s="552"/>
      <c r="AJ228" s="14">
        <f t="shared" si="125"/>
        <v>3059.17</v>
      </c>
      <c r="AK228" s="14">
        <f t="shared" si="126"/>
        <v>451929.32999999943</v>
      </c>
      <c r="AL228" s="552">
        <f>IF(R228&lt;=0,0,+([1]Profit!$B$4+AM227)*$AL$1/12)</f>
        <v>1593.0390660636456</v>
      </c>
      <c r="AM228" s="14">
        <f t="shared" si="149"/>
        <v>219908.66549152188</v>
      </c>
    </row>
    <row r="229" spans="1:39" x14ac:dyDescent="0.25">
      <c r="A229" s="542">
        <f t="shared" si="137"/>
        <v>50829</v>
      </c>
      <c r="B229" s="298">
        <f t="shared" si="138"/>
        <v>48050.159999999931</v>
      </c>
      <c r="C229" s="14">
        <f t="shared" si="128"/>
        <v>433.95</v>
      </c>
      <c r="D229" s="14">
        <f t="shared" si="150"/>
        <v>243.75</v>
      </c>
      <c r="E229" s="14">
        <f t="shared" si="129"/>
        <v>190.2</v>
      </c>
      <c r="F229" s="298">
        <f t="shared" si="139"/>
        <v>35711.37999999999</v>
      </c>
      <c r="G229" s="298">
        <f t="shared" si="140"/>
        <v>57917.159999999974</v>
      </c>
      <c r="H229" s="298">
        <f t="shared" si="130"/>
        <v>47806.409999999931</v>
      </c>
      <c r="I229" s="451">
        <f t="shared" si="131"/>
        <v>14</v>
      </c>
      <c r="J229" s="298">
        <f t="shared" si="141"/>
        <v>295953.78999999969</v>
      </c>
      <c r="K229" s="298">
        <f t="shared" si="119"/>
        <v>2701.27</v>
      </c>
      <c r="L229" s="298">
        <f t="shared" si="151"/>
        <v>789.90000000000009</v>
      </c>
      <c r="M229" s="298">
        <f t="shared" si="120"/>
        <v>1911.37</v>
      </c>
      <c r="N229" s="298">
        <f t="shared" si="142"/>
        <v>81891.110000000044</v>
      </c>
      <c r="O229" s="298">
        <f t="shared" si="143"/>
        <v>377324.79000000021</v>
      </c>
      <c r="P229" s="298">
        <f t="shared" si="132"/>
        <v>295163.88999999966</v>
      </c>
      <c r="Q229" s="542">
        <f t="shared" si="133"/>
        <v>50829</v>
      </c>
      <c r="R229" s="298">
        <f t="shared" si="118"/>
        <v>81733.260000000111</v>
      </c>
      <c r="S229" s="535">
        <f t="shared" si="144"/>
        <v>7.7499999999999999E-2</v>
      </c>
      <c r="T229" s="298">
        <f t="shared" si="134"/>
        <v>3493.12</v>
      </c>
      <c r="U229" s="298">
        <f t="shared" si="121"/>
        <v>2965.2599999999998</v>
      </c>
      <c r="V229" s="298">
        <f t="shared" si="135"/>
        <v>527.86</v>
      </c>
      <c r="W229" s="298">
        <f t="shared" si="152"/>
        <v>0</v>
      </c>
      <c r="X229" s="298">
        <f t="shared" si="152"/>
        <v>0</v>
      </c>
      <c r="Y229" s="298">
        <f t="shared" si="122"/>
        <v>3493.12</v>
      </c>
      <c r="Z229" s="298">
        <f t="shared" si="123"/>
        <v>298287</v>
      </c>
      <c r="AA229" s="298">
        <f t="shared" si="124"/>
        <v>231340.89999999988</v>
      </c>
      <c r="AB229" s="298">
        <f t="shared" si="136"/>
        <v>78768.000000000116</v>
      </c>
      <c r="AC229" s="451">
        <f t="shared" si="145"/>
        <v>169</v>
      </c>
      <c r="AD229" s="552">
        <f t="shared" si="146"/>
        <v>-70411.999999999971</v>
      </c>
      <c r="AE229" s="552">
        <f t="shared" si="116"/>
        <v>30961.590000000186</v>
      </c>
      <c r="AF229" s="552">
        <f t="shared" si="117"/>
        <v>-39450.409999999785</v>
      </c>
      <c r="AG229" s="552">
        <f t="shared" si="147"/>
        <v>3059.17</v>
      </c>
      <c r="AH229" s="552">
        <f t="shared" si="148"/>
        <v>122103.88</v>
      </c>
      <c r="AI229" s="552"/>
      <c r="AJ229" s="14">
        <f t="shared" si="125"/>
        <v>3059.17</v>
      </c>
      <c r="AK229" s="14">
        <f t="shared" si="126"/>
        <v>454988.49999999942</v>
      </c>
      <c r="AL229" s="552">
        <f>IF(R229&lt;=0,0,+([1]Profit!$B$4+AM228)*$AL$1/12)</f>
        <v>1597.0216637288047</v>
      </c>
      <c r="AM229" s="14">
        <f t="shared" si="149"/>
        <v>221505.68715525069</v>
      </c>
    </row>
    <row r="230" spans="1:39" ht="15.75" thickBot="1" x14ac:dyDescent="0.3">
      <c r="A230" s="545">
        <f t="shared" si="137"/>
        <v>50859</v>
      </c>
      <c r="B230" s="371">
        <f t="shared" si="138"/>
        <v>47806.409999999931</v>
      </c>
      <c r="C230" s="21">
        <f t="shared" si="128"/>
        <v>433.95</v>
      </c>
      <c r="D230" s="21">
        <f t="shared" si="150"/>
        <v>244.72</v>
      </c>
      <c r="E230" s="21">
        <f t="shared" si="129"/>
        <v>189.23</v>
      </c>
      <c r="F230" s="371">
        <f t="shared" si="139"/>
        <v>35956.099999999991</v>
      </c>
      <c r="G230" s="371">
        <f t="shared" si="140"/>
        <v>58106.389999999978</v>
      </c>
      <c r="H230" s="371">
        <f t="shared" si="130"/>
        <v>47561.68999999993</v>
      </c>
      <c r="I230" s="452">
        <f t="shared" si="131"/>
        <v>14</v>
      </c>
      <c r="J230" s="371">
        <f t="shared" si="141"/>
        <v>295163.88999999966</v>
      </c>
      <c r="K230" s="371">
        <f t="shared" si="119"/>
        <v>2701.27</v>
      </c>
      <c r="L230" s="371">
        <f t="shared" si="151"/>
        <v>795</v>
      </c>
      <c r="M230" s="371">
        <f t="shared" si="120"/>
        <v>1906.27</v>
      </c>
      <c r="N230" s="371">
        <f t="shared" si="142"/>
        <v>82686.110000000044</v>
      </c>
      <c r="O230" s="371">
        <f t="shared" si="143"/>
        <v>379231.06000000023</v>
      </c>
      <c r="P230" s="371">
        <f t="shared" si="132"/>
        <v>294368.88999999966</v>
      </c>
      <c r="Q230" s="545">
        <f t="shared" si="133"/>
        <v>50859</v>
      </c>
      <c r="R230" s="371">
        <f t="shared" si="118"/>
        <v>78768.000000000116</v>
      </c>
      <c r="S230" s="536">
        <f t="shared" si="144"/>
        <v>7.7499999999999999E-2</v>
      </c>
      <c r="T230" s="371">
        <f t="shared" si="134"/>
        <v>3493.12</v>
      </c>
      <c r="U230" s="371">
        <f t="shared" si="121"/>
        <v>2984.41</v>
      </c>
      <c r="V230" s="371">
        <f t="shared" si="135"/>
        <v>508.71</v>
      </c>
      <c r="W230" s="371">
        <f t="shared" si="152"/>
        <v>0</v>
      </c>
      <c r="X230" s="371">
        <f t="shared" si="152"/>
        <v>0</v>
      </c>
      <c r="Y230" s="371">
        <f t="shared" si="122"/>
        <v>3493.12</v>
      </c>
      <c r="Z230" s="371">
        <f t="shared" si="123"/>
        <v>301271.40999999997</v>
      </c>
      <c r="AA230" s="371">
        <f t="shared" si="124"/>
        <v>231849.60999999987</v>
      </c>
      <c r="AB230" s="371">
        <f t="shared" si="136"/>
        <v>75783.590000000113</v>
      </c>
      <c r="AC230" s="452">
        <f t="shared" si="145"/>
        <v>170</v>
      </c>
      <c r="AD230" s="553">
        <f t="shared" si="146"/>
        <v>-71203.849999999977</v>
      </c>
      <c r="AE230" s="553">
        <f t="shared" si="116"/>
        <v>28221.900000000183</v>
      </c>
      <c r="AF230" s="553">
        <f t="shared" si="117"/>
        <v>-42981.949999999793</v>
      </c>
      <c r="AG230" s="553">
        <f t="shared" si="147"/>
        <v>3059.17</v>
      </c>
      <c r="AH230" s="553">
        <f t="shared" si="148"/>
        <v>119364.19</v>
      </c>
      <c r="AI230" s="553"/>
      <c r="AJ230" s="21">
        <f t="shared" si="125"/>
        <v>3059.17</v>
      </c>
      <c r="AK230" s="21">
        <f t="shared" si="126"/>
        <v>458047.6699999994</v>
      </c>
      <c r="AL230" s="553">
        <f>IF(R230&lt;=0,0,+([1]Profit!$B$4+AM229)*$AL$1/12)</f>
        <v>1601.0142178881267</v>
      </c>
      <c r="AM230" s="21">
        <f t="shared" si="149"/>
        <v>223106.70137313881</v>
      </c>
    </row>
    <row r="231" spans="1:39" x14ac:dyDescent="0.25">
      <c r="A231" s="542">
        <f t="shared" si="137"/>
        <v>50889</v>
      </c>
      <c r="B231" s="298">
        <f t="shared" si="138"/>
        <v>47561.68999999993</v>
      </c>
      <c r="C231" s="14">
        <f t="shared" si="128"/>
        <v>433.95</v>
      </c>
      <c r="D231" s="14">
        <f t="shared" si="150"/>
        <v>245.67999999999998</v>
      </c>
      <c r="E231" s="14">
        <f t="shared" si="129"/>
        <v>188.27</v>
      </c>
      <c r="F231" s="298">
        <f t="shared" si="139"/>
        <v>36201.779999999992</v>
      </c>
      <c r="G231" s="298">
        <f t="shared" si="140"/>
        <v>58294.659999999974</v>
      </c>
      <c r="H231" s="298">
        <f t="shared" si="130"/>
        <v>47316.009999999929</v>
      </c>
      <c r="I231" s="451">
        <f t="shared" si="131"/>
        <v>14</v>
      </c>
      <c r="J231" s="298">
        <f t="shared" si="141"/>
        <v>294368.88999999966</v>
      </c>
      <c r="K231" s="298">
        <f t="shared" si="119"/>
        <v>2701.27</v>
      </c>
      <c r="L231" s="298">
        <f t="shared" si="151"/>
        <v>800.13999999999987</v>
      </c>
      <c r="M231" s="298">
        <f t="shared" si="120"/>
        <v>1901.13</v>
      </c>
      <c r="N231" s="298">
        <f t="shared" si="142"/>
        <v>83486.250000000044</v>
      </c>
      <c r="O231" s="298">
        <f t="shared" si="143"/>
        <v>381132.19000000024</v>
      </c>
      <c r="P231" s="298">
        <f t="shared" si="132"/>
        <v>293568.74999999965</v>
      </c>
      <c r="Q231" s="542">
        <f t="shared" si="133"/>
        <v>50889</v>
      </c>
      <c r="R231" s="298">
        <f t="shared" si="118"/>
        <v>75783.590000000113</v>
      </c>
      <c r="S231" s="535">
        <f t="shared" si="144"/>
        <v>7.7499999999999999E-2</v>
      </c>
      <c r="T231" s="298">
        <f t="shared" si="134"/>
        <v>3493.12</v>
      </c>
      <c r="U231" s="298">
        <f t="shared" si="121"/>
        <v>3003.68</v>
      </c>
      <c r="V231" s="298">
        <f t="shared" si="135"/>
        <v>489.44</v>
      </c>
      <c r="W231" s="298">
        <f t="shared" si="152"/>
        <v>0</v>
      </c>
      <c r="X231" s="298">
        <f t="shared" si="152"/>
        <v>0</v>
      </c>
      <c r="Y231" s="298">
        <f t="shared" si="122"/>
        <v>3493.12</v>
      </c>
      <c r="Z231" s="298">
        <f t="shared" si="123"/>
        <v>304275.08999999997</v>
      </c>
      <c r="AA231" s="298">
        <f t="shared" si="124"/>
        <v>232339.04999999987</v>
      </c>
      <c r="AB231" s="298">
        <f t="shared" si="136"/>
        <v>72779.91000000012</v>
      </c>
      <c r="AC231" s="451">
        <f t="shared" si="145"/>
        <v>171</v>
      </c>
      <c r="AD231" s="552">
        <f t="shared" si="146"/>
        <v>-71995.699999999983</v>
      </c>
      <c r="AE231" s="552">
        <f t="shared" si="116"/>
        <v>25463.900000000191</v>
      </c>
      <c r="AF231" s="552">
        <f t="shared" si="117"/>
        <v>-46531.799999999792</v>
      </c>
      <c r="AG231" s="552">
        <f t="shared" si="147"/>
        <v>3059.17</v>
      </c>
      <c r="AH231" s="552">
        <f t="shared" si="148"/>
        <v>116606.19</v>
      </c>
      <c r="AI231" s="552"/>
      <c r="AJ231" s="14">
        <f t="shared" si="125"/>
        <v>3059.17</v>
      </c>
      <c r="AK231" s="14">
        <f t="shared" si="126"/>
        <v>461106.83999999939</v>
      </c>
      <c r="AL231" s="552">
        <f>IF(R231&lt;=0,0,+([1]Profit!$B$4+AM230)*$AL$1/12)</f>
        <v>1605.0167534328468</v>
      </c>
      <c r="AM231" s="14">
        <f t="shared" si="149"/>
        <v>224711.71812657165</v>
      </c>
    </row>
    <row r="232" spans="1:39" x14ac:dyDescent="0.25">
      <c r="A232" s="542">
        <f t="shared" si="137"/>
        <v>50919</v>
      </c>
      <c r="B232" s="298">
        <f t="shared" si="138"/>
        <v>47316.009999999929</v>
      </c>
      <c r="C232" s="14">
        <f t="shared" si="128"/>
        <v>433.95</v>
      </c>
      <c r="D232" s="14">
        <f t="shared" si="150"/>
        <v>246.66</v>
      </c>
      <c r="E232" s="14">
        <f t="shared" si="129"/>
        <v>187.29</v>
      </c>
      <c r="F232" s="298">
        <f t="shared" si="139"/>
        <v>36448.439999999995</v>
      </c>
      <c r="G232" s="298">
        <f t="shared" si="140"/>
        <v>58481.949999999975</v>
      </c>
      <c r="H232" s="298">
        <f t="shared" si="130"/>
        <v>47069.349999999926</v>
      </c>
      <c r="I232" s="451">
        <f t="shared" si="131"/>
        <v>14</v>
      </c>
      <c r="J232" s="298">
        <f t="shared" si="141"/>
        <v>293568.74999999965</v>
      </c>
      <c r="K232" s="298">
        <f t="shared" si="119"/>
        <v>2701.27</v>
      </c>
      <c r="L232" s="298">
        <f t="shared" si="151"/>
        <v>805.31</v>
      </c>
      <c r="M232" s="298">
        <f t="shared" si="120"/>
        <v>1895.96</v>
      </c>
      <c r="N232" s="298">
        <f t="shared" si="142"/>
        <v>84291.560000000041</v>
      </c>
      <c r="O232" s="298">
        <f t="shared" si="143"/>
        <v>383028.15000000026</v>
      </c>
      <c r="P232" s="298">
        <f t="shared" si="132"/>
        <v>292763.43999999965</v>
      </c>
      <c r="Q232" s="542">
        <f t="shared" si="133"/>
        <v>50919</v>
      </c>
      <c r="R232" s="298">
        <f t="shared" si="118"/>
        <v>72779.91000000012</v>
      </c>
      <c r="S232" s="535">
        <f t="shared" si="144"/>
        <v>7.7499999999999999E-2</v>
      </c>
      <c r="T232" s="298">
        <f t="shared" si="134"/>
        <v>3493.12</v>
      </c>
      <c r="U232" s="298">
        <f t="shared" si="121"/>
        <v>3023.08</v>
      </c>
      <c r="V232" s="298">
        <f t="shared" si="135"/>
        <v>470.04</v>
      </c>
      <c r="W232" s="298">
        <f t="shared" si="152"/>
        <v>0</v>
      </c>
      <c r="X232" s="298">
        <f t="shared" si="152"/>
        <v>0</v>
      </c>
      <c r="Y232" s="298">
        <f t="shared" si="122"/>
        <v>3493.12</v>
      </c>
      <c r="Z232" s="298">
        <f t="shared" si="123"/>
        <v>307298.17</v>
      </c>
      <c r="AA232" s="298">
        <f t="shared" si="124"/>
        <v>232809.08999999988</v>
      </c>
      <c r="AB232" s="298">
        <f t="shared" si="136"/>
        <v>69756.830000000118</v>
      </c>
      <c r="AC232" s="451">
        <f t="shared" si="145"/>
        <v>172</v>
      </c>
      <c r="AD232" s="552">
        <f t="shared" si="146"/>
        <v>-72787.549999999988</v>
      </c>
      <c r="AE232" s="552">
        <f t="shared" si="116"/>
        <v>22687.480000000192</v>
      </c>
      <c r="AF232" s="552">
        <f t="shared" si="117"/>
        <v>-50100.069999999796</v>
      </c>
      <c r="AG232" s="552">
        <f t="shared" si="147"/>
        <v>3059.17</v>
      </c>
      <c r="AH232" s="552">
        <f t="shared" si="148"/>
        <v>113829.77000000002</v>
      </c>
      <c r="AI232" s="552"/>
      <c r="AJ232" s="14">
        <f t="shared" si="125"/>
        <v>3059.17</v>
      </c>
      <c r="AK232" s="14">
        <f t="shared" si="126"/>
        <v>464166.00999999937</v>
      </c>
      <c r="AL232" s="552">
        <f>IF(R232&lt;=0,0,+([1]Profit!$B$4+AM231)*$AL$1/12)</f>
        <v>1609.0292953164289</v>
      </c>
      <c r="AM232" s="14">
        <f t="shared" si="149"/>
        <v>226320.74742188808</v>
      </c>
    </row>
    <row r="233" spans="1:39" x14ac:dyDescent="0.25">
      <c r="A233" s="542">
        <f t="shared" si="137"/>
        <v>50949</v>
      </c>
      <c r="B233" s="298">
        <f t="shared" si="138"/>
        <v>47069.349999999926</v>
      </c>
      <c r="C233" s="14">
        <f t="shared" si="128"/>
        <v>433.95</v>
      </c>
      <c r="D233" s="14">
        <f t="shared" si="150"/>
        <v>247.63</v>
      </c>
      <c r="E233" s="14">
        <f t="shared" si="129"/>
        <v>186.32</v>
      </c>
      <c r="F233" s="298">
        <f t="shared" si="139"/>
        <v>36696.069999999992</v>
      </c>
      <c r="G233" s="298">
        <f t="shared" si="140"/>
        <v>58668.269999999975</v>
      </c>
      <c r="H233" s="298">
        <f t="shared" si="130"/>
        <v>46821.719999999928</v>
      </c>
      <c r="I233" s="451">
        <f t="shared" si="131"/>
        <v>14</v>
      </c>
      <c r="J233" s="298">
        <f t="shared" si="141"/>
        <v>292763.43999999965</v>
      </c>
      <c r="K233" s="298">
        <f t="shared" si="119"/>
        <v>2701.27</v>
      </c>
      <c r="L233" s="298">
        <f t="shared" si="151"/>
        <v>810.51</v>
      </c>
      <c r="M233" s="298">
        <f t="shared" si="120"/>
        <v>1890.76</v>
      </c>
      <c r="N233" s="298">
        <f t="shared" si="142"/>
        <v>85102.070000000036</v>
      </c>
      <c r="O233" s="298">
        <f t="shared" si="143"/>
        <v>384918.91000000027</v>
      </c>
      <c r="P233" s="298">
        <f t="shared" si="132"/>
        <v>291952.92999999964</v>
      </c>
      <c r="Q233" s="542">
        <f t="shared" si="133"/>
        <v>50949</v>
      </c>
      <c r="R233" s="298">
        <f t="shared" si="118"/>
        <v>69756.830000000118</v>
      </c>
      <c r="S233" s="535">
        <f t="shared" si="144"/>
        <v>7.7499999999999999E-2</v>
      </c>
      <c r="T233" s="298">
        <f t="shared" si="134"/>
        <v>3493.12</v>
      </c>
      <c r="U233" s="298">
        <f t="shared" si="121"/>
        <v>3042.6099999999997</v>
      </c>
      <c r="V233" s="298">
        <f t="shared" si="135"/>
        <v>450.51</v>
      </c>
      <c r="W233" s="298">
        <f t="shared" si="152"/>
        <v>0</v>
      </c>
      <c r="X233" s="298">
        <f t="shared" si="152"/>
        <v>0</v>
      </c>
      <c r="Y233" s="298">
        <f t="shared" si="122"/>
        <v>3493.12</v>
      </c>
      <c r="Z233" s="298">
        <f t="shared" si="123"/>
        <v>310340.77999999997</v>
      </c>
      <c r="AA233" s="298">
        <f t="shared" si="124"/>
        <v>233259.59999999989</v>
      </c>
      <c r="AB233" s="298">
        <f t="shared" si="136"/>
        <v>66714.220000000118</v>
      </c>
      <c r="AC233" s="451">
        <f t="shared" si="145"/>
        <v>173</v>
      </c>
      <c r="AD233" s="552">
        <f t="shared" si="146"/>
        <v>-73579.399999999994</v>
      </c>
      <c r="AE233" s="552">
        <f t="shared" si="116"/>
        <v>19892.500000000189</v>
      </c>
      <c r="AF233" s="552">
        <f t="shared" si="117"/>
        <v>-53686.899999999805</v>
      </c>
      <c r="AG233" s="552">
        <f t="shared" si="147"/>
        <v>3059.17</v>
      </c>
      <c r="AH233" s="552">
        <f t="shared" si="148"/>
        <v>111034.79000000004</v>
      </c>
      <c r="AI233" s="552"/>
      <c r="AJ233" s="14">
        <f t="shared" si="125"/>
        <v>3059.17</v>
      </c>
      <c r="AK233" s="14">
        <f t="shared" si="126"/>
        <v>467225.17999999935</v>
      </c>
      <c r="AL233" s="552">
        <f>IF(R233&lt;=0,0,+([1]Profit!$B$4+AM232)*$AL$1/12)</f>
        <v>1613.0518685547202</v>
      </c>
      <c r="AM233" s="14">
        <f t="shared" si="149"/>
        <v>227933.79929044281</v>
      </c>
    </row>
    <row r="234" spans="1:39" x14ac:dyDescent="0.25">
      <c r="A234" s="542">
        <f t="shared" si="137"/>
        <v>50979</v>
      </c>
      <c r="B234" s="298">
        <f t="shared" si="138"/>
        <v>46821.719999999928</v>
      </c>
      <c r="C234" s="14">
        <f t="shared" si="128"/>
        <v>433.95</v>
      </c>
      <c r="D234" s="14">
        <f t="shared" si="150"/>
        <v>248.60999999999999</v>
      </c>
      <c r="E234" s="14">
        <f t="shared" si="129"/>
        <v>185.34</v>
      </c>
      <c r="F234" s="298">
        <f t="shared" si="139"/>
        <v>36944.679999999993</v>
      </c>
      <c r="G234" s="298">
        <f t="shared" si="140"/>
        <v>58853.609999999971</v>
      </c>
      <c r="H234" s="298">
        <f t="shared" si="130"/>
        <v>46573.109999999928</v>
      </c>
      <c r="I234" s="451">
        <f t="shared" si="131"/>
        <v>14</v>
      </c>
      <c r="J234" s="298">
        <f t="shared" si="141"/>
        <v>291952.92999999964</v>
      </c>
      <c r="K234" s="298">
        <f t="shared" si="119"/>
        <v>2701.27</v>
      </c>
      <c r="L234" s="298">
        <f t="shared" si="151"/>
        <v>815.74</v>
      </c>
      <c r="M234" s="298">
        <f t="shared" si="120"/>
        <v>1885.53</v>
      </c>
      <c r="N234" s="298">
        <f t="shared" si="142"/>
        <v>85917.810000000041</v>
      </c>
      <c r="O234" s="298">
        <f t="shared" si="143"/>
        <v>386804.44000000029</v>
      </c>
      <c r="P234" s="298">
        <f t="shared" si="132"/>
        <v>291137.18999999965</v>
      </c>
      <c r="Q234" s="542">
        <f t="shared" si="133"/>
        <v>50979</v>
      </c>
      <c r="R234" s="298">
        <f t="shared" si="118"/>
        <v>66714.220000000118</v>
      </c>
      <c r="S234" s="535">
        <f t="shared" si="144"/>
        <v>7.7499999999999999E-2</v>
      </c>
      <c r="T234" s="298">
        <f t="shared" si="134"/>
        <v>3493.12</v>
      </c>
      <c r="U234" s="298">
        <f t="shared" si="121"/>
        <v>3062.2599999999998</v>
      </c>
      <c r="V234" s="298">
        <f t="shared" si="135"/>
        <v>430.86</v>
      </c>
      <c r="W234" s="298">
        <f t="shared" si="152"/>
        <v>0</v>
      </c>
      <c r="X234" s="298">
        <f t="shared" si="152"/>
        <v>0</v>
      </c>
      <c r="Y234" s="298">
        <f t="shared" si="122"/>
        <v>3493.12</v>
      </c>
      <c r="Z234" s="298">
        <f t="shared" si="123"/>
        <v>313403.03999999998</v>
      </c>
      <c r="AA234" s="298">
        <f t="shared" si="124"/>
        <v>233690.45999999988</v>
      </c>
      <c r="AB234" s="298">
        <f t="shared" si="136"/>
        <v>63651.960000000116</v>
      </c>
      <c r="AC234" s="451">
        <f t="shared" si="145"/>
        <v>174</v>
      </c>
      <c r="AD234" s="552">
        <f t="shared" si="146"/>
        <v>-74371.25</v>
      </c>
      <c r="AE234" s="552">
        <f t="shared" si="116"/>
        <v>17078.850000000188</v>
      </c>
      <c r="AF234" s="552">
        <f t="shared" si="117"/>
        <v>-57292.399999999812</v>
      </c>
      <c r="AG234" s="552">
        <f t="shared" si="147"/>
        <v>3059.17</v>
      </c>
      <c r="AH234" s="552">
        <f t="shared" si="148"/>
        <v>108221.14000000001</v>
      </c>
      <c r="AI234" s="552"/>
      <c r="AJ234" s="14">
        <f t="shared" si="125"/>
        <v>3059.17</v>
      </c>
      <c r="AK234" s="14">
        <f t="shared" si="126"/>
        <v>470284.34999999934</v>
      </c>
      <c r="AL234" s="552">
        <f>IF(R234&lt;=0,0,+([1]Profit!$B$4+AM233)*$AL$1/12)</f>
        <v>1617.0844982261069</v>
      </c>
      <c r="AM234" s="14">
        <f t="shared" si="149"/>
        <v>229550.88378866893</v>
      </c>
    </row>
    <row r="235" spans="1:39" x14ac:dyDescent="0.25">
      <c r="A235" s="542">
        <f t="shared" si="137"/>
        <v>51009</v>
      </c>
      <c r="B235" s="298">
        <f t="shared" si="138"/>
        <v>46573.109999999928</v>
      </c>
      <c r="C235" s="14">
        <f t="shared" si="128"/>
        <v>433.95</v>
      </c>
      <c r="D235" s="14">
        <f t="shared" si="150"/>
        <v>249.6</v>
      </c>
      <c r="E235" s="14">
        <f t="shared" si="129"/>
        <v>184.35</v>
      </c>
      <c r="F235" s="298">
        <f t="shared" si="139"/>
        <v>37194.279999999992</v>
      </c>
      <c r="G235" s="298">
        <f t="shared" si="140"/>
        <v>59037.95999999997</v>
      </c>
      <c r="H235" s="298">
        <f t="shared" si="130"/>
        <v>46323.509999999929</v>
      </c>
      <c r="I235" s="451">
        <f t="shared" si="131"/>
        <v>14</v>
      </c>
      <c r="J235" s="298">
        <f t="shared" si="141"/>
        <v>291137.18999999965</v>
      </c>
      <c r="K235" s="298">
        <f t="shared" si="119"/>
        <v>2701.27</v>
      </c>
      <c r="L235" s="298">
        <f t="shared" si="151"/>
        <v>821.01</v>
      </c>
      <c r="M235" s="298">
        <f t="shared" si="120"/>
        <v>1880.26</v>
      </c>
      <c r="N235" s="298">
        <f t="shared" si="142"/>
        <v>86738.820000000036</v>
      </c>
      <c r="O235" s="298">
        <f t="shared" si="143"/>
        <v>388684.7000000003</v>
      </c>
      <c r="P235" s="298">
        <f t="shared" si="132"/>
        <v>290316.17999999964</v>
      </c>
      <c r="Q235" s="542">
        <f t="shared" si="133"/>
        <v>51009</v>
      </c>
      <c r="R235" s="298">
        <f t="shared" si="118"/>
        <v>63651.960000000116</v>
      </c>
      <c r="S235" s="535">
        <f t="shared" si="144"/>
        <v>7.7499999999999999E-2</v>
      </c>
      <c r="T235" s="298">
        <f t="shared" si="134"/>
        <v>3493.12</v>
      </c>
      <c r="U235" s="298">
        <f t="shared" si="121"/>
        <v>3082.0299999999997</v>
      </c>
      <c r="V235" s="298">
        <f t="shared" si="135"/>
        <v>411.09</v>
      </c>
      <c r="W235" s="298">
        <f t="shared" si="152"/>
        <v>0</v>
      </c>
      <c r="X235" s="298">
        <f t="shared" si="152"/>
        <v>0</v>
      </c>
      <c r="Y235" s="298">
        <f t="shared" si="122"/>
        <v>3493.12</v>
      </c>
      <c r="Z235" s="298">
        <f t="shared" si="123"/>
        <v>316485.07</v>
      </c>
      <c r="AA235" s="298">
        <f t="shared" si="124"/>
        <v>234101.54999999987</v>
      </c>
      <c r="AB235" s="298">
        <f t="shared" si="136"/>
        <v>60569.930000000117</v>
      </c>
      <c r="AC235" s="451">
        <f t="shared" si="145"/>
        <v>175</v>
      </c>
      <c r="AD235" s="552">
        <f t="shared" si="146"/>
        <v>-75163.100000000006</v>
      </c>
      <c r="AE235" s="552">
        <f t="shared" si="116"/>
        <v>14246.420000000187</v>
      </c>
      <c r="AF235" s="552">
        <f t="shared" si="117"/>
        <v>-60916.679999999818</v>
      </c>
      <c r="AG235" s="552">
        <f t="shared" si="147"/>
        <v>3059.17</v>
      </c>
      <c r="AH235" s="552">
        <f t="shared" si="148"/>
        <v>105388.70999999996</v>
      </c>
      <c r="AI235" s="552"/>
      <c r="AJ235" s="14">
        <f t="shared" si="125"/>
        <v>3059.17</v>
      </c>
      <c r="AK235" s="14">
        <f t="shared" si="126"/>
        <v>473343.51999999932</v>
      </c>
      <c r="AL235" s="552">
        <f>IF(R235&lt;=0,0,+([1]Profit!$B$4+AM234)*$AL$1/12)</f>
        <v>1621.1272094716721</v>
      </c>
      <c r="AM235" s="14">
        <f t="shared" si="149"/>
        <v>231172.01099814061</v>
      </c>
    </row>
    <row r="236" spans="1:39" x14ac:dyDescent="0.25">
      <c r="A236" s="542">
        <f t="shared" si="137"/>
        <v>51039</v>
      </c>
      <c r="B236" s="298">
        <f t="shared" si="138"/>
        <v>46323.509999999929</v>
      </c>
      <c r="C236" s="14">
        <f t="shared" si="128"/>
        <v>433.95</v>
      </c>
      <c r="D236" s="14">
        <f t="shared" si="150"/>
        <v>250.58999999999997</v>
      </c>
      <c r="E236" s="14">
        <f t="shared" si="129"/>
        <v>183.36</v>
      </c>
      <c r="F236" s="298">
        <f t="shared" si="139"/>
        <v>37444.869999999988</v>
      </c>
      <c r="G236" s="298">
        <f t="shared" si="140"/>
        <v>59221.319999999971</v>
      </c>
      <c r="H236" s="298">
        <f t="shared" si="130"/>
        <v>46072.919999999933</v>
      </c>
      <c r="I236" s="451">
        <f t="shared" si="131"/>
        <v>14</v>
      </c>
      <c r="J236" s="298">
        <f t="shared" si="141"/>
        <v>290316.17999999964</v>
      </c>
      <c r="K236" s="298">
        <f t="shared" si="119"/>
        <v>2701.27</v>
      </c>
      <c r="L236" s="298">
        <f t="shared" si="151"/>
        <v>826.31</v>
      </c>
      <c r="M236" s="298">
        <f t="shared" si="120"/>
        <v>1874.96</v>
      </c>
      <c r="N236" s="298">
        <f t="shared" si="142"/>
        <v>87565.130000000034</v>
      </c>
      <c r="O236" s="298">
        <f t="shared" si="143"/>
        <v>390559.66000000032</v>
      </c>
      <c r="P236" s="298">
        <f t="shared" si="132"/>
        <v>289489.86999999965</v>
      </c>
      <c r="Q236" s="542">
        <f t="shared" si="133"/>
        <v>51039</v>
      </c>
      <c r="R236" s="298">
        <f t="shared" si="118"/>
        <v>60569.930000000117</v>
      </c>
      <c r="S236" s="535">
        <f t="shared" si="144"/>
        <v>7.7499999999999999E-2</v>
      </c>
      <c r="T236" s="298">
        <f t="shared" si="134"/>
        <v>3493.12</v>
      </c>
      <c r="U236" s="298">
        <f t="shared" si="121"/>
        <v>3101.94</v>
      </c>
      <c r="V236" s="298">
        <f t="shared" si="135"/>
        <v>391.18</v>
      </c>
      <c r="W236" s="298">
        <f t="shared" ref="W236:X251" si="153">+W235</f>
        <v>0</v>
      </c>
      <c r="X236" s="298">
        <f t="shared" si="153"/>
        <v>0</v>
      </c>
      <c r="Y236" s="298">
        <f t="shared" si="122"/>
        <v>3493.12</v>
      </c>
      <c r="Z236" s="298">
        <f t="shared" si="123"/>
        <v>319587.01</v>
      </c>
      <c r="AA236" s="298">
        <f t="shared" si="124"/>
        <v>234492.72999999986</v>
      </c>
      <c r="AB236" s="298">
        <f t="shared" si="136"/>
        <v>57467.990000000114</v>
      </c>
      <c r="AC236" s="451">
        <f t="shared" si="145"/>
        <v>176</v>
      </c>
      <c r="AD236" s="552">
        <f t="shared" si="146"/>
        <v>-75954.950000000012</v>
      </c>
      <c r="AE236" s="552">
        <f t="shared" si="116"/>
        <v>11395.070000000182</v>
      </c>
      <c r="AF236" s="552">
        <f t="shared" si="117"/>
        <v>-64559.87999999983</v>
      </c>
      <c r="AG236" s="552">
        <f t="shared" si="147"/>
        <v>3059.17</v>
      </c>
      <c r="AH236" s="552">
        <f t="shared" si="148"/>
        <v>102537.35999999999</v>
      </c>
      <c r="AI236" s="552"/>
      <c r="AJ236" s="14">
        <f t="shared" si="125"/>
        <v>3059.17</v>
      </c>
      <c r="AK236" s="14">
        <f t="shared" si="126"/>
        <v>476402.6899999993</v>
      </c>
      <c r="AL236" s="552">
        <f>IF(R236&lt;=0,0,+([1]Profit!$B$4+AM235)*$AL$1/12)</f>
        <v>1625.1800274953514</v>
      </c>
      <c r="AM236" s="14">
        <f t="shared" si="149"/>
        <v>232797.19102563596</v>
      </c>
    </row>
    <row r="237" spans="1:39" x14ac:dyDescent="0.25">
      <c r="A237" s="542">
        <f t="shared" si="137"/>
        <v>51069</v>
      </c>
      <c r="B237" s="298">
        <f t="shared" si="138"/>
        <v>46072.919999999933</v>
      </c>
      <c r="C237" s="14">
        <f t="shared" si="128"/>
        <v>433.95</v>
      </c>
      <c r="D237" s="14">
        <f t="shared" si="150"/>
        <v>251.57999999999998</v>
      </c>
      <c r="E237" s="14">
        <f t="shared" si="129"/>
        <v>182.37</v>
      </c>
      <c r="F237" s="298">
        <f t="shared" si="139"/>
        <v>37696.44999999999</v>
      </c>
      <c r="G237" s="298">
        <f t="shared" si="140"/>
        <v>59403.689999999973</v>
      </c>
      <c r="H237" s="298">
        <f t="shared" si="130"/>
        <v>45821.339999999931</v>
      </c>
      <c r="I237" s="451">
        <f t="shared" si="131"/>
        <v>14</v>
      </c>
      <c r="J237" s="298">
        <f t="shared" si="141"/>
        <v>289489.86999999965</v>
      </c>
      <c r="K237" s="298">
        <f t="shared" si="119"/>
        <v>2701.27</v>
      </c>
      <c r="L237" s="298">
        <f t="shared" si="151"/>
        <v>831.65000000000009</v>
      </c>
      <c r="M237" s="298">
        <f t="shared" si="120"/>
        <v>1869.62</v>
      </c>
      <c r="N237" s="298">
        <f t="shared" si="142"/>
        <v>88396.780000000028</v>
      </c>
      <c r="O237" s="298">
        <f t="shared" si="143"/>
        <v>392429.28000000032</v>
      </c>
      <c r="P237" s="298">
        <f t="shared" si="132"/>
        <v>288658.21999999962</v>
      </c>
      <c r="Q237" s="542">
        <f t="shared" si="133"/>
        <v>51069</v>
      </c>
      <c r="R237" s="298">
        <f t="shared" si="118"/>
        <v>57467.990000000114</v>
      </c>
      <c r="S237" s="535">
        <f t="shared" si="144"/>
        <v>7.7499999999999999E-2</v>
      </c>
      <c r="T237" s="298">
        <f t="shared" si="134"/>
        <v>3493.12</v>
      </c>
      <c r="U237" s="298">
        <f t="shared" si="121"/>
        <v>3121.97</v>
      </c>
      <c r="V237" s="298">
        <f t="shared" si="135"/>
        <v>371.15</v>
      </c>
      <c r="W237" s="298">
        <f t="shared" si="153"/>
        <v>0</v>
      </c>
      <c r="X237" s="298">
        <f t="shared" si="153"/>
        <v>0</v>
      </c>
      <c r="Y237" s="298">
        <f t="shared" si="122"/>
        <v>3493.12</v>
      </c>
      <c r="Z237" s="298">
        <f t="shared" si="123"/>
        <v>322708.98</v>
      </c>
      <c r="AA237" s="298">
        <f t="shared" si="124"/>
        <v>234863.87999999986</v>
      </c>
      <c r="AB237" s="298">
        <f t="shared" si="136"/>
        <v>54346.020000000113</v>
      </c>
      <c r="AC237" s="451">
        <f t="shared" si="145"/>
        <v>177</v>
      </c>
      <c r="AD237" s="552">
        <f t="shared" si="146"/>
        <v>-76746.800000000017</v>
      </c>
      <c r="AE237" s="552">
        <f t="shared" si="116"/>
        <v>8524.6800000001822</v>
      </c>
      <c r="AF237" s="552">
        <f t="shared" si="117"/>
        <v>-68222.119999999835</v>
      </c>
      <c r="AG237" s="552">
        <f t="shared" si="147"/>
        <v>3059.17</v>
      </c>
      <c r="AH237" s="552">
        <f t="shared" si="148"/>
        <v>99666.97000000003</v>
      </c>
      <c r="AI237" s="552"/>
      <c r="AJ237" s="14">
        <f t="shared" si="125"/>
        <v>3059.17</v>
      </c>
      <c r="AK237" s="14">
        <f t="shared" si="126"/>
        <v>479461.85999999929</v>
      </c>
      <c r="AL237" s="552">
        <f>IF(R237&lt;=0,0,+([1]Profit!$B$4+AM236)*$AL$1/12)</f>
        <v>1629.2429775640896</v>
      </c>
      <c r="AM237" s="14">
        <f t="shared" si="149"/>
        <v>234426.43400320003</v>
      </c>
    </row>
    <row r="238" spans="1:39" x14ac:dyDescent="0.25">
      <c r="A238" s="542">
        <f t="shared" si="137"/>
        <v>51099</v>
      </c>
      <c r="B238" s="298">
        <f t="shared" si="138"/>
        <v>45821.339999999931</v>
      </c>
      <c r="C238" s="14">
        <f t="shared" si="128"/>
        <v>433.95</v>
      </c>
      <c r="D238" s="14">
        <f t="shared" si="150"/>
        <v>252.57</v>
      </c>
      <c r="E238" s="14">
        <f t="shared" si="129"/>
        <v>181.38</v>
      </c>
      <c r="F238" s="298">
        <f t="shared" si="139"/>
        <v>37949.01999999999</v>
      </c>
      <c r="G238" s="298">
        <f t="shared" si="140"/>
        <v>59585.069999999971</v>
      </c>
      <c r="H238" s="298">
        <f t="shared" si="130"/>
        <v>45568.769999999931</v>
      </c>
      <c r="I238" s="451">
        <f t="shared" si="131"/>
        <v>14</v>
      </c>
      <c r="J238" s="298">
        <f t="shared" si="141"/>
        <v>288658.21999999962</v>
      </c>
      <c r="K238" s="298">
        <f t="shared" si="119"/>
        <v>2701.27</v>
      </c>
      <c r="L238" s="298">
        <f t="shared" si="151"/>
        <v>837.02</v>
      </c>
      <c r="M238" s="298">
        <f t="shared" si="120"/>
        <v>1864.25</v>
      </c>
      <c r="N238" s="298">
        <f t="shared" si="142"/>
        <v>89233.800000000032</v>
      </c>
      <c r="O238" s="298">
        <f t="shared" si="143"/>
        <v>394293.53000000032</v>
      </c>
      <c r="P238" s="298">
        <f t="shared" si="132"/>
        <v>287821.1999999996</v>
      </c>
      <c r="Q238" s="542">
        <f t="shared" si="133"/>
        <v>51099</v>
      </c>
      <c r="R238" s="298">
        <f t="shared" si="118"/>
        <v>54346.020000000113</v>
      </c>
      <c r="S238" s="535">
        <f t="shared" si="144"/>
        <v>7.7499999999999999E-2</v>
      </c>
      <c r="T238" s="298">
        <f t="shared" si="134"/>
        <v>3493.12</v>
      </c>
      <c r="U238" s="298">
        <f t="shared" si="121"/>
        <v>3142.14</v>
      </c>
      <c r="V238" s="298">
        <f t="shared" si="135"/>
        <v>350.98</v>
      </c>
      <c r="W238" s="298">
        <f t="shared" si="153"/>
        <v>0</v>
      </c>
      <c r="X238" s="298">
        <f t="shared" si="153"/>
        <v>0</v>
      </c>
      <c r="Y238" s="298">
        <f t="shared" si="122"/>
        <v>3493.12</v>
      </c>
      <c r="Z238" s="298">
        <f t="shared" si="123"/>
        <v>325851.12</v>
      </c>
      <c r="AA238" s="298">
        <f t="shared" si="124"/>
        <v>235214.85999999987</v>
      </c>
      <c r="AB238" s="298">
        <f t="shared" si="136"/>
        <v>51203.880000000114</v>
      </c>
      <c r="AC238" s="451">
        <f t="shared" si="145"/>
        <v>178</v>
      </c>
      <c r="AD238" s="552">
        <f t="shared" si="146"/>
        <v>-77538.650000000023</v>
      </c>
      <c r="AE238" s="552">
        <f t="shared" si="116"/>
        <v>5635.1100000001825</v>
      </c>
      <c r="AF238" s="552">
        <f t="shared" si="117"/>
        <v>-71903.539999999834</v>
      </c>
      <c r="AG238" s="552">
        <f t="shared" si="147"/>
        <v>3059.17</v>
      </c>
      <c r="AH238" s="552">
        <f t="shared" si="148"/>
        <v>96777.400000000023</v>
      </c>
      <c r="AI238" s="552"/>
      <c r="AJ238" s="14">
        <f t="shared" si="125"/>
        <v>3059.17</v>
      </c>
      <c r="AK238" s="14">
        <f t="shared" si="126"/>
        <v>482521.02999999927</v>
      </c>
      <c r="AL238" s="552">
        <f>IF(R238&lt;=0,0,+([1]Profit!$B$4+AM237)*$AL$1/12)</f>
        <v>1633.3160850080001</v>
      </c>
      <c r="AM238" s="14">
        <f t="shared" si="149"/>
        <v>236059.75008820803</v>
      </c>
    </row>
    <row r="239" spans="1:39" x14ac:dyDescent="0.25">
      <c r="A239" s="542">
        <f t="shared" si="137"/>
        <v>51129</v>
      </c>
      <c r="B239" s="298">
        <f t="shared" si="138"/>
        <v>45568.769999999931</v>
      </c>
      <c r="C239" s="14">
        <f t="shared" si="128"/>
        <v>433.95</v>
      </c>
      <c r="D239" s="14">
        <f t="shared" si="150"/>
        <v>253.57</v>
      </c>
      <c r="E239" s="14">
        <f t="shared" si="129"/>
        <v>180.38</v>
      </c>
      <c r="F239" s="298">
        <f t="shared" si="139"/>
        <v>38202.589999999989</v>
      </c>
      <c r="G239" s="298">
        <f t="shared" si="140"/>
        <v>59765.449999999968</v>
      </c>
      <c r="H239" s="298">
        <f t="shared" si="130"/>
        <v>45315.199999999932</v>
      </c>
      <c r="I239" s="451">
        <f t="shared" si="131"/>
        <v>14</v>
      </c>
      <c r="J239" s="298">
        <f t="shared" si="141"/>
        <v>287821.1999999996</v>
      </c>
      <c r="K239" s="298">
        <f t="shared" si="119"/>
        <v>2701.27</v>
      </c>
      <c r="L239" s="298">
        <f t="shared" si="151"/>
        <v>842.42000000000007</v>
      </c>
      <c r="M239" s="298">
        <f t="shared" si="120"/>
        <v>1858.85</v>
      </c>
      <c r="N239" s="298">
        <f t="shared" si="142"/>
        <v>90076.22000000003</v>
      </c>
      <c r="O239" s="298">
        <f t="shared" si="143"/>
        <v>396152.3800000003</v>
      </c>
      <c r="P239" s="298">
        <f t="shared" si="132"/>
        <v>286978.77999999962</v>
      </c>
      <c r="Q239" s="542">
        <f t="shared" si="133"/>
        <v>51129</v>
      </c>
      <c r="R239" s="298">
        <f t="shared" si="118"/>
        <v>51203.880000000114</v>
      </c>
      <c r="S239" s="535">
        <f t="shared" si="144"/>
        <v>7.7499999999999999E-2</v>
      </c>
      <c r="T239" s="298">
        <f t="shared" si="134"/>
        <v>3493.12</v>
      </c>
      <c r="U239" s="298">
        <f t="shared" si="121"/>
        <v>3162.43</v>
      </c>
      <c r="V239" s="298">
        <f t="shared" si="135"/>
        <v>330.69</v>
      </c>
      <c r="W239" s="298">
        <f t="shared" si="153"/>
        <v>0</v>
      </c>
      <c r="X239" s="298">
        <f t="shared" si="153"/>
        <v>0</v>
      </c>
      <c r="Y239" s="298">
        <f t="shared" si="122"/>
        <v>3493.12</v>
      </c>
      <c r="Z239" s="298">
        <f t="shared" si="123"/>
        <v>329013.55</v>
      </c>
      <c r="AA239" s="298">
        <f t="shared" si="124"/>
        <v>235545.54999999987</v>
      </c>
      <c r="AB239" s="298">
        <f t="shared" si="136"/>
        <v>48041.450000000114</v>
      </c>
      <c r="AC239" s="451">
        <f t="shared" si="145"/>
        <v>179</v>
      </c>
      <c r="AD239" s="552">
        <f t="shared" si="146"/>
        <v>-78330.500000000029</v>
      </c>
      <c r="AE239" s="552">
        <f t="shared" si="116"/>
        <v>2726.2500000001819</v>
      </c>
      <c r="AF239" s="552">
        <f t="shared" si="117"/>
        <v>-75604.249999999854</v>
      </c>
      <c r="AG239" s="552">
        <f t="shared" si="147"/>
        <v>3059.17</v>
      </c>
      <c r="AH239" s="552">
        <f t="shared" si="148"/>
        <v>93868.539999999979</v>
      </c>
      <c r="AI239" s="552"/>
      <c r="AJ239" s="14">
        <f t="shared" si="125"/>
        <v>3059.17</v>
      </c>
      <c r="AK239" s="14">
        <f t="shared" si="126"/>
        <v>485580.19999999925</v>
      </c>
      <c r="AL239" s="552">
        <f>IF(R239&lt;=0,0,+([1]Profit!$B$4+AM238)*$AL$1/12)</f>
        <v>1637.3993752205199</v>
      </c>
      <c r="AM239" s="14">
        <f t="shared" si="149"/>
        <v>237697.14946342856</v>
      </c>
    </row>
    <row r="240" spans="1:39" x14ac:dyDescent="0.25">
      <c r="A240" s="542">
        <f t="shared" si="137"/>
        <v>51159</v>
      </c>
      <c r="B240" s="298">
        <f t="shared" si="138"/>
        <v>45315.199999999932</v>
      </c>
      <c r="C240" s="14">
        <f t="shared" si="128"/>
        <v>433.95</v>
      </c>
      <c r="D240" s="14">
        <f t="shared" si="150"/>
        <v>254.57999999999998</v>
      </c>
      <c r="E240" s="14">
        <f t="shared" si="129"/>
        <v>179.37</v>
      </c>
      <c r="F240" s="298">
        <f t="shared" si="139"/>
        <v>38457.169999999991</v>
      </c>
      <c r="G240" s="298">
        <f t="shared" si="140"/>
        <v>59944.819999999971</v>
      </c>
      <c r="H240" s="298">
        <f t="shared" si="130"/>
        <v>45060.61999999993</v>
      </c>
      <c r="I240" s="451">
        <f t="shared" si="131"/>
        <v>15</v>
      </c>
      <c r="J240" s="298">
        <f t="shared" si="141"/>
        <v>286978.77999999962</v>
      </c>
      <c r="K240" s="298">
        <f t="shared" si="119"/>
        <v>2701.27</v>
      </c>
      <c r="L240" s="298">
        <f t="shared" si="151"/>
        <v>847.86999999999989</v>
      </c>
      <c r="M240" s="298">
        <f t="shared" si="120"/>
        <v>1853.4</v>
      </c>
      <c r="N240" s="298">
        <f t="shared" si="142"/>
        <v>90924.090000000026</v>
      </c>
      <c r="O240" s="298">
        <f t="shared" si="143"/>
        <v>398005.78000000032</v>
      </c>
      <c r="P240" s="298">
        <f t="shared" si="132"/>
        <v>286130.90999999963</v>
      </c>
      <c r="Q240" s="542">
        <f t="shared" si="133"/>
        <v>51159</v>
      </c>
      <c r="R240" s="298">
        <f t="shared" si="118"/>
        <v>48041.450000000114</v>
      </c>
      <c r="S240" s="535">
        <f t="shared" si="144"/>
        <v>7.7499999999999999E-2</v>
      </c>
      <c r="T240" s="298">
        <f t="shared" si="134"/>
        <v>3493.12</v>
      </c>
      <c r="U240" s="298">
        <f t="shared" si="121"/>
        <v>3182.85</v>
      </c>
      <c r="V240" s="298">
        <f t="shared" si="135"/>
        <v>310.27</v>
      </c>
      <c r="W240" s="298">
        <f t="shared" si="153"/>
        <v>0</v>
      </c>
      <c r="X240" s="298">
        <f t="shared" si="153"/>
        <v>0</v>
      </c>
      <c r="Y240" s="298">
        <f t="shared" si="122"/>
        <v>3493.12</v>
      </c>
      <c r="Z240" s="298">
        <f t="shared" si="123"/>
        <v>332196.39999999997</v>
      </c>
      <c r="AA240" s="298">
        <f t="shared" si="124"/>
        <v>235855.81999999986</v>
      </c>
      <c r="AB240" s="298">
        <f t="shared" si="136"/>
        <v>44858.600000000115</v>
      </c>
      <c r="AC240" s="451">
        <f t="shared" si="145"/>
        <v>180</v>
      </c>
      <c r="AD240" s="552">
        <f t="shared" si="146"/>
        <v>-79122.350000000035</v>
      </c>
      <c r="AE240" s="552">
        <f t="shared" si="116"/>
        <v>-202.0199999998149</v>
      </c>
      <c r="AF240" s="552">
        <f t="shared" si="117"/>
        <v>-79324.36999999985</v>
      </c>
      <c r="AG240" s="552">
        <f t="shared" si="147"/>
        <v>3059.17</v>
      </c>
      <c r="AH240" s="552">
        <f t="shared" si="148"/>
        <v>90940.270000000019</v>
      </c>
      <c r="AI240" s="552"/>
      <c r="AJ240" s="14">
        <f t="shared" si="125"/>
        <v>3059.17</v>
      </c>
      <c r="AK240" s="14">
        <f t="shared" si="126"/>
        <v>488639.36999999924</v>
      </c>
      <c r="AL240" s="552">
        <f>IF(R240&lt;=0,0,+([1]Profit!$B$4+AM239)*$AL$1/12)</f>
        <v>1641.4928736585714</v>
      </c>
      <c r="AM240" s="14">
        <f t="shared" si="149"/>
        <v>239338.64233708713</v>
      </c>
    </row>
    <row r="241" spans="1:39" x14ac:dyDescent="0.25">
      <c r="A241" s="542">
        <f t="shared" si="137"/>
        <v>51189</v>
      </c>
      <c r="B241" s="298">
        <f t="shared" si="138"/>
        <v>45060.61999999993</v>
      </c>
      <c r="C241" s="14">
        <f t="shared" si="128"/>
        <v>433.95</v>
      </c>
      <c r="D241" s="14">
        <f t="shared" si="150"/>
        <v>255.58999999999997</v>
      </c>
      <c r="E241" s="14">
        <f t="shared" si="129"/>
        <v>178.36</v>
      </c>
      <c r="F241" s="298">
        <f t="shared" si="139"/>
        <v>38712.759999999987</v>
      </c>
      <c r="G241" s="298">
        <f t="shared" si="140"/>
        <v>60123.179999999971</v>
      </c>
      <c r="H241" s="298">
        <f t="shared" si="130"/>
        <v>44805.029999999933</v>
      </c>
      <c r="I241" s="451">
        <f t="shared" si="131"/>
        <v>15</v>
      </c>
      <c r="J241" s="298">
        <f t="shared" si="141"/>
        <v>286130.90999999963</v>
      </c>
      <c r="K241" s="298">
        <f t="shared" si="119"/>
        <v>2701.27</v>
      </c>
      <c r="L241" s="298">
        <f t="shared" si="151"/>
        <v>853.33999999999992</v>
      </c>
      <c r="M241" s="298">
        <f t="shared" si="120"/>
        <v>1847.93</v>
      </c>
      <c r="N241" s="298">
        <f t="shared" si="142"/>
        <v>91777.430000000022</v>
      </c>
      <c r="O241" s="298">
        <f t="shared" si="143"/>
        <v>399853.71000000031</v>
      </c>
      <c r="P241" s="298">
        <f t="shared" si="132"/>
        <v>285277.5699999996</v>
      </c>
      <c r="Q241" s="542">
        <f t="shared" si="133"/>
        <v>51189</v>
      </c>
      <c r="R241" s="298">
        <f t="shared" si="118"/>
        <v>44858.600000000115</v>
      </c>
      <c r="S241" s="535">
        <f t="shared" si="144"/>
        <v>7.7499999999999999E-2</v>
      </c>
      <c r="T241" s="298">
        <f t="shared" si="134"/>
        <v>3493.12</v>
      </c>
      <c r="U241" s="298">
        <f t="shared" si="121"/>
        <v>3203.41</v>
      </c>
      <c r="V241" s="298">
        <f t="shared" si="135"/>
        <v>289.70999999999998</v>
      </c>
      <c r="W241" s="298">
        <f t="shared" si="153"/>
        <v>0</v>
      </c>
      <c r="X241" s="298">
        <f t="shared" si="153"/>
        <v>0</v>
      </c>
      <c r="Y241" s="298">
        <f t="shared" si="122"/>
        <v>3493.12</v>
      </c>
      <c r="Z241" s="298">
        <f t="shared" si="123"/>
        <v>335399.80999999994</v>
      </c>
      <c r="AA241" s="298">
        <f t="shared" si="124"/>
        <v>236145.52999999985</v>
      </c>
      <c r="AB241" s="298">
        <f t="shared" si="136"/>
        <v>41655.190000000119</v>
      </c>
      <c r="AC241" s="451">
        <f t="shared" si="145"/>
        <v>181</v>
      </c>
      <c r="AD241" s="552">
        <f t="shared" si="146"/>
        <v>-79914.200000000041</v>
      </c>
      <c r="AE241" s="552">
        <f t="shared" si="116"/>
        <v>-3149.8399999998146</v>
      </c>
      <c r="AF241" s="552">
        <f t="shared" si="117"/>
        <v>-83064.039999999863</v>
      </c>
      <c r="AG241" s="552">
        <f t="shared" si="147"/>
        <v>3059.17</v>
      </c>
      <c r="AH241" s="552">
        <f t="shared" si="148"/>
        <v>87992.45000000007</v>
      </c>
      <c r="AI241" s="552"/>
      <c r="AJ241" s="14">
        <f t="shared" si="125"/>
        <v>3059.17</v>
      </c>
      <c r="AK241" s="14">
        <f t="shared" si="126"/>
        <v>491698.53999999922</v>
      </c>
      <c r="AL241" s="552">
        <f>IF(R241&lt;=0,0,+([1]Profit!$B$4+AM240)*$AL$1/12)</f>
        <v>1645.5966058427175</v>
      </c>
      <c r="AM241" s="14">
        <f t="shared" si="149"/>
        <v>240984.23894292986</v>
      </c>
    </row>
    <row r="242" spans="1:39" ht="15.75" thickBot="1" x14ac:dyDescent="0.3">
      <c r="A242" s="545">
        <f t="shared" si="137"/>
        <v>51219</v>
      </c>
      <c r="B242" s="371">
        <f t="shared" si="138"/>
        <v>44805.029999999933</v>
      </c>
      <c r="C242" s="21">
        <f t="shared" si="128"/>
        <v>433.95</v>
      </c>
      <c r="D242" s="21">
        <f t="shared" si="150"/>
        <v>256.60000000000002</v>
      </c>
      <c r="E242" s="21">
        <f t="shared" si="129"/>
        <v>177.35</v>
      </c>
      <c r="F242" s="371">
        <f t="shared" si="139"/>
        <v>38969.359999999986</v>
      </c>
      <c r="G242" s="371">
        <f t="shared" si="140"/>
        <v>60300.52999999997</v>
      </c>
      <c r="H242" s="371">
        <f t="shared" si="130"/>
        <v>44548.429999999935</v>
      </c>
      <c r="I242" s="452">
        <f t="shared" si="131"/>
        <v>15</v>
      </c>
      <c r="J242" s="371">
        <f t="shared" si="141"/>
        <v>285277.5699999996</v>
      </c>
      <c r="K242" s="371">
        <f t="shared" si="119"/>
        <v>2701.27</v>
      </c>
      <c r="L242" s="371">
        <f t="shared" si="151"/>
        <v>858.84999999999991</v>
      </c>
      <c r="M242" s="371">
        <f t="shared" si="120"/>
        <v>1842.42</v>
      </c>
      <c r="N242" s="371">
        <f t="shared" si="142"/>
        <v>92636.280000000028</v>
      </c>
      <c r="O242" s="371">
        <f t="shared" si="143"/>
        <v>401696.1300000003</v>
      </c>
      <c r="P242" s="371">
        <f t="shared" si="132"/>
        <v>284418.71999999962</v>
      </c>
      <c r="Q242" s="545">
        <f t="shared" si="133"/>
        <v>51219</v>
      </c>
      <c r="R242" s="371">
        <f t="shared" si="118"/>
        <v>41655.190000000119</v>
      </c>
      <c r="S242" s="536">
        <f t="shared" si="144"/>
        <v>7.7499999999999999E-2</v>
      </c>
      <c r="T242" s="371">
        <f t="shared" si="134"/>
        <v>3493.12</v>
      </c>
      <c r="U242" s="371">
        <f t="shared" si="121"/>
        <v>3224.1</v>
      </c>
      <c r="V242" s="371">
        <f t="shared" si="135"/>
        <v>269.02</v>
      </c>
      <c r="W242" s="371">
        <f t="shared" si="153"/>
        <v>0</v>
      </c>
      <c r="X242" s="371">
        <f t="shared" si="153"/>
        <v>0</v>
      </c>
      <c r="Y242" s="371">
        <f t="shared" si="122"/>
        <v>3493.12</v>
      </c>
      <c r="Z242" s="371">
        <f t="shared" si="123"/>
        <v>338623.90999999992</v>
      </c>
      <c r="AA242" s="371">
        <f t="shared" si="124"/>
        <v>236414.54999999984</v>
      </c>
      <c r="AB242" s="371">
        <f t="shared" si="136"/>
        <v>38431.09000000012</v>
      </c>
      <c r="AC242" s="452">
        <f t="shared" si="145"/>
        <v>182</v>
      </c>
      <c r="AD242" s="553">
        <f t="shared" si="146"/>
        <v>-80706.050000000047</v>
      </c>
      <c r="AE242" s="553">
        <f t="shared" si="116"/>
        <v>-6117.3399999998146</v>
      </c>
      <c r="AF242" s="553">
        <f t="shared" si="117"/>
        <v>-86823.389999999868</v>
      </c>
      <c r="AG242" s="553">
        <f t="shared" si="147"/>
        <v>3059.17</v>
      </c>
      <c r="AH242" s="553">
        <f t="shared" si="148"/>
        <v>85024.95000000007</v>
      </c>
      <c r="AI242" s="553"/>
      <c r="AJ242" s="21">
        <f t="shared" si="125"/>
        <v>3059.17</v>
      </c>
      <c r="AK242" s="21">
        <f t="shared" si="126"/>
        <v>494757.70999999921</v>
      </c>
      <c r="AL242" s="553">
        <f>IF(R242&lt;=0,0,+([1]Profit!$B$4+AM241)*$AL$1/12)</f>
        <v>1649.7105973573246</v>
      </c>
      <c r="AM242" s="21">
        <f t="shared" si="149"/>
        <v>242633.9495402872</v>
      </c>
    </row>
    <row r="243" spans="1:39" x14ac:dyDescent="0.25">
      <c r="A243" s="542">
        <f t="shared" si="137"/>
        <v>51249</v>
      </c>
      <c r="B243" s="298">
        <f t="shared" si="138"/>
        <v>44548.429999999935</v>
      </c>
      <c r="C243" s="14">
        <f t="shared" si="128"/>
        <v>433.95</v>
      </c>
      <c r="D243" s="14">
        <f t="shared" si="150"/>
        <v>257.61</v>
      </c>
      <c r="E243" s="14">
        <f t="shared" si="129"/>
        <v>176.34</v>
      </c>
      <c r="F243" s="298">
        <f t="shared" si="139"/>
        <v>39226.969999999987</v>
      </c>
      <c r="G243" s="298">
        <f t="shared" si="140"/>
        <v>60476.869999999966</v>
      </c>
      <c r="H243" s="298">
        <f t="shared" si="130"/>
        <v>44290.819999999934</v>
      </c>
      <c r="I243" s="451">
        <f t="shared" si="131"/>
        <v>15</v>
      </c>
      <c r="J243" s="298">
        <f t="shared" si="141"/>
        <v>284418.71999999962</v>
      </c>
      <c r="K243" s="298">
        <f t="shared" si="119"/>
        <v>2701.27</v>
      </c>
      <c r="L243" s="298">
        <f t="shared" si="151"/>
        <v>864.40000000000009</v>
      </c>
      <c r="M243" s="298">
        <f t="shared" si="120"/>
        <v>1836.87</v>
      </c>
      <c r="N243" s="298">
        <f t="shared" si="142"/>
        <v>93500.680000000022</v>
      </c>
      <c r="O243" s="298">
        <f t="shared" si="143"/>
        <v>403533.00000000029</v>
      </c>
      <c r="P243" s="298">
        <f t="shared" si="132"/>
        <v>283554.3199999996</v>
      </c>
      <c r="Q243" s="542">
        <f t="shared" si="133"/>
        <v>51249</v>
      </c>
      <c r="R243" s="298">
        <f t="shared" si="118"/>
        <v>38431.09000000012</v>
      </c>
      <c r="S243" s="535">
        <f t="shared" si="144"/>
        <v>7.7499999999999999E-2</v>
      </c>
      <c r="T243" s="298">
        <f t="shared" si="134"/>
        <v>3493.12</v>
      </c>
      <c r="U243" s="298">
        <f t="shared" si="121"/>
        <v>3244.92</v>
      </c>
      <c r="V243" s="298">
        <f t="shared" si="135"/>
        <v>248.2</v>
      </c>
      <c r="W243" s="298">
        <f t="shared" si="153"/>
        <v>0</v>
      </c>
      <c r="X243" s="298">
        <f t="shared" si="153"/>
        <v>0</v>
      </c>
      <c r="Y243" s="298">
        <f t="shared" si="122"/>
        <v>3493.12</v>
      </c>
      <c r="Z243" s="298">
        <f t="shared" si="123"/>
        <v>341868.8299999999</v>
      </c>
      <c r="AA243" s="298">
        <f t="shared" si="124"/>
        <v>236662.74999999985</v>
      </c>
      <c r="AB243" s="298">
        <f t="shared" si="136"/>
        <v>35186.170000000122</v>
      </c>
      <c r="AC243" s="451">
        <f t="shared" si="145"/>
        <v>183</v>
      </c>
      <c r="AD243" s="552">
        <f t="shared" si="146"/>
        <v>-81497.900000000052</v>
      </c>
      <c r="AE243" s="552">
        <f t="shared" si="116"/>
        <v>-9104.6499999998123</v>
      </c>
      <c r="AF243" s="552">
        <f t="shared" si="117"/>
        <v>-90602.549999999872</v>
      </c>
      <c r="AG243" s="552">
        <f t="shared" si="147"/>
        <v>3059.17</v>
      </c>
      <c r="AH243" s="552">
        <f t="shared" si="148"/>
        <v>82037.640000000072</v>
      </c>
      <c r="AI243" s="552"/>
      <c r="AJ243" s="14">
        <f t="shared" si="125"/>
        <v>3059.17</v>
      </c>
      <c r="AK243" s="14">
        <f t="shared" si="126"/>
        <v>497816.87999999919</v>
      </c>
      <c r="AL243" s="552">
        <f>IF(R243&lt;=0,0,+([1]Profit!$B$4+AM242)*$AL$1/12)</f>
        <v>1653.8348738507182</v>
      </c>
      <c r="AM243" s="14">
        <f t="shared" si="149"/>
        <v>244287.78441413792</v>
      </c>
    </row>
    <row r="244" spans="1:39" x14ac:dyDescent="0.25">
      <c r="A244" s="542">
        <f t="shared" si="137"/>
        <v>51279</v>
      </c>
      <c r="B244" s="298">
        <f t="shared" si="138"/>
        <v>44290.819999999934</v>
      </c>
      <c r="C244" s="14">
        <f t="shared" si="128"/>
        <v>433.95</v>
      </c>
      <c r="D244" s="14">
        <f t="shared" si="150"/>
        <v>258.63</v>
      </c>
      <c r="E244" s="14">
        <f t="shared" si="129"/>
        <v>175.32</v>
      </c>
      <c r="F244" s="298">
        <f t="shared" si="139"/>
        <v>39485.599999999984</v>
      </c>
      <c r="G244" s="298">
        <f t="shared" si="140"/>
        <v>60652.189999999966</v>
      </c>
      <c r="H244" s="298">
        <f t="shared" si="130"/>
        <v>44032.189999999937</v>
      </c>
      <c r="I244" s="451">
        <f t="shared" si="131"/>
        <v>15</v>
      </c>
      <c r="J244" s="298">
        <f t="shared" si="141"/>
        <v>283554.3199999996</v>
      </c>
      <c r="K244" s="298">
        <f t="shared" si="119"/>
        <v>2701.27</v>
      </c>
      <c r="L244" s="298">
        <f t="shared" si="151"/>
        <v>869.98</v>
      </c>
      <c r="M244" s="298">
        <f t="shared" si="120"/>
        <v>1831.29</v>
      </c>
      <c r="N244" s="298">
        <f t="shared" si="142"/>
        <v>94370.660000000018</v>
      </c>
      <c r="O244" s="298">
        <f t="shared" si="143"/>
        <v>405364.29000000027</v>
      </c>
      <c r="P244" s="298">
        <f t="shared" si="132"/>
        <v>282684.33999999962</v>
      </c>
      <c r="Q244" s="542">
        <f t="shared" si="133"/>
        <v>51279</v>
      </c>
      <c r="R244" s="298">
        <f t="shared" si="118"/>
        <v>35186.170000000122</v>
      </c>
      <c r="S244" s="535">
        <f t="shared" si="144"/>
        <v>7.7499999999999999E-2</v>
      </c>
      <c r="T244" s="298">
        <f t="shared" si="134"/>
        <v>3493.12</v>
      </c>
      <c r="U244" s="298">
        <f t="shared" si="121"/>
        <v>3265.88</v>
      </c>
      <c r="V244" s="298">
        <f t="shared" si="135"/>
        <v>227.24</v>
      </c>
      <c r="W244" s="298">
        <f t="shared" si="153"/>
        <v>0</v>
      </c>
      <c r="X244" s="298">
        <f t="shared" si="153"/>
        <v>0</v>
      </c>
      <c r="Y244" s="298">
        <f t="shared" si="122"/>
        <v>3493.12</v>
      </c>
      <c r="Z244" s="298">
        <f t="shared" si="123"/>
        <v>345134.7099999999</v>
      </c>
      <c r="AA244" s="298">
        <f t="shared" si="124"/>
        <v>236889.98999999985</v>
      </c>
      <c r="AB244" s="298">
        <f t="shared" si="136"/>
        <v>31920.290000000121</v>
      </c>
      <c r="AC244" s="451">
        <f t="shared" si="145"/>
        <v>184</v>
      </c>
      <c r="AD244" s="552">
        <f t="shared" si="146"/>
        <v>-82289.750000000058</v>
      </c>
      <c r="AE244" s="552">
        <f t="shared" si="116"/>
        <v>-12111.899999999816</v>
      </c>
      <c r="AF244" s="552">
        <f t="shared" si="117"/>
        <v>-94401.649999999878</v>
      </c>
      <c r="AG244" s="552">
        <f t="shared" si="147"/>
        <v>3059.17</v>
      </c>
      <c r="AH244" s="552">
        <f t="shared" si="148"/>
        <v>79030.390000000072</v>
      </c>
      <c r="AI244" s="552"/>
      <c r="AJ244" s="14">
        <f t="shared" si="125"/>
        <v>3059.17</v>
      </c>
      <c r="AK244" s="14">
        <f t="shared" si="126"/>
        <v>500876.04999999917</v>
      </c>
      <c r="AL244" s="552">
        <f>IF(R244&lt;=0,0,+([1]Profit!$B$4+AM243)*$AL$1/12)</f>
        <v>1657.9694610353447</v>
      </c>
      <c r="AM244" s="14">
        <f t="shared" si="149"/>
        <v>245945.75387517325</v>
      </c>
    </row>
    <row r="245" spans="1:39" x14ac:dyDescent="0.25">
      <c r="A245" s="542">
        <f t="shared" si="137"/>
        <v>51309</v>
      </c>
      <c r="B245" s="298">
        <f t="shared" si="138"/>
        <v>44032.189999999937</v>
      </c>
      <c r="C245" s="14">
        <f t="shared" si="128"/>
        <v>433.95</v>
      </c>
      <c r="D245" s="14">
        <f t="shared" si="150"/>
        <v>259.65999999999997</v>
      </c>
      <c r="E245" s="14">
        <f t="shared" si="129"/>
        <v>174.29</v>
      </c>
      <c r="F245" s="298">
        <f t="shared" si="139"/>
        <v>39745.259999999987</v>
      </c>
      <c r="G245" s="298">
        <f t="shared" si="140"/>
        <v>60826.479999999967</v>
      </c>
      <c r="H245" s="298">
        <f t="shared" si="130"/>
        <v>43772.529999999933</v>
      </c>
      <c r="I245" s="451">
        <f t="shared" si="131"/>
        <v>15</v>
      </c>
      <c r="J245" s="298">
        <f t="shared" si="141"/>
        <v>282684.33999999962</v>
      </c>
      <c r="K245" s="298">
        <f t="shared" si="119"/>
        <v>2701.27</v>
      </c>
      <c r="L245" s="298">
        <f t="shared" si="151"/>
        <v>875.59999999999991</v>
      </c>
      <c r="M245" s="298">
        <f t="shared" si="120"/>
        <v>1825.67</v>
      </c>
      <c r="N245" s="298">
        <f t="shared" si="142"/>
        <v>95246.260000000024</v>
      </c>
      <c r="O245" s="298">
        <f t="shared" si="143"/>
        <v>407189.96000000025</v>
      </c>
      <c r="P245" s="298">
        <f t="shared" si="132"/>
        <v>281808.73999999964</v>
      </c>
      <c r="Q245" s="542">
        <f t="shared" si="133"/>
        <v>51309</v>
      </c>
      <c r="R245" s="298">
        <f t="shared" si="118"/>
        <v>31920.290000000121</v>
      </c>
      <c r="S245" s="535">
        <f t="shared" si="144"/>
        <v>7.7499999999999999E-2</v>
      </c>
      <c r="T245" s="298">
        <f t="shared" si="134"/>
        <v>3493.12</v>
      </c>
      <c r="U245" s="298">
        <f t="shared" si="121"/>
        <v>3286.97</v>
      </c>
      <c r="V245" s="298">
        <f t="shared" si="135"/>
        <v>206.15</v>
      </c>
      <c r="W245" s="298">
        <f t="shared" si="153"/>
        <v>0</v>
      </c>
      <c r="X245" s="298">
        <f t="shared" si="153"/>
        <v>0</v>
      </c>
      <c r="Y245" s="298">
        <f t="shared" si="122"/>
        <v>3493.12</v>
      </c>
      <c r="Z245" s="298">
        <f t="shared" si="123"/>
        <v>348421.67999999988</v>
      </c>
      <c r="AA245" s="298">
        <f t="shared" si="124"/>
        <v>237096.13999999984</v>
      </c>
      <c r="AB245" s="298">
        <f t="shared" si="136"/>
        <v>28633.32000000012</v>
      </c>
      <c r="AC245" s="451">
        <f t="shared" si="145"/>
        <v>185</v>
      </c>
      <c r="AD245" s="552">
        <f t="shared" si="146"/>
        <v>-83081.600000000064</v>
      </c>
      <c r="AE245" s="552">
        <f t="shared" si="116"/>
        <v>-15139.209999999814</v>
      </c>
      <c r="AF245" s="552">
        <f t="shared" si="117"/>
        <v>-98220.809999999881</v>
      </c>
      <c r="AG245" s="552">
        <f t="shared" si="147"/>
        <v>3059.17</v>
      </c>
      <c r="AH245" s="552">
        <f t="shared" si="148"/>
        <v>76003.080000000133</v>
      </c>
      <c r="AI245" s="552"/>
      <c r="AJ245" s="14">
        <f t="shared" si="125"/>
        <v>3059.17</v>
      </c>
      <c r="AK245" s="14">
        <f t="shared" si="126"/>
        <v>503935.21999999916</v>
      </c>
      <c r="AL245" s="552">
        <f>IF(R245&lt;=0,0,+([1]Profit!$B$4+AM244)*$AL$1/12)</f>
        <v>1662.1143846879331</v>
      </c>
      <c r="AM245" s="14">
        <f t="shared" si="149"/>
        <v>247607.86825986119</v>
      </c>
    </row>
    <row r="246" spans="1:39" x14ac:dyDescent="0.25">
      <c r="A246" s="542">
        <f t="shared" si="137"/>
        <v>51339</v>
      </c>
      <c r="B246" s="298">
        <f t="shared" si="138"/>
        <v>43772.529999999933</v>
      </c>
      <c r="C246" s="14">
        <f t="shared" si="128"/>
        <v>433.95</v>
      </c>
      <c r="D246" s="14">
        <f t="shared" si="150"/>
        <v>260.67999999999995</v>
      </c>
      <c r="E246" s="14">
        <f t="shared" si="129"/>
        <v>173.27</v>
      </c>
      <c r="F246" s="298">
        <f t="shared" si="139"/>
        <v>40005.939999999988</v>
      </c>
      <c r="G246" s="298">
        <f t="shared" si="140"/>
        <v>60999.749999999964</v>
      </c>
      <c r="H246" s="298">
        <f t="shared" si="130"/>
        <v>43511.849999999933</v>
      </c>
      <c r="I246" s="451">
        <f t="shared" si="131"/>
        <v>15</v>
      </c>
      <c r="J246" s="298">
        <f t="shared" si="141"/>
        <v>281808.73999999964</v>
      </c>
      <c r="K246" s="298">
        <f t="shared" si="119"/>
        <v>2701.27</v>
      </c>
      <c r="L246" s="298">
        <f t="shared" si="151"/>
        <v>881.26</v>
      </c>
      <c r="M246" s="298">
        <f t="shared" si="120"/>
        <v>1820.01</v>
      </c>
      <c r="N246" s="298">
        <f t="shared" si="142"/>
        <v>96127.520000000019</v>
      </c>
      <c r="O246" s="298">
        <f t="shared" si="143"/>
        <v>409009.97000000026</v>
      </c>
      <c r="P246" s="298">
        <f t="shared" si="132"/>
        <v>280927.47999999963</v>
      </c>
      <c r="Q246" s="542">
        <f t="shared" si="133"/>
        <v>51339</v>
      </c>
      <c r="R246" s="298">
        <f t="shared" si="118"/>
        <v>28633.32000000012</v>
      </c>
      <c r="S246" s="535">
        <f t="shared" si="144"/>
        <v>7.7499999999999999E-2</v>
      </c>
      <c r="T246" s="298">
        <f t="shared" si="134"/>
        <v>3493.12</v>
      </c>
      <c r="U246" s="298">
        <f t="shared" si="121"/>
        <v>3308.2</v>
      </c>
      <c r="V246" s="298">
        <f t="shared" si="135"/>
        <v>184.92</v>
      </c>
      <c r="W246" s="298">
        <f t="shared" si="153"/>
        <v>0</v>
      </c>
      <c r="X246" s="298">
        <f t="shared" si="153"/>
        <v>0</v>
      </c>
      <c r="Y246" s="298">
        <f t="shared" si="122"/>
        <v>3493.12</v>
      </c>
      <c r="Z246" s="298">
        <f t="shared" si="123"/>
        <v>351729.87999999989</v>
      </c>
      <c r="AA246" s="298">
        <f t="shared" si="124"/>
        <v>237281.05999999985</v>
      </c>
      <c r="AB246" s="298">
        <f t="shared" si="136"/>
        <v>25325.120000000119</v>
      </c>
      <c r="AC246" s="451">
        <f t="shared" si="145"/>
        <v>186</v>
      </c>
      <c r="AD246" s="552">
        <f t="shared" si="146"/>
        <v>-83873.45000000007</v>
      </c>
      <c r="AE246" s="552">
        <f t="shared" si="116"/>
        <v>-18186.729999999814</v>
      </c>
      <c r="AF246" s="552">
        <f t="shared" si="117"/>
        <v>-102060.17999999988</v>
      </c>
      <c r="AG246" s="552">
        <f t="shared" si="147"/>
        <v>3059.17</v>
      </c>
      <c r="AH246" s="552">
        <f t="shared" si="148"/>
        <v>72955.560000000114</v>
      </c>
      <c r="AI246" s="552"/>
      <c r="AJ246" s="14">
        <f t="shared" si="125"/>
        <v>3059.17</v>
      </c>
      <c r="AK246" s="14">
        <f t="shared" si="126"/>
        <v>506994.38999999914</v>
      </c>
      <c r="AL246" s="552">
        <f>IF(R246&lt;=0,0,+([1]Profit!$B$4+AM245)*$AL$1/12)</f>
        <v>1666.2696706496527</v>
      </c>
      <c r="AM246" s="14">
        <f t="shared" si="149"/>
        <v>249274.13793051086</v>
      </c>
    </row>
    <row r="247" spans="1:39" x14ac:dyDescent="0.25">
      <c r="A247" s="542">
        <f t="shared" si="137"/>
        <v>51369</v>
      </c>
      <c r="B247" s="298">
        <f t="shared" si="138"/>
        <v>43511.849999999933</v>
      </c>
      <c r="C247" s="14">
        <f t="shared" si="128"/>
        <v>433.95</v>
      </c>
      <c r="D247" s="14">
        <f t="shared" si="150"/>
        <v>261.72000000000003</v>
      </c>
      <c r="E247" s="14">
        <f t="shared" si="129"/>
        <v>172.23</v>
      </c>
      <c r="F247" s="298">
        <f t="shared" si="139"/>
        <v>40267.659999999989</v>
      </c>
      <c r="G247" s="298">
        <f t="shared" si="140"/>
        <v>61171.979999999967</v>
      </c>
      <c r="H247" s="298">
        <f t="shared" si="130"/>
        <v>43250.129999999932</v>
      </c>
      <c r="I247" s="451">
        <f t="shared" si="131"/>
        <v>15</v>
      </c>
      <c r="J247" s="298">
        <f t="shared" si="141"/>
        <v>280927.47999999963</v>
      </c>
      <c r="K247" s="298">
        <f t="shared" si="119"/>
        <v>2701.27</v>
      </c>
      <c r="L247" s="298">
        <f t="shared" si="151"/>
        <v>886.95</v>
      </c>
      <c r="M247" s="298">
        <f t="shared" si="120"/>
        <v>1814.32</v>
      </c>
      <c r="N247" s="298">
        <f t="shared" si="142"/>
        <v>97014.470000000016</v>
      </c>
      <c r="O247" s="298">
        <f t="shared" si="143"/>
        <v>410824.29000000027</v>
      </c>
      <c r="P247" s="298">
        <f t="shared" si="132"/>
        <v>280040.52999999962</v>
      </c>
      <c r="Q247" s="542">
        <f t="shared" si="133"/>
        <v>51369</v>
      </c>
      <c r="R247" s="298">
        <f t="shared" si="118"/>
        <v>25325.120000000119</v>
      </c>
      <c r="S247" s="535">
        <f t="shared" si="144"/>
        <v>7.7499999999999999E-2</v>
      </c>
      <c r="T247" s="298">
        <f t="shared" si="134"/>
        <v>3493.12</v>
      </c>
      <c r="U247" s="298">
        <f t="shared" si="121"/>
        <v>3329.56</v>
      </c>
      <c r="V247" s="298">
        <f t="shared" si="135"/>
        <v>163.56</v>
      </c>
      <c r="W247" s="298">
        <f t="shared" si="153"/>
        <v>0</v>
      </c>
      <c r="X247" s="298">
        <f t="shared" si="153"/>
        <v>0</v>
      </c>
      <c r="Y247" s="298">
        <f t="shared" si="122"/>
        <v>3493.12</v>
      </c>
      <c r="Z247" s="298">
        <f t="shared" si="123"/>
        <v>355059.43999999989</v>
      </c>
      <c r="AA247" s="298">
        <f t="shared" si="124"/>
        <v>237444.61999999985</v>
      </c>
      <c r="AB247" s="298">
        <f t="shared" si="136"/>
        <v>21995.560000000118</v>
      </c>
      <c r="AC247" s="451">
        <f t="shared" si="145"/>
        <v>187</v>
      </c>
      <c r="AD247" s="552">
        <f t="shared" si="146"/>
        <v>-84665.300000000076</v>
      </c>
      <c r="AE247" s="552">
        <f t="shared" si="116"/>
        <v>-21254.569999999814</v>
      </c>
      <c r="AF247" s="552">
        <f t="shared" si="117"/>
        <v>-105919.86999999989</v>
      </c>
      <c r="AG247" s="552">
        <f t="shared" si="147"/>
        <v>3059.17</v>
      </c>
      <c r="AH247" s="552">
        <f t="shared" si="148"/>
        <v>69887.720000000088</v>
      </c>
      <c r="AI247" s="552"/>
      <c r="AJ247" s="14">
        <f t="shared" si="125"/>
        <v>3059.17</v>
      </c>
      <c r="AK247" s="14">
        <f t="shared" si="126"/>
        <v>510053.55999999912</v>
      </c>
      <c r="AL247" s="552">
        <f>IF(R247&lt;=0,0,+([1]Profit!$B$4+AM246)*$AL$1/12)</f>
        <v>1670.4353448262771</v>
      </c>
      <c r="AM247" s="14">
        <f t="shared" si="149"/>
        <v>250944.57327533714</v>
      </c>
    </row>
    <row r="248" spans="1:39" x14ac:dyDescent="0.25">
      <c r="A248" s="542">
        <f t="shared" si="137"/>
        <v>51399</v>
      </c>
      <c r="B248" s="298">
        <f t="shared" si="138"/>
        <v>43250.129999999932</v>
      </c>
      <c r="C248" s="14">
        <f t="shared" si="128"/>
        <v>433.95</v>
      </c>
      <c r="D248" s="14">
        <f t="shared" si="150"/>
        <v>262.75</v>
      </c>
      <c r="E248" s="14">
        <f t="shared" si="129"/>
        <v>171.2</v>
      </c>
      <c r="F248" s="298">
        <f t="shared" si="139"/>
        <v>40530.409999999989</v>
      </c>
      <c r="G248" s="298">
        <f t="shared" si="140"/>
        <v>61343.179999999964</v>
      </c>
      <c r="H248" s="298">
        <f t="shared" si="130"/>
        <v>42987.379999999932</v>
      </c>
      <c r="I248" s="451">
        <f t="shared" si="131"/>
        <v>15</v>
      </c>
      <c r="J248" s="298">
        <f t="shared" si="141"/>
        <v>280040.52999999962</v>
      </c>
      <c r="K248" s="298">
        <f t="shared" si="119"/>
        <v>2701.27</v>
      </c>
      <c r="L248" s="298">
        <f t="shared" si="151"/>
        <v>892.67000000000007</v>
      </c>
      <c r="M248" s="298">
        <f t="shared" si="120"/>
        <v>1808.6</v>
      </c>
      <c r="N248" s="298">
        <f t="shared" si="142"/>
        <v>97907.140000000014</v>
      </c>
      <c r="O248" s="298">
        <f t="shared" si="143"/>
        <v>412632.89000000025</v>
      </c>
      <c r="P248" s="298">
        <f t="shared" si="132"/>
        <v>279147.85999999964</v>
      </c>
      <c r="Q248" s="542">
        <f t="shared" si="133"/>
        <v>51399</v>
      </c>
      <c r="R248" s="298">
        <f t="shared" si="118"/>
        <v>21995.560000000118</v>
      </c>
      <c r="S248" s="535">
        <f t="shared" si="144"/>
        <v>7.7499999999999999E-2</v>
      </c>
      <c r="T248" s="298">
        <f t="shared" si="134"/>
        <v>3493.12</v>
      </c>
      <c r="U248" s="298">
        <f t="shared" si="121"/>
        <v>3351.0699999999997</v>
      </c>
      <c r="V248" s="298">
        <f t="shared" si="135"/>
        <v>142.05000000000001</v>
      </c>
      <c r="W248" s="298">
        <f t="shared" si="153"/>
        <v>0</v>
      </c>
      <c r="X248" s="298">
        <f t="shared" si="153"/>
        <v>0</v>
      </c>
      <c r="Y248" s="298">
        <f t="shared" si="122"/>
        <v>3493.12</v>
      </c>
      <c r="Z248" s="298">
        <f t="shared" si="123"/>
        <v>358410.50999999989</v>
      </c>
      <c r="AA248" s="298">
        <f t="shared" si="124"/>
        <v>237586.66999999984</v>
      </c>
      <c r="AB248" s="298">
        <f t="shared" si="136"/>
        <v>18644.490000000118</v>
      </c>
      <c r="AC248" s="451">
        <f t="shared" si="145"/>
        <v>188</v>
      </c>
      <c r="AD248" s="552">
        <f t="shared" si="146"/>
        <v>-85457.150000000081</v>
      </c>
      <c r="AE248" s="552">
        <f t="shared" si="116"/>
        <v>-24342.889999999814</v>
      </c>
      <c r="AF248" s="552">
        <f t="shared" si="117"/>
        <v>-109800.03999999989</v>
      </c>
      <c r="AG248" s="552">
        <f t="shared" si="147"/>
        <v>3059.17</v>
      </c>
      <c r="AH248" s="552">
        <f t="shared" si="148"/>
        <v>66799.400000000081</v>
      </c>
      <c r="AI248" s="552"/>
      <c r="AJ248" s="14">
        <f t="shared" si="125"/>
        <v>3059.17</v>
      </c>
      <c r="AK248" s="14">
        <f t="shared" si="126"/>
        <v>513112.72999999911</v>
      </c>
      <c r="AL248" s="552">
        <f>IF(R248&lt;=0,0,+([1]Profit!$B$4+AM247)*$AL$1/12)</f>
        <v>1674.6114331883427</v>
      </c>
      <c r="AM248" s="14">
        <f t="shared" si="149"/>
        <v>252619.18470852548</v>
      </c>
    </row>
    <row r="249" spans="1:39" x14ac:dyDescent="0.25">
      <c r="A249" s="542">
        <f t="shared" si="137"/>
        <v>51429</v>
      </c>
      <c r="B249" s="298">
        <f t="shared" si="138"/>
        <v>42987.379999999932</v>
      </c>
      <c r="C249" s="14">
        <f t="shared" si="128"/>
        <v>433.95</v>
      </c>
      <c r="D249" s="14">
        <f t="shared" si="150"/>
        <v>263.78999999999996</v>
      </c>
      <c r="E249" s="14">
        <f t="shared" si="129"/>
        <v>170.16</v>
      </c>
      <c r="F249" s="298">
        <f t="shared" si="139"/>
        <v>40794.19999999999</v>
      </c>
      <c r="G249" s="298">
        <f t="shared" si="140"/>
        <v>61513.339999999967</v>
      </c>
      <c r="H249" s="298">
        <f t="shared" si="130"/>
        <v>42723.589999999931</v>
      </c>
      <c r="I249" s="451">
        <f t="shared" si="131"/>
        <v>15</v>
      </c>
      <c r="J249" s="298">
        <f t="shared" si="141"/>
        <v>279147.85999999964</v>
      </c>
      <c r="K249" s="298">
        <f t="shared" si="119"/>
        <v>2701.27</v>
      </c>
      <c r="L249" s="298">
        <f t="shared" si="151"/>
        <v>898.44</v>
      </c>
      <c r="M249" s="298">
        <f t="shared" si="120"/>
        <v>1802.83</v>
      </c>
      <c r="N249" s="298">
        <f t="shared" si="142"/>
        <v>98805.580000000016</v>
      </c>
      <c r="O249" s="298">
        <f t="shared" si="143"/>
        <v>414435.72000000026</v>
      </c>
      <c r="P249" s="298">
        <f t="shared" si="132"/>
        <v>278249.41999999963</v>
      </c>
      <c r="Q249" s="542">
        <f t="shared" si="133"/>
        <v>51429</v>
      </c>
      <c r="R249" s="298">
        <f t="shared" si="118"/>
        <v>18644.490000000118</v>
      </c>
      <c r="S249" s="535">
        <f t="shared" si="144"/>
        <v>7.7499999999999999E-2</v>
      </c>
      <c r="T249" s="298">
        <f t="shared" si="134"/>
        <v>3493.12</v>
      </c>
      <c r="U249" s="298">
        <f t="shared" si="121"/>
        <v>3372.71</v>
      </c>
      <c r="V249" s="298">
        <f t="shared" si="135"/>
        <v>120.41</v>
      </c>
      <c r="W249" s="298">
        <f t="shared" si="153"/>
        <v>0</v>
      </c>
      <c r="X249" s="298">
        <f t="shared" si="153"/>
        <v>0</v>
      </c>
      <c r="Y249" s="298">
        <f t="shared" si="122"/>
        <v>3493.12</v>
      </c>
      <c r="Z249" s="298">
        <f t="shared" si="123"/>
        <v>361783.21999999991</v>
      </c>
      <c r="AA249" s="298">
        <f t="shared" si="124"/>
        <v>237707.07999999984</v>
      </c>
      <c r="AB249" s="298">
        <f t="shared" si="136"/>
        <v>15271.780000000119</v>
      </c>
      <c r="AC249" s="451">
        <f t="shared" si="145"/>
        <v>189</v>
      </c>
      <c r="AD249" s="552">
        <f t="shared" si="146"/>
        <v>-86249.000000000087</v>
      </c>
      <c r="AE249" s="552">
        <f t="shared" si="116"/>
        <v>-27451.809999999812</v>
      </c>
      <c r="AF249" s="552">
        <f t="shared" si="117"/>
        <v>-113700.8099999999</v>
      </c>
      <c r="AG249" s="552">
        <f t="shared" si="147"/>
        <v>3059.17</v>
      </c>
      <c r="AH249" s="552">
        <f t="shared" si="148"/>
        <v>63690.480000000098</v>
      </c>
      <c r="AI249" s="552"/>
      <c r="AJ249" s="14">
        <f t="shared" si="125"/>
        <v>3059.17</v>
      </c>
      <c r="AK249" s="14">
        <f t="shared" si="126"/>
        <v>516171.89999999909</v>
      </c>
      <c r="AL249" s="552">
        <f>IF(R249&lt;=0,0,+([1]Profit!$B$4+AM248)*$AL$1/12)</f>
        <v>1678.7979617713136</v>
      </c>
      <c r="AM249" s="14">
        <f t="shared" si="149"/>
        <v>254297.9826702968</v>
      </c>
    </row>
    <row r="250" spans="1:39" x14ac:dyDescent="0.25">
      <c r="A250" s="542">
        <f t="shared" si="137"/>
        <v>51459</v>
      </c>
      <c r="B250" s="298">
        <f t="shared" si="138"/>
        <v>42723.589999999931</v>
      </c>
      <c r="C250" s="14">
        <f t="shared" si="128"/>
        <v>433.95</v>
      </c>
      <c r="D250" s="14">
        <f t="shared" si="150"/>
        <v>264.83999999999997</v>
      </c>
      <c r="E250" s="14">
        <f t="shared" si="129"/>
        <v>169.11</v>
      </c>
      <c r="F250" s="298">
        <f t="shared" si="139"/>
        <v>41059.039999999986</v>
      </c>
      <c r="G250" s="298">
        <f t="shared" si="140"/>
        <v>61682.449999999968</v>
      </c>
      <c r="H250" s="298">
        <f t="shared" si="130"/>
        <v>42458.749999999935</v>
      </c>
      <c r="I250" s="451">
        <f t="shared" si="131"/>
        <v>15</v>
      </c>
      <c r="J250" s="298">
        <f t="shared" si="141"/>
        <v>278249.41999999963</v>
      </c>
      <c r="K250" s="298">
        <f t="shared" si="119"/>
        <v>2701.27</v>
      </c>
      <c r="L250" s="298">
        <f t="shared" si="151"/>
        <v>904.24</v>
      </c>
      <c r="M250" s="298">
        <f t="shared" si="120"/>
        <v>1797.03</v>
      </c>
      <c r="N250" s="298">
        <f t="shared" si="142"/>
        <v>99709.820000000022</v>
      </c>
      <c r="O250" s="298">
        <f t="shared" si="143"/>
        <v>416232.75000000029</v>
      </c>
      <c r="P250" s="298">
        <f t="shared" si="132"/>
        <v>277345.17999999964</v>
      </c>
      <c r="Q250" s="542">
        <f t="shared" si="133"/>
        <v>51459</v>
      </c>
      <c r="R250" s="298">
        <f t="shared" si="118"/>
        <v>15271.780000000119</v>
      </c>
      <c r="S250" s="535">
        <f t="shared" si="144"/>
        <v>7.7499999999999999E-2</v>
      </c>
      <c r="T250" s="298">
        <f t="shared" si="134"/>
        <v>3493.12</v>
      </c>
      <c r="U250" s="298">
        <f t="shared" si="121"/>
        <v>3394.49</v>
      </c>
      <c r="V250" s="298">
        <f t="shared" si="135"/>
        <v>98.63</v>
      </c>
      <c r="W250" s="298">
        <f t="shared" si="153"/>
        <v>0</v>
      </c>
      <c r="X250" s="298">
        <f t="shared" si="153"/>
        <v>0</v>
      </c>
      <c r="Y250" s="298">
        <f t="shared" si="122"/>
        <v>3493.12</v>
      </c>
      <c r="Z250" s="298">
        <f t="shared" si="123"/>
        <v>365177.7099999999</v>
      </c>
      <c r="AA250" s="298">
        <f t="shared" si="124"/>
        <v>237805.70999999985</v>
      </c>
      <c r="AB250" s="298">
        <f t="shared" si="136"/>
        <v>11877.290000000119</v>
      </c>
      <c r="AC250" s="451">
        <f t="shared" si="145"/>
        <v>190</v>
      </c>
      <c r="AD250" s="552">
        <f t="shared" si="146"/>
        <v>-87040.850000000093</v>
      </c>
      <c r="AE250" s="552">
        <f t="shared" si="116"/>
        <v>-30581.459999999817</v>
      </c>
      <c r="AF250" s="552">
        <f t="shared" si="117"/>
        <v>-117622.30999999991</v>
      </c>
      <c r="AG250" s="552">
        <f t="shared" si="147"/>
        <v>3059.17</v>
      </c>
      <c r="AH250" s="552">
        <f t="shared" si="148"/>
        <v>60560.830000000075</v>
      </c>
      <c r="AI250" s="552"/>
      <c r="AJ250" s="14">
        <f t="shared" si="125"/>
        <v>3059.17</v>
      </c>
      <c r="AK250" s="14">
        <f t="shared" si="126"/>
        <v>519231.06999999908</v>
      </c>
      <c r="AL250" s="552">
        <f>IF(R250&lt;=0,0,+([1]Profit!$B$4+AM249)*$AL$1/12)</f>
        <v>1682.9949566757421</v>
      </c>
      <c r="AM250" s="14">
        <f t="shared" si="149"/>
        <v>255980.97762697254</v>
      </c>
    </row>
    <row r="251" spans="1:39" x14ac:dyDescent="0.25">
      <c r="A251" s="542">
        <f t="shared" si="137"/>
        <v>51489</v>
      </c>
      <c r="B251" s="298">
        <f t="shared" si="138"/>
        <v>42458.749999999935</v>
      </c>
      <c r="C251" s="14">
        <f t="shared" si="128"/>
        <v>433.95</v>
      </c>
      <c r="D251" s="14">
        <f t="shared" si="150"/>
        <v>265.88</v>
      </c>
      <c r="E251" s="14">
        <f t="shared" si="129"/>
        <v>168.07</v>
      </c>
      <c r="F251" s="298">
        <f t="shared" si="139"/>
        <v>41324.919999999984</v>
      </c>
      <c r="G251" s="298">
        <f t="shared" si="140"/>
        <v>61850.519999999968</v>
      </c>
      <c r="H251" s="298">
        <f t="shared" si="130"/>
        <v>42192.869999999937</v>
      </c>
      <c r="I251" s="451">
        <f t="shared" si="131"/>
        <v>15</v>
      </c>
      <c r="J251" s="298">
        <f t="shared" si="141"/>
        <v>277345.17999999964</v>
      </c>
      <c r="K251" s="298">
        <f t="shared" si="119"/>
        <v>2701.27</v>
      </c>
      <c r="L251" s="298">
        <f t="shared" si="151"/>
        <v>910.07999999999993</v>
      </c>
      <c r="M251" s="298">
        <f t="shared" si="120"/>
        <v>1791.19</v>
      </c>
      <c r="N251" s="298">
        <f t="shared" si="142"/>
        <v>100619.90000000002</v>
      </c>
      <c r="O251" s="298">
        <f t="shared" si="143"/>
        <v>418023.94000000029</v>
      </c>
      <c r="P251" s="298">
        <f t="shared" si="132"/>
        <v>276435.09999999963</v>
      </c>
      <c r="Q251" s="542">
        <f t="shared" si="133"/>
        <v>51489</v>
      </c>
      <c r="R251" s="298">
        <f t="shared" si="118"/>
        <v>11877.290000000119</v>
      </c>
      <c r="S251" s="535">
        <f t="shared" si="144"/>
        <v>7.7499999999999999E-2</v>
      </c>
      <c r="T251" s="298">
        <f t="shared" si="134"/>
        <v>3493.12</v>
      </c>
      <c r="U251" s="298">
        <f t="shared" si="121"/>
        <v>3416.41</v>
      </c>
      <c r="V251" s="298">
        <f t="shared" si="135"/>
        <v>76.709999999999994</v>
      </c>
      <c r="W251" s="298">
        <f t="shared" si="153"/>
        <v>0</v>
      </c>
      <c r="X251" s="298">
        <f t="shared" si="153"/>
        <v>0</v>
      </c>
      <c r="Y251" s="298">
        <f t="shared" si="122"/>
        <v>3493.12</v>
      </c>
      <c r="Z251" s="298">
        <f t="shared" si="123"/>
        <v>368594.11999999988</v>
      </c>
      <c r="AA251" s="298">
        <f t="shared" si="124"/>
        <v>237882.41999999984</v>
      </c>
      <c r="AB251" s="298">
        <f t="shared" si="136"/>
        <v>8460.8800000001193</v>
      </c>
      <c r="AC251" s="451">
        <f t="shared" si="145"/>
        <v>191</v>
      </c>
      <c r="AD251" s="552">
        <f t="shared" si="146"/>
        <v>-87832.700000000099</v>
      </c>
      <c r="AE251" s="552">
        <f t="shared" si="116"/>
        <v>-33731.989999999816</v>
      </c>
      <c r="AF251" s="552">
        <f t="shared" si="117"/>
        <v>-121564.68999999992</v>
      </c>
      <c r="AG251" s="552">
        <f t="shared" si="147"/>
        <v>3059.17</v>
      </c>
      <c r="AH251" s="552">
        <f t="shared" si="148"/>
        <v>57410.300000000105</v>
      </c>
      <c r="AI251" s="552"/>
      <c r="AJ251" s="14">
        <f t="shared" si="125"/>
        <v>3059.17</v>
      </c>
      <c r="AK251" s="14">
        <f t="shared" si="126"/>
        <v>522290.23999999906</v>
      </c>
      <c r="AL251" s="552">
        <f>IF(R251&lt;=0,0,+([1]Profit!$B$4+AM250)*$AL$1/12)</f>
        <v>1687.2024440674313</v>
      </c>
      <c r="AM251" s="14">
        <f t="shared" si="149"/>
        <v>257668.18007103997</v>
      </c>
    </row>
    <row r="252" spans="1:39" x14ac:dyDescent="0.25">
      <c r="A252" s="542">
        <f t="shared" si="137"/>
        <v>51519</v>
      </c>
      <c r="B252" s="298">
        <f t="shared" si="138"/>
        <v>42192.869999999937</v>
      </c>
      <c r="C252" s="14">
        <f t="shared" si="128"/>
        <v>433.95</v>
      </c>
      <c r="D252" s="14">
        <f t="shared" si="150"/>
        <v>266.94</v>
      </c>
      <c r="E252" s="14">
        <f t="shared" si="129"/>
        <v>167.01</v>
      </c>
      <c r="F252" s="298">
        <f t="shared" si="139"/>
        <v>41591.859999999986</v>
      </c>
      <c r="G252" s="298">
        <f t="shared" si="140"/>
        <v>62017.52999999997</v>
      </c>
      <c r="H252" s="298">
        <f t="shared" si="130"/>
        <v>41925.929999999935</v>
      </c>
      <c r="I252" s="451">
        <f t="shared" si="131"/>
        <v>16</v>
      </c>
      <c r="J252" s="298">
        <f t="shared" si="141"/>
        <v>276435.09999999963</v>
      </c>
      <c r="K252" s="298">
        <f t="shared" si="119"/>
        <v>2701.27</v>
      </c>
      <c r="L252" s="298">
        <f t="shared" si="151"/>
        <v>915.96</v>
      </c>
      <c r="M252" s="298">
        <f t="shared" si="120"/>
        <v>1785.31</v>
      </c>
      <c r="N252" s="298">
        <f t="shared" si="142"/>
        <v>101535.86000000003</v>
      </c>
      <c r="O252" s="298">
        <f t="shared" si="143"/>
        <v>419809.25000000029</v>
      </c>
      <c r="P252" s="298">
        <f t="shared" si="132"/>
        <v>275519.13999999961</v>
      </c>
      <c r="Q252" s="542">
        <f t="shared" si="133"/>
        <v>51519</v>
      </c>
      <c r="R252" s="298">
        <f t="shared" si="118"/>
        <v>8460.8800000001193</v>
      </c>
      <c r="S252" s="535">
        <f t="shared" si="144"/>
        <v>7.7499999999999999E-2</v>
      </c>
      <c r="T252" s="298">
        <f t="shared" si="134"/>
        <v>3493.12</v>
      </c>
      <c r="U252" s="298">
        <f t="shared" si="121"/>
        <v>3438.48</v>
      </c>
      <c r="V252" s="298">
        <f t="shared" si="135"/>
        <v>54.64</v>
      </c>
      <c r="W252" s="298">
        <f t="shared" ref="W252:X267" si="154">+W251</f>
        <v>0</v>
      </c>
      <c r="X252" s="298">
        <f t="shared" si="154"/>
        <v>0</v>
      </c>
      <c r="Y252" s="298">
        <f t="shared" si="122"/>
        <v>3493.12</v>
      </c>
      <c r="Z252" s="298">
        <f t="shared" si="123"/>
        <v>372032.59999999986</v>
      </c>
      <c r="AA252" s="298">
        <f t="shared" si="124"/>
        <v>237937.05999999985</v>
      </c>
      <c r="AB252" s="298">
        <f t="shared" si="136"/>
        <v>5022.4000000001197</v>
      </c>
      <c r="AC252" s="451">
        <f t="shared" si="145"/>
        <v>192</v>
      </c>
      <c r="AD252" s="552">
        <f t="shared" si="146"/>
        <v>-88624.550000000105</v>
      </c>
      <c r="AE252" s="552">
        <f t="shared" ref="AE252:AE315" si="155">AB252-H252</f>
        <v>-36903.529999999817</v>
      </c>
      <c r="AF252" s="552">
        <f t="shared" ref="AF252:AF315" si="156">SUM(AD252:AE252)</f>
        <v>-125528.07999999993</v>
      </c>
      <c r="AG252" s="552">
        <f t="shared" si="147"/>
        <v>3059.17</v>
      </c>
      <c r="AH252" s="552">
        <f t="shared" si="148"/>
        <v>54238.760000000126</v>
      </c>
      <c r="AI252" s="552"/>
      <c r="AJ252" s="14">
        <f t="shared" si="125"/>
        <v>3059.17</v>
      </c>
      <c r="AK252" s="14">
        <f t="shared" si="126"/>
        <v>525349.4099999991</v>
      </c>
      <c r="AL252" s="552">
        <f>IF(R252&lt;=0,0,+([1]Profit!$B$4+AM251)*$AL$1/12)</f>
        <v>1691.4204501775996</v>
      </c>
      <c r="AM252" s="14">
        <f t="shared" si="149"/>
        <v>259359.60052121757</v>
      </c>
    </row>
    <row r="253" spans="1:39" x14ac:dyDescent="0.25">
      <c r="A253" s="542">
        <f t="shared" si="137"/>
        <v>51549</v>
      </c>
      <c r="B253" s="298">
        <f t="shared" si="138"/>
        <v>41925.929999999935</v>
      </c>
      <c r="C253" s="14">
        <f t="shared" si="128"/>
        <v>433.95</v>
      </c>
      <c r="D253" s="14">
        <f t="shared" si="150"/>
        <v>267.99</v>
      </c>
      <c r="E253" s="14">
        <f t="shared" si="129"/>
        <v>165.96</v>
      </c>
      <c r="F253" s="298">
        <f t="shared" si="139"/>
        <v>41859.849999999984</v>
      </c>
      <c r="G253" s="298">
        <f t="shared" si="140"/>
        <v>62183.489999999969</v>
      </c>
      <c r="H253" s="298">
        <f t="shared" si="130"/>
        <v>41657.939999999937</v>
      </c>
      <c r="I253" s="451">
        <f t="shared" si="131"/>
        <v>16</v>
      </c>
      <c r="J253" s="298">
        <f t="shared" si="141"/>
        <v>275519.13999999961</v>
      </c>
      <c r="K253" s="298">
        <f t="shared" si="119"/>
        <v>2701.27</v>
      </c>
      <c r="L253" s="298">
        <f t="shared" si="151"/>
        <v>921.87999999999988</v>
      </c>
      <c r="M253" s="298">
        <f t="shared" si="120"/>
        <v>1779.39</v>
      </c>
      <c r="N253" s="298">
        <f t="shared" si="142"/>
        <v>102457.74000000003</v>
      </c>
      <c r="O253" s="298">
        <f t="shared" si="143"/>
        <v>421588.64000000031</v>
      </c>
      <c r="P253" s="298">
        <f t="shared" si="132"/>
        <v>274597.2599999996</v>
      </c>
      <c r="Q253" s="542">
        <f t="shared" si="133"/>
        <v>51549</v>
      </c>
      <c r="R253" s="298">
        <f t="shared" ref="R253:R316" si="157">IF(Q253&gt;$J$10,IF(+AB252&lt;0,0,+AB252),0)</f>
        <v>5022.4000000001197</v>
      </c>
      <c r="S253" s="535">
        <f t="shared" si="144"/>
        <v>7.7499999999999999E-2</v>
      </c>
      <c r="T253" s="298">
        <f t="shared" si="134"/>
        <v>3493.12</v>
      </c>
      <c r="U253" s="298">
        <f t="shared" si="121"/>
        <v>3460.68</v>
      </c>
      <c r="V253" s="298">
        <f t="shared" si="135"/>
        <v>32.44</v>
      </c>
      <c r="W253" s="298">
        <f t="shared" si="154"/>
        <v>0</v>
      </c>
      <c r="X253" s="298">
        <f t="shared" si="154"/>
        <v>0</v>
      </c>
      <c r="Y253" s="298">
        <f t="shared" si="122"/>
        <v>3493.12</v>
      </c>
      <c r="Z253" s="298">
        <f t="shared" si="123"/>
        <v>375493.27999999985</v>
      </c>
      <c r="AA253" s="298">
        <f t="shared" si="124"/>
        <v>237969.49999999985</v>
      </c>
      <c r="AB253" s="298">
        <f t="shared" si="136"/>
        <v>1561.7200000001199</v>
      </c>
      <c r="AC253" s="451">
        <f t="shared" si="145"/>
        <v>193</v>
      </c>
      <c r="AD253" s="552">
        <f t="shared" si="146"/>
        <v>-89416.400000000111</v>
      </c>
      <c r="AE253" s="552">
        <f t="shared" si="155"/>
        <v>-40096.219999999819</v>
      </c>
      <c r="AF253" s="552">
        <f t="shared" si="156"/>
        <v>-129512.61999999994</v>
      </c>
      <c r="AG253" s="552">
        <f t="shared" si="147"/>
        <v>3059.17</v>
      </c>
      <c r="AH253" s="552">
        <f t="shared" si="148"/>
        <v>51046.070000000123</v>
      </c>
      <c r="AI253" s="552"/>
      <c r="AJ253" s="14">
        <f t="shared" si="125"/>
        <v>3059.17</v>
      </c>
      <c r="AK253" s="14">
        <f t="shared" si="126"/>
        <v>528408.57999999914</v>
      </c>
      <c r="AL253" s="552">
        <f>IF(R253&lt;=0,0,+([1]Profit!$B$4+AM252)*$AL$1/12)</f>
        <v>1695.6490013030436</v>
      </c>
      <c r="AM253" s="14">
        <f t="shared" si="149"/>
        <v>261055.24952252061</v>
      </c>
    </row>
    <row r="254" spans="1:39" ht="15.75" thickBot="1" x14ac:dyDescent="0.3">
      <c r="A254" s="545">
        <f t="shared" si="137"/>
        <v>51579</v>
      </c>
      <c r="B254" s="371">
        <f t="shared" si="138"/>
        <v>41657.939999999937</v>
      </c>
      <c r="C254" s="21">
        <f t="shared" si="128"/>
        <v>433.95</v>
      </c>
      <c r="D254" s="21">
        <f t="shared" si="150"/>
        <v>269.04999999999995</v>
      </c>
      <c r="E254" s="21">
        <f t="shared" si="129"/>
        <v>164.9</v>
      </c>
      <c r="F254" s="371">
        <f t="shared" si="139"/>
        <v>42128.899999999987</v>
      </c>
      <c r="G254" s="371">
        <f t="shared" si="140"/>
        <v>62348.38999999997</v>
      </c>
      <c r="H254" s="371">
        <f t="shared" si="130"/>
        <v>41388.889999999934</v>
      </c>
      <c r="I254" s="452">
        <f t="shared" si="131"/>
        <v>16</v>
      </c>
      <c r="J254" s="371">
        <f t="shared" si="141"/>
        <v>274597.2599999996</v>
      </c>
      <c r="K254" s="371">
        <f t="shared" ref="K254:K317" si="158">IF($J$10&lt;=A254,IF(+$P253&lt;=0,0,$J$9),0)</f>
        <v>2701.27</v>
      </c>
      <c r="L254" s="371">
        <f t="shared" si="151"/>
        <v>927.82999999999993</v>
      </c>
      <c r="M254" s="371">
        <f t="shared" ref="M254:M317" si="159">IF($J$10&lt;=A254,ROUND(J254*($J$7/12),2),0)</f>
        <v>1773.44</v>
      </c>
      <c r="N254" s="371">
        <f t="shared" si="142"/>
        <v>103385.57000000004</v>
      </c>
      <c r="O254" s="371">
        <f t="shared" si="143"/>
        <v>423362.08000000031</v>
      </c>
      <c r="P254" s="371">
        <f t="shared" si="132"/>
        <v>273669.42999999959</v>
      </c>
      <c r="Q254" s="545">
        <f t="shared" si="133"/>
        <v>51579</v>
      </c>
      <c r="R254" s="371">
        <f t="shared" si="157"/>
        <v>1561.7200000001199</v>
      </c>
      <c r="S254" s="536">
        <f t="shared" si="144"/>
        <v>7.7499999999999999E-2</v>
      </c>
      <c r="T254" s="371">
        <f t="shared" si="134"/>
        <v>3493.12</v>
      </c>
      <c r="U254" s="371">
        <f t="shared" ref="U254:U317" si="160">+T254-V254</f>
        <v>3483.0299999999997</v>
      </c>
      <c r="V254" s="371">
        <f t="shared" si="135"/>
        <v>10.09</v>
      </c>
      <c r="W254" s="371">
        <f t="shared" si="154"/>
        <v>0</v>
      </c>
      <c r="X254" s="371">
        <f t="shared" si="154"/>
        <v>0</v>
      </c>
      <c r="Y254" s="371">
        <f t="shared" ref="Y254:Y317" si="161">SUM(U254:X254)</f>
        <v>3493.12</v>
      </c>
      <c r="Z254" s="371">
        <f t="shared" ref="Z254:Z317" si="162">+U254+Z253</f>
        <v>378976.30999999988</v>
      </c>
      <c r="AA254" s="371">
        <f t="shared" ref="AA254:AA317" si="163">+AA253+V254</f>
        <v>237979.58999999985</v>
      </c>
      <c r="AB254" s="371">
        <f t="shared" si="136"/>
        <v>-1921.3099999998799</v>
      </c>
      <c r="AC254" s="452">
        <f t="shared" si="145"/>
        <v>194</v>
      </c>
      <c r="AD254" s="553">
        <f t="shared" si="146"/>
        <v>-90208.250000000116</v>
      </c>
      <c r="AE254" s="553">
        <f t="shared" si="155"/>
        <v>-43310.199999999815</v>
      </c>
      <c r="AF254" s="553">
        <f t="shared" si="156"/>
        <v>-133518.44999999992</v>
      </c>
      <c r="AG254" s="553">
        <f t="shared" si="147"/>
        <v>3059.17</v>
      </c>
      <c r="AH254" s="553">
        <f t="shared" si="148"/>
        <v>47832.090000000084</v>
      </c>
      <c r="AI254" s="553"/>
      <c r="AJ254" s="21">
        <f t="shared" ref="AJ254:AJ317" si="164">+AG254-AI254</f>
        <v>3059.17</v>
      </c>
      <c r="AK254" s="21">
        <f t="shared" si="126"/>
        <v>531467.74999999919</v>
      </c>
      <c r="AL254" s="553">
        <f>IF(R254&lt;=0,0,+([1]Profit!$B$4+AM253)*$AL$1/12)</f>
        <v>1699.8881238063013</v>
      </c>
      <c r="AM254" s="21">
        <f t="shared" si="149"/>
        <v>262755.13764632691</v>
      </c>
    </row>
    <row r="255" spans="1:39" x14ac:dyDescent="0.25">
      <c r="A255" s="542">
        <f t="shared" si="137"/>
        <v>51609</v>
      </c>
      <c r="B255" s="298">
        <f t="shared" si="138"/>
        <v>41388.889999999934</v>
      </c>
      <c r="C255" s="14">
        <f t="shared" si="128"/>
        <v>433.95</v>
      </c>
      <c r="D255" s="14">
        <f t="shared" si="150"/>
        <v>270.12</v>
      </c>
      <c r="E255" s="14">
        <f t="shared" si="129"/>
        <v>163.83000000000001</v>
      </c>
      <c r="F255" s="298">
        <f t="shared" si="139"/>
        <v>42399.01999999999</v>
      </c>
      <c r="G255" s="298">
        <f t="shared" si="140"/>
        <v>62512.219999999972</v>
      </c>
      <c r="H255" s="298">
        <f t="shared" si="130"/>
        <v>41118.769999999931</v>
      </c>
      <c r="I255" s="451">
        <f t="shared" si="131"/>
        <v>16</v>
      </c>
      <c r="J255" s="298">
        <f t="shared" si="141"/>
        <v>273669.42999999959</v>
      </c>
      <c r="K255" s="298">
        <f t="shared" si="158"/>
        <v>2701.27</v>
      </c>
      <c r="L255" s="298">
        <f t="shared" si="151"/>
        <v>933.81999999999994</v>
      </c>
      <c r="M255" s="298">
        <f t="shared" si="159"/>
        <v>1767.45</v>
      </c>
      <c r="N255" s="298">
        <f t="shared" si="142"/>
        <v>104319.39000000004</v>
      </c>
      <c r="O255" s="298">
        <f t="shared" si="143"/>
        <v>425129.53000000032</v>
      </c>
      <c r="P255" s="298">
        <f t="shared" si="132"/>
        <v>272735.60999999958</v>
      </c>
      <c r="Q255" s="542">
        <f t="shared" si="133"/>
        <v>51609</v>
      </c>
      <c r="R255" s="298">
        <f t="shared" si="157"/>
        <v>0</v>
      </c>
      <c r="S255" s="535">
        <f t="shared" si="144"/>
        <v>7.7499999999999999E-2</v>
      </c>
      <c r="T255" s="298">
        <f t="shared" si="134"/>
        <v>0</v>
      </c>
      <c r="U255" s="298">
        <f t="shared" si="160"/>
        <v>0</v>
      </c>
      <c r="V255" s="298">
        <f t="shared" si="135"/>
        <v>0</v>
      </c>
      <c r="W255" s="298">
        <f t="shared" si="154"/>
        <v>0</v>
      </c>
      <c r="X255" s="298">
        <f t="shared" si="154"/>
        <v>0</v>
      </c>
      <c r="Y255" s="298">
        <f t="shared" si="161"/>
        <v>0</v>
      </c>
      <c r="Z255" s="298">
        <f t="shared" si="162"/>
        <v>378976.30999999988</v>
      </c>
      <c r="AA255" s="298">
        <f t="shared" si="163"/>
        <v>237979.58999999985</v>
      </c>
      <c r="AB255" s="298">
        <f t="shared" si="136"/>
        <v>0</v>
      </c>
      <c r="AC255" s="451">
        <f t="shared" si="145"/>
        <v>195</v>
      </c>
      <c r="AD255" s="552">
        <f t="shared" si="146"/>
        <v>-87506.980000000112</v>
      </c>
      <c r="AE255" s="552">
        <f t="shared" si="155"/>
        <v>-41118.769999999931</v>
      </c>
      <c r="AF255" s="552">
        <f t="shared" si="156"/>
        <v>-128625.75000000004</v>
      </c>
      <c r="AG255" s="552">
        <f t="shared" si="147"/>
        <v>-433.95</v>
      </c>
      <c r="AH255" s="552">
        <f t="shared" si="148"/>
        <v>48102.210000000137</v>
      </c>
      <c r="AI255" s="552"/>
      <c r="AJ255" s="14">
        <f t="shared" si="164"/>
        <v>-433.95</v>
      </c>
      <c r="AK255" s="14">
        <f t="shared" si="126"/>
        <v>531033.79999999923</v>
      </c>
      <c r="AL255" s="552">
        <f>IF(R255&lt;=0,0,+([1]Profit!$B$4+AM254)*$AL$1/12)</f>
        <v>0</v>
      </c>
      <c r="AM255" s="14">
        <f t="shared" si="149"/>
        <v>262755.13764632691</v>
      </c>
    </row>
    <row r="256" spans="1:39" x14ac:dyDescent="0.25">
      <c r="A256" s="542">
        <f t="shared" si="137"/>
        <v>51639</v>
      </c>
      <c r="B256" s="298">
        <f t="shared" si="138"/>
        <v>41118.769999999931</v>
      </c>
      <c r="C256" s="14">
        <f t="shared" si="128"/>
        <v>433.95</v>
      </c>
      <c r="D256" s="14">
        <f t="shared" si="150"/>
        <v>271.19</v>
      </c>
      <c r="E256" s="14">
        <f t="shared" si="129"/>
        <v>162.76</v>
      </c>
      <c r="F256" s="298">
        <f t="shared" si="139"/>
        <v>42670.209999999992</v>
      </c>
      <c r="G256" s="298">
        <f t="shared" si="140"/>
        <v>62674.979999999974</v>
      </c>
      <c r="H256" s="298">
        <f t="shared" si="130"/>
        <v>40847.579999999929</v>
      </c>
      <c r="I256" s="451">
        <f t="shared" si="131"/>
        <v>16</v>
      </c>
      <c r="J256" s="298">
        <f t="shared" si="141"/>
        <v>272735.60999999958</v>
      </c>
      <c r="K256" s="298">
        <f t="shared" si="158"/>
        <v>2701.27</v>
      </c>
      <c r="L256" s="298">
        <f t="shared" si="151"/>
        <v>939.84999999999991</v>
      </c>
      <c r="M256" s="298">
        <f t="shared" si="159"/>
        <v>1761.42</v>
      </c>
      <c r="N256" s="298">
        <f t="shared" si="142"/>
        <v>105259.24000000005</v>
      </c>
      <c r="O256" s="298">
        <f t="shared" si="143"/>
        <v>426890.9500000003</v>
      </c>
      <c r="P256" s="298">
        <f t="shared" si="132"/>
        <v>271795.7599999996</v>
      </c>
      <c r="Q256" s="542">
        <f t="shared" si="133"/>
        <v>51639</v>
      </c>
      <c r="R256" s="298">
        <f t="shared" si="157"/>
        <v>0</v>
      </c>
      <c r="S256" s="535">
        <f t="shared" si="144"/>
        <v>7.7499999999999999E-2</v>
      </c>
      <c r="T256" s="298">
        <f t="shared" si="134"/>
        <v>0</v>
      </c>
      <c r="U256" s="298">
        <f t="shared" si="160"/>
        <v>0</v>
      </c>
      <c r="V256" s="298">
        <f t="shared" si="135"/>
        <v>0</v>
      </c>
      <c r="W256" s="298">
        <f t="shared" si="154"/>
        <v>0</v>
      </c>
      <c r="X256" s="298">
        <f t="shared" si="154"/>
        <v>0</v>
      </c>
      <c r="Y256" s="298">
        <f t="shared" si="161"/>
        <v>0</v>
      </c>
      <c r="Z256" s="298">
        <f t="shared" si="162"/>
        <v>378976.30999999988</v>
      </c>
      <c r="AA256" s="298">
        <f t="shared" si="163"/>
        <v>237979.58999999985</v>
      </c>
      <c r="AB256" s="298">
        <f t="shared" si="136"/>
        <v>0</v>
      </c>
      <c r="AC256" s="451">
        <f t="shared" si="145"/>
        <v>196</v>
      </c>
      <c r="AD256" s="552">
        <f t="shared" si="146"/>
        <v>-84805.710000000108</v>
      </c>
      <c r="AE256" s="552">
        <f t="shared" si="155"/>
        <v>-40847.579999999929</v>
      </c>
      <c r="AF256" s="552">
        <f t="shared" si="156"/>
        <v>-125653.29000000004</v>
      </c>
      <c r="AG256" s="552">
        <f t="shared" si="147"/>
        <v>-433.95</v>
      </c>
      <c r="AH256" s="552">
        <f t="shared" si="148"/>
        <v>48373.400000000081</v>
      </c>
      <c r="AI256" s="552"/>
      <c r="AJ256" s="14">
        <f t="shared" si="164"/>
        <v>-433.95</v>
      </c>
      <c r="AK256" s="14">
        <f t="shared" si="126"/>
        <v>530599.84999999928</v>
      </c>
      <c r="AL256" s="552">
        <f>IF(R256&lt;=0,0,+([1]Profit!$B$4+AM255)*$AL$1/12)</f>
        <v>0</v>
      </c>
      <c r="AM256" s="14">
        <f t="shared" si="149"/>
        <v>262755.13764632691</v>
      </c>
    </row>
    <row r="257" spans="1:39" x14ac:dyDescent="0.25">
      <c r="A257" s="542">
        <f t="shared" si="137"/>
        <v>51669</v>
      </c>
      <c r="B257" s="298">
        <f t="shared" si="138"/>
        <v>40847.579999999929</v>
      </c>
      <c r="C257" s="14">
        <f t="shared" si="128"/>
        <v>433.95</v>
      </c>
      <c r="D257" s="14">
        <f t="shared" si="150"/>
        <v>272.26</v>
      </c>
      <c r="E257" s="14">
        <f t="shared" si="129"/>
        <v>161.69</v>
      </c>
      <c r="F257" s="298">
        <f t="shared" si="139"/>
        <v>42942.469999999994</v>
      </c>
      <c r="G257" s="298">
        <f t="shared" si="140"/>
        <v>62836.669999999976</v>
      </c>
      <c r="H257" s="298">
        <f t="shared" si="130"/>
        <v>40575.319999999927</v>
      </c>
      <c r="I257" s="451">
        <f t="shared" si="131"/>
        <v>16</v>
      </c>
      <c r="J257" s="298">
        <f t="shared" si="141"/>
        <v>271795.7599999996</v>
      </c>
      <c r="K257" s="298">
        <f t="shared" si="158"/>
        <v>2701.27</v>
      </c>
      <c r="L257" s="298">
        <f t="shared" si="151"/>
        <v>945.92000000000007</v>
      </c>
      <c r="M257" s="298">
        <f t="shared" si="159"/>
        <v>1755.35</v>
      </c>
      <c r="N257" s="298">
        <f t="shared" si="142"/>
        <v>106205.16000000005</v>
      </c>
      <c r="O257" s="298">
        <f t="shared" si="143"/>
        <v>428646.30000000028</v>
      </c>
      <c r="P257" s="298">
        <f t="shared" si="132"/>
        <v>270849.83999999962</v>
      </c>
      <c r="Q257" s="542">
        <f t="shared" si="133"/>
        <v>51669</v>
      </c>
      <c r="R257" s="298">
        <f t="shared" si="157"/>
        <v>0</v>
      </c>
      <c r="S257" s="535">
        <f t="shared" si="144"/>
        <v>7.7499999999999999E-2</v>
      </c>
      <c r="T257" s="298">
        <f t="shared" si="134"/>
        <v>0</v>
      </c>
      <c r="U257" s="298">
        <f t="shared" si="160"/>
        <v>0</v>
      </c>
      <c r="V257" s="298">
        <f t="shared" si="135"/>
        <v>0</v>
      </c>
      <c r="W257" s="298">
        <f t="shared" si="154"/>
        <v>0</v>
      </c>
      <c r="X257" s="298">
        <f t="shared" si="154"/>
        <v>0</v>
      </c>
      <c r="Y257" s="298">
        <f t="shared" si="161"/>
        <v>0</v>
      </c>
      <c r="Z257" s="298">
        <f t="shared" si="162"/>
        <v>378976.30999999988</v>
      </c>
      <c r="AA257" s="298">
        <f t="shared" si="163"/>
        <v>237979.58999999985</v>
      </c>
      <c r="AB257" s="298">
        <f t="shared" si="136"/>
        <v>0</v>
      </c>
      <c r="AC257" s="451">
        <f t="shared" si="145"/>
        <v>197</v>
      </c>
      <c r="AD257" s="552">
        <f t="shared" si="146"/>
        <v>-82104.440000000104</v>
      </c>
      <c r="AE257" s="552">
        <f t="shared" si="155"/>
        <v>-40575.319999999927</v>
      </c>
      <c r="AF257" s="552">
        <f t="shared" si="156"/>
        <v>-122679.76000000004</v>
      </c>
      <c r="AG257" s="552">
        <f t="shared" si="147"/>
        <v>-433.95</v>
      </c>
      <c r="AH257" s="552">
        <f t="shared" si="148"/>
        <v>48645.660000000091</v>
      </c>
      <c r="AI257" s="552"/>
      <c r="AJ257" s="14">
        <f t="shared" si="164"/>
        <v>-433.95</v>
      </c>
      <c r="AK257" s="14">
        <f t="shared" si="126"/>
        <v>530165.89999999932</v>
      </c>
      <c r="AL257" s="552">
        <f>IF(R257&lt;=0,0,+([1]Profit!$B$4+AM256)*$AL$1/12)</f>
        <v>0</v>
      </c>
      <c r="AM257" s="14">
        <f t="shared" si="149"/>
        <v>262755.13764632691</v>
      </c>
    </row>
    <row r="258" spans="1:39" x14ac:dyDescent="0.25">
      <c r="A258" s="542">
        <f t="shared" si="137"/>
        <v>51699</v>
      </c>
      <c r="B258" s="298">
        <f t="shared" si="138"/>
        <v>40575.319999999927</v>
      </c>
      <c r="C258" s="14">
        <f t="shared" si="128"/>
        <v>433.95</v>
      </c>
      <c r="D258" s="14">
        <f t="shared" si="150"/>
        <v>273.33999999999997</v>
      </c>
      <c r="E258" s="14">
        <f t="shared" si="129"/>
        <v>160.61000000000001</v>
      </c>
      <c r="F258" s="298">
        <f t="shared" si="139"/>
        <v>43215.80999999999</v>
      </c>
      <c r="G258" s="298">
        <f t="shared" si="140"/>
        <v>62997.279999999977</v>
      </c>
      <c r="H258" s="298">
        <f t="shared" si="130"/>
        <v>40301.97999999993</v>
      </c>
      <c r="I258" s="451">
        <f t="shared" si="131"/>
        <v>16</v>
      </c>
      <c r="J258" s="298">
        <f t="shared" si="141"/>
        <v>270849.83999999962</v>
      </c>
      <c r="K258" s="298">
        <f t="shared" si="158"/>
        <v>2701.27</v>
      </c>
      <c r="L258" s="298">
        <f t="shared" si="151"/>
        <v>952.03</v>
      </c>
      <c r="M258" s="298">
        <f t="shared" si="159"/>
        <v>1749.24</v>
      </c>
      <c r="N258" s="298">
        <f t="shared" si="142"/>
        <v>107157.19000000005</v>
      </c>
      <c r="O258" s="298">
        <f t="shared" si="143"/>
        <v>430395.54000000027</v>
      </c>
      <c r="P258" s="298">
        <f t="shared" si="132"/>
        <v>269897.80999999959</v>
      </c>
      <c r="Q258" s="542">
        <f t="shared" si="133"/>
        <v>51699</v>
      </c>
      <c r="R258" s="298">
        <f t="shared" si="157"/>
        <v>0</v>
      </c>
      <c r="S258" s="535">
        <f t="shared" si="144"/>
        <v>7.7499999999999999E-2</v>
      </c>
      <c r="T258" s="298">
        <f t="shared" si="134"/>
        <v>0</v>
      </c>
      <c r="U258" s="298">
        <f t="shared" si="160"/>
        <v>0</v>
      </c>
      <c r="V258" s="298">
        <f t="shared" si="135"/>
        <v>0</v>
      </c>
      <c r="W258" s="298">
        <f t="shared" si="154"/>
        <v>0</v>
      </c>
      <c r="X258" s="298">
        <f t="shared" si="154"/>
        <v>0</v>
      </c>
      <c r="Y258" s="298">
        <f t="shared" si="161"/>
        <v>0</v>
      </c>
      <c r="Z258" s="298">
        <f t="shared" si="162"/>
        <v>378976.30999999988</v>
      </c>
      <c r="AA258" s="298">
        <f t="shared" si="163"/>
        <v>237979.58999999985</v>
      </c>
      <c r="AB258" s="298">
        <f t="shared" si="136"/>
        <v>0</v>
      </c>
      <c r="AC258" s="451">
        <f t="shared" si="145"/>
        <v>198</v>
      </c>
      <c r="AD258" s="552">
        <f t="shared" si="146"/>
        <v>-79403.1700000001</v>
      </c>
      <c r="AE258" s="552">
        <f t="shared" si="155"/>
        <v>-40301.97999999993</v>
      </c>
      <c r="AF258" s="552">
        <f t="shared" si="156"/>
        <v>-119705.15000000002</v>
      </c>
      <c r="AG258" s="552">
        <f t="shared" si="147"/>
        <v>-433.95</v>
      </c>
      <c r="AH258" s="552">
        <f t="shared" si="148"/>
        <v>48919.000000000116</v>
      </c>
      <c r="AI258" s="552"/>
      <c r="AJ258" s="14">
        <f t="shared" si="164"/>
        <v>-433.95</v>
      </c>
      <c r="AK258" s="14">
        <f t="shared" ref="AK258:AK321" si="165">IF(P258&lt;=0,0,+AJ258+AK257)</f>
        <v>529731.94999999937</v>
      </c>
      <c r="AL258" s="552">
        <f>IF(R258&lt;=0,0,+([1]Profit!$B$4+AM257)*$AL$1/12)</f>
        <v>0</v>
      </c>
      <c r="AM258" s="14">
        <f t="shared" si="149"/>
        <v>262755.13764632691</v>
      </c>
    </row>
    <row r="259" spans="1:39" x14ac:dyDescent="0.25">
      <c r="A259" s="542">
        <f t="shared" si="137"/>
        <v>51729</v>
      </c>
      <c r="B259" s="298">
        <f t="shared" si="138"/>
        <v>40301.97999999993</v>
      </c>
      <c r="C259" s="14">
        <f t="shared" si="128"/>
        <v>433.95</v>
      </c>
      <c r="D259" s="14">
        <f t="shared" si="150"/>
        <v>274.41999999999996</v>
      </c>
      <c r="E259" s="14">
        <f t="shared" si="129"/>
        <v>159.53</v>
      </c>
      <c r="F259" s="298">
        <f t="shared" si="139"/>
        <v>43490.229999999989</v>
      </c>
      <c r="G259" s="298">
        <f t="shared" si="140"/>
        <v>63156.809999999976</v>
      </c>
      <c r="H259" s="298">
        <f t="shared" si="130"/>
        <v>40027.559999999932</v>
      </c>
      <c r="I259" s="451">
        <f t="shared" si="131"/>
        <v>16</v>
      </c>
      <c r="J259" s="298">
        <f t="shared" si="141"/>
        <v>269897.80999999959</v>
      </c>
      <c r="K259" s="298">
        <f t="shared" si="158"/>
        <v>2701.27</v>
      </c>
      <c r="L259" s="298">
        <f t="shared" si="151"/>
        <v>958.18000000000006</v>
      </c>
      <c r="M259" s="298">
        <f t="shared" si="159"/>
        <v>1743.09</v>
      </c>
      <c r="N259" s="298">
        <f t="shared" si="142"/>
        <v>108115.37000000004</v>
      </c>
      <c r="O259" s="298">
        <f t="shared" si="143"/>
        <v>432138.6300000003</v>
      </c>
      <c r="P259" s="298">
        <f t="shared" si="132"/>
        <v>268939.6299999996</v>
      </c>
      <c r="Q259" s="542">
        <f t="shared" si="133"/>
        <v>51729</v>
      </c>
      <c r="R259" s="298">
        <f t="shared" si="157"/>
        <v>0</v>
      </c>
      <c r="S259" s="535">
        <f t="shared" si="144"/>
        <v>7.7499999999999999E-2</v>
      </c>
      <c r="T259" s="298">
        <f t="shared" si="134"/>
        <v>0</v>
      </c>
      <c r="U259" s="298">
        <f t="shared" si="160"/>
        <v>0</v>
      </c>
      <c r="V259" s="298">
        <f t="shared" si="135"/>
        <v>0</v>
      </c>
      <c r="W259" s="298">
        <f t="shared" si="154"/>
        <v>0</v>
      </c>
      <c r="X259" s="298">
        <f t="shared" si="154"/>
        <v>0</v>
      </c>
      <c r="Y259" s="298">
        <f t="shared" si="161"/>
        <v>0</v>
      </c>
      <c r="Z259" s="298">
        <f t="shared" si="162"/>
        <v>378976.30999999988</v>
      </c>
      <c r="AA259" s="298">
        <f t="shared" si="163"/>
        <v>237979.58999999985</v>
      </c>
      <c r="AB259" s="298">
        <f t="shared" si="136"/>
        <v>0</v>
      </c>
      <c r="AC259" s="451">
        <f t="shared" si="145"/>
        <v>199</v>
      </c>
      <c r="AD259" s="552">
        <f t="shared" si="146"/>
        <v>-76701.900000000096</v>
      </c>
      <c r="AE259" s="552">
        <f t="shared" si="155"/>
        <v>-40027.559999999932</v>
      </c>
      <c r="AF259" s="552">
        <f t="shared" si="156"/>
        <v>-116729.46000000002</v>
      </c>
      <c r="AG259" s="552">
        <f t="shared" si="147"/>
        <v>-433.95</v>
      </c>
      <c r="AH259" s="552">
        <f t="shared" si="148"/>
        <v>49193.4200000001</v>
      </c>
      <c r="AI259" s="552"/>
      <c r="AJ259" s="14">
        <f t="shared" si="164"/>
        <v>-433.95</v>
      </c>
      <c r="AK259" s="14">
        <f t="shared" si="165"/>
        <v>529297.99999999942</v>
      </c>
      <c r="AL259" s="552">
        <f>IF(R259&lt;=0,0,+([1]Profit!$B$4+AM258)*$AL$1/12)</f>
        <v>0</v>
      </c>
      <c r="AM259" s="14">
        <f t="shared" si="149"/>
        <v>262755.13764632691</v>
      </c>
    </row>
    <row r="260" spans="1:39" x14ac:dyDescent="0.25">
      <c r="A260" s="542">
        <f t="shared" si="137"/>
        <v>51759</v>
      </c>
      <c r="B260" s="298">
        <f t="shared" si="138"/>
        <v>40027.559999999932</v>
      </c>
      <c r="C260" s="14">
        <f t="shared" si="128"/>
        <v>433.95</v>
      </c>
      <c r="D260" s="14">
        <f t="shared" si="150"/>
        <v>275.51</v>
      </c>
      <c r="E260" s="14">
        <f t="shared" si="129"/>
        <v>158.44</v>
      </c>
      <c r="F260" s="298">
        <f t="shared" si="139"/>
        <v>43765.739999999991</v>
      </c>
      <c r="G260" s="298">
        <f t="shared" si="140"/>
        <v>63315.249999999978</v>
      </c>
      <c r="H260" s="298">
        <f t="shared" si="130"/>
        <v>39752.04999999993</v>
      </c>
      <c r="I260" s="451">
        <f t="shared" si="131"/>
        <v>16</v>
      </c>
      <c r="J260" s="298">
        <f t="shared" si="141"/>
        <v>268939.6299999996</v>
      </c>
      <c r="K260" s="298">
        <f t="shared" si="158"/>
        <v>2701.27</v>
      </c>
      <c r="L260" s="298">
        <f t="shared" si="151"/>
        <v>964.36999999999989</v>
      </c>
      <c r="M260" s="298">
        <f t="shared" si="159"/>
        <v>1736.9</v>
      </c>
      <c r="N260" s="298">
        <f t="shared" si="142"/>
        <v>109079.74000000003</v>
      </c>
      <c r="O260" s="298">
        <f t="shared" si="143"/>
        <v>433875.53000000032</v>
      </c>
      <c r="P260" s="298">
        <f t="shared" si="132"/>
        <v>267975.2599999996</v>
      </c>
      <c r="Q260" s="542">
        <f t="shared" si="133"/>
        <v>51759</v>
      </c>
      <c r="R260" s="298">
        <f t="shared" si="157"/>
        <v>0</v>
      </c>
      <c r="S260" s="535">
        <f t="shared" si="144"/>
        <v>7.7499999999999999E-2</v>
      </c>
      <c r="T260" s="298">
        <f t="shared" si="134"/>
        <v>0</v>
      </c>
      <c r="U260" s="298">
        <f t="shared" si="160"/>
        <v>0</v>
      </c>
      <c r="V260" s="298">
        <f t="shared" si="135"/>
        <v>0</v>
      </c>
      <c r="W260" s="298">
        <f t="shared" si="154"/>
        <v>0</v>
      </c>
      <c r="X260" s="298">
        <f t="shared" si="154"/>
        <v>0</v>
      </c>
      <c r="Y260" s="298">
        <f t="shared" si="161"/>
        <v>0</v>
      </c>
      <c r="Z260" s="298">
        <f t="shared" si="162"/>
        <v>378976.30999999988</v>
      </c>
      <c r="AA260" s="298">
        <f t="shared" si="163"/>
        <v>237979.58999999985</v>
      </c>
      <c r="AB260" s="298">
        <f t="shared" si="136"/>
        <v>0</v>
      </c>
      <c r="AC260" s="451">
        <f t="shared" si="145"/>
        <v>200</v>
      </c>
      <c r="AD260" s="552">
        <f t="shared" si="146"/>
        <v>-74000.630000000092</v>
      </c>
      <c r="AE260" s="552">
        <f t="shared" si="155"/>
        <v>-39752.04999999993</v>
      </c>
      <c r="AF260" s="552">
        <f t="shared" si="156"/>
        <v>-113752.68000000002</v>
      </c>
      <c r="AG260" s="552">
        <f t="shared" si="147"/>
        <v>-433.95</v>
      </c>
      <c r="AH260" s="552">
        <f t="shared" si="148"/>
        <v>49468.930000000109</v>
      </c>
      <c r="AI260" s="552"/>
      <c r="AJ260" s="14">
        <f t="shared" si="164"/>
        <v>-433.95</v>
      </c>
      <c r="AK260" s="14">
        <f t="shared" si="165"/>
        <v>528864.04999999946</v>
      </c>
      <c r="AL260" s="552">
        <f>IF(R260&lt;=0,0,+([1]Profit!$B$4+AM259)*$AL$1/12)</f>
        <v>0</v>
      </c>
      <c r="AM260" s="14">
        <f t="shared" si="149"/>
        <v>262755.13764632691</v>
      </c>
    </row>
    <row r="261" spans="1:39" x14ac:dyDescent="0.25">
      <c r="A261" s="542">
        <f t="shared" si="137"/>
        <v>51789</v>
      </c>
      <c r="B261" s="298">
        <f t="shared" si="138"/>
        <v>39752.04999999993</v>
      </c>
      <c r="C261" s="14">
        <f t="shared" si="128"/>
        <v>433.95</v>
      </c>
      <c r="D261" s="14">
        <f t="shared" si="150"/>
        <v>276.60000000000002</v>
      </c>
      <c r="E261" s="14">
        <f t="shared" si="129"/>
        <v>157.35</v>
      </c>
      <c r="F261" s="298">
        <f t="shared" si="139"/>
        <v>44042.339999999989</v>
      </c>
      <c r="G261" s="298">
        <f t="shared" si="140"/>
        <v>63472.599999999977</v>
      </c>
      <c r="H261" s="298">
        <f t="shared" si="130"/>
        <v>39475.449999999932</v>
      </c>
      <c r="I261" s="451">
        <f t="shared" si="131"/>
        <v>16</v>
      </c>
      <c r="J261" s="298">
        <f t="shared" si="141"/>
        <v>267975.2599999996</v>
      </c>
      <c r="K261" s="298">
        <f t="shared" si="158"/>
        <v>2701.27</v>
      </c>
      <c r="L261" s="298">
        <f t="shared" si="151"/>
        <v>970.59999999999991</v>
      </c>
      <c r="M261" s="298">
        <f t="shared" si="159"/>
        <v>1730.67</v>
      </c>
      <c r="N261" s="298">
        <f t="shared" si="142"/>
        <v>110050.34000000004</v>
      </c>
      <c r="O261" s="298">
        <f t="shared" si="143"/>
        <v>435606.2000000003</v>
      </c>
      <c r="P261" s="298">
        <f t="shared" si="132"/>
        <v>267004.65999999963</v>
      </c>
      <c r="Q261" s="542">
        <f t="shared" si="133"/>
        <v>51789</v>
      </c>
      <c r="R261" s="298">
        <f t="shared" si="157"/>
        <v>0</v>
      </c>
      <c r="S261" s="535">
        <f t="shared" si="144"/>
        <v>7.7499999999999999E-2</v>
      </c>
      <c r="T261" s="298">
        <f t="shared" si="134"/>
        <v>0</v>
      </c>
      <c r="U261" s="298">
        <f t="shared" si="160"/>
        <v>0</v>
      </c>
      <c r="V261" s="298">
        <f t="shared" si="135"/>
        <v>0</v>
      </c>
      <c r="W261" s="298">
        <f t="shared" si="154"/>
        <v>0</v>
      </c>
      <c r="X261" s="298">
        <f t="shared" si="154"/>
        <v>0</v>
      </c>
      <c r="Y261" s="298">
        <f t="shared" si="161"/>
        <v>0</v>
      </c>
      <c r="Z261" s="298">
        <f t="shared" si="162"/>
        <v>378976.30999999988</v>
      </c>
      <c r="AA261" s="298">
        <f t="shared" si="163"/>
        <v>237979.58999999985</v>
      </c>
      <c r="AB261" s="298">
        <f t="shared" si="136"/>
        <v>0</v>
      </c>
      <c r="AC261" s="451">
        <f t="shared" si="145"/>
        <v>201</v>
      </c>
      <c r="AD261" s="552">
        <f t="shared" si="146"/>
        <v>-71299.360000000088</v>
      </c>
      <c r="AE261" s="552">
        <f t="shared" si="155"/>
        <v>-39475.449999999932</v>
      </c>
      <c r="AF261" s="552">
        <f t="shared" si="156"/>
        <v>-110774.81000000003</v>
      </c>
      <c r="AG261" s="552">
        <f t="shared" si="147"/>
        <v>-433.95</v>
      </c>
      <c r="AH261" s="552">
        <f t="shared" si="148"/>
        <v>49745.530000000086</v>
      </c>
      <c r="AI261" s="552"/>
      <c r="AJ261" s="14">
        <f t="shared" si="164"/>
        <v>-433.95</v>
      </c>
      <c r="AK261" s="14">
        <f t="shared" si="165"/>
        <v>528430.09999999951</v>
      </c>
      <c r="AL261" s="552">
        <f>IF(R261&lt;=0,0,+([1]Profit!$B$4+AM260)*$AL$1/12)</f>
        <v>0</v>
      </c>
      <c r="AM261" s="14">
        <f t="shared" si="149"/>
        <v>262755.13764632691</v>
      </c>
    </row>
    <row r="262" spans="1:39" x14ac:dyDescent="0.25">
      <c r="A262" s="542">
        <f t="shared" si="137"/>
        <v>51819</v>
      </c>
      <c r="B262" s="298">
        <f t="shared" si="138"/>
        <v>39475.449999999932</v>
      </c>
      <c r="C262" s="14">
        <f t="shared" si="128"/>
        <v>433.95</v>
      </c>
      <c r="D262" s="14">
        <f t="shared" si="150"/>
        <v>277.69</v>
      </c>
      <c r="E262" s="14">
        <f t="shared" si="129"/>
        <v>156.26</v>
      </c>
      <c r="F262" s="298">
        <f t="shared" si="139"/>
        <v>44320.029999999992</v>
      </c>
      <c r="G262" s="298">
        <f t="shared" si="140"/>
        <v>63628.859999999979</v>
      </c>
      <c r="H262" s="298">
        <f t="shared" si="130"/>
        <v>39197.759999999929</v>
      </c>
      <c r="I262" s="451">
        <f t="shared" si="131"/>
        <v>16</v>
      </c>
      <c r="J262" s="298">
        <f t="shared" si="141"/>
        <v>267004.65999999963</v>
      </c>
      <c r="K262" s="298">
        <f t="shared" si="158"/>
        <v>2701.27</v>
      </c>
      <c r="L262" s="298">
        <f t="shared" si="151"/>
        <v>976.8599999999999</v>
      </c>
      <c r="M262" s="298">
        <f t="shared" si="159"/>
        <v>1724.41</v>
      </c>
      <c r="N262" s="298">
        <f t="shared" si="142"/>
        <v>111027.20000000004</v>
      </c>
      <c r="O262" s="298">
        <f t="shared" si="143"/>
        <v>437330.61000000028</v>
      </c>
      <c r="P262" s="298">
        <f t="shared" si="132"/>
        <v>266027.79999999964</v>
      </c>
      <c r="Q262" s="542">
        <f t="shared" si="133"/>
        <v>51819</v>
      </c>
      <c r="R262" s="298">
        <f t="shared" si="157"/>
        <v>0</v>
      </c>
      <c r="S262" s="535">
        <f t="shared" si="144"/>
        <v>7.7499999999999999E-2</v>
      </c>
      <c r="T262" s="298">
        <f t="shared" si="134"/>
        <v>0</v>
      </c>
      <c r="U262" s="298">
        <f t="shared" si="160"/>
        <v>0</v>
      </c>
      <c r="V262" s="298">
        <f t="shared" si="135"/>
        <v>0</v>
      </c>
      <c r="W262" s="298">
        <f t="shared" si="154"/>
        <v>0</v>
      </c>
      <c r="X262" s="298">
        <f t="shared" si="154"/>
        <v>0</v>
      </c>
      <c r="Y262" s="298">
        <f t="shared" si="161"/>
        <v>0</v>
      </c>
      <c r="Z262" s="298">
        <f t="shared" si="162"/>
        <v>378976.30999999988</v>
      </c>
      <c r="AA262" s="298">
        <f t="shared" si="163"/>
        <v>237979.58999999985</v>
      </c>
      <c r="AB262" s="298">
        <f t="shared" si="136"/>
        <v>0</v>
      </c>
      <c r="AC262" s="451">
        <f t="shared" si="145"/>
        <v>202</v>
      </c>
      <c r="AD262" s="552">
        <f t="shared" si="146"/>
        <v>-68598.090000000084</v>
      </c>
      <c r="AE262" s="552">
        <f t="shared" si="155"/>
        <v>-39197.759999999929</v>
      </c>
      <c r="AF262" s="552">
        <f t="shared" si="156"/>
        <v>-107795.85</v>
      </c>
      <c r="AG262" s="552">
        <f t="shared" si="147"/>
        <v>-433.95</v>
      </c>
      <c r="AH262" s="552">
        <f t="shared" si="148"/>
        <v>50023.220000000088</v>
      </c>
      <c r="AI262" s="552"/>
      <c r="AJ262" s="14">
        <f t="shared" si="164"/>
        <v>-433.95</v>
      </c>
      <c r="AK262" s="14">
        <f t="shared" si="165"/>
        <v>527996.14999999956</v>
      </c>
      <c r="AL262" s="552">
        <f>IF(R262&lt;=0,0,+([1]Profit!$B$4+AM261)*$AL$1/12)</f>
        <v>0</v>
      </c>
      <c r="AM262" s="14">
        <f t="shared" si="149"/>
        <v>262755.13764632691</v>
      </c>
    </row>
    <row r="263" spans="1:39" x14ac:dyDescent="0.25">
      <c r="A263" s="542">
        <f t="shared" si="137"/>
        <v>51849</v>
      </c>
      <c r="B263" s="298">
        <f t="shared" si="138"/>
        <v>39197.759999999929</v>
      </c>
      <c r="C263" s="14">
        <f t="shared" si="128"/>
        <v>433.95</v>
      </c>
      <c r="D263" s="14">
        <f t="shared" si="150"/>
        <v>278.78999999999996</v>
      </c>
      <c r="E263" s="14">
        <f t="shared" si="129"/>
        <v>155.16</v>
      </c>
      <c r="F263" s="298">
        <f t="shared" si="139"/>
        <v>44598.819999999992</v>
      </c>
      <c r="G263" s="298">
        <f t="shared" si="140"/>
        <v>63784.019999999982</v>
      </c>
      <c r="H263" s="298">
        <f t="shared" si="130"/>
        <v>38918.969999999928</v>
      </c>
      <c r="I263" s="451">
        <f t="shared" si="131"/>
        <v>16</v>
      </c>
      <c r="J263" s="298">
        <f t="shared" si="141"/>
        <v>266027.79999999964</v>
      </c>
      <c r="K263" s="298">
        <f t="shared" si="158"/>
        <v>2701.27</v>
      </c>
      <c r="L263" s="298">
        <f t="shared" si="151"/>
        <v>983.17000000000007</v>
      </c>
      <c r="M263" s="298">
        <f t="shared" si="159"/>
        <v>1718.1</v>
      </c>
      <c r="N263" s="298">
        <f t="shared" si="142"/>
        <v>112010.37000000004</v>
      </c>
      <c r="O263" s="298">
        <f t="shared" si="143"/>
        <v>439048.71000000025</v>
      </c>
      <c r="P263" s="298">
        <f t="shared" si="132"/>
        <v>265044.62999999966</v>
      </c>
      <c r="Q263" s="542">
        <f t="shared" si="133"/>
        <v>51849</v>
      </c>
      <c r="R263" s="298">
        <f t="shared" si="157"/>
        <v>0</v>
      </c>
      <c r="S263" s="535">
        <f t="shared" si="144"/>
        <v>7.7499999999999999E-2</v>
      </c>
      <c r="T263" s="298">
        <f t="shared" si="134"/>
        <v>0</v>
      </c>
      <c r="U263" s="298">
        <f t="shared" si="160"/>
        <v>0</v>
      </c>
      <c r="V263" s="298">
        <f t="shared" si="135"/>
        <v>0</v>
      </c>
      <c r="W263" s="298">
        <f t="shared" si="154"/>
        <v>0</v>
      </c>
      <c r="X263" s="298">
        <f t="shared" si="154"/>
        <v>0</v>
      </c>
      <c r="Y263" s="298">
        <f t="shared" si="161"/>
        <v>0</v>
      </c>
      <c r="Z263" s="298">
        <f t="shared" si="162"/>
        <v>378976.30999999988</v>
      </c>
      <c r="AA263" s="298">
        <f t="shared" si="163"/>
        <v>237979.58999999985</v>
      </c>
      <c r="AB263" s="298">
        <f t="shared" si="136"/>
        <v>0</v>
      </c>
      <c r="AC263" s="451">
        <f t="shared" si="145"/>
        <v>203</v>
      </c>
      <c r="AD263" s="552">
        <f t="shared" si="146"/>
        <v>-65896.82000000008</v>
      </c>
      <c r="AE263" s="552">
        <f t="shared" si="155"/>
        <v>-38918.969999999928</v>
      </c>
      <c r="AF263" s="552">
        <f t="shared" si="156"/>
        <v>-104815.79000000001</v>
      </c>
      <c r="AG263" s="552">
        <f t="shared" si="147"/>
        <v>-433.95</v>
      </c>
      <c r="AH263" s="552">
        <f t="shared" si="148"/>
        <v>50302.010000000126</v>
      </c>
      <c r="AI263" s="552"/>
      <c r="AJ263" s="14">
        <f t="shared" si="164"/>
        <v>-433.95</v>
      </c>
      <c r="AK263" s="14">
        <f t="shared" si="165"/>
        <v>527562.1999999996</v>
      </c>
      <c r="AL263" s="552">
        <f>IF(R263&lt;=0,0,+([1]Profit!$B$4+AM262)*$AL$1/12)</f>
        <v>0</v>
      </c>
      <c r="AM263" s="14">
        <f t="shared" si="149"/>
        <v>262755.13764632691</v>
      </c>
    </row>
    <row r="264" spans="1:39" x14ac:dyDescent="0.25">
      <c r="A264" s="542">
        <f t="shared" si="137"/>
        <v>51879</v>
      </c>
      <c r="B264" s="298">
        <f t="shared" si="138"/>
        <v>38918.969999999928</v>
      </c>
      <c r="C264" s="14">
        <f t="shared" si="128"/>
        <v>433.95</v>
      </c>
      <c r="D264" s="14">
        <f t="shared" si="150"/>
        <v>279.89999999999998</v>
      </c>
      <c r="E264" s="14">
        <f t="shared" si="129"/>
        <v>154.05000000000001</v>
      </c>
      <c r="F264" s="298">
        <f t="shared" si="139"/>
        <v>44878.719999999994</v>
      </c>
      <c r="G264" s="298">
        <f t="shared" si="140"/>
        <v>63938.069999999985</v>
      </c>
      <c r="H264" s="298">
        <f t="shared" si="130"/>
        <v>38639.069999999927</v>
      </c>
      <c r="I264" s="451">
        <f t="shared" si="131"/>
        <v>17</v>
      </c>
      <c r="J264" s="298">
        <f t="shared" si="141"/>
        <v>265044.62999999966</v>
      </c>
      <c r="K264" s="298">
        <f t="shared" si="158"/>
        <v>2701.27</v>
      </c>
      <c r="L264" s="298">
        <f t="shared" si="151"/>
        <v>989.52</v>
      </c>
      <c r="M264" s="298">
        <f t="shared" si="159"/>
        <v>1711.75</v>
      </c>
      <c r="N264" s="298">
        <f t="shared" si="142"/>
        <v>112999.89000000004</v>
      </c>
      <c r="O264" s="298">
        <f t="shared" si="143"/>
        <v>440760.46000000025</v>
      </c>
      <c r="P264" s="298">
        <f t="shared" si="132"/>
        <v>264055.10999999964</v>
      </c>
      <c r="Q264" s="542">
        <f t="shared" si="133"/>
        <v>51879</v>
      </c>
      <c r="R264" s="298">
        <f t="shared" si="157"/>
        <v>0</v>
      </c>
      <c r="S264" s="535">
        <f t="shared" si="144"/>
        <v>7.7499999999999999E-2</v>
      </c>
      <c r="T264" s="298">
        <f t="shared" si="134"/>
        <v>0</v>
      </c>
      <c r="U264" s="298">
        <f t="shared" si="160"/>
        <v>0</v>
      </c>
      <c r="V264" s="298">
        <f t="shared" si="135"/>
        <v>0</v>
      </c>
      <c r="W264" s="298">
        <f t="shared" si="154"/>
        <v>0</v>
      </c>
      <c r="X264" s="298">
        <f t="shared" si="154"/>
        <v>0</v>
      </c>
      <c r="Y264" s="298">
        <f t="shared" si="161"/>
        <v>0</v>
      </c>
      <c r="Z264" s="298">
        <f t="shared" si="162"/>
        <v>378976.30999999988</v>
      </c>
      <c r="AA264" s="298">
        <f t="shared" si="163"/>
        <v>237979.58999999985</v>
      </c>
      <c r="AB264" s="298">
        <f t="shared" si="136"/>
        <v>0</v>
      </c>
      <c r="AC264" s="451">
        <f t="shared" si="145"/>
        <v>204</v>
      </c>
      <c r="AD264" s="552">
        <f t="shared" si="146"/>
        <v>-63195.550000000083</v>
      </c>
      <c r="AE264" s="552">
        <f t="shared" si="155"/>
        <v>-38639.069999999927</v>
      </c>
      <c r="AF264" s="552">
        <f t="shared" si="156"/>
        <v>-101834.62000000001</v>
      </c>
      <c r="AG264" s="552">
        <f t="shared" si="147"/>
        <v>-433.95</v>
      </c>
      <c r="AH264" s="552">
        <f t="shared" si="148"/>
        <v>50581.910000000091</v>
      </c>
      <c r="AI264" s="552"/>
      <c r="AJ264" s="14">
        <f t="shared" si="164"/>
        <v>-433.95</v>
      </c>
      <c r="AK264" s="14">
        <f t="shared" si="165"/>
        <v>527128.24999999965</v>
      </c>
      <c r="AL264" s="552">
        <f>IF(R264&lt;=0,0,+([1]Profit!$B$4+AM263)*$AL$1/12)</f>
        <v>0</v>
      </c>
      <c r="AM264" s="14">
        <f t="shared" si="149"/>
        <v>262755.13764632691</v>
      </c>
    </row>
    <row r="265" spans="1:39" x14ac:dyDescent="0.25">
      <c r="A265" s="542">
        <f t="shared" si="137"/>
        <v>51909</v>
      </c>
      <c r="B265" s="298">
        <f t="shared" si="138"/>
        <v>38639.069999999927</v>
      </c>
      <c r="C265" s="14">
        <f t="shared" si="128"/>
        <v>433.95</v>
      </c>
      <c r="D265" s="14">
        <f t="shared" si="150"/>
        <v>281</v>
      </c>
      <c r="E265" s="14">
        <f t="shared" si="129"/>
        <v>152.94999999999999</v>
      </c>
      <c r="F265" s="298">
        <f t="shared" si="139"/>
        <v>45159.719999999994</v>
      </c>
      <c r="G265" s="298">
        <f t="shared" si="140"/>
        <v>64091.019999999982</v>
      </c>
      <c r="H265" s="298">
        <f t="shared" si="130"/>
        <v>38358.069999999927</v>
      </c>
      <c r="I265" s="451">
        <f t="shared" si="131"/>
        <v>17</v>
      </c>
      <c r="J265" s="298">
        <f t="shared" si="141"/>
        <v>264055.10999999964</v>
      </c>
      <c r="K265" s="298">
        <f t="shared" si="158"/>
        <v>2701.27</v>
      </c>
      <c r="L265" s="298">
        <f t="shared" si="151"/>
        <v>995.91000000000008</v>
      </c>
      <c r="M265" s="298">
        <f t="shared" si="159"/>
        <v>1705.36</v>
      </c>
      <c r="N265" s="298">
        <f t="shared" si="142"/>
        <v>113995.80000000005</v>
      </c>
      <c r="O265" s="298">
        <f t="shared" si="143"/>
        <v>442465.82000000024</v>
      </c>
      <c r="P265" s="298">
        <f t="shared" si="132"/>
        <v>263059.19999999966</v>
      </c>
      <c r="Q265" s="542">
        <f t="shared" si="133"/>
        <v>51909</v>
      </c>
      <c r="R265" s="298">
        <f t="shared" si="157"/>
        <v>0</v>
      </c>
      <c r="S265" s="535">
        <f t="shared" si="144"/>
        <v>7.7499999999999999E-2</v>
      </c>
      <c r="T265" s="298">
        <f t="shared" si="134"/>
        <v>0</v>
      </c>
      <c r="U265" s="298">
        <f t="shared" si="160"/>
        <v>0</v>
      </c>
      <c r="V265" s="298">
        <f t="shared" si="135"/>
        <v>0</v>
      </c>
      <c r="W265" s="298">
        <f t="shared" si="154"/>
        <v>0</v>
      </c>
      <c r="X265" s="298">
        <f t="shared" si="154"/>
        <v>0</v>
      </c>
      <c r="Y265" s="298">
        <f t="shared" si="161"/>
        <v>0</v>
      </c>
      <c r="Z265" s="298">
        <f t="shared" si="162"/>
        <v>378976.30999999988</v>
      </c>
      <c r="AA265" s="298">
        <f t="shared" si="163"/>
        <v>237979.58999999985</v>
      </c>
      <c r="AB265" s="298">
        <f t="shared" si="136"/>
        <v>0</v>
      </c>
      <c r="AC265" s="451">
        <f t="shared" si="145"/>
        <v>205</v>
      </c>
      <c r="AD265" s="552">
        <f t="shared" si="146"/>
        <v>-60494.280000000086</v>
      </c>
      <c r="AE265" s="552">
        <f t="shared" si="155"/>
        <v>-38358.069999999927</v>
      </c>
      <c r="AF265" s="552">
        <f t="shared" si="156"/>
        <v>-98852.35</v>
      </c>
      <c r="AG265" s="552">
        <f t="shared" si="147"/>
        <v>-433.95</v>
      </c>
      <c r="AH265" s="552">
        <f t="shared" si="148"/>
        <v>50862.910000000091</v>
      </c>
      <c r="AI265" s="552"/>
      <c r="AJ265" s="14">
        <f t="shared" si="164"/>
        <v>-433.95</v>
      </c>
      <c r="AK265" s="14">
        <f t="shared" si="165"/>
        <v>526694.2999999997</v>
      </c>
      <c r="AL265" s="552">
        <f>IF(R265&lt;=0,0,+([1]Profit!$B$4+AM264)*$AL$1/12)</f>
        <v>0</v>
      </c>
      <c r="AM265" s="14">
        <f t="shared" si="149"/>
        <v>262755.13764632691</v>
      </c>
    </row>
    <row r="266" spans="1:39" ht="15.75" thickBot="1" x14ac:dyDescent="0.3">
      <c r="A266" s="545">
        <f t="shared" si="137"/>
        <v>51939</v>
      </c>
      <c r="B266" s="371">
        <f t="shared" si="138"/>
        <v>38358.069999999927</v>
      </c>
      <c r="C266" s="21">
        <f t="shared" si="128"/>
        <v>433.95</v>
      </c>
      <c r="D266" s="21">
        <f t="shared" si="150"/>
        <v>282.12</v>
      </c>
      <c r="E266" s="21">
        <f t="shared" si="129"/>
        <v>151.83000000000001</v>
      </c>
      <c r="F266" s="371">
        <f t="shared" si="139"/>
        <v>45441.84</v>
      </c>
      <c r="G266" s="371">
        <f t="shared" si="140"/>
        <v>64242.849999999984</v>
      </c>
      <c r="H266" s="371">
        <f t="shared" si="130"/>
        <v>38075.949999999924</v>
      </c>
      <c r="I266" s="452">
        <f t="shared" si="131"/>
        <v>17</v>
      </c>
      <c r="J266" s="371">
        <f t="shared" si="141"/>
        <v>263059.19999999966</v>
      </c>
      <c r="K266" s="371">
        <f t="shared" si="158"/>
        <v>2701.27</v>
      </c>
      <c r="L266" s="371">
        <f t="shared" si="151"/>
        <v>1002.3499999999999</v>
      </c>
      <c r="M266" s="371">
        <f t="shared" si="159"/>
        <v>1698.92</v>
      </c>
      <c r="N266" s="371">
        <f t="shared" si="142"/>
        <v>114998.15000000005</v>
      </c>
      <c r="O266" s="371">
        <f t="shared" si="143"/>
        <v>444164.74000000022</v>
      </c>
      <c r="P266" s="371">
        <f t="shared" si="132"/>
        <v>262056.84999999966</v>
      </c>
      <c r="Q266" s="545">
        <f t="shared" si="133"/>
        <v>51939</v>
      </c>
      <c r="R266" s="371">
        <f t="shared" si="157"/>
        <v>0</v>
      </c>
      <c r="S266" s="536">
        <f t="shared" si="144"/>
        <v>7.7499999999999999E-2</v>
      </c>
      <c r="T266" s="371">
        <f t="shared" si="134"/>
        <v>0</v>
      </c>
      <c r="U266" s="371">
        <f t="shared" si="160"/>
        <v>0</v>
      </c>
      <c r="V266" s="371">
        <f t="shared" si="135"/>
        <v>0</v>
      </c>
      <c r="W266" s="371">
        <f t="shared" si="154"/>
        <v>0</v>
      </c>
      <c r="X266" s="371">
        <f t="shared" si="154"/>
        <v>0</v>
      </c>
      <c r="Y266" s="371">
        <f t="shared" si="161"/>
        <v>0</v>
      </c>
      <c r="Z266" s="371">
        <f t="shared" si="162"/>
        <v>378976.30999999988</v>
      </c>
      <c r="AA266" s="371">
        <f t="shared" si="163"/>
        <v>237979.58999999985</v>
      </c>
      <c r="AB266" s="371">
        <f t="shared" si="136"/>
        <v>0</v>
      </c>
      <c r="AC266" s="452">
        <f t="shared" si="145"/>
        <v>206</v>
      </c>
      <c r="AD266" s="553">
        <f t="shared" si="146"/>
        <v>-57793.010000000089</v>
      </c>
      <c r="AE266" s="553">
        <f t="shared" si="155"/>
        <v>-38075.949999999924</v>
      </c>
      <c r="AF266" s="553">
        <f t="shared" si="156"/>
        <v>-95868.960000000021</v>
      </c>
      <c r="AG266" s="553">
        <f t="shared" si="147"/>
        <v>-433.95</v>
      </c>
      <c r="AH266" s="553">
        <f t="shared" si="148"/>
        <v>51145.030000000086</v>
      </c>
      <c r="AI266" s="553"/>
      <c r="AJ266" s="21">
        <f t="shared" si="164"/>
        <v>-433.95</v>
      </c>
      <c r="AK266" s="21">
        <f t="shared" si="165"/>
        <v>526260.34999999974</v>
      </c>
      <c r="AL266" s="553">
        <f>IF(R266&lt;=0,0,+([1]Profit!$B$4+AM265)*$AL$1/12)</f>
        <v>0</v>
      </c>
      <c r="AM266" s="21">
        <f t="shared" si="149"/>
        <v>262755.13764632691</v>
      </c>
    </row>
    <row r="267" spans="1:39" x14ac:dyDescent="0.25">
      <c r="A267" s="542">
        <f t="shared" si="137"/>
        <v>51969</v>
      </c>
      <c r="B267" s="298">
        <f t="shared" si="138"/>
        <v>38075.949999999924</v>
      </c>
      <c r="C267" s="14">
        <f t="shared" si="128"/>
        <v>433.95</v>
      </c>
      <c r="D267" s="14">
        <f t="shared" si="150"/>
        <v>283.23</v>
      </c>
      <c r="E267" s="14">
        <f t="shared" si="129"/>
        <v>150.72</v>
      </c>
      <c r="F267" s="298">
        <f t="shared" si="139"/>
        <v>45725.07</v>
      </c>
      <c r="G267" s="298">
        <f t="shared" si="140"/>
        <v>64393.569999999985</v>
      </c>
      <c r="H267" s="298">
        <f t="shared" si="130"/>
        <v>37792.719999999921</v>
      </c>
      <c r="I267" s="451">
        <f t="shared" si="131"/>
        <v>17</v>
      </c>
      <c r="J267" s="298">
        <f t="shared" si="141"/>
        <v>262056.84999999966</v>
      </c>
      <c r="K267" s="298">
        <f t="shared" si="158"/>
        <v>2701.27</v>
      </c>
      <c r="L267" s="298">
        <f t="shared" si="151"/>
        <v>1008.8199999999999</v>
      </c>
      <c r="M267" s="298">
        <f t="shared" si="159"/>
        <v>1692.45</v>
      </c>
      <c r="N267" s="298">
        <f t="shared" si="142"/>
        <v>116006.97000000006</v>
      </c>
      <c r="O267" s="298">
        <f t="shared" si="143"/>
        <v>445857.19000000024</v>
      </c>
      <c r="P267" s="298">
        <f t="shared" si="132"/>
        <v>261048.02999999965</v>
      </c>
      <c r="Q267" s="542">
        <f t="shared" si="133"/>
        <v>51969</v>
      </c>
      <c r="R267" s="298">
        <f t="shared" si="157"/>
        <v>0</v>
      </c>
      <c r="S267" s="535">
        <f t="shared" si="144"/>
        <v>7.7499999999999999E-2</v>
      </c>
      <c r="T267" s="298">
        <f t="shared" si="134"/>
        <v>0</v>
      </c>
      <c r="U267" s="298">
        <f t="shared" si="160"/>
        <v>0</v>
      </c>
      <c r="V267" s="298">
        <f t="shared" si="135"/>
        <v>0</v>
      </c>
      <c r="W267" s="298">
        <f t="shared" si="154"/>
        <v>0</v>
      </c>
      <c r="X267" s="298">
        <f t="shared" si="154"/>
        <v>0</v>
      </c>
      <c r="Y267" s="298">
        <f t="shared" si="161"/>
        <v>0</v>
      </c>
      <c r="Z267" s="298">
        <f t="shared" si="162"/>
        <v>378976.30999999988</v>
      </c>
      <c r="AA267" s="298">
        <f t="shared" si="163"/>
        <v>237979.58999999985</v>
      </c>
      <c r="AB267" s="298">
        <f t="shared" si="136"/>
        <v>0</v>
      </c>
      <c r="AC267" s="451">
        <f t="shared" si="145"/>
        <v>207</v>
      </c>
      <c r="AD267" s="552">
        <f t="shared" si="146"/>
        <v>-55091.740000000093</v>
      </c>
      <c r="AE267" s="552">
        <f t="shared" si="155"/>
        <v>-37792.719999999921</v>
      </c>
      <c r="AF267" s="552">
        <f t="shared" si="156"/>
        <v>-92884.460000000021</v>
      </c>
      <c r="AG267" s="552">
        <f t="shared" si="147"/>
        <v>-433.95</v>
      </c>
      <c r="AH267" s="552">
        <f t="shared" si="148"/>
        <v>51428.260000000126</v>
      </c>
      <c r="AI267" s="552"/>
      <c r="AJ267" s="14">
        <f t="shared" si="164"/>
        <v>-433.95</v>
      </c>
      <c r="AK267" s="14">
        <f t="shared" si="165"/>
        <v>525826.39999999979</v>
      </c>
      <c r="AL267" s="552">
        <f>IF(R267&lt;=0,0,+([1]Profit!$B$4+AM266)*$AL$1/12)</f>
        <v>0</v>
      </c>
      <c r="AM267" s="14">
        <f t="shared" si="149"/>
        <v>262755.13764632691</v>
      </c>
    </row>
    <row r="268" spans="1:39" x14ac:dyDescent="0.25">
      <c r="A268" s="542">
        <f t="shared" si="137"/>
        <v>51999</v>
      </c>
      <c r="B268" s="298">
        <f t="shared" si="138"/>
        <v>37792.719999999921</v>
      </c>
      <c r="C268" s="14">
        <f t="shared" si="128"/>
        <v>433.95</v>
      </c>
      <c r="D268" s="14">
        <f t="shared" si="150"/>
        <v>284.35000000000002</v>
      </c>
      <c r="E268" s="14">
        <f t="shared" si="129"/>
        <v>149.6</v>
      </c>
      <c r="F268" s="298">
        <f t="shared" si="139"/>
        <v>46009.42</v>
      </c>
      <c r="G268" s="298">
        <f t="shared" si="140"/>
        <v>64543.169999999984</v>
      </c>
      <c r="H268" s="298">
        <f t="shared" si="130"/>
        <v>37508.369999999923</v>
      </c>
      <c r="I268" s="451">
        <f t="shared" si="131"/>
        <v>17</v>
      </c>
      <c r="J268" s="298">
        <f t="shared" si="141"/>
        <v>261048.02999999965</v>
      </c>
      <c r="K268" s="298">
        <f t="shared" si="158"/>
        <v>2701.27</v>
      </c>
      <c r="L268" s="298">
        <f t="shared" si="151"/>
        <v>1015.3299999999999</v>
      </c>
      <c r="M268" s="298">
        <f t="shared" si="159"/>
        <v>1685.94</v>
      </c>
      <c r="N268" s="298">
        <f t="shared" si="142"/>
        <v>117022.30000000006</v>
      </c>
      <c r="O268" s="298">
        <f t="shared" si="143"/>
        <v>447543.13000000024</v>
      </c>
      <c r="P268" s="298">
        <f t="shared" si="132"/>
        <v>260032.69999999966</v>
      </c>
      <c r="Q268" s="542">
        <f t="shared" si="133"/>
        <v>51999</v>
      </c>
      <c r="R268" s="298">
        <f t="shared" si="157"/>
        <v>0</v>
      </c>
      <c r="S268" s="535">
        <f t="shared" si="144"/>
        <v>7.7499999999999999E-2</v>
      </c>
      <c r="T268" s="298">
        <f t="shared" si="134"/>
        <v>0</v>
      </c>
      <c r="U268" s="298">
        <f t="shared" si="160"/>
        <v>0</v>
      </c>
      <c r="V268" s="298">
        <f t="shared" si="135"/>
        <v>0</v>
      </c>
      <c r="W268" s="298">
        <f t="shared" ref="W268:X283" si="166">+W267</f>
        <v>0</v>
      </c>
      <c r="X268" s="298">
        <f t="shared" si="166"/>
        <v>0</v>
      </c>
      <c r="Y268" s="298">
        <f t="shared" si="161"/>
        <v>0</v>
      </c>
      <c r="Z268" s="298">
        <f t="shared" si="162"/>
        <v>378976.30999999988</v>
      </c>
      <c r="AA268" s="298">
        <f t="shared" si="163"/>
        <v>237979.58999999985</v>
      </c>
      <c r="AB268" s="298">
        <f t="shared" si="136"/>
        <v>0</v>
      </c>
      <c r="AC268" s="451">
        <f t="shared" si="145"/>
        <v>208</v>
      </c>
      <c r="AD268" s="552">
        <f t="shared" si="146"/>
        <v>-52390.470000000096</v>
      </c>
      <c r="AE268" s="552">
        <f t="shared" si="155"/>
        <v>-37508.369999999923</v>
      </c>
      <c r="AF268" s="552">
        <f t="shared" si="156"/>
        <v>-89898.840000000026</v>
      </c>
      <c r="AG268" s="552">
        <f t="shared" si="147"/>
        <v>-433.95</v>
      </c>
      <c r="AH268" s="552">
        <f t="shared" si="148"/>
        <v>51712.610000000102</v>
      </c>
      <c r="AI268" s="552"/>
      <c r="AJ268" s="14">
        <f t="shared" si="164"/>
        <v>-433.95</v>
      </c>
      <c r="AK268" s="14">
        <f t="shared" si="165"/>
        <v>525392.44999999984</v>
      </c>
      <c r="AL268" s="552">
        <f>IF(R268&lt;=0,0,+([1]Profit!$B$4+AM267)*$AL$1/12)</f>
        <v>0</v>
      </c>
      <c r="AM268" s="14">
        <f t="shared" si="149"/>
        <v>262755.13764632691</v>
      </c>
    </row>
    <row r="269" spans="1:39" x14ac:dyDescent="0.25">
      <c r="A269" s="542">
        <f t="shared" si="137"/>
        <v>52029</v>
      </c>
      <c r="B269" s="298">
        <f t="shared" si="138"/>
        <v>37508.369999999923</v>
      </c>
      <c r="C269" s="14">
        <f t="shared" si="128"/>
        <v>433.95</v>
      </c>
      <c r="D269" s="14">
        <f t="shared" si="150"/>
        <v>285.48</v>
      </c>
      <c r="E269" s="14">
        <f t="shared" si="129"/>
        <v>148.47</v>
      </c>
      <c r="F269" s="298">
        <f t="shared" si="139"/>
        <v>46294.9</v>
      </c>
      <c r="G269" s="298">
        <f t="shared" si="140"/>
        <v>64691.639999999985</v>
      </c>
      <c r="H269" s="298">
        <f t="shared" si="130"/>
        <v>37222.889999999919</v>
      </c>
      <c r="I269" s="451">
        <f t="shared" si="131"/>
        <v>17</v>
      </c>
      <c r="J269" s="298">
        <f t="shared" si="141"/>
        <v>260032.69999999966</v>
      </c>
      <c r="K269" s="298">
        <f t="shared" si="158"/>
        <v>2701.27</v>
      </c>
      <c r="L269" s="298">
        <f t="shared" si="151"/>
        <v>1021.8899999999999</v>
      </c>
      <c r="M269" s="298">
        <f t="shared" si="159"/>
        <v>1679.38</v>
      </c>
      <c r="N269" s="298">
        <f t="shared" si="142"/>
        <v>118044.19000000006</v>
      </c>
      <c r="O269" s="298">
        <f t="shared" si="143"/>
        <v>449222.51000000024</v>
      </c>
      <c r="P269" s="298">
        <f t="shared" si="132"/>
        <v>259010.80999999965</v>
      </c>
      <c r="Q269" s="542">
        <f t="shared" si="133"/>
        <v>52029</v>
      </c>
      <c r="R269" s="298">
        <f t="shared" si="157"/>
        <v>0</v>
      </c>
      <c r="S269" s="535">
        <f t="shared" si="144"/>
        <v>7.7499999999999999E-2</v>
      </c>
      <c r="T269" s="298">
        <f t="shared" si="134"/>
        <v>0</v>
      </c>
      <c r="U269" s="298">
        <f t="shared" si="160"/>
        <v>0</v>
      </c>
      <c r="V269" s="298">
        <f t="shared" si="135"/>
        <v>0</v>
      </c>
      <c r="W269" s="298">
        <f t="shared" si="166"/>
        <v>0</v>
      </c>
      <c r="X269" s="298">
        <f t="shared" si="166"/>
        <v>0</v>
      </c>
      <c r="Y269" s="298">
        <f t="shared" si="161"/>
        <v>0</v>
      </c>
      <c r="Z269" s="298">
        <f t="shared" si="162"/>
        <v>378976.30999999988</v>
      </c>
      <c r="AA269" s="298">
        <f t="shared" si="163"/>
        <v>237979.58999999985</v>
      </c>
      <c r="AB269" s="298">
        <f t="shared" si="136"/>
        <v>0</v>
      </c>
      <c r="AC269" s="451">
        <f t="shared" si="145"/>
        <v>209</v>
      </c>
      <c r="AD269" s="552">
        <f t="shared" si="146"/>
        <v>-49689.200000000099</v>
      </c>
      <c r="AE269" s="552">
        <f t="shared" si="155"/>
        <v>-37222.889999999919</v>
      </c>
      <c r="AF269" s="552">
        <f t="shared" si="156"/>
        <v>-86912.090000000026</v>
      </c>
      <c r="AG269" s="552">
        <f t="shared" si="147"/>
        <v>-433.95</v>
      </c>
      <c r="AH269" s="552">
        <f t="shared" si="148"/>
        <v>51998.090000000142</v>
      </c>
      <c r="AI269" s="552"/>
      <c r="AJ269" s="14">
        <f t="shared" si="164"/>
        <v>-433.95</v>
      </c>
      <c r="AK269" s="14">
        <f t="shared" si="165"/>
        <v>524958.49999999988</v>
      </c>
      <c r="AL269" s="552">
        <f>IF(R269&lt;=0,0,+([1]Profit!$B$4+AM268)*$AL$1/12)</f>
        <v>0</v>
      </c>
      <c r="AM269" s="14">
        <f t="shared" si="149"/>
        <v>262755.13764632691</v>
      </c>
    </row>
    <row r="270" spans="1:39" x14ac:dyDescent="0.25">
      <c r="A270" s="542">
        <f t="shared" si="137"/>
        <v>52059</v>
      </c>
      <c r="B270" s="298">
        <f t="shared" si="138"/>
        <v>37222.889999999919</v>
      </c>
      <c r="C270" s="14">
        <f t="shared" si="128"/>
        <v>433.95</v>
      </c>
      <c r="D270" s="14">
        <f t="shared" si="150"/>
        <v>286.61</v>
      </c>
      <c r="E270" s="14">
        <f t="shared" si="129"/>
        <v>147.34</v>
      </c>
      <c r="F270" s="298">
        <f t="shared" si="139"/>
        <v>46581.51</v>
      </c>
      <c r="G270" s="298">
        <f t="shared" si="140"/>
        <v>64838.979999999981</v>
      </c>
      <c r="H270" s="298">
        <f t="shared" si="130"/>
        <v>36936.279999999919</v>
      </c>
      <c r="I270" s="451">
        <f t="shared" si="131"/>
        <v>17</v>
      </c>
      <c r="J270" s="298">
        <f t="shared" si="141"/>
        <v>259010.80999999965</v>
      </c>
      <c r="K270" s="298">
        <f t="shared" si="158"/>
        <v>2701.27</v>
      </c>
      <c r="L270" s="298">
        <f t="shared" si="151"/>
        <v>1028.49</v>
      </c>
      <c r="M270" s="298">
        <f t="shared" si="159"/>
        <v>1672.78</v>
      </c>
      <c r="N270" s="298">
        <f t="shared" si="142"/>
        <v>119072.68000000007</v>
      </c>
      <c r="O270" s="298">
        <f t="shared" si="143"/>
        <v>450895.29000000027</v>
      </c>
      <c r="P270" s="298">
        <f t="shared" si="132"/>
        <v>257982.31999999966</v>
      </c>
      <c r="Q270" s="542">
        <f t="shared" si="133"/>
        <v>52059</v>
      </c>
      <c r="R270" s="298">
        <f t="shared" si="157"/>
        <v>0</v>
      </c>
      <c r="S270" s="535">
        <f t="shared" si="144"/>
        <v>7.7499999999999999E-2</v>
      </c>
      <c r="T270" s="298">
        <f t="shared" si="134"/>
        <v>0</v>
      </c>
      <c r="U270" s="298">
        <f t="shared" si="160"/>
        <v>0</v>
      </c>
      <c r="V270" s="298">
        <f t="shared" si="135"/>
        <v>0</v>
      </c>
      <c r="W270" s="298">
        <f t="shared" si="166"/>
        <v>0</v>
      </c>
      <c r="X270" s="298">
        <f t="shared" si="166"/>
        <v>0</v>
      </c>
      <c r="Y270" s="298">
        <f t="shared" si="161"/>
        <v>0</v>
      </c>
      <c r="Z270" s="298">
        <f t="shared" si="162"/>
        <v>378976.30999999988</v>
      </c>
      <c r="AA270" s="298">
        <f t="shared" si="163"/>
        <v>237979.58999999985</v>
      </c>
      <c r="AB270" s="298">
        <f t="shared" si="136"/>
        <v>0</v>
      </c>
      <c r="AC270" s="451">
        <f t="shared" si="145"/>
        <v>210</v>
      </c>
      <c r="AD270" s="552">
        <f t="shared" si="146"/>
        <v>-46987.930000000102</v>
      </c>
      <c r="AE270" s="552">
        <f t="shared" si="155"/>
        <v>-36936.279999999919</v>
      </c>
      <c r="AF270" s="552">
        <f t="shared" si="156"/>
        <v>-83924.210000000021</v>
      </c>
      <c r="AG270" s="552">
        <f t="shared" si="147"/>
        <v>-433.95</v>
      </c>
      <c r="AH270" s="552">
        <f t="shared" si="148"/>
        <v>52284.700000000128</v>
      </c>
      <c r="AI270" s="552"/>
      <c r="AJ270" s="14">
        <f t="shared" si="164"/>
        <v>-433.95</v>
      </c>
      <c r="AK270" s="14">
        <f t="shared" si="165"/>
        <v>524524.54999999993</v>
      </c>
      <c r="AL270" s="552">
        <f>IF(R270&lt;=0,0,+([1]Profit!$B$4+AM269)*$AL$1/12)</f>
        <v>0</v>
      </c>
      <c r="AM270" s="14">
        <f t="shared" si="149"/>
        <v>262755.13764632691</v>
      </c>
    </row>
    <row r="271" spans="1:39" x14ac:dyDescent="0.25">
      <c r="A271" s="542">
        <f t="shared" si="137"/>
        <v>52089</v>
      </c>
      <c r="B271" s="298">
        <f t="shared" si="138"/>
        <v>36936.279999999919</v>
      </c>
      <c r="C271" s="14">
        <f t="shared" ref="C271:C334" si="167">IF(+$H270&lt;=0,0,$C$5)</f>
        <v>433.95</v>
      </c>
      <c r="D271" s="14">
        <f t="shared" si="150"/>
        <v>287.74</v>
      </c>
      <c r="E271" s="14">
        <f t="shared" ref="E271:E334" si="168">ROUND($B271*($C$3/12), 2)</f>
        <v>146.21</v>
      </c>
      <c r="F271" s="298">
        <f t="shared" si="139"/>
        <v>46869.25</v>
      </c>
      <c r="G271" s="298">
        <f t="shared" si="140"/>
        <v>64985.189999999981</v>
      </c>
      <c r="H271" s="298">
        <f t="shared" ref="H271:H334" si="169">+B271-D271</f>
        <v>36648.539999999921</v>
      </c>
      <c r="I271" s="451">
        <f t="shared" ref="I271:I334" si="170">IF(MOD(AC271,12)=0,AC271/12,I270)</f>
        <v>17</v>
      </c>
      <c r="J271" s="298">
        <f t="shared" si="141"/>
        <v>257982.31999999966</v>
      </c>
      <c r="K271" s="298">
        <f t="shared" si="158"/>
        <v>2701.27</v>
      </c>
      <c r="L271" s="298">
        <f t="shared" si="151"/>
        <v>1035.1299999999999</v>
      </c>
      <c r="M271" s="298">
        <f t="shared" si="159"/>
        <v>1666.14</v>
      </c>
      <c r="N271" s="298">
        <f t="shared" si="142"/>
        <v>120107.81000000007</v>
      </c>
      <c r="O271" s="298">
        <f t="shared" si="143"/>
        <v>452561.43000000028</v>
      </c>
      <c r="P271" s="298">
        <f t="shared" ref="P271:P334" si="171">+J271-L271</f>
        <v>256947.18999999965</v>
      </c>
      <c r="Q271" s="542">
        <f t="shared" ref="Q271:Q334" si="172">+A271</f>
        <v>52089</v>
      </c>
      <c r="R271" s="298">
        <f t="shared" si="157"/>
        <v>0</v>
      </c>
      <c r="S271" s="535">
        <f t="shared" si="144"/>
        <v>7.7499999999999999E-2</v>
      </c>
      <c r="T271" s="298">
        <f t="shared" ref="T271:T334" si="173">IF($J$10&lt;=$A271,IF(+AB270&lt;=0,0,IF(S271=$T$9,$S$9,$S$10)),0)</f>
        <v>0</v>
      </c>
      <c r="U271" s="298">
        <f t="shared" si="160"/>
        <v>0</v>
      </c>
      <c r="V271" s="298">
        <f t="shared" ref="V271:V334" si="174">IF($J$10&lt;=$A271,ROUND(R271*(S271/12),2),0)</f>
        <v>0</v>
      </c>
      <c r="W271" s="298">
        <f t="shared" si="166"/>
        <v>0</v>
      </c>
      <c r="X271" s="298">
        <f t="shared" si="166"/>
        <v>0</v>
      </c>
      <c r="Y271" s="298">
        <f t="shared" si="161"/>
        <v>0</v>
      </c>
      <c r="Z271" s="298">
        <f t="shared" si="162"/>
        <v>378976.30999999988</v>
      </c>
      <c r="AA271" s="298">
        <f t="shared" si="163"/>
        <v>237979.58999999985</v>
      </c>
      <c r="AB271" s="298">
        <f t="shared" ref="AB271:AB334" si="175">IF(Q271&lt;$J$10,$J$6,+R271-U271)</f>
        <v>0</v>
      </c>
      <c r="AC271" s="451">
        <f t="shared" si="145"/>
        <v>211</v>
      </c>
      <c r="AD271" s="552">
        <f t="shared" si="146"/>
        <v>-44286.660000000105</v>
      </c>
      <c r="AE271" s="552">
        <f t="shared" si="155"/>
        <v>-36648.539999999921</v>
      </c>
      <c r="AF271" s="552">
        <f t="shared" si="156"/>
        <v>-80935.200000000026</v>
      </c>
      <c r="AG271" s="552">
        <f t="shared" si="147"/>
        <v>-433.95</v>
      </c>
      <c r="AH271" s="552">
        <f t="shared" si="148"/>
        <v>52572.440000000119</v>
      </c>
      <c r="AI271" s="552"/>
      <c r="AJ271" s="14">
        <f t="shared" si="164"/>
        <v>-433.95</v>
      </c>
      <c r="AK271" s="14">
        <f t="shared" si="165"/>
        <v>524090.59999999992</v>
      </c>
      <c r="AL271" s="552">
        <f>IF(R271&lt;=0,0,+([1]Profit!$B$4+AM270)*$AL$1/12)</f>
        <v>0</v>
      </c>
      <c r="AM271" s="14">
        <f t="shared" si="149"/>
        <v>262755.13764632691</v>
      </c>
    </row>
    <row r="272" spans="1:39" x14ac:dyDescent="0.25">
      <c r="A272" s="542">
        <f t="shared" ref="A272:A335" si="176">IF(H272&lt;=0," ",+A271+30)</f>
        <v>52119</v>
      </c>
      <c r="B272" s="298">
        <f t="shared" ref="B272:B335" si="177">IF(+H271&lt;0,0,+H271)</f>
        <v>36648.539999999921</v>
      </c>
      <c r="C272" s="14">
        <f t="shared" si="167"/>
        <v>433.95</v>
      </c>
      <c r="D272" s="14">
        <f t="shared" si="150"/>
        <v>288.88</v>
      </c>
      <c r="E272" s="14">
        <f t="shared" si="168"/>
        <v>145.07</v>
      </c>
      <c r="F272" s="298">
        <f t="shared" ref="F272:F335" si="178">$D272+$F271</f>
        <v>47158.13</v>
      </c>
      <c r="G272" s="298">
        <f t="shared" ref="G272:G335" si="179">$E272+$G271</f>
        <v>65130.25999999998</v>
      </c>
      <c r="H272" s="298">
        <f t="shared" si="169"/>
        <v>36359.659999999923</v>
      </c>
      <c r="I272" s="451">
        <f t="shared" si="170"/>
        <v>17</v>
      </c>
      <c r="J272" s="298">
        <f t="shared" ref="J272:J335" si="180">IF(+P271&lt;0,0,+P271)</f>
        <v>256947.18999999965</v>
      </c>
      <c r="K272" s="298">
        <f t="shared" si="158"/>
        <v>2701.27</v>
      </c>
      <c r="L272" s="298">
        <f t="shared" si="151"/>
        <v>1041.82</v>
      </c>
      <c r="M272" s="298">
        <f t="shared" si="159"/>
        <v>1659.45</v>
      </c>
      <c r="N272" s="298">
        <f t="shared" ref="N272:N335" si="181">+L272+N271</f>
        <v>121149.63000000008</v>
      </c>
      <c r="O272" s="298">
        <f t="shared" ref="O272:O335" si="182">+O271+M272</f>
        <v>454220.8800000003</v>
      </c>
      <c r="P272" s="298">
        <f t="shared" si="171"/>
        <v>255905.36999999965</v>
      </c>
      <c r="Q272" s="542">
        <f t="shared" si="172"/>
        <v>52119</v>
      </c>
      <c r="R272" s="298">
        <f t="shared" si="157"/>
        <v>0</v>
      </c>
      <c r="S272" s="535">
        <f t="shared" ref="S272:S335" si="183">IF(AC272&gt;60,$T$10,$T$9)</f>
        <v>7.7499999999999999E-2</v>
      </c>
      <c r="T272" s="298">
        <f t="shared" si="173"/>
        <v>0</v>
      </c>
      <c r="U272" s="298">
        <f t="shared" si="160"/>
        <v>0</v>
      </c>
      <c r="V272" s="298">
        <f t="shared" si="174"/>
        <v>0</v>
      </c>
      <c r="W272" s="298">
        <f t="shared" si="166"/>
        <v>0</v>
      </c>
      <c r="X272" s="298">
        <f t="shared" si="166"/>
        <v>0</v>
      </c>
      <c r="Y272" s="298">
        <f t="shared" si="161"/>
        <v>0</v>
      </c>
      <c r="Z272" s="298">
        <f t="shared" si="162"/>
        <v>378976.30999999988</v>
      </c>
      <c r="AA272" s="298">
        <f t="shared" si="163"/>
        <v>237979.58999999985</v>
      </c>
      <c r="AB272" s="298">
        <f t="shared" si="175"/>
        <v>0</v>
      </c>
      <c r="AC272" s="451">
        <f t="shared" ref="AC272:AC335" si="184">IF(J272&lt;&gt;"",IF(J272=$J$6,0,+AC271+1),0)</f>
        <v>212</v>
      </c>
      <c r="AD272" s="552">
        <f t="shared" ref="AD272:AD335" si="185">K272-T272+AD271</f>
        <v>-41585.390000000109</v>
      </c>
      <c r="AE272" s="552">
        <f t="shared" si="155"/>
        <v>-36359.659999999923</v>
      </c>
      <c r="AF272" s="552">
        <f t="shared" si="156"/>
        <v>-77945.050000000032</v>
      </c>
      <c r="AG272" s="552">
        <f t="shared" ref="AG272:AG335" si="186">IF(Q272&lt;=$C$10,0,+T272-$C272)</f>
        <v>-433.95</v>
      </c>
      <c r="AH272" s="552">
        <f t="shared" ref="AH272:AH335" si="187">IF(P272&lt;=0,0,+$T$5-$C$2+F272-Z272)</f>
        <v>52861.320000000123</v>
      </c>
      <c r="AI272" s="552"/>
      <c r="AJ272" s="14">
        <f t="shared" si="164"/>
        <v>-433.95</v>
      </c>
      <c r="AK272" s="14">
        <f t="shared" si="165"/>
        <v>523656.64999999991</v>
      </c>
      <c r="AL272" s="552">
        <f>IF(R272&lt;=0,0,+([1]Profit!$B$4+AM271)*$AL$1/12)</f>
        <v>0</v>
      </c>
      <c r="AM272" s="14">
        <f t="shared" ref="AM272:AM335" si="188">IF(P272&lt;=0,0,+AM271+AL272)</f>
        <v>262755.13764632691</v>
      </c>
    </row>
    <row r="273" spans="1:39" x14ac:dyDescent="0.25">
      <c r="A273" s="542">
        <f t="shared" si="176"/>
        <v>52149</v>
      </c>
      <c r="B273" s="298">
        <f t="shared" si="177"/>
        <v>36359.659999999923</v>
      </c>
      <c r="C273" s="14">
        <f t="shared" si="167"/>
        <v>433.95</v>
      </c>
      <c r="D273" s="14">
        <f t="shared" ref="D273:D336" si="189">+C273-E273</f>
        <v>290.02999999999997</v>
      </c>
      <c r="E273" s="14">
        <f t="shared" si="168"/>
        <v>143.91999999999999</v>
      </c>
      <c r="F273" s="298">
        <f t="shared" si="178"/>
        <v>47448.159999999996</v>
      </c>
      <c r="G273" s="298">
        <f t="shared" si="179"/>
        <v>65274.179999999978</v>
      </c>
      <c r="H273" s="298">
        <f t="shared" si="169"/>
        <v>36069.629999999925</v>
      </c>
      <c r="I273" s="451">
        <f t="shared" si="170"/>
        <v>17</v>
      </c>
      <c r="J273" s="298">
        <f t="shared" si="180"/>
        <v>255905.36999999965</v>
      </c>
      <c r="K273" s="298">
        <f t="shared" si="158"/>
        <v>2701.27</v>
      </c>
      <c r="L273" s="298">
        <f t="shared" ref="L273:L336" si="190">+K273-M273</f>
        <v>1048.55</v>
      </c>
      <c r="M273" s="298">
        <f t="shared" si="159"/>
        <v>1652.72</v>
      </c>
      <c r="N273" s="298">
        <f t="shared" si="181"/>
        <v>122198.18000000008</v>
      </c>
      <c r="O273" s="298">
        <f t="shared" si="182"/>
        <v>455873.60000000027</v>
      </c>
      <c r="P273" s="298">
        <f t="shared" si="171"/>
        <v>254856.81999999966</v>
      </c>
      <c r="Q273" s="542">
        <f t="shared" si="172"/>
        <v>52149</v>
      </c>
      <c r="R273" s="298">
        <f t="shared" si="157"/>
        <v>0</v>
      </c>
      <c r="S273" s="535">
        <f t="shared" si="183"/>
        <v>7.7499999999999999E-2</v>
      </c>
      <c r="T273" s="298">
        <f t="shared" si="173"/>
        <v>0</v>
      </c>
      <c r="U273" s="298">
        <f t="shared" si="160"/>
        <v>0</v>
      </c>
      <c r="V273" s="298">
        <f t="shared" si="174"/>
        <v>0</v>
      </c>
      <c r="W273" s="298">
        <f t="shared" si="166"/>
        <v>0</v>
      </c>
      <c r="X273" s="298">
        <f t="shared" si="166"/>
        <v>0</v>
      </c>
      <c r="Y273" s="298">
        <f t="shared" si="161"/>
        <v>0</v>
      </c>
      <c r="Z273" s="298">
        <f t="shared" si="162"/>
        <v>378976.30999999988</v>
      </c>
      <c r="AA273" s="298">
        <f t="shared" si="163"/>
        <v>237979.58999999985</v>
      </c>
      <c r="AB273" s="298">
        <f t="shared" si="175"/>
        <v>0</v>
      </c>
      <c r="AC273" s="451">
        <f t="shared" si="184"/>
        <v>213</v>
      </c>
      <c r="AD273" s="552">
        <f t="shared" si="185"/>
        <v>-38884.120000000112</v>
      </c>
      <c r="AE273" s="552">
        <f t="shared" si="155"/>
        <v>-36069.629999999925</v>
      </c>
      <c r="AF273" s="552">
        <f t="shared" si="156"/>
        <v>-74953.750000000029</v>
      </c>
      <c r="AG273" s="552">
        <f t="shared" si="186"/>
        <v>-433.95</v>
      </c>
      <c r="AH273" s="552">
        <f t="shared" si="187"/>
        <v>53151.350000000093</v>
      </c>
      <c r="AI273" s="552"/>
      <c r="AJ273" s="14">
        <f t="shared" si="164"/>
        <v>-433.95</v>
      </c>
      <c r="AK273" s="14">
        <f t="shared" si="165"/>
        <v>523222.6999999999</v>
      </c>
      <c r="AL273" s="552">
        <f>IF(R273&lt;=0,0,+([1]Profit!$B$4+AM272)*$AL$1/12)</f>
        <v>0</v>
      </c>
      <c r="AM273" s="14">
        <f t="shared" si="188"/>
        <v>262755.13764632691</v>
      </c>
    </row>
    <row r="274" spans="1:39" x14ac:dyDescent="0.25">
      <c r="A274" s="542">
        <f t="shared" si="176"/>
        <v>52179</v>
      </c>
      <c r="B274" s="298">
        <f t="shared" si="177"/>
        <v>36069.629999999925</v>
      </c>
      <c r="C274" s="14">
        <f t="shared" si="167"/>
        <v>433.95</v>
      </c>
      <c r="D274" s="14">
        <f t="shared" si="189"/>
        <v>291.16999999999996</v>
      </c>
      <c r="E274" s="14">
        <f t="shared" si="168"/>
        <v>142.78</v>
      </c>
      <c r="F274" s="298">
        <f t="shared" si="178"/>
        <v>47739.329999999994</v>
      </c>
      <c r="G274" s="298">
        <f t="shared" si="179"/>
        <v>65416.959999999977</v>
      </c>
      <c r="H274" s="298">
        <f t="shared" si="169"/>
        <v>35778.459999999926</v>
      </c>
      <c r="I274" s="451">
        <f t="shared" si="170"/>
        <v>17</v>
      </c>
      <c r="J274" s="298">
        <f t="shared" si="180"/>
        <v>254856.81999999966</v>
      </c>
      <c r="K274" s="298">
        <f t="shared" si="158"/>
        <v>2701.27</v>
      </c>
      <c r="L274" s="298">
        <f t="shared" si="190"/>
        <v>1055.32</v>
      </c>
      <c r="M274" s="298">
        <f t="shared" si="159"/>
        <v>1645.95</v>
      </c>
      <c r="N274" s="298">
        <f t="shared" si="181"/>
        <v>123253.50000000009</v>
      </c>
      <c r="O274" s="298">
        <f t="shared" si="182"/>
        <v>457519.55000000028</v>
      </c>
      <c r="P274" s="298">
        <f t="shared" si="171"/>
        <v>253801.49999999965</v>
      </c>
      <c r="Q274" s="542">
        <f t="shared" si="172"/>
        <v>52179</v>
      </c>
      <c r="R274" s="298">
        <f t="shared" si="157"/>
        <v>0</v>
      </c>
      <c r="S274" s="535">
        <f t="shared" si="183"/>
        <v>7.7499999999999999E-2</v>
      </c>
      <c r="T274" s="298">
        <f t="shared" si="173"/>
        <v>0</v>
      </c>
      <c r="U274" s="298">
        <f t="shared" si="160"/>
        <v>0</v>
      </c>
      <c r="V274" s="298">
        <f t="shared" si="174"/>
        <v>0</v>
      </c>
      <c r="W274" s="298">
        <f t="shared" si="166"/>
        <v>0</v>
      </c>
      <c r="X274" s="298">
        <f t="shared" si="166"/>
        <v>0</v>
      </c>
      <c r="Y274" s="298">
        <f t="shared" si="161"/>
        <v>0</v>
      </c>
      <c r="Z274" s="298">
        <f t="shared" si="162"/>
        <v>378976.30999999988</v>
      </c>
      <c r="AA274" s="298">
        <f t="shared" si="163"/>
        <v>237979.58999999985</v>
      </c>
      <c r="AB274" s="298">
        <f t="shared" si="175"/>
        <v>0</v>
      </c>
      <c r="AC274" s="451">
        <f t="shared" si="184"/>
        <v>214</v>
      </c>
      <c r="AD274" s="552">
        <f t="shared" si="185"/>
        <v>-36182.850000000115</v>
      </c>
      <c r="AE274" s="552">
        <f t="shared" si="155"/>
        <v>-35778.459999999926</v>
      </c>
      <c r="AF274" s="552">
        <f t="shared" si="156"/>
        <v>-71961.310000000041</v>
      </c>
      <c r="AG274" s="552">
        <f t="shared" si="186"/>
        <v>-433.95</v>
      </c>
      <c r="AH274" s="552">
        <f t="shared" si="187"/>
        <v>53442.520000000135</v>
      </c>
      <c r="AI274" s="552"/>
      <c r="AJ274" s="14">
        <f t="shared" si="164"/>
        <v>-433.95</v>
      </c>
      <c r="AK274" s="14">
        <f t="shared" si="165"/>
        <v>522788.74999999988</v>
      </c>
      <c r="AL274" s="552">
        <f>IF(R274&lt;=0,0,+([1]Profit!$B$4+AM273)*$AL$1/12)</f>
        <v>0</v>
      </c>
      <c r="AM274" s="14">
        <f t="shared" si="188"/>
        <v>262755.13764632691</v>
      </c>
    </row>
    <row r="275" spans="1:39" x14ac:dyDescent="0.25">
      <c r="A275" s="542">
        <f t="shared" si="176"/>
        <v>52209</v>
      </c>
      <c r="B275" s="298">
        <f t="shared" si="177"/>
        <v>35778.459999999926</v>
      </c>
      <c r="C275" s="14">
        <f t="shared" si="167"/>
        <v>433.95</v>
      </c>
      <c r="D275" s="14">
        <f t="shared" si="189"/>
        <v>292.33</v>
      </c>
      <c r="E275" s="14">
        <f t="shared" si="168"/>
        <v>141.62</v>
      </c>
      <c r="F275" s="298">
        <f t="shared" si="178"/>
        <v>48031.659999999996</v>
      </c>
      <c r="G275" s="298">
        <f t="shared" si="179"/>
        <v>65558.579999999973</v>
      </c>
      <c r="H275" s="298">
        <f t="shared" si="169"/>
        <v>35486.129999999925</v>
      </c>
      <c r="I275" s="451">
        <f t="shared" si="170"/>
        <v>17</v>
      </c>
      <c r="J275" s="298">
        <f t="shared" si="180"/>
        <v>253801.49999999965</v>
      </c>
      <c r="K275" s="298">
        <f t="shared" si="158"/>
        <v>2701.27</v>
      </c>
      <c r="L275" s="298">
        <f t="shared" si="190"/>
        <v>1062.1399999999999</v>
      </c>
      <c r="M275" s="298">
        <f t="shared" si="159"/>
        <v>1639.13</v>
      </c>
      <c r="N275" s="298">
        <f t="shared" si="181"/>
        <v>124315.64000000009</v>
      </c>
      <c r="O275" s="298">
        <f t="shared" si="182"/>
        <v>459158.68000000028</v>
      </c>
      <c r="P275" s="298">
        <f t="shared" si="171"/>
        <v>252739.35999999964</v>
      </c>
      <c r="Q275" s="542">
        <f t="shared" si="172"/>
        <v>52209</v>
      </c>
      <c r="R275" s="298">
        <f t="shared" si="157"/>
        <v>0</v>
      </c>
      <c r="S275" s="535">
        <f t="shared" si="183"/>
        <v>7.7499999999999999E-2</v>
      </c>
      <c r="T275" s="298">
        <f t="shared" si="173"/>
        <v>0</v>
      </c>
      <c r="U275" s="298">
        <f t="shared" si="160"/>
        <v>0</v>
      </c>
      <c r="V275" s="298">
        <f t="shared" si="174"/>
        <v>0</v>
      </c>
      <c r="W275" s="298">
        <f t="shared" si="166"/>
        <v>0</v>
      </c>
      <c r="X275" s="298">
        <f t="shared" si="166"/>
        <v>0</v>
      </c>
      <c r="Y275" s="298">
        <f t="shared" si="161"/>
        <v>0</v>
      </c>
      <c r="Z275" s="298">
        <f t="shared" si="162"/>
        <v>378976.30999999988</v>
      </c>
      <c r="AA275" s="298">
        <f t="shared" si="163"/>
        <v>237979.58999999985</v>
      </c>
      <c r="AB275" s="298">
        <f t="shared" si="175"/>
        <v>0</v>
      </c>
      <c r="AC275" s="451">
        <f t="shared" si="184"/>
        <v>215</v>
      </c>
      <c r="AD275" s="552">
        <f t="shared" si="185"/>
        <v>-33481.580000000118</v>
      </c>
      <c r="AE275" s="552">
        <f t="shared" si="155"/>
        <v>-35486.129999999925</v>
      </c>
      <c r="AF275" s="552">
        <f t="shared" si="156"/>
        <v>-68967.71000000005</v>
      </c>
      <c r="AG275" s="552">
        <f t="shared" si="186"/>
        <v>-433.95</v>
      </c>
      <c r="AH275" s="552">
        <f t="shared" si="187"/>
        <v>53734.850000000093</v>
      </c>
      <c r="AI275" s="552"/>
      <c r="AJ275" s="14">
        <f t="shared" si="164"/>
        <v>-433.95</v>
      </c>
      <c r="AK275" s="14">
        <f t="shared" si="165"/>
        <v>522354.79999999987</v>
      </c>
      <c r="AL275" s="552">
        <f>IF(R275&lt;=0,0,+([1]Profit!$B$4+AM274)*$AL$1/12)</f>
        <v>0</v>
      </c>
      <c r="AM275" s="14">
        <f t="shared" si="188"/>
        <v>262755.13764632691</v>
      </c>
    </row>
    <row r="276" spans="1:39" x14ac:dyDescent="0.25">
      <c r="A276" s="542">
        <f t="shared" si="176"/>
        <v>52239</v>
      </c>
      <c r="B276" s="298">
        <f t="shared" si="177"/>
        <v>35486.129999999925</v>
      </c>
      <c r="C276" s="14">
        <f t="shared" si="167"/>
        <v>433.95</v>
      </c>
      <c r="D276" s="14">
        <f t="shared" si="189"/>
        <v>293.48</v>
      </c>
      <c r="E276" s="14">
        <f t="shared" si="168"/>
        <v>140.47</v>
      </c>
      <c r="F276" s="298">
        <f t="shared" si="178"/>
        <v>48325.14</v>
      </c>
      <c r="G276" s="298">
        <f t="shared" si="179"/>
        <v>65699.049999999974</v>
      </c>
      <c r="H276" s="298">
        <f t="shared" si="169"/>
        <v>35192.649999999921</v>
      </c>
      <c r="I276" s="451">
        <f t="shared" si="170"/>
        <v>18</v>
      </c>
      <c r="J276" s="298">
        <f t="shared" si="180"/>
        <v>252739.35999999964</v>
      </c>
      <c r="K276" s="298">
        <f t="shared" si="158"/>
        <v>2701.27</v>
      </c>
      <c r="L276" s="298">
        <f t="shared" si="190"/>
        <v>1068.99</v>
      </c>
      <c r="M276" s="298">
        <f t="shared" si="159"/>
        <v>1632.28</v>
      </c>
      <c r="N276" s="298">
        <f t="shared" si="181"/>
        <v>125384.63000000009</v>
      </c>
      <c r="O276" s="298">
        <f t="shared" si="182"/>
        <v>460790.96000000031</v>
      </c>
      <c r="P276" s="298">
        <f t="shared" si="171"/>
        <v>251670.36999999965</v>
      </c>
      <c r="Q276" s="542">
        <f t="shared" si="172"/>
        <v>52239</v>
      </c>
      <c r="R276" s="298">
        <f t="shared" si="157"/>
        <v>0</v>
      </c>
      <c r="S276" s="535">
        <f t="shared" si="183"/>
        <v>7.7499999999999999E-2</v>
      </c>
      <c r="T276" s="298">
        <f t="shared" si="173"/>
        <v>0</v>
      </c>
      <c r="U276" s="298">
        <f t="shared" si="160"/>
        <v>0</v>
      </c>
      <c r="V276" s="298">
        <f t="shared" si="174"/>
        <v>0</v>
      </c>
      <c r="W276" s="298">
        <f t="shared" si="166"/>
        <v>0</v>
      </c>
      <c r="X276" s="298">
        <f t="shared" si="166"/>
        <v>0</v>
      </c>
      <c r="Y276" s="298">
        <f t="shared" si="161"/>
        <v>0</v>
      </c>
      <c r="Z276" s="298">
        <f t="shared" si="162"/>
        <v>378976.30999999988</v>
      </c>
      <c r="AA276" s="298">
        <f t="shared" si="163"/>
        <v>237979.58999999985</v>
      </c>
      <c r="AB276" s="298">
        <f t="shared" si="175"/>
        <v>0</v>
      </c>
      <c r="AC276" s="451">
        <f t="shared" si="184"/>
        <v>216</v>
      </c>
      <c r="AD276" s="552">
        <f t="shared" si="185"/>
        <v>-30780.310000000118</v>
      </c>
      <c r="AE276" s="552">
        <f t="shared" si="155"/>
        <v>-35192.649999999921</v>
      </c>
      <c r="AF276" s="552">
        <f t="shared" si="156"/>
        <v>-65972.960000000036</v>
      </c>
      <c r="AG276" s="552">
        <f t="shared" si="186"/>
        <v>-433.95</v>
      </c>
      <c r="AH276" s="552">
        <f t="shared" si="187"/>
        <v>54028.330000000133</v>
      </c>
      <c r="AI276" s="552"/>
      <c r="AJ276" s="14">
        <f t="shared" si="164"/>
        <v>-433.95</v>
      </c>
      <c r="AK276" s="14">
        <f t="shared" si="165"/>
        <v>521920.84999999986</v>
      </c>
      <c r="AL276" s="552">
        <f>IF(R276&lt;=0,0,+([1]Profit!$B$4+AM275)*$AL$1/12)</f>
        <v>0</v>
      </c>
      <c r="AM276" s="14">
        <f t="shared" si="188"/>
        <v>262755.13764632691</v>
      </c>
    </row>
    <row r="277" spans="1:39" x14ac:dyDescent="0.25">
      <c r="A277" s="542">
        <f t="shared" si="176"/>
        <v>52269</v>
      </c>
      <c r="B277" s="298">
        <f t="shared" si="177"/>
        <v>35192.649999999921</v>
      </c>
      <c r="C277" s="14">
        <f t="shared" si="167"/>
        <v>433.95</v>
      </c>
      <c r="D277" s="14">
        <f t="shared" si="189"/>
        <v>294.64999999999998</v>
      </c>
      <c r="E277" s="14">
        <f t="shared" si="168"/>
        <v>139.30000000000001</v>
      </c>
      <c r="F277" s="298">
        <f t="shared" si="178"/>
        <v>48619.79</v>
      </c>
      <c r="G277" s="298">
        <f t="shared" si="179"/>
        <v>65838.349999999977</v>
      </c>
      <c r="H277" s="298">
        <f t="shared" si="169"/>
        <v>34897.99999999992</v>
      </c>
      <c r="I277" s="451">
        <f t="shared" si="170"/>
        <v>18</v>
      </c>
      <c r="J277" s="298">
        <f t="shared" si="180"/>
        <v>251670.36999999965</v>
      </c>
      <c r="K277" s="298">
        <f t="shared" si="158"/>
        <v>2701.27</v>
      </c>
      <c r="L277" s="298">
        <f t="shared" si="190"/>
        <v>1075.9000000000001</v>
      </c>
      <c r="M277" s="298">
        <f t="shared" si="159"/>
        <v>1625.37</v>
      </c>
      <c r="N277" s="298">
        <f t="shared" si="181"/>
        <v>126460.53000000009</v>
      </c>
      <c r="O277" s="298">
        <f t="shared" si="182"/>
        <v>462416.33000000031</v>
      </c>
      <c r="P277" s="298">
        <f t="shared" si="171"/>
        <v>250594.46999999965</v>
      </c>
      <c r="Q277" s="542">
        <f t="shared" si="172"/>
        <v>52269</v>
      </c>
      <c r="R277" s="298">
        <f t="shared" si="157"/>
        <v>0</v>
      </c>
      <c r="S277" s="535">
        <f t="shared" si="183"/>
        <v>7.7499999999999999E-2</v>
      </c>
      <c r="T277" s="298">
        <f t="shared" si="173"/>
        <v>0</v>
      </c>
      <c r="U277" s="298">
        <f t="shared" si="160"/>
        <v>0</v>
      </c>
      <c r="V277" s="298">
        <f t="shared" si="174"/>
        <v>0</v>
      </c>
      <c r="W277" s="298">
        <f t="shared" si="166"/>
        <v>0</v>
      </c>
      <c r="X277" s="298">
        <f t="shared" si="166"/>
        <v>0</v>
      </c>
      <c r="Y277" s="298">
        <f t="shared" si="161"/>
        <v>0</v>
      </c>
      <c r="Z277" s="298">
        <f t="shared" si="162"/>
        <v>378976.30999999988</v>
      </c>
      <c r="AA277" s="298">
        <f t="shared" si="163"/>
        <v>237979.58999999985</v>
      </c>
      <c r="AB277" s="298">
        <f t="shared" si="175"/>
        <v>0</v>
      </c>
      <c r="AC277" s="451">
        <f t="shared" si="184"/>
        <v>217</v>
      </c>
      <c r="AD277" s="552">
        <f t="shared" si="185"/>
        <v>-28079.040000000117</v>
      </c>
      <c r="AE277" s="552">
        <f t="shared" si="155"/>
        <v>-34897.99999999992</v>
      </c>
      <c r="AF277" s="552">
        <f t="shared" si="156"/>
        <v>-62977.040000000037</v>
      </c>
      <c r="AG277" s="552">
        <f t="shared" si="186"/>
        <v>-433.95</v>
      </c>
      <c r="AH277" s="552">
        <f t="shared" si="187"/>
        <v>54322.980000000098</v>
      </c>
      <c r="AI277" s="552"/>
      <c r="AJ277" s="14">
        <f t="shared" si="164"/>
        <v>-433.95</v>
      </c>
      <c r="AK277" s="14">
        <f t="shared" si="165"/>
        <v>521486.89999999985</v>
      </c>
      <c r="AL277" s="552">
        <f>IF(R277&lt;=0,0,+([1]Profit!$B$4+AM276)*$AL$1/12)</f>
        <v>0</v>
      </c>
      <c r="AM277" s="14">
        <f t="shared" si="188"/>
        <v>262755.13764632691</v>
      </c>
    </row>
    <row r="278" spans="1:39" ht="15.75" thickBot="1" x14ac:dyDescent="0.3">
      <c r="A278" s="545">
        <f t="shared" si="176"/>
        <v>52299</v>
      </c>
      <c r="B278" s="371">
        <f t="shared" si="177"/>
        <v>34897.99999999992</v>
      </c>
      <c r="C278" s="21">
        <f t="shared" si="167"/>
        <v>433.95</v>
      </c>
      <c r="D278" s="21">
        <f t="shared" si="189"/>
        <v>295.81</v>
      </c>
      <c r="E278" s="21">
        <f t="shared" si="168"/>
        <v>138.13999999999999</v>
      </c>
      <c r="F278" s="371">
        <f t="shared" si="178"/>
        <v>48915.6</v>
      </c>
      <c r="G278" s="371">
        <f t="shared" si="179"/>
        <v>65976.489999999976</v>
      </c>
      <c r="H278" s="371">
        <f t="shared" si="169"/>
        <v>34602.189999999922</v>
      </c>
      <c r="I278" s="452">
        <f t="shared" si="170"/>
        <v>18</v>
      </c>
      <c r="J278" s="371">
        <f t="shared" si="180"/>
        <v>250594.46999999965</v>
      </c>
      <c r="K278" s="371">
        <f t="shared" si="158"/>
        <v>2701.27</v>
      </c>
      <c r="L278" s="371">
        <f t="shared" si="190"/>
        <v>1082.8499999999999</v>
      </c>
      <c r="M278" s="371">
        <f t="shared" si="159"/>
        <v>1618.42</v>
      </c>
      <c r="N278" s="371">
        <f t="shared" si="181"/>
        <v>127543.38000000009</v>
      </c>
      <c r="O278" s="371">
        <f t="shared" si="182"/>
        <v>464034.75000000029</v>
      </c>
      <c r="P278" s="371">
        <f t="shared" si="171"/>
        <v>249511.61999999965</v>
      </c>
      <c r="Q278" s="545">
        <f t="shared" si="172"/>
        <v>52299</v>
      </c>
      <c r="R278" s="371">
        <f t="shared" si="157"/>
        <v>0</v>
      </c>
      <c r="S278" s="536">
        <f t="shared" si="183"/>
        <v>7.7499999999999999E-2</v>
      </c>
      <c r="T278" s="371">
        <f t="shared" si="173"/>
        <v>0</v>
      </c>
      <c r="U278" s="371">
        <f t="shared" si="160"/>
        <v>0</v>
      </c>
      <c r="V278" s="371">
        <f t="shared" si="174"/>
        <v>0</v>
      </c>
      <c r="W278" s="371">
        <f t="shared" si="166"/>
        <v>0</v>
      </c>
      <c r="X278" s="371">
        <f t="shared" si="166"/>
        <v>0</v>
      </c>
      <c r="Y278" s="371">
        <f t="shared" si="161"/>
        <v>0</v>
      </c>
      <c r="Z278" s="371">
        <f t="shared" si="162"/>
        <v>378976.30999999988</v>
      </c>
      <c r="AA278" s="371">
        <f t="shared" si="163"/>
        <v>237979.58999999985</v>
      </c>
      <c r="AB278" s="371">
        <f t="shared" si="175"/>
        <v>0</v>
      </c>
      <c r="AC278" s="452">
        <f t="shared" si="184"/>
        <v>218</v>
      </c>
      <c r="AD278" s="553">
        <f t="shared" si="185"/>
        <v>-25377.770000000117</v>
      </c>
      <c r="AE278" s="553">
        <f t="shared" si="155"/>
        <v>-34602.189999999922</v>
      </c>
      <c r="AF278" s="553">
        <f t="shared" si="156"/>
        <v>-59979.960000000036</v>
      </c>
      <c r="AG278" s="553">
        <f t="shared" si="186"/>
        <v>-433.95</v>
      </c>
      <c r="AH278" s="553">
        <f t="shared" si="187"/>
        <v>54618.790000000095</v>
      </c>
      <c r="AI278" s="553"/>
      <c r="AJ278" s="21">
        <f t="shared" si="164"/>
        <v>-433.95</v>
      </c>
      <c r="AK278" s="21">
        <f t="shared" si="165"/>
        <v>521052.94999999984</v>
      </c>
      <c r="AL278" s="553">
        <f>IF(R278&lt;=0,0,+([1]Profit!$B$4+AM277)*$AL$1/12)</f>
        <v>0</v>
      </c>
      <c r="AM278" s="21">
        <f t="shared" si="188"/>
        <v>262755.13764632691</v>
      </c>
    </row>
    <row r="279" spans="1:39" x14ac:dyDescent="0.25">
      <c r="A279" s="542">
        <f t="shared" si="176"/>
        <v>52329</v>
      </c>
      <c r="B279" s="298">
        <f t="shared" si="177"/>
        <v>34602.189999999922</v>
      </c>
      <c r="C279" s="14">
        <f t="shared" si="167"/>
        <v>433.95</v>
      </c>
      <c r="D279" s="14">
        <f t="shared" si="189"/>
        <v>296.98</v>
      </c>
      <c r="E279" s="14">
        <f t="shared" si="168"/>
        <v>136.97</v>
      </c>
      <c r="F279" s="298">
        <f t="shared" si="178"/>
        <v>49212.58</v>
      </c>
      <c r="G279" s="298">
        <f t="shared" si="179"/>
        <v>66113.459999999977</v>
      </c>
      <c r="H279" s="298">
        <f t="shared" si="169"/>
        <v>34305.209999999919</v>
      </c>
      <c r="I279" s="451">
        <f t="shared" si="170"/>
        <v>18</v>
      </c>
      <c r="J279" s="298">
        <f t="shared" si="180"/>
        <v>249511.61999999965</v>
      </c>
      <c r="K279" s="298">
        <f t="shared" si="158"/>
        <v>2701.27</v>
      </c>
      <c r="L279" s="298">
        <f t="shared" si="190"/>
        <v>1089.8399999999999</v>
      </c>
      <c r="M279" s="298">
        <f t="shared" si="159"/>
        <v>1611.43</v>
      </c>
      <c r="N279" s="298">
        <f t="shared" si="181"/>
        <v>128633.22000000009</v>
      </c>
      <c r="O279" s="298">
        <f t="shared" si="182"/>
        <v>465646.18000000028</v>
      </c>
      <c r="P279" s="298">
        <f t="shared" si="171"/>
        <v>248421.77999999965</v>
      </c>
      <c r="Q279" s="542">
        <f t="shared" si="172"/>
        <v>52329</v>
      </c>
      <c r="R279" s="298">
        <f t="shared" si="157"/>
        <v>0</v>
      </c>
      <c r="S279" s="535">
        <f t="shared" si="183"/>
        <v>7.7499999999999999E-2</v>
      </c>
      <c r="T279" s="298">
        <f t="shared" si="173"/>
        <v>0</v>
      </c>
      <c r="U279" s="298">
        <f t="shared" si="160"/>
        <v>0</v>
      </c>
      <c r="V279" s="298">
        <f t="shared" si="174"/>
        <v>0</v>
      </c>
      <c r="W279" s="298">
        <f t="shared" si="166"/>
        <v>0</v>
      </c>
      <c r="X279" s="298">
        <f t="shared" si="166"/>
        <v>0</v>
      </c>
      <c r="Y279" s="298">
        <f t="shared" si="161"/>
        <v>0</v>
      </c>
      <c r="Z279" s="298">
        <f t="shared" si="162"/>
        <v>378976.30999999988</v>
      </c>
      <c r="AA279" s="298">
        <f t="shared" si="163"/>
        <v>237979.58999999985</v>
      </c>
      <c r="AB279" s="298">
        <f t="shared" si="175"/>
        <v>0</v>
      </c>
      <c r="AC279" s="451">
        <f t="shared" si="184"/>
        <v>219</v>
      </c>
      <c r="AD279" s="552">
        <f t="shared" si="185"/>
        <v>-22676.500000000116</v>
      </c>
      <c r="AE279" s="552">
        <f t="shared" si="155"/>
        <v>-34305.209999999919</v>
      </c>
      <c r="AF279" s="552">
        <f t="shared" si="156"/>
        <v>-56981.710000000036</v>
      </c>
      <c r="AG279" s="552">
        <f t="shared" si="186"/>
        <v>-433.95</v>
      </c>
      <c r="AH279" s="552">
        <f t="shared" si="187"/>
        <v>54915.770000000135</v>
      </c>
      <c r="AI279" s="552"/>
      <c r="AJ279" s="14">
        <f t="shared" si="164"/>
        <v>-433.95</v>
      </c>
      <c r="AK279" s="14">
        <f t="shared" si="165"/>
        <v>520618.99999999983</v>
      </c>
      <c r="AL279" s="552">
        <f>IF(R279&lt;=0,0,+([1]Profit!$B$4+AM278)*$AL$1/12)</f>
        <v>0</v>
      </c>
      <c r="AM279" s="14">
        <f t="shared" si="188"/>
        <v>262755.13764632691</v>
      </c>
    </row>
    <row r="280" spans="1:39" x14ac:dyDescent="0.25">
      <c r="A280" s="542">
        <f t="shared" si="176"/>
        <v>52359</v>
      </c>
      <c r="B280" s="298">
        <f t="shared" si="177"/>
        <v>34305.209999999919</v>
      </c>
      <c r="C280" s="14">
        <f t="shared" si="167"/>
        <v>433.95</v>
      </c>
      <c r="D280" s="14">
        <f t="shared" si="189"/>
        <v>298.15999999999997</v>
      </c>
      <c r="E280" s="14">
        <f t="shared" si="168"/>
        <v>135.79</v>
      </c>
      <c r="F280" s="298">
        <f t="shared" si="178"/>
        <v>49510.740000000005</v>
      </c>
      <c r="G280" s="298">
        <f t="shared" si="179"/>
        <v>66249.249999999971</v>
      </c>
      <c r="H280" s="298">
        <f t="shared" si="169"/>
        <v>34007.049999999916</v>
      </c>
      <c r="I280" s="451">
        <f t="shared" si="170"/>
        <v>18</v>
      </c>
      <c r="J280" s="298">
        <f t="shared" si="180"/>
        <v>248421.77999999965</v>
      </c>
      <c r="K280" s="298">
        <f t="shared" si="158"/>
        <v>2701.27</v>
      </c>
      <c r="L280" s="298">
        <f t="shared" si="190"/>
        <v>1096.8799999999999</v>
      </c>
      <c r="M280" s="298">
        <f t="shared" si="159"/>
        <v>1604.39</v>
      </c>
      <c r="N280" s="298">
        <f t="shared" si="181"/>
        <v>129730.10000000009</v>
      </c>
      <c r="O280" s="298">
        <f t="shared" si="182"/>
        <v>467250.5700000003</v>
      </c>
      <c r="P280" s="298">
        <f t="shared" si="171"/>
        <v>247324.89999999964</v>
      </c>
      <c r="Q280" s="542">
        <f t="shared" si="172"/>
        <v>52359</v>
      </c>
      <c r="R280" s="298">
        <f t="shared" si="157"/>
        <v>0</v>
      </c>
      <c r="S280" s="535">
        <f t="shared" si="183"/>
        <v>7.7499999999999999E-2</v>
      </c>
      <c r="T280" s="298">
        <f t="shared" si="173"/>
        <v>0</v>
      </c>
      <c r="U280" s="298">
        <f t="shared" si="160"/>
        <v>0</v>
      </c>
      <c r="V280" s="298">
        <f t="shared" si="174"/>
        <v>0</v>
      </c>
      <c r="W280" s="298">
        <f t="shared" si="166"/>
        <v>0</v>
      </c>
      <c r="X280" s="298">
        <f t="shared" si="166"/>
        <v>0</v>
      </c>
      <c r="Y280" s="298">
        <f t="shared" si="161"/>
        <v>0</v>
      </c>
      <c r="Z280" s="298">
        <f t="shared" si="162"/>
        <v>378976.30999999988</v>
      </c>
      <c r="AA280" s="298">
        <f t="shared" si="163"/>
        <v>237979.58999999985</v>
      </c>
      <c r="AB280" s="298">
        <f t="shared" si="175"/>
        <v>0</v>
      </c>
      <c r="AC280" s="451">
        <f t="shared" si="184"/>
        <v>220</v>
      </c>
      <c r="AD280" s="552">
        <f t="shared" si="185"/>
        <v>-19975.230000000116</v>
      </c>
      <c r="AE280" s="552">
        <f t="shared" si="155"/>
        <v>-34007.049999999916</v>
      </c>
      <c r="AF280" s="552">
        <f t="shared" si="156"/>
        <v>-53982.280000000028</v>
      </c>
      <c r="AG280" s="552">
        <f t="shared" si="186"/>
        <v>-433.95</v>
      </c>
      <c r="AH280" s="552">
        <f t="shared" si="187"/>
        <v>55213.930000000109</v>
      </c>
      <c r="AI280" s="552"/>
      <c r="AJ280" s="14">
        <f t="shared" si="164"/>
        <v>-433.95</v>
      </c>
      <c r="AK280" s="14">
        <f t="shared" si="165"/>
        <v>520185.04999999981</v>
      </c>
      <c r="AL280" s="552">
        <f>IF(R280&lt;=0,0,+([1]Profit!$B$4+AM279)*$AL$1/12)</f>
        <v>0</v>
      </c>
      <c r="AM280" s="14">
        <f t="shared" si="188"/>
        <v>262755.13764632691</v>
      </c>
    </row>
    <row r="281" spans="1:39" x14ac:dyDescent="0.25">
      <c r="A281" s="542">
        <f t="shared" si="176"/>
        <v>52389</v>
      </c>
      <c r="B281" s="298">
        <f t="shared" si="177"/>
        <v>34007.049999999916</v>
      </c>
      <c r="C281" s="14">
        <f t="shared" si="167"/>
        <v>433.95</v>
      </c>
      <c r="D281" s="14">
        <f t="shared" si="189"/>
        <v>299.33999999999997</v>
      </c>
      <c r="E281" s="14">
        <f t="shared" si="168"/>
        <v>134.61000000000001</v>
      </c>
      <c r="F281" s="298">
        <f t="shared" si="178"/>
        <v>49810.080000000002</v>
      </c>
      <c r="G281" s="298">
        <f t="shared" si="179"/>
        <v>66383.859999999971</v>
      </c>
      <c r="H281" s="298">
        <f t="shared" si="169"/>
        <v>33707.709999999919</v>
      </c>
      <c r="I281" s="451">
        <f t="shared" si="170"/>
        <v>18</v>
      </c>
      <c r="J281" s="298">
        <f t="shared" si="180"/>
        <v>247324.89999999964</v>
      </c>
      <c r="K281" s="298">
        <f t="shared" si="158"/>
        <v>2701.27</v>
      </c>
      <c r="L281" s="298">
        <f t="shared" si="190"/>
        <v>1103.96</v>
      </c>
      <c r="M281" s="298">
        <f t="shared" si="159"/>
        <v>1597.31</v>
      </c>
      <c r="N281" s="298">
        <f t="shared" si="181"/>
        <v>130834.0600000001</v>
      </c>
      <c r="O281" s="298">
        <f t="shared" si="182"/>
        <v>468847.8800000003</v>
      </c>
      <c r="P281" s="298">
        <f t="shared" si="171"/>
        <v>246220.93999999965</v>
      </c>
      <c r="Q281" s="542">
        <f t="shared" si="172"/>
        <v>52389</v>
      </c>
      <c r="R281" s="298">
        <f t="shared" si="157"/>
        <v>0</v>
      </c>
      <c r="S281" s="535">
        <f t="shared" si="183"/>
        <v>7.7499999999999999E-2</v>
      </c>
      <c r="T281" s="298">
        <f t="shared" si="173"/>
        <v>0</v>
      </c>
      <c r="U281" s="298">
        <f t="shared" si="160"/>
        <v>0</v>
      </c>
      <c r="V281" s="298">
        <f t="shared" si="174"/>
        <v>0</v>
      </c>
      <c r="W281" s="298">
        <f t="shared" si="166"/>
        <v>0</v>
      </c>
      <c r="X281" s="298">
        <f t="shared" si="166"/>
        <v>0</v>
      </c>
      <c r="Y281" s="298">
        <f t="shared" si="161"/>
        <v>0</v>
      </c>
      <c r="Z281" s="298">
        <f t="shared" si="162"/>
        <v>378976.30999999988</v>
      </c>
      <c r="AA281" s="298">
        <f t="shared" si="163"/>
        <v>237979.58999999985</v>
      </c>
      <c r="AB281" s="298">
        <f t="shared" si="175"/>
        <v>0</v>
      </c>
      <c r="AC281" s="451">
        <f t="shared" si="184"/>
        <v>221</v>
      </c>
      <c r="AD281" s="552">
        <f t="shared" si="185"/>
        <v>-17273.960000000116</v>
      </c>
      <c r="AE281" s="552">
        <f t="shared" si="155"/>
        <v>-33707.709999999919</v>
      </c>
      <c r="AF281" s="552">
        <f t="shared" si="156"/>
        <v>-50981.670000000035</v>
      </c>
      <c r="AG281" s="552">
        <f t="shared" si="186"/>
        <v>-433.95</v>
      </c>
      <c r="AH281" s="552">
        <f t="shared" si="187"/>
        <v>55513.270000000135</v>
      </c>
      <c r="AI281" s="552"/>
      <c r="AJ281" s="14">
        <f t="shared" si="164"/>
        <v>-433.95</v>
      </c>
      <c r="AK281" s="14">
        <f t="shared" si="165"/>
        <v>519751.0999999998</v>
      </c>
      <c r="AL281" s="552">
        <f>IF(R281&lt;=0,0,+([1]Profit!$B$4+AM280)*$AL$1/12)</f>
        <v>0</v>
      </c>
      <c r="AM281" s="14">
        <f t="shared" si="188"/>
        <v>262755.13764632691</v>
      </c>
    </row>
    <row r="282" spans="1:39" x14ac:dyDescent="0.25">
      <c r="A282" s="542">
        <f t="shared" si="176"/>
        <v>52419</v>
      </c>
      <c r="B282" s="298">
        <f t="shared" si="177"/>
        <v>33707.709999999919</v>
      </c>
      <c r="C282" s="14">
        <f t="shared" si="167"/>
        <v>433.95</v>
      </c>
      <c r="D282" s="14">
        <f t="shared" si="189"/>
        <v>300.52</v>
      </c>
      <c r="E282" s="14">
        <f t="shared" si="168"/>
        <v>133.43</v>
      </c>
      <c r="F282" s="298">
        <f t="shared" si="178"/>
        <v>50110.6</v>
      </c>
      <c r="G282" s="298">
        <f t="shared" si="179"/>
        <v>66517.289999999964</v>
      </c>
      <c r="H282" s="298">
        <f t="shared" si="169"/>
        <v>33407.189999999922</v>
      </c>
      <c r="I282" s="451">
        <f t="shared" si="170"/>
        <v>18</v>
      </c>
      <c r="J282" s="298">
        <f t="shared" si="180"/>
        <v>246220.93999999965</v>
      </c>
      <c r="K282" s="298">
        <f t="shared" si="158"/>
        <v>2701.27</v>
      </c>
      <c r="L282" s="298">
        <f t="shared" si="190"/>
        <v>1111.0899999999999</v>
      </c>
      <c r="M282" s="298">
        <f t="shared" si="159"/>
        <v>1590.18</v>
      </c>
      <c r="N282" s="298">
        <f t="shared" si="181"/>
        <v>131945.15000000011</v>
      </c>
      <c r="O282" s="298">
        <f t="shared" si="182"/>
        <v>470438.06000000029</v>
      </c>
      <c r="P282" s="298">
        <f t="shared" si="171"/>
        <v>245109.84999999966</v>
      </c>
      <c r="Q282" s="542">
        <f t="shared" si="172"/>
        <v>52419</v>
      </c>
      <c r="R282" s="298">
        <f t="shared" si="157"/>
        <v>0</v>
      </c>
      <c r="S282" s="535">
        <f t="shared" si="183"/>
        <v>7.7499999999999999E-2</v>
      </c>
      <c r="T282" s="298">
        <f t="shared" si="173"/>
        <v>0</v>
      </c>
      <c r="U282" s="298">
        <f t="shared" si="160"/>
        <v>0</v>
      </c>
      <c r="V282" s="298">
        <f t="shared" si="174"/>
        <v>0</v>
      </c>
      <c r="W282" s="298">
        <f t="shared" si="166"/>
        <v>0</v>
      </c>
      <c r="X282" s="298">
        <f t="shared" si="166"/>
        <v>0</v>
      </c>
      <c r="Y282" s="298">
        <f t="shared" si="161"/>
        <v>0</v>
      </c>
      <c r="Z282" s="298">
        <f t="shared" si="162"/>
        <v>378976.30999999988</v>
      </c>
      <c r="AA282" s="298">
        <f t="shared" si="163"/>
        <v>237979.58999999985</v>
      </c>
      <c r="AB282" s="298">
        <f t="shared" si="175"/>
        <v>0</v>
      </c>
      <c r="AC282" s="451">
        <f t="shared" si="184"/>
        <v>222</v>
      </c>
      <c r="AD282" s="552">
        <f t="shared" si="185"/>
        <v>-14572.690000000115</v>
      </c>
      <c r="AE282" s="552">
        <f t="shared" si="155"/>
        <v>-33407.189999999922</v>
      </c>
      <c r="AF282" s="552">
        <f t="shared" si="156"/>
        <v>-47979.880000000034</v>
      </c>
      <c r="AG282" s="552">
        <f t="shared" si="186"/>
        <v>-433.95</v>
      </c>
      <c r="AH282" s="552">
        <f t="shared" si="187"/>
        <v>55813.790000000095</v>
      </c>
      <c r="AI282" s="552"/>
      <c r="AJ282" s="14">
        <f t="shared" si="164"/>
        <v>-433.95</v>
      </c>
      <c r="AK282" s="14">
        <f t="shared" si="165"/>
        <v>519317.14999999979</v>
      </c>
      <c r="AL282" s="552">
        <f>IF(R282&lt;=0,0,+([1]Profit!$B$4+AM281)*$AL$1/12)</f>
        <v>0</v>
      </c>
      <c r="AM282" s="14">
        <f t="shared" si="188"/>
        <v>262755.13764632691</v>
      </c>
    </row>
    <row r="283" spans="1:39" x14ac:dyDescent="0.25">
      <c r="A283" s="542">
        <f t="shared" si="176"/>
        <v>52449</v>
      </c>
      <c r="B283" s="298">
        <f t="shared" si="177"/>
        <v>33407.189999999922</v>
      </c>
      <c r="C283" s="14">
        <f t="shared" si="167"/>
        <v>433.95</v>
      </c>
      <c r="D283" s="14">
        <f t="shared" si="189"/>
        <v>301.70999999999998</v>
      </c>
      <c r="E283" s="14">
        <f t="shared" si="168"/>
        <v>132.24</v>
      </c>
      <c r="F283" s="298">
        <f t="shared" si="178"/>
        <v>50412.31</v>
      </c>
      <c r="G283" s="298">
        <f t="shared" si="179"/>
        <v>66649.52999999997</v>
      </c>
      <c r="H283" s="298">
        <f t="shared" si="169"/>
        <v>33105.479999999923</v>
      </c>
      <c r="I283" s="451">
        <f t="shared" si="170"/>
        <v>18</v>
      </c>
      <c r="J283" s="298">
        <f t="shared" si="180"/>
        <v>245109.84999999966</v>
      </c>
      <c r="K283" s="298">
        <f t="shared" si="158"/>
        <v>2701.27</v>
      </c>
      <c r="L283" s="298">
        <f t="shared" si="190"/>
        <v>1118.27</v>
      </c>
      <c r="M283" s="298">
        <f t="shared" si="159"/>
        <v>1583</v>
      </c>
      <c r="N283" s="298">
        <f t="shared" si="181"/>
        <v>133063.4200000001</v>
      </c>
      <c r="O283" s="298">
        <f t="shared" si="182"/>
        <v>472021.06000000029</v>
      </c>
      <c r="P283" s="298">
        <f t="shared" si="171"/>
        <v>243991.57999999967</v>
      </c>
      <c r="Q283" s="542">
        <f t="shared" si="172"/>
        <v>52449</v>
      </c>
      <c r="R283" s="298">
        <f t="shared" si="157"/>
        <v>0</v>
      </c>
      <c r="S283" s="535">
        <f t="shared" si="183"/>
        <v>7.7499999999999999E-2</v>
      </c>
      <c r="T283" s="298">
        <f t="shared" si="173"/>
        <v>0</v>
      </c>
      <c r="U283" s="298">
        <f t="shared" si="160"/>
        <v>0</v>
      </c>
      <c r="V283" s="298">
        <f t="shared" si="174"/>
        <v>0</v>
      </c>
      <c r="W283" s="298">
        <f t="shared" si="166"/>
        <v>0</v>
      </c>
      <c r="X283" s="298">
        <f t="shared" si="166"/>
        <v>0</v>
      </c>
      <c r="Y283" s="298">
        <f t="shared" si="161"/>
        <v>0</v>
      </c>
      <c r="Z283" s="298">
        <f t="shared" si="162"/>
        <v>378976.30999999988</v>
      </c>
      <c r="AA283" s="298">
        <f t="shared" si="163"/>
        <v>237979.58999999985</v>
      </c>
      <c r="AB283" s="298">
        <f t="shared" si="175"/>
        <v>0</v>
      </c>
      <c r="AC283" s="451">
        <f t="shared" si="184"/>
        <v>223</v>
      </c>
      <c r="AD283" s="552">
        <f t="shared" si="185"/>
        <v>-11871.420000000115</v>
      </c>
      <c r="AE283" s="552">
        <f t="shared" si="155"/>
        <v>-33105.479999999923</v>
      </c>
      <c r="AF283" s="552">
        <f t="shared" si="156"/>
        <v>-44976.900000000038</v>
      </c>
      <c r="AG283" s="552">
        <f t="shared" si="186"/>
        <v>-433.95</v>
      </c>
      <c r="AH283" s="552">
        <f t="shared" si="187"/>
        <v>56115.500000000116</v>
      </c>
      <c r="AI283" s="552"/>
      <c r="AJ283" s="14">
        <f t="shared" si="164"/>
        <v>-433.95</v>
      </c>
      <c r="AK283" s="14">
        <f t="shared" si="165"/>
        <v>518883.19999999978</v>
      </c>
      <c r="AL283" s="552">
        <f>IF(R283&lt;=0,0,+([1]Profit!$B$4+AM282)*$AL$1/12)</f>
        <v>0</v>
      </c>
      <c r="AM283" s="14">
        <f t="shared" si="188"/>
        <v>262755.13764632691</v>
      </c>
    </row>
    <row r="284" spans="1:39" x14ac:dyDescent="0.25">
      <c r="A284" s="542">
        <f t="shared" si="176"/>
        <v>52479</v>
      </c>
      <c r="B284" s="298">
        <f t="shared" si="177"/>
        <v>33105.479999999923</v>
      </c>
      <c r="C284" s="14">
        <f t="shared" si="167"/>
        <v>433.95</v>
      </c>
      <c r="D284" s="14">
        <f t="shared" si="189"/>
        <v>302.90999999999997</v>
      </c>
      <c r="E284" s="14">
        <f t="shared" si="168"/>
        <v>131.04</v>
      </c>
      <c r="F284" s="298">
        <f t="shared" si="178"/>
        <v>50715.22</v>
      </c>
      <c r="G284" s="298">
        <f t="shared" si="179"/>
        <v>66780.569999999963</v>
      </c>
      <c r="H284" s="298">
        <f t="shared" si="169"/>
        <v>32802.56999999992</v>
      </c>
      <c r="I284" s="451">
        <f t="shared" si="170"/>
        <v>18</v>
      </c>
      <c r="J284" s="298">
        <f t="shared" si="180"/>
        <v>243991.57999999967</v>
      </c>
      <c r="K284" s="298">
        <f t="shared" si="158"/>
        <v>2701.27</v>
      </c>
      <c r="L284" s="298">
        <f t="shared" si="190"/>
        <v>1125.49</v>
      </c>
      <c r="M284" s="298">
        <f t="shared" si="159"/>
        <v>1575.78</v>
      </c>
      <c r="N284" s="298">
        <f t="shared" si="181"/>
        <v>134188.91000000009</v>
      </c>
      <c r="O284" s="298">
        <f t="shared" si="182"/>
        <v>473596.84000000032</v>
      </c>
      <c r="P284" s="298">
        <f t="shared" si="171"/>
        <v>242866.08999999968</v>
      </c>
      <c r="Q284" s="542">
        <f t="shared" si="172"/>
        <v>52479</v>
      </c>
      <c r="R284" s="298">
        <f t="shared" si="157"/>
        <v>0</v>
      </c>
      <c r="S284" s="535">
        <f t="shared" si="183"/>
        <v>7.7499999999999999E-2</v>
      </c>
      <c r="T284" s="298">
        <f t="shared" si="173"/>
        <v>0</v>
      </c>
      <c r="U284" s="298">
        <f t="shared" si="160"/>
        <v>0</v>
      </c>
      <c r="V284" s="298">
        <f t="shared" si="174"/>
        <v>0</v>
      </c>
      <c r="W284" s="298">
        <f t="shared" ref="W284:X299" si="191">+W283</f>
        <v>0</v>
      </c>
      <c r="X284" s="298">
        <f t="shared" si="191"/>
        <v>0</v>
      </c>
      <c r="Y284" s="298">
        <f t="shared" si="161"/>
        <v>0</v>
      </c>
      <c r="Z284" s="298">
        <f t="shared" si="162"/>
        <v>378976.30999999988</v>
      </c>
      <c r="AA284" s="298">
        <f t="shared" si="163"/>
        <v>237979.58999999985</v>
      </c>
      <c r="AB284" s="298">
        <f t="shared" si="175"/>
        <v>0</v>
      </c>
      <c r="AC284" s="451">
        <f t="shared" si="184"/>
        <v>224</v>
      </c>
      <c r="AD284" s="552">
        <f t="shared" si="185"/>
        <v>-9170.1500000001142</v>
      </c>
      <c r="AE284" s="552">
        <f t="shared" si="155"/>
        <v>-32802.56999999992</v>
      </c>
      <c r="AF284" s="552">
        <f t="shared" si="156"/>
        <v>-41972.72000000003</v>
      </c>
      <c r="AG284" s="552">
        <f t="shared" si="186"/>
        <v>-433.95</v>
      </c>
      <c r="AH284" s="552">
        <f t="shared" si="187"/>
        <v>56418.410000000091</v>
      </c>
      <c r="AI284" s="552"/>
      <c r="AJ284" s="14">
        <f t="shared" si="164"/>
        <v>-433.95</v>
      </c>
      <c r="AK284" s="14">
        <f t="shared" si="165"/>
        <v>518449.24999999977</v>
      </c>
      <c r="AL284" s="552">
        <f>IF(R284&lt;=0,0,+([1]Profit!$B$4+AM283)*$AL$1/12)</f>
        <v>0</v>
      </c>
      <c r="AM284" s="14">
        <f t="shared" si="188"/>
        <v>262755.13764632691</v>
      </c>
    </row>
    <row r="285" spans="1:39" x14ac:dyDescent="0.25">
      <c r="A285" s="542">
        <f t="shared" si="176"/>
        <v>52509</v>
      </c>
      <c r="B285" s="298">
        <f t="shared" si="177"/>
        <v>32802.56999999992</v>
      </c>
      <c r="C285" s="14">
        <f t="shared" si="167"/>
        <v>433.95</v>
      </c>
      <c r="D285" s="14">
        <f t="shared" si="189"/>
        <v>304.11</v>
      </c>
      <c r="E285" s="14">
        <f t="shared" si="168"/>
        <v>129.84</v>
      </c>
      <c r="F285" s="298">
        <f t="shared" si="178"/>
        <v>51019.33</v>
      </c>
      <c r="G285" s="298">
        <f t="shared" si="179"/>
        <v>66910.40999999996</v>
      </c>
      <c r="H285" s="298">
        <f t="shared" si="169"/>
        <v>32498.459999999919</v>
      </c>
      <c r="I285" s="451">
        <f t="shared" si="170"/>
        <v>18</v>
      </c>
      <c r="J285" s="298">
        <f t="shared" si="180"/>
        <v>242866.08999999968</v>
      </c>
      <c r="K285" s="298">
        <f t="shared" si="158"/>
        <v>2701.27</v>
      </c>
      <c r="L285" s="298">
        <f t="shared" si="190"/>
        <v>1132.76</v>
      </c>
      <c r="M285" s="298">
        <f t="shared" si="159"/>
        <v>1568.51</v>
      </c>
      <c r="N285" s="298">
        <f t="shared" si="181"/>
        <v>135321.6700000001</v>
      </c>
      <c r="O285" s="298">
        <f t="shared" si="182"/>
        <v>475165.35000000033</v>
      </c>
      <c r="P285" s="298">
        <f t="shared" si="171"/>
        <v>241733.32999999967</v>
      </c>
      <c r="Q285" s="542">
        <f t="shared" si="172"/>
        <v>52509</v>
      </c>
      <c r="R285" s="298">
        <f t="shared" si="157"/>
        <v>0</v>
      </c>
      <c r="S285" s="535">
        <f t="shared" si="183"/>
        <v>7.7499999999999999E-2</v>
      </c>
      <c r="T285" s="298">
        <f t="shared" si="173"/>
        <v>0</v>
      </c>
      <c r="U285" s="298">
        <f t="shared" si="160"/>
        <v>0</v>
      </c>
      <c r="V285" s="298">
        <f t="shared" si="174"/>
        <v>0</v>
      </c>
      <c r="W285" s="298">
        <f t="shared" si="191"/>
        <v>0</v>
      </c>
      <c r="X285" s="298">
        <f t="shared" si="191"/>
        <v>0</v>
      </c>
      <c r="Y285" s="298">
        <f t="shared" si="161"/>
        <v>0</v>
      </c>
      <c r="Z285" s="298">
        <f t="shared" si="162"/>
        <v>378976.30999999988</v>
      </c>
      <c r="AA285" s="298">
        <f t="shared" si="163"/>
        <v>237979.58999999985</v>
      </c>
      <c r="AB285" s="298">
        <f t="shared" si="175"/>
        <v>0</v>
      </c>
      <c r="AC285" s="451">
        <f t="shared" si="184"/>
        <v>225</v>
      </c>
      <c r="AD285" s="552">
        <f t="shared" si="185"/>
        <v>-6468.8800000001138</v>
      </c>
      <c r="AE285" s="552">
        <f t="shared" si="155"/>
        <v>-32498.459999999919</v>
      </c>
      <c r="AF285" s="552">
        <f t="shared" si="156"/>
        <v>-38967.340000000033</v>
      </c>
      <c r="AG285" s="552">
        <f t="shared" si="186"/>
        <v>-433.95</v>
      </c>
      <c r="AH285" s="552">
        <f t="shared" si="187"/>
        <v>56722.520000000135</v>
      </c>
      <c r="AI285" s="552"/>
      <c r="AJ285" s="14">
        <f t="shared" si="164"/>
        <v>-433.95</v>
      </c>
      <c r="AK285" s="14">
        <f t="shared" si="165"/>
        <v>518015.29999999976</v>
      </c>
      <c r="AL285" s="552">
        <f>IF(R285&lt;=0,0,+([1]Profit!$B$4+AM284)*$AL$1/12)</f>
        <v>0</v>
      </c>
      <c r="AM285" s="14">
        <f t="shared" si="188"/>
        <v>262755.13764632691</v>
      </c>
    </row>
    <row r="286" spans="1:39" x14ac:dyDescent="0.25">
      <c r="A286" s="542">
        <f t="shared" si="176"/>
        <v>52539</v>
      </c>
      <c r="B286" s="298">
        <f t="shared" si="177"/>
        <v>32498.459999999919</v>
      </c>
      <c r="C286" s="14">
        <f t="shared" si="167"/>
        <v>433.95</v>
      </c>
      <c r="D286" s="14">
        <f t="shared" si="189"/>
        <v>305.31</v>
      </c>
      <c r="E286" s="14">
        <f t="shared" si="168"/>
        <v>128.63999999999999</v>
      </c>
      <c r="F286" s="298">
        <f t="shared" si="178"/>
        <v>51324.639999999999</v>
      </c>
      <c r="G286" s="298">
        <f t="shared" si="179"/>
        <v>67039.049999999959</v>
      </c>
      <c r="H286" s="298">
        <f t="shared" si="169"/>
        <v>32193.149999999918</v>
      </c>
      <c r="I286" s="451">
        <f t="shared" si="170"/>
        <v>18</v>
      </c>
      <c r="J286" s="298">
        <f t="shared" si="180"/>
        <v>241733.32999999967</v>
      </c>
      <c r="K286" s="298">
        <f t="shared" si="158"/>
        <v>2701.27</v>
      </c>
      <c r="L286" s="298">
        <f t="shared" si="190"/>
        <v>1140.08</v>
      </c>
      <c r="M286" s="298">
        <f t="shared" si="159"/>
        <v>1561.19</v>
      </c>
      <c r="N286" s="298">
        <f t="shared" si="181"/>
        <v>136461.75000000009</v>
      </c>
      <c r="O286" s="298">
        <f t="shared" si="182"/>
        <v>476726.54000000033</v>
      </c>
      <c r="P286" s="298">
        <f t="shared" si="171"/>
        <v>240593.24999999968</v>
      </c>
      <c r="Q286" s="542">
        <f t="shared" si="172"/>
        <v>52539</v>
      </c>
      <c r="R286" s="298">
        <f t="shared" si="157"/>
        <v>0</v>
      </c>
      <c r="S286" s="535">
        <f t="shared" si="183"/>
        <v>7.7499999999999999E-2</v>
      </c>
      <c r="T286" s="298">
        <f t="shared" si="173"/>
        <v>0</v>
      </c>
      <c r="U286" s="298">
        <f t="shared" si="160"/>
        <v>0</v>
      </c>
      <c r="V286" s="298">
        <f t="shared" si="174"/>
        <v>0</v>
      </c>
      <c r="W286" s="298">
        <f t="shared" si="191"/>
        <v>0</v>
      </c>
      <c r="X286" s="298">
        <f t="shared" si="191"/>
        <v>0</v>
      </c>
      <c r="Y286" s="298">
        <f t="shared" si="161"/>
        <v>0</v>
      </c>
      <c r="Z286" s="298">
        <f t="shared" si="162"/>
        <v>378976.30999999988</v>
      </c>
      <c r="AA286" s="298">
        <f t="shared" si="163"/>
        <v>237979.58999999985</v>
      </c>
      <c r="AB286" s="298">
        <f t="shared" si="175"/>
        <v>0</v>
      </c>
      <c r="AC286" s="451">
        <f t="shared" si="184"/>
        <v>226</v>
      </c>
      <c r="AD286" s="552">
        <f t="shared" si="185"/>
        <v>-3767.6100000001138</v>
      </c>
      <c r="AE286" s="552">
        <f t="shared" si="155"/>
        <v>-32193.149999999918</v>
      </c>
      <c r="AF286" s="552">
        <f t="shared" si="156"/>
        <v>-35960.760000000031</v>
      </c>
      <c r="AG286" s="552">
        <f t="shared" si="186"/>
        <v>-433.95</v>
      </c>
      <c r="AH286" s="552">
        <f t="shared" si="187"/>
        <v>57027.830000000133</v>
      </c>
      <c r="AI286" s="552"/>
      <c r="AJ286" s="14">
        <f t="shared" si="164"/>
        <v>-433.95</v>
      </c>
      <c r="AK286" s="14">
        <f t="shared" si="165"/>
        <v>517581.34999999974</v>
      </c>
      <c r="AL286" s="552">
        <f>IF(R286&lt;=0,0,+([1]Profit!$B$4+AM285)*$AL$1/12)</f>
        <v>0</v>
      </c>
      <c r="AM286" s="14">
        <f t="shared" si="188"/>
        <v>262755.13764632691</v>
      </c>
    </row>
    <row r="287" spans="1:39" x14ac:dyDescent="0.25">
      <c r="A287" s="542">
        <f t="shared" si="176"/>
        <v>52569</v>
      </c>
      <c r="B287" s="298">
        <f t="shared" si="177"/>
        <v>32193.149999999918</v>
      </c>
      <c r="C287" s="14">
        <f t="shared" si="167"/>
        <v>433.95</v>
      </c>
      <c r="D287" s="14">
        <f t="shared" si="189"/>
        <v>306.52</v>
      </c>
      <c r="E287" s="14">
        <f t="shared" si="168"/>
        <v>127.43</v>
      </c>
      <c r="F287" s="298">
        <f t="shared" si="178"/>
        <v>51631.159999999996</v>
      </c>
      <c r="G287" s="298">
        <f t="shared" si="179"/>
        <v>67166.479999999952</v>
      </c>
      <c r="H287" s="298">
        <f t="shared" si="169"/>
        <v>31886.629999999917</v>
      </c>
      <c r="I287" s="451">
        <f t="shared" si="170"/>
        <v>18</v>
      </c>
      <c r="J287" s="298">
        <f t="shared" si="180"/>
        <v>240593.24999999968</v>
      </c>
      <c r="K287" s="298">
        <f t="shared" si="158"/>
        <v>2701.27</v>
      </c>
      <c r="L287" s="298">
        <f t="shared" si="190"/>
        <v>1147.44</v>
      </c>
      <c r="M287" s="298">
        <f t="shared" si="159"/>
        <v>1553.83</v>
      </c>
      <c r="N287" s="298">
        <f t="shared" si="181"/>
        <v>137609.19000000009</v>
      </c>
      <c r="O287" s="298">
        <f t="shared" si="182"/>
        <v>478280.37000000034</v>
      </c>
      <c r="P287" s="298">
        <f t="shared" si="171"/>
        <v>239445.80999999968</v>
      </c>
      <c r="Q287" s="542">
        <f t="shared" si="172"/>
        <v>52569</v>
      </c>
      <c r="R287" s="298">
        <f t="shared" si="157"/>
        <v>0</v>
      </c>
      <c r="S287" s="535">
        <f t="shared" si="183"/>
        <v>7.7499999999999999E-2</v>
      </c>
      <c r="T287" s="298">
        <f t="shared" si="173"/>
        <v>0</v>
      </c>
      <c r="U287" s="298">
        <f t="shared" si="160"/>
        <v>0</v>
      </c>
      <c r="V287" s="298">
        <f t="shared" si="174"/>
        <v>0</v>
      </c>
      <c r="W287" s="298">
        <f t="shared" si="191"/>
        <v>0</v>
      </c>
      <c r="X287" s="298">
        <f t="shared" si="191"/>
        <v>0</v>
      </c>
      <c r="Y287" s="298">
        <f t="shared" si="161"/>
        <v>0</v>
      </c>
      <c r="Z287" s="298">
        <f t="shared" si="162"/>
        <v>378976.30999999988</v>
      </c>
      <c r="AA287" s="298">
        <f t="shared" si="163"/>
        <v>237979.58999999985</v>
      </c>
      <c r="AB287" s="298">
        <f t="shared" si="175"/>
        <v>0</v>
      </c>
      <c r="AC287" s="451">
        <f t="shared" si="184"/>
        <v>227</v>
      </c>
      <c r="AD287" s="552">
        <f t="shared" si="185"/>
        <v>-1066.3400000001138</v>
      </c>
      <c r="AE287" s="552">
        <f t="shared" si="155"/>
        <v>-31886.629999999917</v>
      </c>
      <c r="AF287" s="552">
        <f t="shared" si="156"/>
        <v>-32952.97000000003</v>
      </c>
      <c r="AG287" s="552">
        <f t="shared" si="186"/>
        <v>-433.95</v>
      </c>
      <c r="AH287" s="552">
        <f t="shared" si="187"/>
        <v>57334.350000000093</v>
      </c>
      <c r="AI287" s="552"/>
      <c r="AJ287" s="14">
        <f t="shared" si="164"/>
        <v>-433.95</v>
      </c>
      <c r="AK287" s="14">
        <f t="shared" si="165"/>
        <v>517147.39999999973</v>
      </c>
      <c r="AL287" s="552">
        <f>IF(R287&lt;=0,0,+([1]Profit!$B$4+AM286)*$AL$1/12)</f>
        <v>0</v>
      </c>
      <c r="AM287" s="14">
        <f t="shared" si="188"/>
        <v>262755.13764632691</v>
      </c>
    </row>
    <row r="288" spans="1:39" x14ac:dyDescent="0.25">
      <c r="A288" s="542">
        <f t="shared" si="176"/>
        <v>52599</v>
      </c>
      <c r="B288" s="298">
        <f t="shared" si="177"/>
        <v>31886.629999999917</v>
      </c>
      <c r="C288" s="14">
        <f t="shared" si="167"/>
        <v>433.95</v>
      </c>
      <c r="D288" s="14">
        <f t="shared" si="189"/>
        <v>307.73</v>
      </c>
      <c r="E288" s="14">
        <f t="shared" si="168"/>
        <v>126.22</v>
      </c>
      <c r="F288" s="298">
        <f t="shared" si="178"/>
        <v>51938.89</v>
      </c>
      <c r="G288" s="298">
        <f t="shared" si="179"/>
        <v>67292.699999999953</v>
      </c>
      <c r="H288" s="298">
        <f t="shared" si="169"/>
        <v>31578.899999999918</v>
      </c>
      <c r="I288" s="451">
        <f t="shared" si="170"/>
        <v>19</v>
      </c>
      <c r="J288" s="298">
        <f t="shared" si="180"/>
        <v>239445.80999999968</v>
      </c>
      <c r="K288" s="298">
        <f t="shared" si="158"/>
        <v>2701.27</v>
      </c>
      <c r="L288" s="298">
        <f t="shared" si="190"/>
        <v>1154.8499999999999</v>
      </c>
      <c r="M288" s="298">
        <f t="shared" si="159"/>
        <v>1546.42</v>
      </c>
      <c r="N288" s="298">
        <f t="shared" si="181"/>
        <v>138764.0400000001</v>
      </c>
      <c r="O288" s="298">
        <f t="shared" si="182"/>
        <v>479826.79000000033</v>
      </c>
      <c r="P288" s="298">
        <f t="shared" si="171"/>
        <v>238290.95999999967</v>
      </c>
      <c r="Q288" s="542">
        <f t="shared" si="172"/>
        <v>52599</v>
      </c>
      <c r="R288" s="298">
        <f t="shared" si="157"/>
        <v>0</v>
      </c>
      <c r="S288" s="535">
        <f t="shared" si="183"/>
        <v>7.7499999999999999E-2</v>
      </c>
      <c r="T288" s="298">
        <f t="shared" si="173"/>
        <v>0</v>
      </c>
      <c r="U288" s="298">
        <f t="shared" si="160"/>
        <v>0</v>
      </c>
      <c r="V288" s="298">
        <f t="shared" si="174"/>
        <v>0</v>
      </c>
      <c r="W288" s="298">
        <f t="shared" si="191"/>
        <v>0</v>
      </c>
      <c r="X288" s="298">
        <f t="shared" si="191"/>
        <v>0</v>
      </c>
      <c r="Y288" s="298">
        <f t="shared" si="161"/>
        <v>0</v>
      </c>
      <c r="Z288" s="298">
        <f t="shared" si="162"/>
        <v>378976.30999999988</v>
      </c>
      <c r="AA288" s="298">
        <f t="shared" si="163"/>
        <v>237979.58999999985</v>
      </c>
      <c r="AB288" s="298">
        <f t="shared" si="175"/>
        <v>0</v>
      </c>
      <c r="AC288" s="451">
        <f t="shared" si="184"/>
        <v>228</v>
      </c>
      <c r="AD288" s="552">
        <f t="shared" si="185"/>
        <v>1634.9299999998861</v>
      </c>
      <c r="AE288" s="552">
        <f t="shared" si="155"/>
        <v>-31578.899999999918</v>
      </c>
      <c r="AF288" s="552">
        <f t="shared" si="156"/>
        <v>-29943.97000000003</v>
      </c>
      <c r="AG288" s="552">
        <f t="shared" si="186"/>
        <v>-433.95</v>
      </c>
      <c r="AH288" s="552">
        <f t="shared" si="187"/>
        <v>57642.080000000133</v>
      </c>
      <c r="AI288" s="552"/>
      <c r="AJ288" s="14">
        <f t="shared" si="164"/>
        <v>-433.95</v>
      </c>
      <c r="AK288" s="14">
        <f t="shared" si="165"/>
        <v>516713.44999999972</v>
      </c>
      <c r="AL288" s="552">
        <f>IF(R288&lt;=0,0,+([1]Profit!$B$4+AM287)*$AL$1/12)</f>
        <v>0</v>
      </c>
      <c r="AM288" s="14">
        <f t="shared" si="188"/>
        <v>262755.13764632691</v>
      </c>
    </row>
    <row r="289" spans="1:39" x14ac:dyDescent="0.25">
      <c r="A289" s="542">
        <f t="shared" si="176"/>
        <v>52629</v>
      </c>
      <c r="B289" s="298">
        <f t="shared" si="177"/>
        <v>31578.899999999918</v>
      </c>
      <c r="C289" s="14">
        <f t="shared" si="167"/>
        <v>433.95</v>
      </c>
      <c r="D289" s="14">
        <f t="shared" si="189"/>
        <v>308.95</v>
      </c>
      <c r="E289" s="14">
        <f t="shared" si="168"/>
        <v>125</v>
      </c>
      <c r="F289" s="298">
        <f t="shared" si="178"/>
        <v>52247.839999999997</v>
      </c>
      <c r="G289" s="298">
        <f t="shared" si="179"/>
        <v>67417.699999999953</v>
      </c>
      <c r="H289" s="298">
        <f t="shared" si="169"/>
        <v>31269.949999999917</v>
      </c>
      <c r="I289" s="451">
        <f t="shared" si="170"/>
        <v>19</v>
      </c>
      <c r="J289" s="298">
        <f t="shared" si="180"/>
        <v>238290.95999999967</v>
      </c>
      <c r="K289" s="298">
        <f t="shared" si="158"/>
        <v>2701.27</v>
      </c>
      <c r="L289" s="298">
        <f t="shared" si="190"/>
        <v>1162.31</v>
      </c>
      <c r="M289" s="298">
        <f t="shared" si="159"/>
        <v>1538.96</v>
      </c>
      <c r="N289" s="298">
        <f t="shared" si="181"/>
        <v>139926.35000000009</v>
      </c>
      <c r="O289" s="298">
        <f t="shared" si="182"/>
        <v>481365.75000000035</v>
      </c>
      <c r="P289" s="298">
        <f t="shared" si="171"/>
        <v>237128.64999999967</v>
      </c>
      <c r="Q289" s="542">
        <f t="shared" si="172"/>
        <v>52629</v>
      </c>
      <c r="R289" s="298">
        <f t="shared" si="157"/>
        <v>0</v>
      </c>
      <c r="S289" s="535">
        <f t="shared" si="183"/>
        <v>7.7499999999999999E-2</v>
      </c>
      <c r="T289" s="298">
        <f t="shared" si="173"/>
        <v>0</v>
      </c>
      <c r="U289" s="298">
        <f t="shared" si="160"/>
        <v>0</v>
      </c>
      <c r="V289" s="298">
        <f t="shared" si="174"/>
        <v>0</v>
      </c>
      <c r="W289" s="298">
        <f t="shared" si="191"/>
        <v>0</v>
      </c>
      <c r="X289" s="298">
        <f t="shared" si="191"/>
        <v>0</v>
      </c>
      <c r="Y289" s="298">
        <f t="shared" si="161"/>
        <v>0</v>
      </c>
      <c r="Z289" s="298">
        <f t="shared" si="162"/>
        <v>378976.30999999988</v>
      </c>
      <c r="AA289" s="298">
        <f t="shared" si="163"/>
        <v>237979.58999999985</v>
      </c>
      <c r="AB289" s="298">
        <f t="shared" si="175"/>
        <v>0</v>
      </c>
      <c r="AC289" s="451">
        <f t="shared" si="184"/>
        <v>229</v>
      </c>
      <c r="AD289" s="552">
        <f t="shared" si="185"/>
        <v>4336.1999999998861</v>
      </c>
      <c r="AE289" s="552">
        <f t="shared" si="155"/>
        <v>-31269.949999999917</v>
      </c>
      <c r="AF289" s="552">
        <f t="shared" si="156"/>
        <v>-26933.750000000029</v>
      </c>
      <c r="AG289" s="552">
        <f t="shared" si="186"/>
        <v>-433.95</v>
      </c>
      <c r="AH289" s="552">
        <f t="shared" si="187"/>
        <v>57951.030000000086</v>
      </c>
      <c r="AI289" s="552"/>
      <c r="AJ289" s="14">
        <f t="shared" si="164"/>
        <v>-433.95</v>
      </c>
      <c r="AK289" s="14">
        <f t="shared" si="165"/>
        <v>516279.49999999971</v>
      </c>
      <c r="AL289" s="552">
        <f>IF(R289&lt;=0,0,+([1]Profit!$B$4+AM288)*$AL$1/12)</f>
        <v>0</v>
      </c>
      <c r="AM289" s="14">
        <f t="shared" si="188"/>
        <v>262755.13764632691</v>
      </c>
    </row>
    <row r="290" spans="1:39" ht="15.75" thickBot="1" x14ac:dyDescent="0.3">
      <c r="A290" s="545">
        <f t="shared" si="176"/>
        <v>52659</v>
      </c>
      <c r="B290" s="371">
        <f t="shared" si="177"/>
        <v>31269.949999999917</v>
      </c>
      <c r="C290" s="21">
        <f t="shared" si="167"/>
        <v>433.95</v>
      </c>
      <c r="D290" s="21">
        <f t="shared" si="189"/>
        <v>310.16999999999996</v>
      </c>
      <c r="E290" s="21">
        <f t="shared" si="168"/>
        <v>123.78</v>
      </c>
      <c r="F290" s="371">
        <f t="shared" si="178"/>
        <v>52558.009999999995</v>
      </c>
      <c r="G290" s="371">
        <f t="shared" si="179"/>
        <v>67541.479999999952</v>
      </c>
      <c r="H290" s="371">
        <f t="shared" si="169"/>
        <v>30959.779999999919</v>
      </c>
      <c r="I290" s="452">
        <f t="shared" si="170"/>
        <v>19</v>
      </c>
      <c r="J290" s="371">
        <f t="shared" si="180"/>
        <v>237128.64999999967</v>
      </c>
      <c r="K290" s="371">
        <f t="shared" si="158"/>
        <v>2701.27</v>
      </c>
      <c r="L290" s="371">
        <f t="shared" si="190"/>
        <v>1169.81</v>
      </c>
      <c r="M290" s="371">
        <f t="shared" si="159"/>
        <v>1531.46</v>
      </c>
      <c r="N290" s="371">
        <f t="shared" si="181"/>
        <v>141096.16000000009</v>
      </c>
      <c r="O290" s="371">
        <f t="shared" si="182"/>
        <v>482897.21000000037</v>
      </c>
      <c r="P290" s="371">
        <f t="shared" si="171"/>
        <v>235958.83999999968</v>
      </c>
      <c r="Q290" s="545">
        <f t="shared" si="172"/>
        <v>52659</v>
      </c>
      <c r="R290" s="371">
        <f t="shared" si="157"/>
        <v>0</v>
      </c>
      <c r="S290" s="536">
        <f t="shared" si="183"/>
        <v>7.7499999999999999E-2</v>
      </c>
      <c r="T290" s="371">
        <f t="shared" si="173"/>
        <v>0</v>
      </c>
      <c r="U290" s="371">
        <f t="shared" si="160"/>
        <v>0</v>
      </c>
      <c r="V290" s="371">
        <f t="shared" si="174"/>
        <v>0</v>
      </c>
      <c r="W290" s="371">
        <f t="shared" si="191"/>
        <v>0</v>
      </c>
      <c r="X290" s="371">
        <f t="shared" si="191"/>
        <v>0</v>
      </c>
      <c r="Y290" s="371">
        <f t="shared" si="161"/>
        <v>0</v>
      </c>
      <c r="Z290" s="371">
        <f t="shared" si="162"/>
        <v>378976.30999999988</v>
      </c>
      <c r="AA290" s="371">
        <f t="shared" si="163"/>
        <v>237979.58999999985</v>
      </c>
      <c r="AB290" s="371">
        <f t="shared" si="175"/>
        <v>0</v>
      </c>
      <c r="AC290" s="452">
        <f t="shared" si="184"/>
        <v>230</v>
      </c>
      <c r="AD290" s="553">
        <f t="shared" si="185"/>
        <v>7037.4699999998866</v>
      </c>
      <c r="AE290" s="553">
        <f t="shared" si="155"/>
        <v>-30959.779999999919</v>
      </c>
      <c r="AF290" s="553">
        <f t="shared" si="156"/>
        <v>-23922.310000000034</v>
      </c>
      <c r="AG290" s="553">
        <f t="shared" si="186"/>
        <v>-433.95</v>
      </c>
      <c r="AH290" s="553">
        <f t="shared" si="187"/>
        <v>58261.200000000128</v>
      </c>
      <c r="AI290" s="553"/>
      <c r="AJ290" s="21">
        <f t="shared" si="164"/>
        <v>-433.95</v>
      </c>
      <c r="AK290" s="21">
        <f t="shared" si="165"/>
        <v>515845.5499999997</v>
      </c>
      <c r="AL290" s="553">
        <f>IF(R290&lt;=0,0,+([1]Profit!$B$4+AM289)*$AL$1/12)</f>
        <v>0</v>
      </c>
      <c r="AM290" s="21">
        <f t="shared" si="188"/>
        <v>262755.13764632691</v>
      </c>
    </row>
    <row r="291" spans="1:39" x14ac:dyDescent="0.25">
      <c r="A291" s="542">
        <f t="shared" si="176"/>
        <v>52689</v>
      </c>
      <c r="B291" s="298">
        <f t="shared" si="177"/>
        <v>30959.779999999919</v>
      </c>
      <c r="C291" s="14">
        <f t="shared" si="167"/>
        <v>433.95</v>
      </c>
      <c r="D291" s="14">
        <f t="shared" si="189"/>
        <v>311.39999999999998</v>
      </c>
      <c r="E291" s="14">
        <f t="shared" si="168"/>
        <v>122.55</v>
      </c>
      <c r="F291" s="298">
        <f t="shared" si="178"/>
        <v>52869.409999999996</v>
      </c>
      <c r="G291" s="298">
        <f t="shared" si="179"/>
        <v>67664.029999999955</v>
      </c>
      <c r="H291" s="298">
        <f t="shared" si="169"/>
        <v>30648.379999999917</v>
      </c>
      <c r="I291" s="451">
        <f t="shared" si="170"/>
        <v>19</v>
      </c>
      <c r="J291" s="298">
        <f t="shared" si="180"/>
        <v>235958.83999999968</v>
      </c>
      <c r="K291" s="298">
        <f t="shared" si="158"/>
        <v>2701.27</v>
      </c>
      <c r="L291" s="298">
        <f t="shared" si="190"/>
        <v>1177.3699999999999</v>
      </c>
      <c r="M291" s="298">
        <f t="shared" si="159"/>
        <v>1523.9</v>
      </c>
      <c r="N291" s="298">
        <f t="shared" si="181"/>
        <v>142273.53000000009</v>
      </c>
      <c r="O291" s="298">
        <f t="shared" si="182"/>
        <v>484421.11000000039</v>
      </c>
      <c r="P291" s="298">
        <f t="shared" si="171"/>
        <v>234781.46999999968</v>
      </c>
      <c r="Q291" s="542">
        <f t="shared" si="172"/>
        <v>52689</v>
      </c>
      <c r="R291" s="298">
        <f t="shared" si="157"/>
        <v>0</v>
      </c>
      <c r="S291" s="535">
        <f t="shared" si="183"/>
        <v>7.7499999999999999E-2</v>
      </c>
      <c r="T291" s="298">
        <f t="shared" si="173"/>
        <v>0</v>
      </c>
      <c r="U291" s="298">
        <f t="shared" si="160"/>
        <v>0</v>
      </c>
      <c r="V291" s="298">
        <f t="shared" si="174"/>
        <v>0</v>
      </c>
      <c r="W291" s="298">
        <f t="shared" si="191"/>
        <v>0</v>
      </c>
      <c r="X291" s="298">
        <f t="shared" si="191"/>
        <v>0</v>
      </c>
      <c r="Y291" s="298">
        <f t="shared" si="161"/>
        <v>0</v>
      </c>
      <c r="Z291" s="298">
        <f t="shared" si="162"/>
        <v>378976.30999999988</v>
      </c>
      <c r="AA291" s="298">
        <f t="shared" si="163"/>
        <v>237979.58999999985</v>
      </c>
      <c r="AB291" s="298">
        <f t="shared" si="175"/>
        <v>0</v>
      </c>
      <c r="AC291" s="451">
        <f t="shared" si="184"/>
        <v>231</v>
      </c>
      <c r="AD291" s="552">
        <f t="shared" si="185"/>
        <v>9738.739999999887</v>
      </c>
      <c r="AE291" s="552">
        <f t="shared" si="155"/>
        <v>-30648.379999999917</v>
      </c>
      <c r="AF291" s="552">
        <f t="shared" si="156"/>
        <v>-20909.640000000029</v>
      </c>
      <c r="AG291" s="552">
        <f t="shared" si="186"/>
        <v>-433.95</v>
      </c>
      <c r="AH291" s="552">
        <f t="shared" si="187"/>
        <v>58572.600000000093</v>
      </c>
      <c r="AI291" s="552"/>
      <c r="AJ291" s="14">
        <f t="shared" si="164"/>
        <v>-433.95</v>
      </c>
      <c r="AK291" s="14">
        <f t="shared" si="165"/>
        <v>515411.59999999969</v>
      </c>
      <c r="AL291" s="552">
        <f>IF(R291&lt;=0,0,+([1]Profit!$B$4+AM290)*$AL$1/12)</f>
        <v>0</v>
      </c>
      <c r="AM291" s="14">
        <f t="shared" si="188"/>
        <v>262755.13764632691</v>
      </c>
    </row>
    <row r="292" spans="1:39" x14ac:dyDescent="0.25">
      <c r="A292" s="542">
        <f t="shared" si="176"/>
        <v>52719</v>
      </c>
      <c r="B292" s="298">
        <f t="shared" si="177"/>
        <v>30648.379999999917</v>
      </c>
      <c r="C292" s="14">
        <f t="shared" si="167"/>
        <v>433.95</v>
      </c>
      <c r="D292" s="14">
        <f t="shared" si="189"/>
        <v>312.63</v>
      </c>
      <c r="E292" s="14">
        <f t="shared" si="168"/>
        <v>121.32</v>
      </c>
      <c r="F292" s="298">
        <f t="shared" si="178"/>
        <v>53182.039999999994</v>
      </c>
      <c r="G292" s="298">
        <f t="shared" si="179"/>
        <v>67785.349999999962</v>
      </c>
      <c r="H292" s="298">
        <f t="shared" si="169"/>
        <v>30335.749999999916</v>
      </c>
      <c r="I292" s="451">
        <f t="shared" si="170"/>
        <v>19</v>
      </c>
      <c r="J292" s="298">
        <f t="shared" si="180"/>
        <v>234781.46999999968</v>
      </c>
      <c r="K292" s="298">
        <f t="shared" si="158"/>
        <v>2701.27</v>
      </c>
      <c r="L292" s="298">
        <f t="shared" si="190"/>
        <v>1184.97</v>
      </c>
      <c r="M292" s="298">
        <f t="shared" si="159"/>
        <v>1516.3</v>
      </c>
      <c r="N292" s="298">
        <f t="shared" si="181"/>
        <v>143458.50000000009</v>
      </c>
      <c r="O292" s="298">
        <f t="shared" si="182"/>
        <v>485937.41000000038</v>
      </c>
      <c r="P292" s="298">
        <f t="shared" si="171"/>
        <v>233596.49999999968</v>
      </c>
      <c r="Q292" s="542">
        <f t="shared" si="172"/>
        <v>52719</v>
      </c>
      <c r="R292" s="298">
        <f t="shared" si="157"/>
        <v>0</v>
      </c>
      <c r="S292" s="535">
        <f t="shared" si="183"/>
        <v>7.7499999999999999E-2</v>
      </c>
      <c r="T292" s="298">
        <f t="shared" si="173"/>
        <v>0</v>
      </c>
      <c r="U292" s="298">
        <f t="shared" si="160"/>
        <v>0</v>
      </c>
      <c r="V292" s="298">
        <f t="shared" si="174"/>
        <v>0</v>
      </c>
      <c r="W292" s="298">
        <f t="shared" si="191"/>
        <v>0</v>
      </c>
      <c r="X292" s="298">
        <f t="shared" si="191"/>
        <v>0</v>
      </c>
      <c r="Y292" s="298">
        <f t="shared" si="161"/>
        <v>0</v>
      </c>
      <c r="Z292" s="298">
        <f t="shared" si="162"/>
        <v>378976.30999999988</v>
      </c>
      <c r="AA292" s="298">
        <f t="shared" si="163"/>
        <v>237979.58999999985</v>
      </c>
      <c r="AB292" s="298">
        <f t="shared" si="175"/>
        <v>0</v>
      </c>
      <c r="AC292" s="451">
        <f t="shared" si="184"/>
        <v>232</v>
      </c>
      <c r="AD292" s="552">
        <f t="shared" si="185"/>
        <v>12440.009999999887</v>
      </c>
      <c r="AE292" s="552">
        <f t="shared" si="155"/>
        <v>-30335.749999999916</v>
      </c>
      <c r="AF292" s="552">
        <f t="shared" si="156"/>
        <v>-17895.740000000027</v>
      </c>
      <c r="AG292" s="552">
        <f t="shared" si="186"/>
        <v>-433.95</v>
      </c>
      <c r="AH292" s="552">
        <f t="shared" si="187"/>
        <v>58885.230000000098</v>
      </c>
      <c r="AI292" s="552"/>
      <c r="AJ292" s="14">
        <f t="shared" si="164"/>
        <v>-433.95</v>
      </c>
      <c r="AK292" s="14">
        <f t="shared" si="165"/>
        <v>514977.64999999967</v>
      </c>
      <c r="AL292" s="552">
        <f>IF(R292&lt;=0,0,+([1]Profit!$B$4+AM291)*$AL$1/12)</f>
        <v>0</v>
      </c>
      <c r="AM292" s="14">
        <f t="shared" si="188"/>
        <v>262755.13764632691</v>
      </c>
    </row>
    <row r="293" spans="1:39" x14ac:dyDescent="0.25">
      <c r="A293" s="542">
        <f t="shared" si="176"/>
        <v>52749</v>
      </c>
      <c r="B293" s="298">
        <f t="shared" si="177"/>
        <v>30335.749999999916</v>
      </c>
      <c r="C293" s="14">
        <f t="shared" si="167"/>
        <v>433.95</v>
      </c>
      <c r="D293" s="14">
        <f t="shared" si="189"/>
        <v>313.87</v>
      </c>
      <c r="E293" s="14">
        <f t="shared" si="168"/>
        <v>120.08</v>
      </c>
      <c r="F293" s="298">
        <f t="shared" si="178"/>
        <v>53495.909999999996</v>
      </c>
      <c r="G293" s="298">
        <f t="shared" si="179"/>
        <v>67905.429999999964</v>
      </c>
      <c r="H293" s="298">
        <f t="shared" si="169"/>
        <v>30021.879999999917</v>
      </c>
      <c r="I293" s="451">
        <f t="shared" si="170"/>
        <v>19</v>
      </c>
      <c r="J293" s="298">
        <f t="shared" si="180"/>
        <v>233596.49999999968</v>
      </c>
      <c r="K293" s="298">
        <f t="shared" si="158"/>
        <v>2701.27</v>
      </c>
      <c r="L293" s="298">
        <f t="shared" si="190"/>
        <v>1192.6299999999999</v>
      </c>
      <c r="M293" s="298">
        <f t="shared" si="159"/>
        <v>1508.64</v>
      </c>
      <c r="N293" s="298">
        <f t="shared" si="181"/>
        <v>144651.13000000009</v>
      </c>
      <c r="O293" s="298">
        <f t="shared" si="182"/>
        <v>487446.0500000004</v>
      </c>
      <c r="P293" s="298">
        <f t="shared" si="171"/>
        <v>232403.86999999968</v>
      </c>
      <c r="Q293" s="542">
        <f t="shared" si="172"/>
        <v>52749</v>
      </c>
      <c r="R293" s="298">
        <f t="shared" si="157"/>
        <v>0</v>
      </c>
      <c r="S293" s="535">
        <f t="shared" si="183"/>
        <v>7.7499999999999999E-2</v>
      </c>
      <c r="T293" s="298">
        <f t="shared" si="173"/>
        <v>0</v>
      </c>
      <c r="U293" s="298">
        <f t="shared" si="160"/>
        <v>0</v>
      </c>
      <c r="V293" s="298">
        <f t="shared" si="174"/>
        <v>0</v>
      </c>
      <c r="W293" s="298">
        <f t="shared" si="191"/>
        <v>0</v>
      </c>
      <c r="X293" s="298">
        <f t="shared" si="191"/>
        <v>0</v>
      </c>
      <c r="Y293" s="298">
        <f t="shared" si="161"/>
        <v>0</v>
      </c>
      <c r="Z293" s="298">
        <f t="shared" si="162"/>
        <v>378976.30999999988</v>
      </c>
      <c r="AA293" s="298">
        <f t="shared" si="163"/>
        <v>237979.58999999985</v>
      </c>
      <c r="AB293" s="298">
        <f t="shared" si="175"/>
        <v>0</v>
      </c>
      <c r="AC293" s="451">
        <f t="shared" si="184"/>
        <v>233</v>
      </c>
      <c r="AD293" s="552">
        <f t="shared" si="185"/>
        <v>15141.279999999888</v>
      </c>
      <c r="AE293" s="552">
        <f t="shared" si="155"/>
        <v>-30021.879999999917</v>
      </c>
      <c r="AF293" s="552">
        <f t="shared" si="156"/>
        <v>-14880.600000000029</v>
      </c>
      <c r="AG293" s="552">
        <f t="shared" si="186"/>
        <v>-433.95</v>
      </c>
      <c r="AH293" s="552">
        <f t="shared" si="187"/>
        <v>59199.100000000093</v>
      </c>
      <c r="AI293" s="552"/>
      <c r="AJ293" s="14">
        <f t="shared" si="164"/>
        <v>-433.95</v>
      </c>
      <c r="AK293" s="14">
        <f t="shared" si="165"/>
        <v>514543.69999999966</v>
      </c>
      <c r="AL293" s="552">
        <f>IF(R293&lt;=0,0,+([1]Profit!$B$4+AM292)*$AL$1/12)</f>
        <v>0</v>
      </c>
      <c r="AM293" s="14">
        <f t="shared" si="188"/>
        <v>262755.13764632691</v>
      </c>
    </row>
    <row r="294" spans="1:39" x14ac:dyDescent="0.25">
      <c r="A294" s="542">
        <f t="shared" si="176"/>
        <v>52779</v>
      </c>
      <c r="B294" s="298">
        <f t="shared" si="177"/>
        <v>30021.879999999917</v>
      </c>
      <c r="C294" s="14">
        <f t="shared" si="167"/>
        <v>433.95</v>
      </c>
      <c r="D294" s="14">
        <f t="shared" si="189"/>
        <v>315.11</v>
      </c>
      <c r="E294" s="14">
        <f t="shared" si="168"/>
        <v>118.84</v>
      </c>
      <c r="F294" s="298">
        <f t="shared" si="178"/>
        <v>53811.02</v>
      </c>
      <c r="G294" s="298">
        <f t="shared" si="179"/>
        <v>68024.26999999996</v>
      </c>
      <c r="H294" s="298">
        <f t="shared" si="169"/>
        <v>29706.769999999917</v>
      </c>
      <c r="I294" s="451">
        <f t="shared" si="170"/>
        <v>19</v>
      </c>
      <c r="J294" s="298">
        <f t="shared" si="180"/>
        <v>232403.86999999968</v>
      </c>
      <c r="K294" s="298">
        <f t="shared" si="158"/>
        <v>2701.27</v>
      </c>
      <c r="L294" s="298">
        <f t="shared" si="190"/>
        <v>1200.33</v>
      </c>
      <c r="M294" s="298">
        <f t="shared" si="159"/>
        <v>1500.94</v>
      </c>
      <c r="N294" s="298">
        <f t="shared" si="181"/>
        <v>145851.46000000008</v>
      </c>
      <c r="O294" s="298">
        <f t="shared" si="182"/>
        <v>488946.9900000004</v>
      </c>
      <c r="P294" s="298">
        <f t="shared" si="171"/>
        <v>231203.53999999969</v>
      </c>
      <c r="Q294" s="542">
        <f t="shared" si="172"/>
        <v>52779</v>
      </c>
      <c r="R294" s="298">
        <f t="shared" si="157"/>
        <v>0</v>
      </c>
      <c r="S294" s="535">
        <f t="shared" si="183"/>
        <v>7.7499999999999999E-2</v>
      </c>
      <c r="T294" s="298">
        <f t="shared" si="173"/>
        <v>0</v>
      </c>
      <c r="U294" s="298">
        <f t="shared" si="160"/>
        <v>0</v>
      </c>
      <c r="V294" s="298">
        <f t="shared" si="174"/>
        <v>0</v>
      </c>
      <c r="W294" s="298">
        <f t="shared" si="191"/>
        <v>0</v>
      </c>
      <c r="X294" s="298">
        <f t="shared" si="191"/>
        <v>0</v>
      </c>
      <c r="Y294" s="298">
        <f t="shared" si="161"/>
        <v>0</v>
      </c>
      <c r="Z294" s="298">
        <f t="shared" si="162"/>
        <v>378976.30999999988</v>
      </c>
      <c r="AA294" s="298">
        <f t="shared" si="163"/>
        <v>237979.58999999985</v>
      </c>
      <c r="AB294" s="298">
        <f t="shared" si="175"/>
        <v>0</v>
      </c>
      <c r="AC294" s="451">
        <f t="shared" si="184"/>
        <v>234</v>
      </c>
      <c r="AD294" s="552">
        <f t="shared" si="185"/>
        <v>17842.549999999886</v>
      </c>
      <c r="AE294" s="552">
        <f t="shared" si="155"/>
        <v>-29706.769999999917</v>
      </c>
      <c r="AF294" s="552">
        <f t="shared" si="156"/>
        <v>-11864.22000000003</v>
      </c>
      <c r="AG294" s="552">
        <f t="shared" si="186"/>
        <v>-433.95</v>
      </c>
      <c r="AH294" s="552">
        <f t="shared" si="187"/>
        <v>59514.210000000137</v>
      </c>
      <c r="AI294" s="552"/>
      <c r="AJ294" s="14">
        <f t="shared" si="164"/>
        <v>-433.95</v>
      </c>
      <c r="AK294" s="14">
        <f t="shared" si="165"/>
        <v>514109.74999999965</v>
      </c>
      <c r="AL294" s="552">
        <f>IF(R294&lt;=0,0,+([1]Profit!$B$4+AM293)*$AL$1/12)</f>
        <v>0</v>
      </c>
      <c r="AM294" s="14">
        <f t="shared" si="188"/>
        <v>262755.13764632691</v>
      </c>
    </row>
    <row r="295" spans="1:39" x14ac:dyDescent="0.25">
      <c r="A295" s="542">
        <f t="shared" si="176"/>
        <v>52809</v>
      </c>
      <c r="B295" s="298">
        <f t="shared" si="177"/>
        <v>29706.769999999917</v>
      </c>
      <c r="C295" s="14">
        <f t="shared" si="167"/>
        <v>433.95</v>
      </c>
      <c r="D295" s="14">
        <f t="shared" si="189"/>
        <v>316.36</v>
      </c>
      <c r="E295" s="14">
        <f t="shared" si="168"/>
        <v>117.59</v>
      </c>
      <c r="F295" s="298">
        <f t="shared" si="178"/>
        <v>54127.38</v>
      </c>
      <c r="G295" s="298">
        <f t="shared" si="179"/>
        <v>68141.859999999957</v>
      </c>
      <c r="H295" s="298">
        <f t="shared" si="169"/>
        <v>29390.409999999916</v>
      </c>
      <c r="I295" s="451">
        <f t="shared" si="170"/>
        <v>19</v>
      </c>
      <c r="J295" s="298">
        <f t="shared" si="180"/>
        <v>231203.53999999969</v>
      </c>
      <c r="K295" s="298">
        <f t="shared" si="158"/>
        <v>2701.27</v>
      </c>
      <c r="L295" s="298">
        <f t="shared" si="190"/>
        <v>1208.08</v>
      </c>
      <c r="M295" s="298">
        <f t="shared" si="159"/>
        <v>1493.19</v>
      </c>
      <c r="N295" s="298">
        <f t="shared" si="181"/>
        <v>147059.54000000007</v>
      </c>
      <c r="O295" s="298">
        <f t="shared" si="182"/>
        <v>490440.1800000004</v>
      </c>
      <c r="P295" s="298">
        <f t="shared" si="171"/>
        <v>229995.4599999997</v>
      </c>
      <c r="Q295" s="542">
        <f t="shared" si="172"/>
        <v>52809</v>
      </c>
      <c r="R295" s="298">
        <f t="shared" si="157"/>
        <v>0</v>
      </c>
      <c r="S295" s="535">
        <f t="shared" si="183"/>
        <v>7.7499999999999999E-2</v>
      </c>
      <c r="T295" s="298">
        <f t="shared" si="173"/>
        <v>0</v>
      </c>
      <c r="U295" s="298">
        <f t="shared" si="160"/>
        <v>0</v>
      </c>
      <c r="V295" s="298">
        <f t="shared" si="174"/>
        <v>0</v>
      </c>
      <c r="W295" s="298">
        <f t="shared" si="191"/>
        <v>0</v>
      </c>
      <c r="X295" s="298">
        <f t="shared" si="191"/>
        <v>0</v>
      </c>
      <c r="Y295" s="298">
        <f t="shared" si="161"/>
        <v>0</v>
      </c>
      <c r="Z295" s="298">
        <f t="shared" si="162"/>
        <v>378976.30999999988</v>
      </c>
      <c r="AA295" s="298">
        <f t="shared" si="163"/>
        <v>237979.58999999985</v>
      </c>
      <c r="AB295" s="298">
        <f t="shared" si="175"/>
        <v>0</v>
      </c>
      <c r="AC295" s="451">
        <f t="shared" si="184"/>
        <v>235</v>
      </c>
      <c r="AD295" s="552">
        <f t="shared" si="185"/>
        <v>20543.819999999887</v>
      </c>
      <c r="AE295" s="552">
        <f t="shared" si="155"/>
        <v>-29390.409999999916</v>
      </c>
      <c r="AF295" s="552">
        <f t="shared" si="156"/>
        <v>-8846.5900000000292</v>
      </c>
      <c r="AG295" s="552">
        <f t="shared" si="186"/>
        <v>-433.95</v>
      </c>
      <c r="AH295" s="552">
        <f t="shared" si="187"/>
        <v>59830.570000000123</v>
      </c>
      <c r="AI295" s="552"/>
      <c r="AJ295" s="14">
        <f t="shared" si="164"/>
        <v>-433.95</v>
      </c>
      <c r="AK295" s="14">
        <f t="shared" si="165"/>
        <v>513675.79999999964</v>
      </c>
      <c r="AL295" s="552">
        <f>IF(R295&lt;=0,0,+([1]Profit!$B$4+AM294)*$AL$1/12)</f>
        <v>0</v>
      </c>
      <c r="AM295" s="14">
        <f t="shared" si="188"/>
        <v>262755.13764632691</v>
      </c>
    </row>
    <row r="296" spans="1:39" x14ac:dyDescent="0.25">
      <c r="A296" s="542">
        <f t="shared" si="176"/>
        <v>52839</v>
      </c>
      <c r="B296" s="298">
        <f t="shared" si="177"/>
        <v>29390.409999999916</v>
      </c>
      <c r="C296" s="14">
        <f t="shared" si="167"/>
        <v>433.95</v>
      </c>
      <c r="D296" s="14">
        <f t="shared" si="189"/>
        <v>317.61</v>
      </c>
      <c r="E296" s="14">
        <f t="shared" si="168"/>
        <v>116.34</v>
      </c>
      <c r="F296" s="298">
        <f t="shared" si="178"/>
        <v>54444.99</v>
      </c>
      <c r="G296" s="298">
        <f t="shared" si="179"/>
        <v>68258.199999999953</v>
      </c>
      <c r="H296" s="298">
        <f t="shared" si="169"/>
        <v>29072.799999999916</v>
      </c>
      <c r="I296" s="451">
        <f t="shared" si="170"/>
        <v>19</v>
      </c>
      <c r="J296" s="298">
        <f t="shared" si="180"/>
        <v>229995.4599999997</v>
      </c>
      <c r="K296" s="298">
        <f t="shared" si="158"/>
        <v>2701.27</v>
      </c>
      <c r="L296" s="298">
        <f t="shared" si="190"/>
        <v>1215.8799999999999</v>
      </c>
      <c r="M296" s="298">
        <f t="shared" si="159"/>
        <v>1485.39</v>
      </c>
      <c r="N296" s="298">
        <f t="shared" si="181"/>
        <v>148275.42000000007</v>
      </c>
      <c r="O296" s="298">
        <f t="shared" si="182"/>
        <v>491925.57000000041</v>
      </c>
      <c r="P296" s="298">
        <f t="shared" si="171"/>
        <v>228779.5799999997</v>
      </c>
      <c r="Q296" s="542">
        <f t="shared" si="172"/>
        <v>52839</v>
      </c>
      <c r="R296" s="298">
        <f t="shared" si="157"/>
        <v>0</v>
      </c>
      <c r="S296" s="535">
        <f t="shared" si="183"/>
        <v>7.7499999999999999E-2</v>
      </c>
      <c r="T296" s="298">
        <f t="shared" si="173"/>
        <v>0</v>
      </c>
      <c r="U296" s="298">
        <f t="shared" si="160"/>
        <v>0</v>
      </c>
      <c r="V296" s="298">
        <f t="shared" si="174"/>
        <v>0</v>
      </c>
      <c r="W296" s="298">
        <f t="shared" si="191"/>
        <v>0</v>
      </c>
      <c r="X296" s="298">
        <f t="shared" si="191"/>
        <v>0</v>
      </c>
      <c r="Y296" s="298">
        <f t="shared" si="161"/>
        <v>0</v>
      </c>
      <c r="Z296" s="298">
        <f t="shared" si="162"/>
        <v>378976.30999999988</v>
      </c>
      <c r="AA296" s="298">
        <f t="shared" si="163"/>
        <v>237979.58999999985</v>
      </c>
      <c r="AB296" s="298">
        <f t="shared" si="175"/>
        <v>0</v>
      </c>
      <c r="AC296" s="451">
        <f t="shared" si="184"/>
        <v>236</v>
      </c>
      <c r="AD296" s="552">
        <f t="shared" si="185"/>
        <v>23245.089999999887</v>
      </c>
      <c r="AE296" s="552">
        <f t="shared" si="155"/>
        <v>-29072.799999999916</v>
      </c>
      <c r="AF296" s="552">
        <f t="shared" si="156"/>
        <v>-5827.7100000000282</v>
      </c>
      <c r="AG296" s="552">
        <f t="shared" si="186"/>
        <v>-433.95</v>
      </c>
      <c r="AH296" s="552">
        <f t="shared" si="187"/>
        <v>60148.180000000109</v>
      </c>
      <c r="AI296" s="552"/>
      <c r="AJ296" s="14">
        <f t="shared" si="164"/>
        <v>-433.95</v>
      </c>
      <c r="AK296" s="14">
        <f t="shared" si="165"/>
        <v>513241.84999999963</v>
      </c>
      <c r="AL296" s="552">
        <f>IF(R296&lt;=0,0,+([1]Profit!$B$4+AM295)*$AL$1/12)</f>
        <v>0</v>
      </c>
      <c r="AM296" s="14">
        <f t="shared" si="188"/>
        <v>262755.13764632691</v>
      </c>
    </row>
    <row r="297" spans="1:39" x14ac:dyDescent="0.25">
      <c r="A297" s="542">
        <f t="shared" si="176"/>
        <v>52869</v>
      </c>
      <c r="B297" s="298">
        <f t="shared" si="177"/>
        <v>29072.799999999916</v>
      </c>
      <c r="C297" s="14">
        <f t="shared" si="167"/>
        <v>433.95</v>
      </c>
      <c r="D297" s="14">
        <f t="shared" si="189"/>
        <v>318.87</v>
      </c>
      <c r="E297" s="14">
        <f t="shared" si="168"/>
        <v>115.08</v>
      </c>
      <c r="F297" s="298">
        <f t="shared" si="178"/>
        <v>54763.86</v>
      </c>
      <c r="G297" s="298">
        <f t="shared" si="179"/>
        <v>68373.279999999955</v>
      </c>
      <c r="H297" s="298">
        <f t="shared" si="169"/>
        <v>28753.929999999917</v>
      </c>
      <c r="I297" s="451">
        <f t="shared" si="170"/>
        <v>19</v>
      </c>
      <c r="J297" s="298">
        <f t="shared" si="180"/>
        <v>228779.5799999997</v>
      </c>
      <c r="K297" s="298">
        <f t="shared" si="158"/>
        <v>2701.27</v>
      </c>
      <c r="L297" s="298">
        <f t="shared" si="190"/>
        <v>1223.74</v>
      </c>
      <c r="M297" s="298">
        <f t="shared" si="159"/>
        <v>1477.53</v>
      </c>
      <c r="N297" s="298">
        <f t="shared" si="181"/>
        <v>149499.16000000006</v>
      </c>
      <c r="O297" s="298">
        <f t="shared" si="182"/>
        <v>493403.10000000044</v>
      </c>
      <c r="P297" s="298">
        <f t="shared" si="171"/>
        <v>227555.83999999971</v>
      </c>
      <c r="Q297" s="542">
        <f t="shared" si="172"/>
        <v>52869</v>
      </c>
      <c r="R297" s="298">
        <f t="shared" si="157"/>
        <v>0</v>
      </c>
      <c r="S297" s="535">
        <f t="shared" si="183"/>
        <v>7.7499999999999999E-2</v>
      </c>
      <c r="T297" s="298">
        <f t="shared" si="173"/>
        <v>0</v>
      </c>
      <c r="U297" s="298">
        <f t="shared" si="160"/>
        <v>0</v>
      </c>
      <c r="V297" s="298">
        <f t="shared" si="174"/>
        <v>0</v>
      </c>
      <c r="W297" s="298">
        <f t="shared" si="191"/>
        <v>0</v>
      </c>
      <c r="X297" s="298">
        <f t="shared" si="191"/>
        <v>0</v>
      </c>
      <c r="Y297" s="298">
        <f t="shared" si="161"/>
        <v>0</v>
      </c>
      <c r="Z297" s="298">
        <f t="shared" si="162"/>
        <v>378976.30999999988</v>
      </c>
      <c r="AA297" s="298">
        <f t="shared" si="163"/>
        <v>237979.58999999985</v>
      </c>
      <c r="AB297" s="298">
        <f t="shared" si="175"/>
        <v>0</v>
      </c>
      <c r="AC297" s="451">
        <f t="shared" si="184"/>
        <v>237</v>
      </c>
      <c r="AD297" s="552">
        <f t="shared" si="185"/>
        <v>25946.359999999888</v>
      </c>
      <c r="AE297" s="552">
        <f t="shared" si="155"/>
        <v>-28753.929999999917</v>
      </c>
      <c r="AF297" s="552">
        <f t="shared" si="156"/>
        <v>-2807.5700000000288</v>
      </c>
      <c r="AG297" s="552">
        <f t="shared" si="186"/>
        <v>-433.95</v>
      </c>
      <c r="AH297" s="552">
        <f t="shared" si="187"/>
        <v>60467.050000000105</v>
      </c>
      <c r="AI297" s="552"/>
      <c r="AJ297" s="14">
        <f t="shared" si="164"/>
        <v>-433.95</v>
      </c>
      <c r="AK297" s="14">
        <f t="shared" si="165"/>
        <v>512807.89999999962</v>
      </c>
      <c r="AL297" s="552">
        <f>IF(R297&lt;=0,0,+([1]Profit!$B$4+AM296)*$AL$1/12)</f>
        <v>0</v>
      </c>
      <c r="AM297" s="14">
        <f t="shared" si="188"/>
        <v>262755.13764632691</v>
      </c>
    </row>
    <row r="298" spans="1:39" x14ac:dyDescent="0.25">
      <c r="A298" s="542">
        <f t="shared" si="176"/>
        <v>52899</v>
      </c>
      <c r="B298" s="298">
        <f t="shared" si="177"/>
        <v>28753.929999999917</v>
      </c>
      <c r="C298" s="14">
        <f t="shared" si="167"/>
        <v>433.95</v>
      </c>
      <c r="D298" s="14">
        <f t="shared" si="189"/>
        <v>320.13</v>
      </c>
      <c r="E298" s="14">
        <f t="shared" si="168"/>
        <v>113.82</v>
      </c>
      <c r="F298" s="298">
        <f t="shared" si="178"/>
        <v>55083.99</v>
      </c>
      <c r="G298" s="298">
        <f t="shared" si="179"/>
        <v>68487.099999999962</v>
      </c>
      <c r="H298" s="298">
        <f t="shared" si="169"/>
        <v>28433.799999999916</v>
      </c>
      <c r="I298" s="451">
        <f t="shared" si="170"/>
        <v>19</v>
      </c>
      <c r="J298" s="298">
        <f t="shared" si="180"/>
        <v>227555.83999999971</v>
      </c>
      <c r="K298" s="298">
        <f t="shared" si="158"/>
        <v>2701.27</v>
      </c>
      <c r="L298" s="298">
        <f t="shared" si="190"/>
        <v>1231.6399999999999</v>
      </c>
      <c r="M298" s="298">
        <f t="shared" si="159"/>
        <v>1469.63</v>
      </c>
      <c r="N298" s="298">
        <f t="shared" si="181"/>
        <v>150730.80000000008</v>
      </c>
      <c r="O298" s="298">
        <f t="shared" si="182"/>
        <v>494872.73000000045</v>
      </c>
      <c r="P298" s="298">
        <f t="shared" si="171"/>
        <v>226324.19999999969</v>
      </c>
      <c r="Q298" s="542">
        <f t="shared" si="172"/>
        <v>52899</v>
      </c>
      <c r="R298" s="298">
        <f t="shared" si="157"/>
        <v>0</v>
      </c>
      <c r="S298" s="535">
        <f t="shared" si="183"/>
        <v>7.7499999999999999E-2</v>
      </c>
      <c r="T298" s="298">
        <f t="shared" si="173"/>
        <v>0</v>
      </c>
      <c r="U298" s="298">
        <f t="shared" si="160"/>
        <v>0</v>
      </c>
      <c r="V298" s="298">
        <f t="shared" si="174"/>
        <v>0</v>
      </c>
      <c r="W298" s="298">
        <f t="shared" si="191"/>
        <v>0</v>
      </c>
      <c r="X298" s="298">
        <f t="shared" si="191"/>
        <v>0</v>
      </c>
      <c r="Y298" s="298">
        <f t="shared" si="161"/>
        <v>0</v>
      </c>
      <c r="Z298" s="298">
        <f t="shared" si="162"/>
        <v>378976.30999999988</v>
      </c>
      <c r="AA298" s="298">
        <f t="shared" si="163"/>
        <v>237979.58999999985</v>
      </c>
      <c r="AB298" s="298">
        <f t="shared" si="175"/>
        <v>0</v>
      </c>
      <c r="AC298" s="451">
        <f t="shared" si="184"/>
        <v>238</v>
      </c>
      <c r="AD298" s="552">
        <f t="shared" si="185"/>
        <v>28647.629999999888</v>
      </c>
      <c r="AE298" s="552">
        <f t="shared" si="155"/>
        <v>-28433.799999999916</v>
      </c>
      <c r="AF298" s="552">
        <f t="shared" si="156"/>
        <v>213.82999999997264</v>
      </c>
      <c r="AG298" s="552">
        <f t="shared" si="186"/>
        <v>-433.95</v>
      </c>
      <c r="AH298" s="552">
        <f t="shared" si="187"/>
        <v>60787.180000000109</v>
      </c>
      <c r="AI298" s="552"/>
      <c r="AJ298" s="14">
        <f t="shared" si="164"/>
        <v>-433.95</v>
      </c>
      <c r="AK298" s="14">
        <f t="shared" si="165"/>
        <v>512373.9499999996</v>
      </c>
      <c r="AL298" s="552">
        <f>IF(R298&lt;=0,0,+([1]Profit!$B$4+AM297)*$AL$1/12)</f>
        <v>0</v>
      </c>
      <c r="AM298" s="14">
        <f t="shared" si="188"/>
        <v>262755.13764632691</v>
      </c>
    </row>
    <row r="299" spans="1:39" x14ac:dyDescent="0.25">
      <c r="A299" s="542">
        <f t="shared" si="176"/>
        <v>52929</v>
      </c>
      <c r="B299" s="298">
        <f t="shared" si="177"/>
        <v>28433.799999999916</v>
      </c>
      <c r="C299" s="14">
        <f t="shared" si="167"/>
        <v>433.95</v>
      </c>
      <c r="D299" s="14">
        <f t="shared" si="189"/>
        <v>321.39999999999998</v>
      </c>
      <c r="E299" s="14">
        <f t="shared" si="168"/>
        <v>112.55</v>
      </c>
      <c r="F299" s="298">
        <f t="shared" si="178"/>
        <v>55405.39</v>
      </c>
      <c r="G299" s="298">
        <f t="shared" si="179"/>
        <v>68599.649999999965</v>
      </c>
      <c r="H299" s="298">
        <f t="shared" si="169"/>
        <v>28112.399999999914</v>
      </c>
      <c r="I299" s="451">
        <f t="shared" si="170"/>
        <v>19</v>
      </c>
      <c r="J299" s="298">
        <f t="shared" si="180"/>
        <v>226324.19999999969</v>
      </c>
      <c r="K299" s="298">
        <f t="shared" si="158"/>
        <v>2701.27</v>
      </c>
      <c r="L299" s="298">
        <f t="shared" si="190"/>
        <v>1239.5899999999999</v>
      </c>
      <c r="M299" s="298">
        <f t="shared" si="159"/>
        <v>1461.68</v>
      </c>
      <c r="N299" s="298">
        <f t="shared" si="181"/>
        <v>151970.39000000007</v>
      </c>
      <c r="O299" s="298">
        <f t="shared" si="182"/>
        <v>496334.41000000044</v>
      </c>
      <c r="P299" s="298">
        <f t="shared" si="171"/>
        <v>225084.60999999969</v>
      </c>
      <c r="Q299" s="542">
        <f t="shared" si="172"/>
        <v>52929</v>
      </c>
      <c r="R299" s="298">
        <f t="shared" si="157"/>
        <v>0</v>
      </c>
      <c r="S299" s="535">
        <f t="shared" si="183"/>
        <v>7.7499999999999999E-2</v>
      </c>
      <c r="T299" s="298">
        <f t="shared" si="173"/>
        <v>0</v>
      </c>
      <c r="U299" s="298">
        <f t="shared" si="160"/>
        <v>0</v>
      </c>
      <c r="V299" s="298">
        <f t="shared" si="174"/>
        <v>0</v>
      </c>
      <c r="W299" s="298">
        <f t="shared" si="191"/>
        <v>0</v>
      </c>
      <c r="X299" s="298">
        <f t="shared" si="191"/>
        <v>0</v>
      </c>
      <c r="Y299" s="298">
        <f t="shared" si="161"/>
        <v>0</v>
      </c>
      <c r="Z299" s="298">
        <f t="shared" si="162"/>
        <v>378976.30999999988</v>
      </c>
      <c r="AA299" s="298">
        <f t="shared" si="163"/>
        <v>237979.58999999985</v>
      </c>
      <c r="AB299" s="298">
        <f t="shared" si="175"/>
        <v>0</v>
      </c>
      <c r="AC299" s="451">
        <f t="shared" si="184"/>
        <v>239</v>
      </c>
      <c r="AD299" s="552">
        <f t="shared" si="185"/>
        <v>31348.899999999889</v>
      </c>
      <c r="AE299" s="552">
        <f t="shared" si="155"/>
        <v>-28112.399999999914</v>
      </c>
      <c r="AF299" s="552">
        <f t="shared" si="156"/>
        <v>3236.4999999999745</v>
      </c>
      <c r="AG299" s="552">
        <f t="shared" si="186"/>
        <v>-433.95</v>
      </c>
      <c r="AH299" s="552">
        <f t="shared" si="187"/>
        <v>61108.580000000133</v>
      </c>
      <c r="AI299" s="552"/>
      <c r="AJ299" s="14">
        <f t="shared" si="164"/>
        <v>-433.95</v>
      </c>
      <c r="AK299" s="14">
        <f t="shared" si="165"/>
        <v>511939.99999999959</v>
      </c>
      <c r="AL299" s="552">
        <f>IF(R299&lt;=0,0,+([1]Profit!$B$4+AM298)*$AL$1/12)</f>
        <v>0</v>
      </c>
      <c r="AM299" s="14">
        <f t="shared" si="188"/>
        <v>262755.13764632691</v>
      </c>
    </row>
    <row r="300" spans="1:39" x14ac:dyDescent="0.25">
      <c r="A300" s="542">
        <f t="shared" si="176"/>
        <v>52959</v>
      </c>
      <c r="B300" s="298">
        <f t="shared" si="177"/>
        <v>28112.399999999914</v>
      </c>
      <c r="C300" s="14">
        <f t="shared" si="167"/>
        <v>433.95</v>
      </c>
      <c r="D300" s="14">
        <f t="shared" si="189"/>
        <v>322.66999999999996</v>
      </c>
      <c r="E300" s="14">
        <f t="shared" si="168"/>
        <v>111.28</v>
      </c>
      <c r="F300" s="298">
        <f t="shared" si="178"/>
        <v>55728.06</v>
      </c>
      <c r="G300" s="298">
        <f t="shared" si="179"/>
        <v>68710.929999999964</v>
      </c>
      <c r="H300" s="298">
        <f t="shared" si="169"/>
        <v>27789.729999999916</v>
      </c>
      <c r="I300" s="451">
        <f t="shared" si="170"/>
        <v>20</v>
      </c>
      <c r="J300" s="298">
        <f t="shared" si="180"/>
        <v>225084.60999999969</v>
      </c>
      <c r="K300" s="298">
        <f t="shared" si="158"/>
        <v>2701.27</v>
      </c>
      <c r="L300" s="298">
        <f t="shared" si="190"/>
        <v>1247.5999999999999</v>
      </c>
      <c r="M300" s="298">
        <f t="shared" si="159"/>
        <v>1453.67</v>
      </c>
      <c r="N300" s="298">
        <f t="shared" si="181"/>
        <v>153217.99000000008</v>
      </c>
      <c r="O300" s="298">
        <f t="shared" si="182"/>
        <v>497788.08000000042</v>
      </c>
      <c r="P300" s="298">
        <f t="shared" si="171"/>
        <v>223837.00999999969</v>
      </c>
      <c r="Q300" s="542">
        <f t="shared" si="172"/>
        <v>52959</v>
      </c>
      <c r="R300" s="298">
        <f t="shared" si="157"/>
        <v>0</v>
      </c>
      <c r="S300" s="535">
        <f t="shared" si="183"/>
        <v>7.7499999999999999E-2</v>
      </c>
      <c r="T300" s="298">
        <f t="shared" si="173"/>
        <v>0</v>
      </c>
      <c r="U300" s="298">
        <f t="shared" si="160"/>
        <v>0</v>
      </c>
      <c r="V300" s="298">
        <f t="shared" si="174"/>
        <v>0</v>
      </c>
      <c r="W300" s="298">
        <f t="shared" ref="W300:X315" si="192">+W299</f>
        <v>0</v>
      </c>
      <c r="X300" s="298">
        <f t="shared" si="192"/>
        <v>0</v>
      </c>
      <c r="Y300" s="298">
        <f t="shared" si="161"/>
        <v>0</v>
      </c>
      <c r="Z300" s="298">
        <f t="shared" si="162"/>
        <v>378976.30999999988</v>
      </c>
      <c r="AA300" s="298">
        <f t="shared" si="163"/>
        <v>237979.58999999985</v>
      </c>
      <c r="AB300" s="298">
        <f t="shared" si="175"/>
        <v>0</v>
      </c>
      <c r="AC300" s="451">
        <f t="shared" si="184"/>
        <v>240</v>
      </c>
      <c r="AD300" s="552">
        <f t="shared" si="185"/>
        <v>34050.169999999889</v>
      </c>
      <c r="AE300" s="552">
        <f t="shared" si="155"/>
        <v>-27789.729999999916</v>
      </c>
      <c r="AF300" s="552">
        <f t="shared" si="156"/>
        <v>6260.4399999999732</v>
      </c>
      <c r="AG300" s="552">
        <f t="shared" si="186"/>
        <v>-433.95</v>
      </c>
      <c r="AH300" s="552">
        <f t="shared" si="187"/>
        <v>61431.250000000116</v>
      </c>
      <c r="AI300" s="552"/>
      <c r="AJ300" s="14">
        <f t="shared" si="164"/>
        <v>-433.95</v>
      </c>
      <c r="AK300" s="14">
        <f t="shared" si="165"/>
        <v>511506.04999999958</v>
      </c>
      <c r="AL300" s="552">
        <f>IF(R300&lt;=0,0,+([1]Profit!$B$4+AM299)*$AL$1/12)</f>
        <v>0</v>
      </c>
      <c r="AM300" s="14">
        <f t="shared" si="188"/>
        <v>262755.13764632691</v>
      </c>
    </row>
    <row r="301" spans="1:39" x14ac:dyDescent="0.25">
      <c r="A301" s="542">
        <f t="shared" si="176"/>
        <v>52989</v>
      </c>
      <c r="B301" s="298">
        <f t="shared" si="177"/>
        <v>27789.729999999916</v>
      </c>
      <c r="C301" s="14">
        <f t="shared" si="167"/>
        <v>433.95</v>
      </c>
      <c r="D301" s="14">
        <f t="shared" si="189"/>
        <v>323.95</v>
      </c>
      <c r="E301" s="14">
        <f t="shared" si="168"/>
        <v>110</v>
      </c>
      <c r="F301" s="298">
        <f t="shared" si="178"/>
        <v>56052.009999999995</v>
      </c>
      <c r="G301" s="298">
        <f t="shared" si="179"/>
        <v>68820.929999999964</v>
      </c>
      <c r="H301" s="298">
        <f t="shared" si="169"/>
        <v>27465.779999999915</v>
      </c>
      <c r="I301" s="451">
        <f t="shared" si="170"/>
        <v>20</v>
      </c>
      <c r="J301" s="298">
        <f t="shared" si="180"/>
        <v>223837.00999999969</v>
      </c>
      <c r="K301" s="298">
        <f t="shared" si="158"/>
        <v>2701.27</v>
      </c>
      <c r="L301" s="298">
        <f t="shared" si="190"/>
        <v>1255.6600000000001</v>
      </c>
      <c r="M301" s="298">
        <f t="shared" si="159"/>
        <v>1445.61</v>
      </c>
      <c r="N301" s="298">
        <f t="shared" si="181"/>
        <v>154473.65000000008</v>
      </c>
      <c r="O301" s="298">
        <f t="shared" si="182"/>
        <v>499233.69000000041</v>
      </c>
      <c r="P301" s="298">
        <f t="shared" si="171"/>
        <v>222581.34999999969</v>
      </c>
      <c r="Q301" s="542">
        <f t="shared" si="172"/>
        <v>52989</v>
      </c>
      <c r="R301" s="298">
        <f t="shared" si="157"/>
        <v>0</v>
      </c>
      <c r="S301" s="535">
        <f t="shared" si="183"/>
        <v>7.7499999999999999E-2</v>
      </c>
      <c r="T301" s="298">
        <f t="shared" si="173"/>
        <v>0</v>
      </c>
      <c r="U301" s="298">
        <f t="shared" si="160"/>
        <v>0</v>
      </c>
      <c r="V301" s="298">
        <f t="shared" si="174"/>
        <v>0</v>
      </c>
      <c r="W301" s="298">
        <f t="shared" si="192"/>
        <v>0</v>
      </c>
      <c r="X301" s="298">
        <f t="shared" si="192"/>
        <v>0</v>
      </c>
      <c r="Y301" s="298">
        <f t="shared" si="161"/>
        <v>0</v>
      </c>
      <c r="Z301" s="298">
        <f t="shared" si="162"/>
        <v>378976.30999999988</v>
      </c>
      <c r="AA301" s="298">
        <f t="shared" si="163"/>
        <v>237979.58999999985</v>
      </c>
      <c r="AB301" s="298">
        <f t="shared" si="175"/>
        <v>0</v>
      </c>
      <c r="AC301" s="451">
        <f t="shared" si="184"/>
        <v>241</v>
      </c>
      <c r="AD301" s="552">
        <f t="shared" si="185"/>
        <v>36751.439999999886</v>
      </c>
      <c r="AE301" s="552">
        <f t="shared" si="155"/>
        <v>-27465.779999999915</v>
      </c>
      <c r="AF301" s="552">
        <f t="shared" si="156"/>
        <v>9285.6599999999708</v>
      </c>
      <c r="AG301" s="552">
        <f t="shared" si="186"/>
        <v>-433.95</v>
      </c>
      <c r="AH301" s="552">
        <f t="shared" si="187"/>
        <v>61755.200000000128</v>
      </c>
      <c r="AI301" s="552"/>
      <c r="AJ301" s="14">
        <f t="shared" si="164"/>
        <v>-433.95</v>
      </c>
      <c r="AK301" s="14">
        <f t="shared" si="165"/>
        <v>511072.09999999957</v>
      </c>
      <c r="AL301" s="552">
        <f>IF(R301&lt;=0,0,+([1]Profit!$B$4+AM300)*$AL$1/12)</f>
        <v>0</v>
      </c>
      <c r="AM301" s="14">
        <f t="shared" si="188"/>
        <v>262755.13764632691</v>
      </c>
    </row>
    <row r="302" spans="1:39" ht="15.75" thickBot="1" x14ac:dyDescent="0.3">
      <c r="A302" s="545">
        <f t="shared" si="176"/>
        <v>53019</v>
      </c>
      <c r="B302" s="371">
        <f t="shared" si="177"/>
        <v>27465.779999999915</v>
      </c>
      <c r="C302" s="21">
        <f t="shared" si="167"/>
        <v>433.95</v>
      </c>
      <c r="D302" s="21">
        <f t="shared" si="189"/>
        <v>325.23</v>
      </c>
      <c r="E302" s="21">
        <f t="shared" si="168"/>
        <v>108.72</v>
      </c>
      <c r="F302" s="371">
        <f t="shared" si="178"/>
        <v>56377.24</v>
      </c>
      <c r="G302" s="371">
        <f t="shared" si="179"/>
        <v>68929.649999999965</v>
      </c>
      <c r="H302" s="371">
        <f t="shared" si="169"/>
        <v>27140.549999999916</v>
      </c>
      <c r="I302" s="452">
        <f t="shared" si="170"/>
        <v>20</v>
      </c>
      <c r="J302" s="371">
        <f t="shared" si="180"/>
        <v>222581.34999999969</v>
      </c>
      <c r="K302" s="371">
        <f t="shared" si="158"/>
        <v>2701.27</v>
      </c>
      <c r="L302" s="371">
        <f t="shared" si="190"/>
        <v>1263.77</v>
      </c>
      <c r="M302" s="371">
        <f t="shared" si="159"/>
        <v>1437.5</v>
      </c>
      <c r="N302" s="371">
        <f t="shared" si="181"/>
        <v>155737.42000000007</v>
      </c>
      <c r="O302" s="371">
        <f t="shared" si="182"/>
        <v>500671.19000000041</v>
      </c>
      <c r="P302" s="371">
        <f t="shared" si="171"/>
        <v>221317.5799999997</v>
      </c>
      <c r="Q302" s="545">
        <f t="shared" si="172"/>
        <v>53019</v>
      </c>
      <c r="R302" s="371">
        <f t="shared" si="157"/>
        <v>0</v>
      </c>
      <c r="S302" s="536">
        <f t="shared" si="183"/>
        <v>7.7499999999999999E-2</v>
      </c>
      <c r="T302" s="371">
        <f t="shared" si="173"/>
        <v>0</v>
      </c>
      <c r="U302" s="371">
        <f t="shared" si="160"/>
        <v>0</v>
      </c>
      <c r="V302" s="371">
        <f t="shared" si="174"/>
        <v>0</v>
      </c>
      <c r="W302" s="371">
        <f t="shared" si="192"/>
        <v>0</v>
      </c>
      <c r="X302" s="371">
        <f t="shared" si="192"/>
        <v>0</v>
      </c>
      <c r="Y302" s="371">
        <f t="shared" si="161"/>
        <v>0</v>
      </c>
      <c r="Z302" s="371">
        <f t="shared" si="162"/>
        <v>378976.30999999988</v>
      </c>
      <c r="AA302" s="371">
        <f t="shared" si="163"/>
        <v>237979.58999999985</v>
      </c>
      <c r="AB302" s="371">
        <f t="shared" si="175"/>
        <v>0</v>
      </c>
      <c r="AC302" s="452">
        <f t="shared" si="184"/>
        <v>242</v>
      </c>
      <c r="AD302" s="553">
        <f t="shared" si="185"/>
        <v>39452.709999999883</v>
      </c>
      <c r="AE302" s="553">
        <f t="shared" si="155"/>
        <v>-27140.549999999916</v>
      </c>
      <c r="AF302" s="553">
        <f t="shared" si="156"/>
        <v>12312.159999999967</v>
      </c>
      <c r="AG302" s="553">
        <f t="shared" si="186"/>
        <v>-433.95</v>
      </c>
      <c r="AH302" s="553">
        <f t="shared" si="187"/>
        <v>62080.430000000109</v>
      </c>
      <c r="AI302" s="553"/>
      <c r="AJ302" s="21">
        <f t="shared" si="164"/>
        <v>-433.95</v>
      </c>
      <c r="AK302" s="21">
        <f t="shared" si="165"/>
        <v>510638.14999999956</v>
      </c>
      <c r="AL302" s="553">
        <f>IF(R302&lt;=0,0,+([1]Profit!$B$4+AM301)*$AL$1/12)</f>
        <v>0</v>
      </c>
      <c r="AM302" s="21">
        <f t="shared" si="188"/>
        <v>262755.13764632691</v>
      </c>
    </row>
    <row r="303" spans="1:39" x14ac:dyDescent="0.25">
      <c r="A303" s="542">
        <f t="shared" si="176"/>
        <v>53049</v>
      </c>
      <c r="B303" s="298">
        <f t="shared" si="177"/>
        <v>27140.549999999916</v>
      </c>
      <c r="C303" s="14">
        <f t="shared" si="167"/>
        <v>433.95</v>
      </c>
      <c r="D303" s="14">
        <f t="shared" si="189"/>
        <v>326.52</v>
      </c>
      <c r="E303" s="14">
        <f t="shared" si="168"/>
        <v>107.43</v>
      </c>
      <c r="F303" s="298">
        <f t="shared" si="178"/>
        <v>56703.759999999995</v>
      </c>
      <c r="G303" s="298">
        <f t="shared" si="179"/>
        <v>69037.079999999958</v>
      </c>
      <c r="H303" s="298">
        <f t="shared" si="169"/>
        <v>26814.029999999915</v>
      </c>
      <c r="I303" s="451">
        <f t="shared" si="170"/>
        <v>20</v>
      </c>
      <c r="J303" s="298">
        <f t="shared" si="180"/>
        <v>221317.5799999997</v>
      </c>
      <c r="K303" s="298">
        <f t="shared" si="158"/>
        <v>2701.27</v>
      </c>
      <c r="L303" s="298">
        <f t="shared" si="190"/>
        <v>1271.93</v>
      </c>
      <c r="M303" s="298">
        <f t="shared" si="159"/>
        <v>1429.34</v>
      </c>
      <c r="N303" s="298">
        <f t="shared" si="181"/>
        <v>157009.35000000006</v>
      </c>
      <c r="O303" s="298">
        <f t="shared" si="182"/>
        <v>502100.53000000044</v>
      </c>
      <c r="P303" s="298">
        <f t="shared" si="171"/>
        <v>220045.6499999997</v>
      </c>
      <c r="Q303" s="542">
        <f t="shared" si="172"/>
        <v>53049</v>
      </c>
      <c r="R303" s="298">
        <f t="shared" si="157"/>
        <v>0</v>
      </c>
      <c r="S303" s="535">
        <f t="shared" si="183"/>
        <v>7.7499999999999999E-2</v>
      </c>
      <c r="T303" s="298">
        <f t="shared" si="173"/>
        <v>0</v>
      </c>
      <c r="U303" s="298">
        <f t="shared" si="160"/>
        <v>0</v>
      </c>
      <c r="V303" s="298">
        <f t="shared" si="174"/>
        <v>0</v>
      </c>
      <c r="W303" s="298">
        <f t="shared" si="192"/>
        <v>0</v>
      </c>
      <c r="X303" s="298">
        <f t="shared" si="192"/>
        <v>0</v>
      </c>
      <c r="Y303" s="298">
        <f t="shared" si="161"/>
        <v>0</v>
      </c>
      <c r="Z303" s="298">
        <f t="shared" si="162"/>
        <v>378976.30999999988</v>
      </c>
      <c r="AA303" s="298">
        <f t="shared" si="163"/>
        <v>237979.58999999985</v>
      </c>
      <c r="AB303" s="298">
        <f t="shared" si="175"/>
        <v>0</v>
      </c>
      <c r="AC303" s="451">
        <f t="shared" si="184"/>
        <v>243</v>
      </c>
      <c r="AD303" s="552">
        <f t="shared" si="185"/>
        <v>42153.97999999988</v>
      </c>
      <c r="AE303" s="552">
        <f t="shared" si="155"/>
        <v>-26814.029999999915</v>
      </c>
      <c r="AF303" s="552">
        <f t="shared" si="156"/>
        <v>15339.949999999964</v>
      </c>
      <c r="AG303" s="552">
        <f t="shared" si="186"/>
        <v>-433.95</v>
      </c>
      <c r="AH303" s="552">
        <f t="shared" si="187"/>
        <v>62406.950000000128</v>
      </c>
      <c r="AI303" s="552"/>
      <c r="AJ303" s="14">
        <f t="shared" si="164"/>
        <v>-433.95</v>
      </c>
      <c r="AK303" s="14">
        <f t="shared" si="165"/>
        <v>510204.19999999955</v>
      </c>
      <c r="AL303" s="552">
        <f>IF(R303&lt;=0,0,+([1]Profit!$B$4+AM302)*$AL$1/12)</f>
        <v>0</v>
      </c>
      <c r="AM303" s="14">
        <f t="shared" si="188"/>
        <v>262755.13764632691</v>
      </c>
    </row>
    <row r="304" spans="1:39" x14ac:dyDescent="0.25">
      <c r="A304" s="542">
        <f t="shared" si="176"/>
        <v>53079</v>
      </c>
      <c r="B304" s="298">
        <f t="shared" si="177"/>
        <v>26814.029999999915</v>
      </c>
      <c r="C304" s="14">
        <f t="shared" si="167"/>
        <v>433.95</v>
      </c>
      <c r="D304" s="14">
        <f t="shared" si="189"/>
        <v>327.81</v>
      </c>
      <c r="E304" s="14">
        <f t="shared" si="168"/>
        <v>106.14</v>
      </c>
      <c r="F304" s="298">
        <f t="shared" si="178"/>
        <v>57031.569999999992</v>
      </c>
      <c r="G304" s="298">
        <f t="shared" si="179"/>
        <v>69143.219999999958</v>
      </c>
      <c r="H304" s="298">
        <f t="shared" si="169"/>
        <v>26486.219999999914</v>
      </c>
      <c r="I304" s="451">
        <f t="shared" si="170"/>
        <v>20</v>
      </c>
      <c r="J304" s="298">
        <f t="shared" si="180"/>
        <v>220045.6499999997</v>
      </c>
      <c r="K304" s="298">
        <f t="shared" si="158"/>
        <v>2701.27</v>
      </c>
      <c r="L304" s="298">
        <f t="shared" si="190"/>
        <v>1280.1399999999999</v>
      </c>
      <c r="M304" s="298">
        <f t="shared" si="159"/>
        <v>1421.13</v>
      </c>
      <c r="N304" s="298">
        <f t="shared" si="181"/>
        <v>158289.49000000008</v>
      </c>
      <c r="O304" s="298">
        <f t="shared" si="182"/>
        <v>503521.66000000044</v>
      </c>
      <c r="P304" s="298">
        <f t="shared" si="171"/>
        <v>218765.50999999969</v>
      </c>
      <c r="Q304" s="542">
        <f t="shared" si="172"/>
        <v>53079</v>
      </c>
      <c r="R304" s="298">
        <f t="shared" si="157"/>
        <v>0</v>
      </c>
      <c r="S304" s="535">
        <f t="shared" si="183"/>
        <v>7.7499999999999999E-2</v>
      </c>
      <c r="T304" s="298">
        <f t="shared" si="173"/>
        <v>0</v>
      </c>
      <c r="U304" s="298">
        <f t="shared" si="160"/>
        <v>0</v>
      </c>
      <c r="V304" s="298">
        <f t="shared" si="174"/>
        <v>0</v>
      </c>
      <c r="W304" s="298">
        <f t="shared" si="192"/>
        <v>0</v>
      </c>
      <c r="X304" s="298">
        <f t="shared" si="192"/>
        <v>0</v>
      </c>
      <c r="Y304" s="298">
        <f t="shared" si="161"/>
        <v>0</v>
      </c>
      <c r="Z304" s="298">
        <f t="shared" si="162"/>
        <v>378976.30999999988</v>
      </c>
      <c r="AA304" s="298">
        <f t="shared" si="163"/>
        <v>237979.58999999985</v>
      </c>
      <c r="AB304" s="298">
        <f t="shared" si="175"/>
        <v>0</v>
      </c>
      <c r="AC304" s="451">
        <f t="shared" si="184"/>
        <v>244</v>
      </c>
      <c r="AD304" s="552">
        <f t="shared" si="185"/>
        <v>44855.249999999876</v>
      </c>
      <c r="AE304" s="552">
        <f t="shared" si="155"/>
        <v>-26486.219999999914</v>
      </c>
      <c r="AF304" s="552">
        <f t="shared" si="156"/>
        <v>18369.029999999962</v>
      </c>
      <c r="AG304" s="552">
        <f t="shared" si="186"/>
        <v>-433.95</v>
      </c>
      <c r="AH304" s="552">
        <f t="shared" si="187"/>
        <v>62734.760000000126</v>
      </c>
      <c r="AI304" s="552"/>
      <c r="AJ304" s="14">
        <f t="shared" si="164"/>
        <v>-433.95</v>
      </c>
      <c r="AK304" s="14">
        <f t="shared" si="165"/>
        <v>509770.24999999953</v>
      </c>
      <c r="AL304" s="552">
        <f>IF(R304&lt;=0,0,+([1]Profit!$B$4+AM303)*$AL$1/12)</f>
        <v>0</v>
      </c>
      <c r="AM304" s="14">
        <f t="shared" si="188"/>
        <v>262755.13764632691</v>
      </c>
    </row>
    <row r="305" spans="1:39" x14ac:dyDescent="0.25">
      <c r="A305" s="542">
        <f t="shared" si="176"/>
        <v>53109</v>
      </c>
      <c r="B305" s="298">
        <f t="shared" si="177"/>
        <v>26486.219999999914</v>
      </c>
      <c r="C305" s="14">
        <f t="shared" si="167"/>
        <v>433.95</v>
      </c>
      <c r="D305" s="14">
        <f t="shared" si="189"/>
        <v>329.11</v>
      </c>
      <c r="E305" s="14">
        <f t="shared" si="168"/>
        <v>104.84</v>
      </c>
      <c r="F305" s="298">
        <f t="shared" si="178"/>
        <v>57360.679999999993</v>
      </c>
      <c r="G305" s="298">
        <f t="shared" si="179"/>
        <v>69248.059999999954</v>
      </c>
      <c r="H305" s="298">
        <f t="shared" si="169"/>
        <v>26157.109999999913</v>
      </c>
      <c r="I305" s="451">
        <f t="shared" si="170"/>
        <v>20</v>
      </c>
      <c r="J305" s="298">
        <f t="shared" si="180"/>
        <v>218765.50999999969</v>
      </c>
      <c r="K305" s="298">
        <f t="shared" si="158"/>
        <v>2701.27</v>
      </c>
      <c r="L305" s="298">
        <f t="shared" si="190"/>
        <v>1288.4100000000001</v>
      </c>
      <c r="M305" s="298">
        <f t="shared" si="159"/>
        <v>1412.86</v>
      </c>
      <c r="N305" s="298">
        <f t="shared" si="181"/>
        <v>159577.90000000008</v>
      </c>
      <c r="O305" s="298">
        <f t="shared" si="182"/>
        <v>504934.52000000043</v>
      </c>
      <c r="P305" s="298">
        <f t="shared" si="171"/>
        <v>217477.09999999969</v>
      </c>
      <c r="Q305" s="542">
        <f t="shared" si="172"/>
        <v>53109</v>
      </c>
      <c r="R305" s="298">
        <f t="shared" si="157"/>
        <v>0</v>
      </c>
      <c r="S305" s="535">
        <f t="shared" si="183"/>
        <v>7.7499999999999999E-2</v>
      </c>
      <c r="T305" s="298">
        <f t="shared" si="173"/>
        <v>0</v>
      </c>
      <c r="U305" s="298">
        <f t="shared" si="160"/>
        <v>0</v>
      </c>
      <c r="V305" s="298">
        <f t="shared" si="174"/>
        <v>0</v>
      </c>
      <c r="W305" s="298">
        <f t="shared" si="192"/>
        <v>0</v>
      </c>
      <c r="X305" s="298">
        <f t="shared" si="192"/>
        <v>0</v>
      </c>
      <c r="Y305" s="298">
        <f t="shared" si="161"/>
        <v>0</v>
      </c>
      <c r="Z305" s="298">
        <f t="shared" si="162"/>
        <v>378976.30999999988</v>
      </c>
      <c r="AA305" s="298">
        <f t="shared" si="163"/>
        <v>237979.58999999985</v>
      </c>
      <c r="AB305" s="298">
        <f t="shared" si="175"/>
        <v>0</v>
      </c>
      <c r="AC305" s="451">
        <f t="shared" si="184"/>
        <v>245</v>
      </c>
      <c r="AD305" s="552">
        <f t="shared" si="185"/>
        <v>47556.519999999873</v>
      </c>
      <c r="AE305" s="552">
        <f t="shared" si="155"/>
        <v>-26157.109999999913</v>
      </c>
      <c r="AF305" s="552">
        <f t="shared" si="156"/>
        <v>21399.40999999996</v>
      </c>
      <c r="AG305" s="552">
        <f t="shared" si="186"/>
        <v>-433.95</v>
      </c>
      <c r="AH305" s="552">
        <f t="shared" si="187"/>
        <v>63063.870000000112</v>
      </c>
      <c r="AI305" s="552"/>
      <c r="AJ305" s="14">
        <f t="shared" si="164"/>
        <v>-433.95</v>
      </c>
      <c r="AK305" s="14">
        <f t="shared" si="165"/>
        <v>509336.29999999952</v>
      </c>
      <c r="AL305" s="552">
        <f>IF(R305&lt;=0,0,+([1]Profit!$B$4+AM304)*$AL$1/12)</f>
        <v>0</v>
      </c>
      <c r="AM305" s="14">
        <f t="shared" si="188"/>
        <v>262755.13764632691</v>
      </c>
    </row>
    <row r="306" spans="1:39" x14ac:dyDescent="0.25">
      <c r="A306" s="542">
        <f t="shared" si="176"/>
        <v>53139</v>
      </c>
      <c r="B306" s="298">
        <f t="shared" si="177"/>
        <v>26157.109999999913</v>
      </c>
      <c r="C306" s="14">
        <f t="shared" si="167"/>
        <v>433.95</v>
      </c>
      <c r="D306" s="14">
        <f t="shared" si="189"/>
        <v>330.40999999999997</v>
      </c>
      <c r="E306" s="14">
        <f t="shared" si="168"/>
        <v>103.54</v>
      </c>
      <c r="F306" s="298">
        <f t="shared" si="178"/>
        <v>57691.09</v>
      </c>
      <c r="G306" s="298">
        <f t="shared" si="179"/>
        <v>69351.599999999948</v>
      </c>
      <c r="H306" s="298">
        <f t="shared" si="169"/>
        <v>25826.699999999913</v>
      </c>
      <c r="I306" s="451">
        <f t="shared" si="170"/>
        <v>20</v>
      </c>
      <c r="J306" s="298">
        <f t="shared" si="180"/>
        <v>217477.09999999969</v>
      </c>
      <c r="K306" s="298">
        <f t="shared" si="158"/>
        <v>2701.27</v>
      </c>
      <c r="L306" s="298">
        <f t="shared" si="190"/>
        <v>1296.73</v>
      </c>
      <c r="M306" s="298">
        <f t="shared" si="159"/>
        <v>1404.54</v>
      </c>
      <c r="N306" s="298">
        <f t="shared" si="181"/>
        <v>160874.63000000009</v>
      </c>
      <c r="O306" s="298">
        <f t="shared" si="182"/>
        <v>506339.06000000041</v>
      </c>
      <c r="P306" s="298">
        <f t="shared" si="171"/>
        <v>216180.36999999968</v>
      </c>
      <c r="Q306" s="542">
        <f t="shared" si="172"/>
        <v>53139</v>
      </c>
      <c r="R306" s="298">
        <f t="shared" si="157"/>
        <v>0</v>
      </c>
      <c r="S306" s="535">
        <f t="shared" si="183"/>
        <v>7.7499999999999999E-2</v>
      </c>
      <c r="T306" s="298">
        <f t="shared" si="173"/>
        <v>0</v>
      </c>
      <c r="U306" s="298">
        <f t="shared" si="160"/>
        <v>0</v>
      </c>
      <c r="V306" s="298">
        <f t="shared" si="174"/>
        <v>0</v>
      </c>
      <c r="W306" s="298">
        <f t="shared" si="192"/>
        <v>0</v>
      </c>
      <c r="X306" s="298">
        <f t="shared" si="192"/>
        <v>0</v>
      </c>
      <c r="Y306" s="298">
        <f t="shared" si="161"/>
        <v>0</v>
      </c>
      <c r="Z306" s="298">
        <f t="shared" si="162"/>
        <v>378976.30999999988</v>
      </c>
      <c r="AA306" s="298">
        <f t="shared" si="163"/>
        <v>237979.58999999985</v>
      </c>
      <c r="AB306" s="298">
        <f t="shared" si="175"/>
        <v>0</v>
      </c>
      <c r="AC306" s="451">
        <f t="shared" si="184"/>
        <v>246</v>
      </c>
      <c r="AD306" s="552">
        <f t="shared" si="185"/>
        <v>50257.78999999987</v>
      </c>
      <c r="AE306" s="552">
        <f t="shared" si="155"/>
        <v>-25826.699999999913</v>
      </c>
      <c r="AF306" s="552">
        <f t="shared" si="156"/>
        <v>24431.089999999956</v>
      </c>
      <c r="AG306" s="552">
        <f t="shared" si="186"/>
        <v>-433.95</v>
      </c>
      <c r="AH306" s="552">
        <f t="shared" si="187"/>
        <v>63394.280000000086</v>
      </c>
      <c r="AI306" s="552"/>
      <c r="AJ306" s="14">
        <f t="shared" si="164"/>
        <v>-433.95</v>
      </c>
      <c r="AK306" s="14">
        <f t="shared" si="165"/>
        <v>508902.34999999951</v>
      </c>
      <c r="AL306" s="552">
        <f>IF(R306&lt;=0,0,+([1]Profit!$B$4+AM305)*$AL$1/12)</f>
        <v>0</v>
      </c>
      <c r="AM306" s="14">
        <f t="shared" si="188"/>
        <v>262755.13764632691</v>
      </c>
    </row>
    <row r="307" spans="1:39" x14ac:dyDescent="0.25">
      <c r="A307" s="542">
        <f t="shared" si="176"/>
        <v>53169</v>
      </c>
      <c r="B307" s="298">
        <f t="shared" si="177"/>
        <v>25826.699999999913</v>
      </c>
      <c r="C307" s="14">
        <f t="shared" si="167"/>
        <v>433.95</v>
      </c>
      <c r="D307" s="14">
        <f t="shared" si="189"/>
        <v>331.71999999999997</v>
      </c>
      <c r="E307" s="14">
        <f t="shared" si="168"/>
        <v>102.23</v>
      </c>
      <c r="F307" s="298">
        <f t="shared" si="178"/>
        <v>58022.81</v>
      </c>
      <c r="G307" s="298">
        <f t="shared" si="179"/>
        <v>69453.829999999944</v>
      </c>
      <c r="H307" s="298">
        <f t="shared" si="169"/>
        <v>25494.979999999912</v>
      </c>
      <c r="I307" s="451">
        <f t="shared" si="170"/>
        <v>20</v>
      </c>
      <c r="J307" s="298">
        <f t="shared" si="180"/>
        <v>216180.36999999968</v>
      </c>
      <c r="K307" s="298">
        <f t="shared" si="158"/>
        <v>2701.27</v>
      </c>
      <c r="L307" s="298">
        <f t="shared" si="190"/>
        <v>1305.1099999999999</v>
      </c>
      <c r="M307" s="298">
        <f t="shared" si="159"/>
        <v>1396.16</v>
      </c>
      <c r="N307" s="298">
        <f t="shared" si="181"/>
        <v>162179.74000000008</v>
      </c>
      <c r="O307" s="298">
        <f t="shared" si="182"/>
        <v>507735.22000000038</v>
      </c>
      <c r="P307" s="298">
        <f t="shared" si="171"/>
        <v>214875.25999999969</v>
      </c>
      <c r="Q307" s="542">
        <f t="shared" si="172"/>
        <v>53169</v>
      </c>
      <c r="R307" s="298">
        <f t="shared" si="157"/>
        <v>0</v>
      </c>
      <c r="S307" s="535">
        <f t="shared" si="183"/>
        <v>7.7499999999999999E-2</v>
      </c>
      <c r="T307" s="298">
        <f t="shared" si="173"/>
        <v>0</v>
      </c>
      <c r="U307" s="298">
        <f t="shared" si="160"/>
        <v>0</v>
      </c>
      <c r="V307" s="298">
        <f t="shared" si="174"/>
        <v>0</v>
      </c>
      <c r="W307" s="298">
        <f t="shared" si="192"/>
        <v>0</v>
      </c>
      <c r="X307" s="298">
        <f t="shared" si="192"/>
        <v>0</v>
      </c>
      <c r="Y307" s="298">
        <f t="shared" si="161"/>
        <v>0</v>
      </c>
      <c r="Z307" s="298">
        <f t="shared" si="162"/>
        <v>378976.30999999988</v>
      </c>
      <c r="AA307" s="298">
        <f t="shared" si="163"/>
        <v>237979.58999999985</v>
      </c>
      <c r="AB307" s="298">
        <f t="shared" si="175"/>
        <v>0</v>
      </c>
      <c r="AC307" s="451">
        <f t="shared" si="184"/>
        <v>247</v>
      </c>
      <c r="AD307" s="552">
        <f t="shared" si="185"/>
        <v>52959.059999999867</v>
      </c>
      <c r="AE307" s="552">
        <f t="shared" si="155"/>
        <v>-25494.979999999912</v>
      </c>
      <c r="AF307" s="552">
        <f t="shared" si="156"/>
        <v>27464.079999999954</v>
      </c>
      <c r="AG307" s="552">
        <f t="shared" si="186"/>
        <v>-433.95</v>
      </c>
      <c r="AH307" s="552">
        <f t="shared" si="187"/>
        <v>63726.000000000116</v>
      </c>
      <c r="AI307" s="552"/>
      <c r="AJ307" s="14">
        <f t="shared" si="164"/>
        <v>-433.95</v>
      </c>
      <c r="AK307" s="14">
        <f t="shared" si="165"/>
        <v>508468.3999999995</v>
      </c>
      <c r="AL307" s="552">
        <f>IF(R307&lt;=0,0,+([1]Profit!$B$4+AM306)*$AL$1/12)</f>
        <v>0</v>
      </c>
      <c r="AM307" s="14">
        <f t="shared" si="188"/>
        <v>262755.13764632691</v>
      </c>
    </row>
    <row r="308" spans="1:39" x14ac:dyDescent="0.25">
      <c r="A308" s="542">
        <f t="shared" si="176"/>
        <v>53199</v>
      </c>
      <c r="B308" s="298">
        <f t="shared" si="177"/>
        <v>25494.979999999912</v>
      </c>
      <c r="C308" s="14">
        <f t="shared" si="167"/>
        <v>433.95</v>
      </c>
      <c r="D308" s="14">
        <f t="shared" si="189"/>
        <v>333.03</v>
      </c>
      <c r="E308" s="14">
        <f t="shared" si="168"/>
        <v>100.92</v>
      </c>
      <c r="F308" s="298">
        <f t="shared" si="178"/>
        <v>58355.839999999997</v>
      </c>
      <c r="G308" s="298">
        <f t="shared" si="179"/>
        <v>69554.749999999942</v>
      </c>
      <c r="H308" s="298">
        <f t="shared" si="169"/>
        <v>25161.949999999913</v>
      </c>
      <c r="I308" s="451">
        <f t="shared" si="170"/>
        <v>20</v>
      </c>
      <c r="J308" s="298">
        <f t="shared" si="180"/>
        <v>214875.25999999969</v>
      </c>
      <c r="K308" s="298">
        <f t="shared" si="158"/>
        <v>2701.27</v>
      </c>
      <c r="L308" s="298">
        <f t="shared" si="190"/>
        <v>1313.53</v>
      </c>
      <c r="M308" s="298">
        <f t="shared" si="159"/>
        <v>1387.74</v>
      </c>
      <c r="N308" s="298">
        <f t="shared" si="181"/>
        <v>163493.27000000008</v>
      </c>
      <c r="O308" s="298">
        <f t="shared" si="182"/>
        <v>509122.96000000037</v>
      </c>
      <c r="P308" s="298">
        <f t="shared" si="171"/>
        <v>213561.72999999969</v>
      </c>
      <c r="Q308" s="542">
        <f t="shared" si="172"/>
        <v>53199</v>
      </c>
      <c r="R308" s="298">
        <f t="shared" si="157"/>
        <v>0</v>
      </c>
      <c r="S308" s="535">
        <f t="shared" si="183"/>
        <v>7.7499999999999999E-2</v>
      </c>
      <c r="T308" s="298">
        <f t="shared" si="173"/>
        <v>0</v>
      </c>
      <c r="U308" s="298">
        <f t="shared" si="160"/>
        <v>0</v>
      </c>
      <c r="V308" s="298">
        <f t="shared" si="174"/>
        <v>0</v>
      </c>
      <c r="W308" s="298">
        <f t="shared" si="192"/>
        <v>0</v>
      </c>
      <c r="X308" s="298">
        <f t="shared" si="192"/>
        <v>0</v>
      </c>
      <c r="Y308" s="298">
        <f t="shared" si="161"/>
        <v>0</v>
      </c>
      <c r="Z308" s="298">
        <f t="shared" si="162"/>
        <v>378976.30999999988</v>
      </c>
      <c r="AA308" s="298">
        <f t="shared" si="163"/>
        <v>237979.58999999985</v>
      </c>
      <c r="AB308" s="298">
        <f t="shared" si="175"/>
        <v>0</v>
      </c>
      <c r="AC308" s="451">
        <f t="shared" si="184"/>
        <v>248</v>
      </c>
      <c r="AD308" s="552">
        <f t="shared" si="185"/>
        <v>55660.329999999864</v>
      </c>
      <c r="AE308" s="552">
        <f t="shared" si="155"/>
        <v>-25161.949999999913</v>
      </c>
      <c r="AF308" s="552">
        <f t="shared" si="156"/>
        <v>30498.37999999995</v>
      </c>
      <c r="AG308" s="552">
        <f t="shared" si="186"/>
        <v>-433.95</v>
      </c>
      <c r="AH308" s="552">
        <f t="shared" si="187"/>
        <v>64059.030000000086</v>
      </c>
      <c r="AI308" s="552"/>
      <c r="AJ308" s="14">
        <f t="shared" si="164"/>
        <v>-433.95</v>
      </c>
      <c r="AK308" s="14">
        <f t="shared" si="165"/>
        <v>508034.44999999949</v>
      </c>
      <c r="AL308" s="552">
        <f>IF(R308&lt;=0,0,+([1]Profit!$B$4+AM307)*$AL$1/12)</f>
        <v>0</v>
      </c>
      <c r="AM308" s="14">
        <f t="shared" si="188"/>
        <v>262755.13764632691</v>
      </c>
    </row>
    <row r="309" spans="1:39" x14ac:dyDescent="0.25">
      <c r="A309" s="542">
        <f t="shared" si="176"/>
        <v>53229</v>
      </c>
      <c r="B309" s="298">
        <f t="shared" si="177"/>
        <v>25161.949999999913</v>
      </c>
      <c r="C309" s="14">
        <f t="shared" si="167"/>
        <v>433.95</v>
      </c>
      <c r="D309" s="14">
        <f t="shared" si="189"/>
        <v>334.35</v>
      </c>
      <c r="E309" s="14">
        <f t="shared" si="168"/>
        <v>99.6</v>
      </c>
      <c r="F309" s="298">
        <f t="shared" si="178"/>
        <v>58690.189999999995</v>
      </c>
      <c r="G309" s="298">
        <f t="shared" si="179"/>
        <v>69654.349999999948</v>
      </c>
      <c r="H309" s="298">
        <f t="shared" si="169"/>
        <v>24827.599999999915</v>
      </c>
      <c r="I309" s="451">
        <f t="shared" si="170"/>
        <v>20</v>
      </c>
      <c r="J309" s="298">
        <f t="shared" si="180"/>
        <v>213561.72999999969</v>
      </c>
      <c r="K309" s="298">
        <f t="shared" si="158"/>
        <v>2701.27</v>
      </c>
      <c r="L309" s="298">
        <f t="shared" si="190"/>
        <v>1322.02</v>
      </c>
      <c r="M309" s="298">
        <f t="shared" si="159"/>
        <v>1379.25</v>
      </c>
      <c r="N309" s="298">
        <f t="shared" si="181"/>
        <v>164815.29000000007</v>
      </c>
      <c r="O309" s="298">
        <f t="shared" si="182"/>
        <v>510502.21000000037</v>
      </c>
      <c r="P309" s="298">
        <f t="shared" si="171"/>
        <v>212239.7099999997</v>
      </c>
      <c r="Q309" s="542">
        <f t="shared" si="172"/>
        <v>53229</v>
      </c>
      <c r="R309" s="298">
        <f t="shared" si="157"/>
        <v>0</v>
      </c>
      <c r="S309" s="535">
        <f t="shared" si="183"/>
        <v>7.7499999999999999E-2</v>
      </c>
      <c r="T309" s="298">
        <f t="shared" si="173"/>
        <v>0</v>
      </c>
      <c r="U309" s="298">
        <f t="shared" si="160"/>
        <v>0</v>
      </c>
      <c r="V309" s="298">
        <f t="shared" si="174"/>
        <v>0</v>
      </c>
      <c r="W309" s="298">
        <f t="shared" si="192"/>
        <v>0</v>
      </c>
      <c r="X309" s="298">
        <f t="shared" si="192"/>
        <v>0</v>
      </c>
      <c r="Y309" s="298">
        <f t="shared" si="161"/>
        <v>0</v>
      </c>
      <c r="Z309" s="298">
        <f t="shared" si="162"/>
        <v>378976.30999999988</v>
      </c>
      <c r="AA309" s="298">
        <f t="shared" si="163"/>
        <v>237979.58999999985</v>
      </c>
      <c r="AB309" s="298">
        <f t="shared" si="175"/>
        <v>0</v>
      </c>
      <c r="AC309" s="451">
        <f t="shared" si="184"/>
        <v>249</v>
      </c>
      <c r="AD309" s="552">
        <f t="shared" si="185"/>
        <v>58361.59999999986</v>
      </c>
      <c r="AE309" s="552">
        <f t="shared" si="155"/>
        <v>-24827.599999999915</v>
      </c>
      <c r="AF309" s="552">
        <f t="shared" si="156"/>
        <v>33533.999999999942</v>
      </c>
      <c r="AG309" s="552">
        <f t="shared" si="186"/>
        <v>-433.95</v>
      </c>
      <c r="AH309" s="552">
        <f t="shared" si="187"/>
        <v>64393.380000000121</v>
      </c>
      <c r="AI309" s="552"/>
      <c r="AJ309" s="14">
        <f t="shared" si="164"/>
        <v>-433.95</v>
      </c>
      <c r="AK309" s="14">
        <f t="shared" si="165"/>
        <v>507600.49999999948</v>
      </c>
      <c r="AL309" s="552">
        <f>IF(R309&lt;=0,0,+([1]Profit!$B$4+AM308)*$AL$1/12)</f>
        <v>0</v>
      </c>
      <c r="AM309" s="14">
        <f t="shared" si="188"/>
        <v>262755.13764632691</v>
      </c>
    </row>
    <row r="310" spans="1:39" x14ac:dyDescent="0.25">
      <c r="A310" s="542">
        <f t="shared" si="176"/>
        <v>53259</v>
      </c>
      <c r="B310" s="298">
        <f t="shared" si="177"/>
        <v>24827.599999999915</v>
      </c>
      <c r="C310" s="14">
        <f t="shared" si="167"/>
        <v>433.95</v>
      </c>
      <c r="D310" s="14">
        <f t="shared" si="189"/>
        <v>335.66999999999996</v>
      </c>
      <c r="E310" s="14">
        <f t="shared" si="168"/>
        <v>98.28</v>
      </c>
      <c r="F310" s="298">
        <f t="shared" si="178"/>
        <v>59025.859999999993</v>
      </c>
      <c r="G310" s="298">
        <f t="shared" si="179"/>
        <v>69752.629999999946</v>
      </c>
      <c r="H310" s="298">
        <f t="shared" si="169"/>
        <v>24491.929999999917</v>
      </c>
      <c r="I310" s="451">
        <f t="shared" si="170"/>
        <v>20</v>
      </c>
      <c r="J310" s="298">
        <f t="shared" si="180"/>
        <v>212239.7099999997</v>
      </c>
      <c r="K310" s="298">
        <f t="shared" si="158"/>
        <v>2701.27</v>
      </c>
      <c r="L310" s="298">
        <f t="shared" si="190"/>
        <v>1330.56</v>
      </c>
      <c r="M310" s="298">
        <f t="shared" si="159"/>
        <v>1370.71</v>
      </c>
      <c r="N310" s="298">
        <f t="shared" si="181"/>
        <v>166145.85000000006</v>
      </c>
      <c r="O310" s="298">
        <f t="shared" si="182"/>
        <v>511872.92000000039</v>
      </c>
      <c r="P310" s="298">
        <f t="shared" si="171"/>
        <v>210909.1499999997</v>
      </c>
      <c r="Q310" s="542">
        <f t="shared" si="172"/>
        <v>53259</v>
      </c>
      <c r="R310" s="298">
        <f t="shared" si="157"/>
        <v>0</v>
      </c>
      <c r="S310" s="535">
        <f t="shared" si="183"/>
        <v>7.7499999999999999E-2</v>
      </c>
      <c r="T310" s="298">
        <f t="shared" si="173"/>
        <v>0</v>
      </c>
      <c r="U310" s="298">
        <f t="shared" si="160"/>
        <v>0</v>
      </c>
      <c r="V310" s="298">
        <f t="shared" si="174"/>
        <v>0</v>
      </c>
      <c r="W310" s="298">
        <f t="shared" si="192"/>
        <v>0</v>
      </c>
      <c r="X310" s="298">
        <f t="shared" si="192"/>
        <v>0</v>
      </c>
      <c r="Y310" s="298">
        <f t="shared" si="161"/>
        <v>0</v>
      </c>
      <c r="Z310" s="298">
        <f t="shared" si="162"/>
        <v>378976.30999999988</v>
      </c>
      <c r="AA310" s="298">
        <f t="shared" si="163"/>
        <v>237979.58999999985</v>
      </c>
      <c r="AB310" s="298">
        <f t="shared" si="175"/>
        <v>0</v>
      </c>
      <c r="AC310" s="451">
        <f t="shared" si="184"/>
        <v>250</v>
      </c>
      <c r="AD310" s="552">
        <f t="shared" si="185"/>
        <v>61062.869999999857</v>
      </c>
      <c r="AE310" s="552">
        <f t="shared" si="155"/>
        <v>-24491.929999999917</v>
      </c>
      <c r="AF310" s="552">
        <f t="shared" si="156"/>
        <v>36570.939999999944</v>
      </c>
      <c r="AG310" s="552">
        <f t="shared" si="186"/>
        <v>-433.95</v>
      </c>
      <c r="AH310" s="552">
        <f t="shared" si="187"/>
        <v>64729.050000000105</v>
      </c>
      <c r="AI310" s="552"/>
      <c r="AJ310" s="14">
        <f t="shared" si="164"/>
        <v>-433.95</v>
      </c>
      <c r="AK310" s="14">
        <f t="shared" si="165"/>
        <v>507166.54999999946</v>
      </c>
      <c r="AL310" s="552">
        <f>IF(R310&lt;=0,0,+([1]Profit!$B$4+AM309)*$AL$1/12)</f>
        <v>0</v>
      </c>
      <c r="AM310" s="14">
        <f t="shared" si="188"/>
        <v>262755.13764632691</v>
      </c>
    </row>
    <row r="311" spans="1:39" x14ac:dyDescent="0.25">
      <c r="A311" s="542">
        <f t="shared" si="176"/>
        <v>53289</v>
      </c>
      <c r="B311" s="298">
        <f t="shared" si="177"/>
        <v>24491.929999999917</v>
      </c>
      <c r="C311" s="14">
        <f t="shared" si="167"/>
        <v>433.95</v>
      </c>
      <c r="D311" s="14">
        <f t="shared" si="189"/>
        <v>337</v>
      </c>
      <c r="E311" s="14">
        <f t="shared" si="168"/>
        <v>96.95</v>
      </c>
      <c r="F311" s="298">
        <f t="shared" si="178"/>
        <v>59362.859999999993</v>
      </c>
      <c r="G311" s="298">
        <f t="shared" si="179"/>
        <v>69849.579999999944</v>
      </c>
      <c r="H311" s="298">
        <f t="shared" si="169"/>
        <v>24154.929999999917</v>
      </c>
      <c r="I311" s="451">
        <f t="shared" si="170"/>
        <v>20</v>
      </c>
      <c r="J311" s="298">
        <f t="shared" si="180"/>
        <v>210909.1499999997</v>
      </c>
      <c r="K311" s="298">
        <f t="shared" si="158"/>
        <v>2701.27</v>
      </c>
      <c r="L311" s="298">
        <f t="shared" si="190"/>
        <v>1339.15</v>
      </c>
      <c r="M311" s="298">
        <f t="shared" si="159"/>
        <v>1362.12</v>
      </c>
      <c r="N311" s="298">
        <f t="shared" si="181"/>
        <v>167485.00000000006</v>
      </c>
      <c r="O311" s="298">
        <f t="shared" si="182"/>
        <v>513235.04000000039</v>
      </c>
      <c r="P311" s="298">
        <f t="shared" si="171"/>
        <v>209569.99999999971</v>
      </c>
      <c r="Q311" s="542">
        <f t="shared" si="172"/>
        <v>53289</v>
      </c>
      <c r="R311" s="298">
        <f t="shared" si="157"/>
        <v>0</v>
      </c>
      <c r="S311" s="535">
        <f t="shared" si="183"/>
        <v>7.7499999999999999E-2</v>
      </c>
      <c r="T311" s="298">
        <f t="shared" si="173"/>
        <v>0</v>
      </c>
      <c r="U311" s="298">
        <f t="shared" si="160"/>
        <v>0</v>
      </c>
      <c r="V311" s="298">
        <f t="shared" si="174"/>
        <v>0</v>
      </c>
      <c r="W311" s="298">
        <f t="shared" si="192"/>
        <v>0</v>
      </c>
      <c r="X311" s="298">
        <f t="shared" si="192"/>
        <v>0</v>
      </c>
      <c r="Y311" s="298">
        <f t="shared" si="161"/>
        <v>0</v>
      </c>
      <c r="Z311" s="298">
        <f t="shared" si="162"/>
        <v>378976.30999999988</v>
      </c>
      <c r="AA311" s="298">
        <f t="shared" si="163"/>
        <v>237979.58999999985</v>
      </c>
      <c r="AB311" s="298">
        <f t="shared" si="175"/>
        <v>0</v>
      </c>
      <c r="AC311" s="451">
        <f t="shared" si="184"/>
        <v>251</v>
      </c>
      <c r="AD311" s="552">
        <f t="shared" si="185"/>
        <v>63764.139999999854</v>
      </c>
      <c r="AE311" s="552">
        <f t="shared" si="155"/>
        <v>-24154.929999999917</v>
      </c>
      <c r="AF311" s="552">
        <f t="shared" si="156"/>
        <v>39609.209999999934</v>
      </c>
      <c r="AG311" s="552">
        <f t="shared" si="186"/>
        <v>-433.95</v>
      </c>
      <c r="AH311" s="552">
        <f t="shared" si="187"/>
        <v>65066.050000000105</v>
      </c>
      <c r="AI311" s="552"/>
      <c r="AJ311" s="14">
        <f t="shared" si="164"/>
        <v>-433.95</v>
      </c>
      <c r="AK311" s="14">
        <f t="shared" si="165"/>
        <v>506732.59999999945</v>
      </c>
      <c r="AL311" s="552">
        <f>IF(R311&lt;=0,0,+([1]Profit!$B$4+AM310)*$AL$1/12)</f>
        <v>0</v>
      </c>
      <c r="AM311" s="14">
        <f t="shared" si="188"/>
        <v>262755.13764632691</v>
      </c>
    </row>
    <row r="312" spans="1:39" x14ac:dyDescent="0.25">
      <c r="A312" s="542">
        <f t="shared" si="176"/>
        <v>53319</v>
      </c>
      <c r="B312" s="298">
        <f t="shared" si="177"/>
        <v>24154.929999999917</v>
      </c>
      <c r="C312" s="14">
        <f t="shared" si="167"/>
        <v>433.95</v>
      </c>
      <c r="D312" s="14">
        <f t="shared" si="189"/>
        <v>338.34</v>
      </c>
      <c r="E312" s="14">
        <f t="shared" si="168"/>
        <v>95.61</v>
      </c>
      <c r="F312" s="298">
        <f t="shared" si="178"/>
        <v>59701.19999999999</v>
      </c>
      <c r="G312" s="298">
        <f t="shared" si="179"/>
        <v>69945.189999999944</v>
      </c>
      <c r="H312" s="298">
        <f t="shared" si="169"/>
        <v>23816.589999999916</v>
      </c>
      <c r="I312" s="451">
        <f t="shared" si="170"/>
        <v>21</v>
      </c>
      <c r="J312" s="298">
        <f t="shared" si="180"/>
        <v>209569.99999999971</v>
      </c>
      <c r="K312" s="298">
        <f t="shared" si="158"/>
        <v>2701.27</v>
      </c>
      <c r="L312" s="298">
        <f t="shared" si="190"/>
        <v>1347.8</v>
      </c>
      <c r="M312" s="298">
        <f t="shared" si="159"/>
        <v>1353.47</v>
      </c>
      <c r="N312" s="298">
        <f t="shared" si="181"/>
        <v>168832.80000000005</v>
      </c>
      <c r="O312" s="298">
        <f t="shared" si="182"/>
        <v>514588.51000000036</v>
      </c>
      <c r="P312" s="298">
        <f t="shared" si="171"/>
        <v>208222.19999999972</v>
      </c>
      <c r="Q312" s="542">
        <f t="shared" si="172"/>
        <v>53319</v>
      </c>
      <c r="R312" s="298">
        <f t="shared" si="157"/>
        <v>0</v>
      </c>
      <c r="S312" s="535">
        <f t="shared" si="183"/>
        <v>7.7499999999999999E-2</v>
      </c>
      <c r="T312" s="298">
        <f t="shared" si="173"/>
        <v>0</v>
      </c>
      <c r="U312" s="298">
        <f t="shared" si="160"/>
        <v>0</v>
      </c>
      <c r="V312" s="298">
        <f t="shared" si="174"/>
        <v>0</v>
      </c>
      <c r="W312" s="298">
        <f t="shared" si="192"/>
        <v>0</v>
      </c>
      <c r="X312" s="298">
        <f t="shared" si="192"/>
        <v>0</v>
      </c>
      <c r="Y312" s="298">
        <f t="shared" si="161"/>
        <v>0</v>
      </c>
      <c r="Z312" s="298">
        <f t="shared" si="162"/>
        <v>378976.30999999988</v>
      </c>
      <c r="AA312" s="298">
        <f t="shared" si="163"/>
        <v>237979.58999999985</v>
      </c>
      <c r="AB312" s="298">
        <f t="shared" si="175"/>
        <v>0</v>
      </c>
      <c r="AC312" s="451">
        <f t="shared" si="184"/>
        <v>252</v>
      </c>
      <c r="AD312" s="552">
        <f t="shared" si="185"/>
        <v>66465.409999999858</v>
      </c>
      <c r="AE312" s="552">
        <f t="shared" si="155"/>
        <v>-23816.589999999916</v>
      </c>
      <c r="AF312" s="552">
        <f t="shared" si="156"/>
        <v>42648.819999999942</v>
      </c>
      <c r="AG312" s="552">
        <f t="shared" si="186"/>
        <v>-433.95</v>
      </c>
      <c r="AH312" s="552">
        <f t="shared" si="187"/>
        <v>65404.39000000013</v>
      </c>
      <c r="AI312" s="552"/>
      <c r="AJ312" s="14">
        <f t="shared" si="164"/>
        <v>-433.95</v>
      </c>
      <c r="AK312" s="14">
        <f t="shared" si="165"/>
        <v>506298.64999999944</v>
      </c>
      <c r="AL312" s="552">
        <f>IF(R312&lt;=0,0,+([1]Profit!$B$4+AM311)*$AL$1/12)</f>
        <v>0</v>
      </c>
      <c r="AM312" s="14">
        <f t="shared" si="188"/>
        <v>262755.13764632691</v>
      </c>
    </row>
    <row r="313" spans="1:39" x14ac:dyDescent="0.25">
      <c r="A313" s="542">
        <f t="shared" si="176"/>
        <v>53349</v>
      </c>
      <c r="B313" s="298">
        <f t="shared" si="177"/>
        <v>23816.589999999916</v>
      </c>
      <c r="C313" s="14">
        <f t="shared" si="167"/>
        <v>433.95</v>
      </c>
      <c r="D313" s="14">
        <f t="shared" si="189"/>
        <v>339.68</v>
      </c>
      <c r="E313" s="14">
        <f t="shared" si="168"/>
        <v>94.27</v>
      </c>
      <c r="F313" s="298">
        <f t="shared" si="178"/>
        <v>60040.87999999999</v>
      </c>
      <c r="G313" s="298">
        <f t="shared" si="179"/>
        <v>70039.459999999948</v>
      </c>
      <c r="H313" s="298">
        <f t="shared" si="169"/>
        <v>23476.909999999916</v>
      </c>
      <c r="I313" s="451">
        <f t="shared" si="170"/>
        <v>21</v>
      </c>
      <c r="J313" s="298">
        <f t="shared" si="180"/>
        <v>208222.19999999972</v>
      </c>
      <c r="K313" s="298">
        <f t="shared" si="158"/>
        <v>2701.27</v>
      </c>
      <c r="L313" s="298">
        <f t="shared" si="190"/>
        <v>1356.5</v>
      </c>
      <c r="M313" s="298">
        <f t="shared" si="159"/>
        <v>1344.77</v>
      </c>
      <c r="N313" s="298">
        <f t="shared" si="181"/>
        <v>170189.30000000005</v>
      </c>
      <c r="O313" s="298">
        <f t="shared" si="182"/>
        <v>515933.28000000038</v>
      </c>
      <c r="P313" s="298">
        <f t="shared" si="171"/>
        <v>206865.69999999972</v>
      </c>
      <c r="Q313" s="542">
        <f t="shared" si="172"/>
        <v>53349</v>
      </c>
      <c r="R313" s="298">
        <f t="shared" si="157"/>
        <v>0</v>
      </c>
      <c r="S313" s="535">
        <f t="shared" si="183"/>
        <v>7.7499999999999999E-2</v>
      </c>
      <c r="T313" s="298">
        <f t="shared" si="173"/>
        <v>0</v>
      </c>
      <c r="U313" s="298">
        <f t="shared" si="160"/>
        <v>0</v>
      </c>
      <c r="V313" s="298">
        <f t="shared" si="174"/>
        <v>0</v>
      </c>
      <c r="W313" s="298">
        <f t="shared" si="192"/>
        <v>0</v>
      </c>
      <c r="X313" s="298">
        <f t="shared" si="192"/>
        <v>0</v>
      </c>
      <c r="Y313" s="298">
        <f t="shared" si="161"/>
        <v>0</v>
      </c>
      <c r="Z313" s="298">
        <f t="shared" si="162"/>
        <v>378976.30999999988</v>
      </c>
      <c r="AA313" s="298">
        <f t="shared" si="163"/>
        <v>237979.58999999985</v>
      </c>
      <c r="AB313" s="298">
        <f t="shared" si="175"/>
        <v>0</v>
      </c>
      <c r="AC313" s="451">
        <f t="shared" si="184"/>
        <v>253</v>
      </c>
      <c r="AD313" s="552">
        <f t="shared" si="185"/>
        <v>69166.679999999862</v>
      </c>
      <c r="AE313" s="552">
        <f t="shared" si="155"/>
        <v>-23476.909999999916</v>
      </c>
      <c r="AF313" s="552">
        <f t="shared" si="156"/>
        <v>45689.769999999946</v>
      </c>
      <c r="AG313" s="552">
        <f t="shared" si="186"/>
        <v>-433.95</v>
      </c>
      <c r="AH313" s="552">
        <f t="shared" si="187"/>
        <v>65744.070000000123</v>
      </c>
      <c r="AI313" s="552"/>
      <c r="AJ313" s="14">
        <f t="shared" si="164"/>
        <v>-433.95</v>
      </c>
      <c r="AK313" s="14">
        <f t="shared" si="165"/>
        <v>505864.69999999943</v>
      </c>
      <c r="AL313" s="552">
        <f>IF(R313&lt;=0,0,+([1]Profit!$B$4+AM312)*$AL$1/12)</f>
        <v>0</v>
      </c>
      <c r="AM313" s="14">
        <f t="shared" si="188"/>
        <v>262755.13764632691</v>
      </c>
    </row>
    <row r="314" spans="1:39" ht="15.75" thickBot="1" x14ac:dyDescent="0.3">
      <c r="A314" s="545">
        <f t="shared" si="176"/>
        <v>53379</v>
      </c>
      <c r="B314" s="371">
        <f t="shared" si="177"/>
        <v>23476.909999999916</v>
      </c>
      <c r="C314" s="21">
        <f t="shared" si="167"/>
        <v>433.95</v>
      </c>
      <c r="D314" s="21">
        <f t="shared" si="189"/>
        <v>341.02</v>
      </c>
      <c r="E314" s="21">
        <f t="shared" si="168"/>
        <v>92.93</v>
      </c>
      <c r="F314" s="371">
        <f t="shared" si="178"/>
        <v>60381.899999999987</v>
      </c>
      <c r="G314" s="371">
        <f t="shared" si="179"/>
        <v>70132.389999999941</v>
      </c>
      <c r="H314" s="371">
        <f t="shared" si="169"/>
        <v>23135.889999999916</v>
      </c>
      <c r="I314" s="452">
        <f t="shared" si="170"/>
        <v>21</v>
      </c>
      <c r="J314" s="371">
        <f t="shared" si="180"/>
        <v>206865.69999999972</v>
      </c>
      <c r="K314" s="371">
        <f t="shared" si="158"/>
        <v>2701.27</v>
      </c>
      <c r="L314" s="371">
        <f t="shared" si="190"/>
        <v>1365.26</v>
      </c>
      <c r="M314" s="371">
        <f t="shared" si="159"/>
        <v>1336.01</v>
      </c>
      <c r="N314" s="371">
        <f t="shared" si="181"/>
        <v>171554.56000000006</v>
      </c>
      <c r="O314" s="371">
        <f t="shared" si="182"/>
        <v>517269.29000000039</v>
      </c>
      <c r="P314" s="371">
        <f t="shared" si="171"/>
        <v>205500.43999999971</v>
      </c>
      <c r="Q314" s="545">
        <f t="shared" si="172"/>
        <v>53379</v>
      </c>
      <c r="R314" s="371">
        <f t="shared" si="157"/>
        <v>0</v>
      </c>
      <c r="S314" s="536">
        <f t="shared" si="183"/>
        <v>7.7499999999999999E-2</v>
      </c>
      <c r="T314" s="371">
        <f t="shared" si="173"/>
        <v>0</v>
      </c>
      <c r="U314" s="371">
        <f t="shared" si="160"/>
        <v>0</v>
      </c>
      <c r="V314" s="371">
        <f t="shared" si="174"/>
        <v>0</v>
      </c>
      <c r="W314" s="371">
        <f t="shared" si="192"/>
        <v>0</v>
      </c>
      <c r="X314" s="371">
        <f t="shared" si="192"/>
        <v>0</v>
      </c>
      <c r="Y314" s="371">
        <f t="shared" si="161"/>
        <v>0</v>
      </c>
      <c r="Z314" s="371">
        <f t="shared" si="162"/>
        <v>378976.30999999988</v>
      </c>
      <c r="AA314" s="371">
        <f t="shared" si="163"/>
        <v>237979.58999999985</v>
      </c>
      <c r="AB314" s="371">
        <f t="shared" si="175"/>
        <v>0</v>
      </c>
      <c r="AC314" s="452">
        <f t="shared" si="184"/>
        <v>254</v>
      </c>
      <c r="AD314" s="553">
        <f t="shared" si="185"/>
        <v>71867.949999999866</v>
      </c>
      <c r="AE314" s="553">
        <f t="shared" si="155"/>
        <v>-23135.889999999916</v>
      </c>
      <c r="AF314" s="553">
        <f t="shared" si="156"/>
        <v>48732.059999999954</v>
      </c>
      <c r="AG314" s="553">
        <f t="shared" si="186"/>
        <v>-433.95</v>
      </c>
      <c r="AH314" s="553">
        <f t="shared" si="187"/>
        <v>66085.090000000084</v>
      </c>
      <c r="AI314" s="553"/>
      <c r="AJ314" s="21">
        <f t="shared" si="164"/>
        <v>-433.95</v>
      </c>
      <c r="AK314" s="21">
        <f t="shared" si="165"/>
        <v>505430.74999999942</v>
      </c>
      <c r="AL314" s="553">
        <f>IF(R314&lt;=0,0,+([1]Profit!$B$4+AM313)*$AL$1/12)</f>
        <v>0</v>
      </c>
      <c r="AM314" s="21">
        <f t="shared" si="188"/>
        <v>262755.13764632691</v>
      </c>
    </row>
    <row r="315" spans="1:39" x14ac:dyDescent="0.25">
      <c r="A315" s="542">
        <f t="shared" si="176"/>
        <v>53409</v>
      </c>
      <c r="B315" s="298">
        <f t="shared" si="177"/>
        <v>23135.889999999916</v>
      </c>
      <c r="C315" s="14">
        <f t="shared" si="167"/>
        <v>433.95</v>
      </c>
      <c r="D315" s="14">
        <f t="shared" si="189"/>
        <v>342.37</v>
      </c>
      <c r="E315" s="14">
        <f t="shared" si="168"/>
        <v>91.58</v>
      </c>
      <c r="F315" s="298">
        <f t="shared" si="178"/>
        <v>60724.26999999999</v>
      </c>
      <c r="G315" s="298">
        <f t="shared" si="179"/>
        <v>70223.969999999943</v>
      </c>
      <c r="H315" s="298">
        <f t="shared" si="169"/>
        <v>22793.519999999917</v>
      </c>
      <c r="I315" s="451">
        <f t="shared" si="170"/>
        <v>21</v>
      </c>
      <c r="J315" s="298">
        <f t="shared" si="180"/>
        <v>205500.43999999971</v>
      </c>
      <c r="K315" s="298">
        <f t="shared" si="158"/>
        <v>2701.27</v>
      </c>
      <c r="L315" s="298">
        <f t="shared" si="190"/>
        <v>1374.08</v>
      </c>
      <c r="M315" s="298">
        <f t="shared" si="159"/>
        <v>1327.19</v>
      </c>
      <c r="N315" s="298">
        <f t="shared" si="181"/>
        <v>172928.64000000004</v>
      </c>
      <c r="O315" s="298">
        <f t="shared" si="182"/>
        <v>518596.48000000039</v>
      </c>
      <c r="P315" s="298">
        <f t="shared" si="171"/>
        <v>204126.35999999972</v>
      </c>
      <c r="Q315" s="542">
        <f t="shared" si="172"/>
        <v>53409</v>
      </c>
      <c r="R315" s="298">
        <f t="shared" si="157"/>
        <v>0</v>
      </c>
      <c r="S315" s="535">
        <f t="shared" si="183"/>
        <v>7.7499999999999999E-2</v>
      </c>
      <c r="T315" s="298">
        <f t="shared" si="173"/>
        <v>0</v>
      </c>
      <c r="U315" s="298">
        <f t="shared" si="160"/>
        <v>0</v>
      </c>
      <c r="V315" s="298">
        <f t="shared" si="174"/>
        <v>0</v>
      </c>
      <c r="W315" s="298">
        <f t="shared" si="192"/>
        <v>0</v>
      </c>
      <c r="X315" s="298">
        <f t="shared" si="192"/>
        <v>0</v>
      </c>
      <c r="Y315" s="298">
        <f t="shared" si="161"/>
        <v>0</v>
      </c>
      <c r="Z315" s="298">
        <f t="shared" si="162"/>
        <v>378976.30999999988</v>
      </c>
      <c r="AA315" s="298">
        <f t="shared" si="163"/>
        <v>237979.58999999985</v>
      </c>
      <c r="AB315" s="298">
        <f t="shared" si="175"/>
        <v>0</v>
      </c>
      <c r="AC315" s="451">
        <f t="shared" si="184"/>
        <v>255</v>
      </c>
      <c r="AD315" s="552">
        <f t="shared" si="185"/>
        <v>74569.21999999987</v>
      </c>
      <c r="AE315" s="552">
        <f t="shared" si="155"/>
        <v>-22793.519999999917</v>
      </c>
      <c r="AF315" s="552">
        <f t="shared" si="156"/>
        <v>51775.699999999953</v>
      </c>
      <c r="AG315" s="552">
        <f t="shared" si="186"/>
        <v>-433.95</v>
      </c>
      <c r="AH315" s="552">
        <f t="shared" si="187"/>
        <v>66427.460000000137</v>
      </c>
      <c r="AI315" s="552"/>
      <c r="AJ315" s="14">
        <f t="shared" si="164"/>
        <v>-433.95</v>
      </c>
      <c r="AK315" s="14">
        <f t="shared" si="165"/>
        <v>504996.79999999941</v>
      </c>
      <c r="AL315" s="552">
        <f>IF(R315&lt;=0,0,+([1]Profit!$B$4+AM314)*$AL$1/12)</f>
        <v>0</v>
      </c>
      <c r="AM315" s="14">
        <f t="shared" si="188"/>
        <v>262755.13764632691</v>
      </c>
    </row>
    <row r="316" spans="1:39" x14ac:dyDescent="0.25">
      <c r="A316" s="542">
        <f t="shared" si="176"/>
        <v>53439</v>
      </c>
      <c r="B316" s="298">
        <f t="shared" si="177"/>
        <v>22793.519999999917</v>
      </c>
      <c r="C316" s="14">
        <f t="shared" si="167"/>
        <v>433.95</v>
      </c>
      <c r="D316" s="14">
        <f t="shared" si="189"/>
        <v>343.73</v>
      </c>
      <c r="E316" s="14">
        <f t="shared" si="168"/>
        <v>90.22</v>
      </c>
      <c r="F316" s="298">
        <f t="shared" si="178"/>
        <v>61067.999999999993</v>
      </c>
      <c r="G316" s="298">
        <f t="shared" si="179"/>
        <v>70314.189999999944</v>
      </c>
      <c r="H316" s="298">
        <f t="shared" si="169"/>
        <v>22449.789999999917</v>
      </c>
      <c r="I316" s="451">
        <f t="shared" si="170"/>
        <v>21</v>
      </c>
      <c r="J316" s="298">
        <f t="shared" si="180"/>
        <v>204126.35999999972</v>
      </c>
      <c r="K316" s="298">
        <f t="shared" si="158"/>
        <v>2701.27</v>
      </c>
      <c r="L316" s="298">
        <f t="shared" si="190"/>
        <v>1382.95</v>
      </c>
      <c r="M316" s="298">
        <f t="shared" si="159"/>
        <v>1318.32</v>
      </c>
      <c r="N316" s="298">
        <f t="shared" si="181"/>
        <v>174311.59000000005</v>
      </c>
      <c r="O316" s="298">
        <f t="shared" si="182"/>
        <v>519914.8000000004</v>
      </c>
      <c r="P316" s="298">
        <f t="shared" si="171"/>
        <v>202743.40999999971</v>
      </c>
      <c r="Q316" s="542">
        <f t="shared" si="172"/>
        <v>53439</v>
      </c>
      <c r="R316" s="298">
        <f t="shared" si="157"/>
        <v>0</v>
      </c>
      <c r="S316" s="535">
        <f t="shared" si="183"/>
        <v>7.7499999999999999E-2</v>
      </c>
      <c r="T316" s="298">
        <f t="shared" si="173"/>
        <v>0</v>
      </c>
      <c r="U316" s="298">
        <f t="shared" si="160"/>
        <v>0</v>
      </c>
      <c r="V316" s="298">
        <f t="shared" si="174"/>
        <v>0</v>
      </c>
      <c r="W316" s="298">
        <f t="shared" ref="W316:X331" si="193">+W315</f>
        <v>0</v>
      </c>
      <c r="X316" s="298">
        <f t="shared" si="193"/>
        <v>0</v>
      </c>
      <c r="Y316" s="298">
        <f t="shared" si="161"/>
        <v>0</v>
      </c>
      <c r="Z316" s="298">
        <f t="shared" si="162"/>
        <v>378976.30999999988</v>
      </c>
      <c r="AA316" s="298">
        <f t="shared" si="163"/>
        <v>237979.58999999985</v>
      </c>
      <c r="AB316" s="298">
        <f t="shared" si="175"/>
        <v>0</v>
      </c>
      <c r="AC316" s="451">
        <f t="shared" si="184"/>
        <v>256</v>
      </c>
      <c r="AD316" s="552">
        <f t="shared" si="185"/>
        <v>77270.489999999874</v>
      </c>
      <c r="AE316" s="552">
        <f t="shared" ref="AE316:AE379" si="194">AB316-H316</f>
        <v>-22449.789999999917</v>
      </c>
      <c r="AF316" s="552">
        <f t="shared" ref="AF316:AF379" si="195">SUM(AD316:AE316)</f>
        <v>54820.699999999953</v>
      </c>
      <c r="AG316" s="552">
        <f t="shared" si="186"/>
        <v>-433.95</v>
      </c>
      <c r="AH316" s="552">
        <f t="shared" si="187"/>
        <v>66771.190000000119</v>
      </c>
      <c r="AI316" s="552"/>
      <c r="AJ316" s="14">
        <f t="shared" si="164"/>
        <v>-433.95</v>
      </c>
      <c r="AK316" s="14">
        <f t="shared" si="165"/>
        <v>504562.84999999939</v>
      </c>
      <c r="AL316" s="552">
        <f>IF(R316&lt;=0,0,+([1]Profit!$B$4+AM315)*$AL$1/12)</f>
        <v>0</v>
      </c>
      <c r="AM316" s="14">
        <f t="shared" si="188"/>
        <v>262755.13764632691</v>
      </c>
    </row>
    <row r="317" spans="1:39" x14ac:dyDescent="0.25">
      <c r="A317" s="542">
        <f t="shared" si="176"/>
        <v>53469</v>
      </c>
      <c r="B317" s="298">
        <f t="shared" si="177"/>
        <v>22449.789999999917</v>
      </c>
      <c r="C317" s="14">
        <f t="shared" si="167"/>
        <v>433.95</v>
      </c>
      <c r="D317" s="14">
        <f t="shared" si="189"/>
        <v>345.09</v>
      </c>
      <c r="E317" s="14">
        <f t="shared" si="168"/>
        <v>88.86</v>
      </c>
      <c r="F317" s="298">
        <f t="shared" si="178"/>
        <v>61413.089999999989</v>
      </c>
      <c r="G317" s="298">
        <f t="shared" si="179"/>
        <v>70403.049999999945</v>
      </c>
      <c r="H317" s="298">
        <f t="shared" si="169"/>
        <v>22104.699999999917</v>
      </c>
      <c r="I317" s="451">
        <f t="shared" si="170"/>
        <v>21</v>
      </c>
      <c r="J317" s="298">
        <f t="shared" si="180"/>
        <v>202743.40999999971</v>
      </c>
      <c r="K317" s="298">
        <f t="shared" si="158"/>
        <v>2701.27</v>
      </c>
      <c r="L317" s="298">
        <f t="shared" si="190"/>
        <v>1391.8899999999999</v>
      </c>
      <c r="M317" s="298">
        <f t="shared" si="159"/>
        <v>1309.3800000000001</v>
      </c>
      <c r="N317" s="298">
        <f t="shared" si="181"/>
        <v>175703.48000000007</v>
      </c>
      <c r="O317" s="298">
        <f t="shared" si="182"/>
        <v>521224.1800000004</v>
      </c>
      <c r="P317" s="298">
        <f t="shared" si="171"/>
        <v>201351.5199999997</v>
      </c>
      <c r="Q317" s="542">
        <f t="shared" si="172"/>
        <v>53469</v>
      </c>
      <c r="R317" s="298">
        <f t="shared" ref="R317:R380" si="196">IF(Q317&gt;$J$10,IF(+AB316&lt;0,0,+AB316),0)</f>
        <v>0</v>
      </c>
      <c r="S317" s="535">
        <f t="shared" si="183"/>
        <v>7.7499999999999999E-2</v>
      </c>
      <c r="T317" s="298">
        <f t="shared" si="173"/>
        <v>0</v>
      </c>
      <c r="U317" s="298">
        <f t="shared" si="160"/>
        <v>0</v>
      </c>
      <c r="V317" s="298">
        <f t="shared" si="174"/>
        <v>0</v>
      </c>
      <c r="W317" s="298">
        <f t="shared" si="193"/>
        <v>0</v>
      </c>
      <c r="X317" s="298">
        <f t="shared" si="193"/>
        <v>0</v>
      </c>
      <c r="Y317" s="298">
        <f t="shared" si="161"/>
        <v>0</v>
      </c>
      <c r="Z317" s="298">
        <f t="shared" si="162"/>
        <v>378976.30999999988</v>
      </c>
      <c r="AA317" s="298">
        <f t="shared" si="163"/>
        <v>237979.58999999985</v>
      </c>
      <c r="AB317" s="298">
        <f t="shared" si="175"/>
        <v>0</v>
      </c>
      <c r="AC317" s="451">
        <f t="shared" si="184"/>
        <v>257</v>
      </c>
      <c r="AD317" s="552">
        <f t="shared" si="185"/>
        <v>79971.759999999878</v>
      </c>
      <c r="AE317" s="552">
        <f t="shared" si="194"/>
        <v>-22104.699999999917</v>
      </c>
      <c r="AF317" s="552">
        <f t="shared" si="195"/>
        <v>57867.059999999961</v>
      </c>
      <c r="AG317" s="552">
        <f t="shared" si="186"/>
        <v>-433.95</v>
      </c>
      <c r="AH317" s="552">
        <f t="shared" si="187"/>
        <v>67116.280000000086</v>
      </c>
      <c r="AI317" s="552"/>
      <c r="AJ317" s="14">
        <f t="shared" si="164"/>
        <v>-433.95</v>
      </c>
      <c r="AK317" s="14">
        <f t="shared" si="165"/>
        <v>504128.89999999938</v>
      </c>
      <c r="AL317" s="552">
        <f>IF(R317&lt;=0,0,+([1]Profit!$B$4+AM316)*$AL$1/12)</f>
        <v>0</v>
      </c>
      <c r="AM317" s="14">
        <f t="shared" si="188"/>
        <v>262755.13764632691</v>
      </c>
    </row>
    <row r="318" spans="1:39" x14ac:dyDescent="0.25">
      <c r="A318" s="542">
        <f t="shared" si="176"/>
        <v>53499</v>
      </c>
      <c r="B318" s="298">
        <f t="shared" si="177"/>
        <v>22104.699999999917</v>
      </c>
      <c r="C318" s="14">
        <f t="shared" si="167"/>
        <v>433.95</v>
      </c>
      <c r="D318" s="14">
        <f t="shared" si="189"/>
        <v>346.45</v>
      </c>
      <c r="E318" s="14">
        <f t="shared" si="168"/>
        <v>87.5</v>
      </c>
      <c r="F318" s="298">
        <f t="shared" si="178"/>
        <v>61759.539999999986</v>
      </c>
      <c r="G318" s="298">
        <f t="shared" si="179"/>
        <v>70490.549999999945</v>
      </c>
      <c r="H318" s="298">
        <f t="shared" si="169"/>
        <v>21758.249999999916</v>
      </c>
      <c r="I318" s="451">
        <f t="shared" si="170"/>
        <v>21</v>
      </c>
      <c r="J318" s="298">
        <f t="shared" si="180"/>
        <v>201351.5199999997</v>
      </c>
      <c r="K318" s="298">
        <f t="shared" ref="K318:K381" si="197">IF($J$10&lt;=A318,IF(+$P317&lt;=0,0,$J$9),0)</f>
        <v>2701.27</v>
      </c>
      <c r="L318" s="298">
        <f t="shared" si="190"/>
        <v>1400.87</v>
      </c>
      <c r="M318" s="298">
        <f t="shared" ref="M318:M381" si="198">IF($J$10&lt;=A318,ROUND(J318*($J$7/12),2),0)</f>
        <v>1300.4000000000001</v>
      </c>
      <c r="N318" s="298">
        <f t="shared" si="181"/>
        <v>177104.35000000006</v>
      </c>
      <c r="O318" s="298">
        <f t="shared" si="182"/>
        <v>522524.58000000042</v>
      </c>
      <c r="P318" s="298">
        <f t="shared" si="171"/>
        <v>199950.6499999997</v>
      </c>
      <c r="Q318" s="542">
        <f t="shared" si="172"/>
        <v>53499</v>
      </c>
      <c r="R318" s="298">
        <f t="shared" si="196"/>
        <v>0</v>
      </c>
      <c r="S318" s="535">
        <f t="shared" si="183"/>
        <v>7.7499999999999999E-2</v>
      </c>
      <c r="T318" s="298">
        <f t="shared" si="173"/>
        <v>0</v>
      </c>
      <c r="U318" s="298">
        <f t="shared" ref="U318:U381" si="199">+T318-V318</f>
        <v>0</v>
      </c>
      <c r="V318" s="298">
        <f t="shared" si="174"/>
        <v>0</v>
      </c>
      <c r="W318" s="298">
        <f t="shared" si="193"/>
        <v>0</v>
      </c>
      <c r="X318" s="298">
        <f t="shared" si="193"/>
        <v>0</v>
      </c>
      <c r="Y318" s="298">
        <f t="shared" ref="Y318:Y381" si="200">SUM(U318:X318)</f>
        <v>0</v>
      </c>
      <c r="Z318" s="298">
        <f t="shared" ref="Z318:Z381" si="201">+U318+Z317</f>
        <v>378976.30999999988</v>
      </c>
      <c r="AA318" s="298">
        <f t="shared" ref="AA318:AA381" si="202">+AA317+V318</f>
        <v>237979.58999999985</v>
      </c>
      <c r="AB318" s="298">
        <f t="shared" si="175"/>
        <v>0</v>
      </c>
      <c r="AC318" s="451">
        <f t="shared" si="184"/>
        <v>258</v>
      </c>
      <c r="AD318" s="552">
        <f t="shared" si="185"/>
        <v>82673.029999999882</v>
      </c>
      <c r="AE318" s="552">
        <f t="shared" si="194"/>
        <v>-21758.249999999916</v>
      </c>
      <c r="AF318" s="552">
        <f t="shared" si="195"/>
        <v>60914.77999999997</v>
      </c>
      <c r="AG318" s="552">
        <f t="shared" si="186"/>
        <v>-433.95</v>
      </c>
      <c r="AH318" s="552">
        <f t="shared" si="187"/>
        <v>67462.730000000098</v>
      </c>
      <c r="AI318" s="552"/>
      <c r="AJ318" s="14">
        <f t="shared" ref="AJ318:AJ381" si="203">+AG318-AI318</f>
        <v>-433.95</v>
      </c>
      <c r="AK318" s="14">
        <f t="shared" si="165"/>
        <v>503694.94999999937</v>
      </c>
      <c r="AL318" s="552">
        <f>IF(R318&lt;=0,0,+([1]Profit!$B$4+AM317)*$AL$1/12)</f>
        <v>0</v>
      </c>
      <c r="AM318" s="14">
        <f t="shared" si="188"/>
        <v>262755.13764632691</v>
      </c>
    </row>
    <row r="319" spans="1:39" x14ac:dyDescent="0.25">
      <c r="A319" s="542">
        <f t="shared" si="176"/>
        <v>53529</v>
      </c>
      <c r="B319" s="298">
        <f t="shared" si="177"/>
        <v>21758.249999999916</v>
      </c>
      <c r="C319" s="14">
        <f t="shared" si="167"/>
        <v>433.95</v>
      </c>
      <c r="D319" s="14">
        <f t="shared" si="189"/>
        <v>347.82</v>
      </c>
      <c r="E319" s="14">
        <f t="shared" si="168"/>
        <v>86.13</v>
      </c>
      <c r="F319" s="298">
        <f t="shared" si="178"/>
        <v>62107.359999999986</v>
      </c>
      <c r="G319" s="298">
        <f t="shared" si="179"/>
        <v>70576.679999999949</v>
      </c>
      <c r="H319" s="298">
        <f t="shared" si="169"/>
        <v>21410.429999999917</v>
      </c>
      <c r="I319" s="451">
        <f t="shared" si="170"/>
        <v>21</v>
      </c>
      <c r="J319" s="298">
        <f t="shared" si="180"/>
        <v>199950.6499999997</v>
      </c>
      <c r="K319" s="298">
        <f t="shared" si="197"/>
        <v>2701.27</v>
      </c>
      <c r="L319" s="298">
        <f t="shared" si="190"/>
        <v>1409.92</v>
      </c>
      <c r="M319" s="298">
        <f t="shared" si="198"/>
        <v>1291.3499999999999</v>
      </c>
      <c r="N319" s="298">
        <f t="shared" si="181"/>
        <v>178514.27000000008</v>
      </c>
      <c r="O319" s="298">
        <f t="shared" si="182"/>
        <v>523815.9300000004</v>
      </c>
      <c r="P319" s="298">
        <f t="shared" si="171"/>
        <v>198540.72999999969</v>
      </c>
      <c r="Q319" s="542">
        <f t="shared" si="172"/>
        <v>53529</v>
      </c>
      <c r="R319" s="298">
        <f t="shared" si="196"/>
        <v>0</v>
      </c>
      <c r="S319" s="535">
        <f t="shared" si="183"/>
        <v>7.7499999999999999E-2</v>
      </c>
      <c r="T319" s="298">
        <f t="shared" si="173"/>
        <v>0</v>
      </c>
      <c r="U319" s="298">
        <f t="shared" si="199"/>
        <v>0</v>
      </c>
      <c r="V319" s="298">
        <f t="shared" si="174"/>
        <v>0</v>
      </c>
      <c r="W319" s="298">
        <f t="shared" si="193"/>
        <v>0</v>
      </c>
      <c r="X319" s="298">
        <f t="shared" si="193"/>
        <v>0</v>
      </c>
      <c r="Y319" s="298">
        <f t="shared" si="200"/>
        <v>0</v>
      </c>
      <c r="Z319" s="298">
        <f t="shared" si="201"/>
        <v>378976.30999999988</v>
      </c>
      <c r="AA319" s="298">
        <f t="shared" si="202"/>
        <v>237979.58999999985</v>
      </c>
      <c r="AB319" s="298">
        <f t="shared" si="175"/>
        <v>0</v>
      </c>
      <c r="AC319" s="451">
        <f t="shared" si="184"/>
        <v>259</v>
      </c>
      <c r="AD319" s="552">
        <f t="shared" si="185"/>
        <v>85374.299999999886</v>
      </c>
      <c r="AE319" s="552">
        <f t="shared" si="194"/>
        <v>-21410.429999999917</v>
      </c>
      <c r="AF319" s="552">
        <f t="shared" si="195"/>
        <v>63963.869999999966</v>
      </c>
      <c r="AG319" s="552">
        <f t="shared" si="186"/>
        <v>-433.95</v>
      </c>
      <c r="AH319" s="552">
        <f t="shared" si="187"/>
        <v>67810.550000000105</v>
      </c>
      <c r="AI319" s="552"/>
      <c r="AJ319" s="14">
        <f t="shared" si="203"/>
        <v>-433.95</v>
      </c>
      <c r="AK319" s="14">
        <f t="shared" si="165"/>
        <v>503260.99999999936</v>
      </c>
      <c r="AL319" s="552">
        <f>IF(R319&lt;=0,0,+([1]Profit!$B$4+AM318)*$AL$1/12)</f>
        <v>0</v>
      </c>
      <c r="AM319" s="14">
        <f t="shared" si="188"/>
        <v>262755.13764632691</v>
      </c>
    </row>
    <row r="320" spans="1:39" x14ac:dyDescent="0.25">
      <c r="A320" s="542">
        <f t="shared" si="176"/>
        <v>53559</v>
      </c>
      <c r="B320" s="298">
        <f t="shared" si="177"/>
        <v>21410.429999999917</v>
      </c>
      <c r="C320" s="14">
        <f t="shared" si="167"/>
        <v>433.95</v>
      </c>
      <c r="D320" s="14">
        <f t="shared" si="189"/>
        <v>349.2</v>
      </c>
      <c r="E320" s="14">
        <f t="shared" si="168"/>
        <v>84.75</v>
      </c>
      <c r="F320" s="298">
        <f t="shared" si="178"/>
        <v>62456.559999999983</v>
      </c>
      <c r="G320" s="298">
        <f t="shared" si="179"/>
        <v>70661.429999999949</v>
      </c>
      <c r="H320" s="298">
        <f t="shared" si="169"/>
        <v>21061.229999999916</v>
      </c>
      <c r="I320" s="451">
        <f t="shared" si="170"/>
        <v>21</v>
      </c>
      <c r="J320" s="298">
        <f t="shared" si="180"/>
        <v>198540.72999999969</v>
      </c>
      <c r="K320" s="298">
        <f t="shared" si="197"/>
        <v>2701.27</v>
      </c>
      <c r="L320" s="298">
        <f t="shared" si="190"/>
        <v>1419.03</v>
      </c>
      <c r="M320" s="298">
        <f t="shared" si="198"/>
        <v>1282.24</v>
      </c>
      <c r="N320" s="298">
        <f t="shared" si="181"/>
        <v>179933.30000000008</v>
      </c>
      <c r="O320" s="298">
        <f t="shared" si="182"/>
        <v>525098.17000000039</v>
      </c>
      <c r="P320" s="298">
        <f t="shared" si="171"/>
        <v>197121.69999999969</v>
      </c>
      <c r="Q320" s="542">
        <f t="shared" si="172"/>
        <v>53559</v>
      </c>
      <c r="R320" s="298">
        <f t="shared" si="196"/>
        <v>0</v>
      </c>
      <c r="S320" s="535">
        <f t="shared" si="183"/>
        <v>7.7499999999999999E-2</v>
      </c>
      <c r="T320" s="298">
        <f t="shared" si="173"/>
        <v>0</v>
      </c>
      <c r="U320" s="298">
        <f t="shared" si="199"/>
        <v>0</v>
      </c>
      <c r="V320" s="298">
        <f t="shared" si="174"/>
        <v>0</v>
      </c>
      <c r="W320" s="298">
        <f t="shared" si="193"/>
        <v>0</v>
      </c>
      <c r="X320" s="298">
        <f t="shared" si="193"/>
        <v>0</v>
      </c>
      <c r="Y320" s="298">
        <f t="shared" si="200"/>
        <v>0</v>
      </c>
      <c r="Z320" s="298">
        <f t="shared" si="201"/>
        <v>378976.30999999988</v>
      </c>
      <c r="AA320" s="298">
        <f t="shared" si="202"/>
        <v>237979.58999999985</v>
      </c>
      <c r="AB320" s="298">
        <f t="shared" si="175"/>
        <v>0</v>
      </c>
      <c r="AC320" s="451">
        <f t="shared" si="184"/>
        <v>260</v>
      </c>
      <c r="AD320" s="552">
        <f t="shared" si="185"/>
        <v>88075.569999999891</v>
      </c>
      <c r="AE320" s="552">
        <f t="shared" si="194"/>
        <v>-21061.229999999916</v>
      </c>
      <c r="AF320" s="552">
        <f t="shared" si="195"/>
        <v>67014.339999999967</v>
      </c>
      <c r="AG320" s="552">
        <f t="shared" si="186"/>
        <v>-433.95</v>
      </c>
      <c r="AH320" s="552">
        <f t="shared" si="187"/>
        <v>68159.750000000116</v>
      </c>
      <c r="AI320" s="552"/>
      <c r="AJ320" s="14">
        <f t="shared" si="203"/>
        <v>-433.95</v>
      </c>
      <c r="AK320" s="14">
        <f t="shared" si="165"/>
        <v>502827.04999999935</v>
      </c>
      <c r="AL320" s="552">
        <f>IF(R320&lt;=0,0,+([1]Profit!$B$4+AM319)*$AL$1/12)</f>
        <v>0</v>
      </c>
      <c r="AM320" s="14">
        <f t="shared" si="188"/>
        <v>262755.13764632691</v>
      </c>
    </row>
    <row r="321" spans="1:39" x14ac:dyDescent="0.25">
      <c r="A321" s="542">
        <f t="shared" si="176"/>
        <v>53589</v>
      </c>
      <c r="B321" s="298">
        <f t="shared" si="177"/>
        <v>21061.229999999916</v>
      </c>
      <c r="C321" s="14">
        <f t="shared" si="167"/>
        <v>433.95</v>
      </c>
      <c r="D321" s="14">
        <f t="shared" si="189"/>
        <v>350.58</v>
      </c>
      <c r="E321" s="14">
        <f t="shared" si="168"/>
        <v>83.37</v>
      </c>
      <c r="F321" s="298">
        <f t="shared" si="178"/>
        <v>62807.139999999985</v>
      </c>
      <c r="G321" s="298">
        <f t="shared" si="179"/>
        <v>70744.799999999945</v>
      </c>
      <c r="H321" s="298">
        <f t="shared" si="169"/>
        <v>20710.649999999914</v>
      </c>
      <c r="I321" s="451">
        <f t="shared" si="170"/>
        <v>21</v>
      </c>
      <c r="J321" s="298">
        <f t="shared" si="180"/>
        <v>197121.69999999969</v>
      </c>
      <c r="K321" s="298">
        <f t="shared" si="197"/>
        <v>2701.27</v>
      </c>
      <c r="L321" s="298">
        <f t="shared" si="190"/>
        <v>1428.19</v>
      </c>
      <c r="M321" s="298">
        <f t="shared" si="198"/>
        <v>1273.08</v>
      </c>
      <c r="N321" s="298">
        <f t="shared" si="181"/>
        <v>181361.49000000008</v>
      </c>
      <c r="O321" s="298">
        <f t="shared" si="182"/>
        <v>526371.25000000035</v>
      </c>
      <c r="P321" s="298">
        <f t="shared" si="171"/>
        <v>195693.50999999969</v>
      </c>
      <c r="Q321" s="542">
        <f t="shared" si="172"/>
        <v>53589</v>
      </c>
      <c r="R321" s="298">
        <f t="shared" si="196"/>
        <v>0</v>
      </c>
      <c r="S321" s="535">
        <f t="shared" si="183"/>
        <v>7.7499999999999999E-2</v>
      </c>
      <c r="T321" s="298">
        <f t="shared" si="173"/>
        <v>0</v>
      </c>
      <c r="U321" s="298">
        <f t="shared" si="199"/>
        <v>0</v>
      </c>
      <c r="V321" s="298">
        <f t="shared" si="174"/>
        <v>0</v>
      </c>
      <c r="W321" s="298">
        <f t="shared" si="193"/>
        <v>0</v>
      </c>
      <c r="X321" s="298">
        <f t="shared" si="193"/>
        <v>0</v>
      </c>
      <c r="Y321" s="298">
        <f t="shared" si="200"/>
        <v>0</v>
      </c>
      <c r="Z321" s="298">
        <f t="shared" si="201"/>
        <v>378976.30999999988</v>
      </c>
      <c r="AA321" s="298">
        <f t="shared" si="202"/>
        <v>237979.58999999985</v>
      </c>
      <c r="AB321" s="298">
        <f t="shared" si="175"/>
        <v>0</v>
      </c>
      <c r="AC321" s="451">
        <f t="shared" si="184"/>
        <v>261</v>
      </c>
      <c r="AD321" s="552">
        <f t="shared" si="185"/>
        <v>90776.839999999895</v>
      </c>
      <c r="AE321" s="552">
        <f t="shared" si="194"/>
        <v>-20710.649999999914</v>
      </c>
      <c r="AF321" s="552">
        <f t="shared" si="195"/>
        <v>70066.189999999973</v>
      </c>
      <c r="AG321" s="552">
        <f t="shared" si="186"/>
        <v>-433.95</v>
      </c>
      <c r="AH321" s="552">
        <f t="shared" si="187"/>
        <v>68510.330000000133</v>
      </c>
      <c r="AI321" s="552"/>
      <c r="AJ321" s="14">
        <f t="shared" si="203"/>
        <v>-433.95</v>
      </c>
      <c r="AK321" s="14">
        <f t="shared" si="165"/>
        <v>502393.09999999934</v>
      </c>
      <c r="AL321" s="552">
        <f>IF(R321&lt;=0,0,+([1]Profit!$B$4+AM320)*$AL$1/12)</f>
        <v>0</v>
      </c>
      <c r="AM321" s="14">
        <f t="shared" si="188"/>
        <v>262755.13764632691</v>
      </c>
    </row>
    <row r="322" spans="1:39" x14ac:dyDescent="0.25">
      <c r="A322" s="542">
        <f t="shared" si="176"/>
        <v>53619</v>
      </c>
      <c r="B322" s="298">
        <f t="shared" si="177"/>
        <v>20710.649999999914</v>
      </c>
      <c r="C322" s="14">
        <f t="shared" si="167"/>
        <v>433.95</v>
      </c>
      <c r="D322" s="14">
        <f t="shared" si="189"/>
        <v>351.96999999999997</v>
      </c>
      <c r="E322" s="14">
        <f t="shared" si="168"/>
        <v>81.98</v>
      </c>
      <c r="F322" s="298">
        <f t="shared" si="178"/>
        <v>63159.109999999986</v>
      </c>
      <c r="G322" s="298">
        <f t="shared" si="179"/>
        <v>70826.779999999941</v>
      </c>
      <c r="H322" s="298">
        <f t="shared" si="169"/>
        <v>20358.679999999913</v>
      </c>
      <c r="I322" s="451">
        <f t="shared" si="170"/>
        <v>21</v>
      </c>
      <c r="J322" s="298">
        <f t="shared" si="180"/>
        <v>195693.50999999969</v>
      </c>
      <c r="K322" s="298">
        <f t="shared" si="197"/>
        <v>2701.27</v>
      </c>
      <c r="L322" s="298">
        <f t="shared" si="190"/>
        <v>1437.42</v>
      </c>
      <c r="M322" s="298">
        <f t="shared" si="198"/>
        <v>1263.8499999999999</v>
      </c>
      <c r="N322" s="298">
        <f t="shared" si="181"/>
        <v>182798.91000000009</v>
      </c>
      <c r="O322" s="298">
        <f t="shared" si="182"/>
        <v>527635.10000000033</v>
      </c>
      <c r="P322" s="298">
        <f t="shared" si="171"/>
        <v>194256.08999999968</v>
      </c>
      <c r="Q322" s="542">
        <f t="shared" si="172"/>
        <v>53619</v>
      </c>
      <c r="R322" s="298">
        <f t="shared" si="196"/>
        <v>0</v>
      </c>
      <c r="S322" s="535">
        <f t="shared" si="183"/>
        <v>7.7499999999999999E-2</v>
      </c>
      <c r="T322" s="298">
        <f t="shared" si="173"/>
        <v>0</v>
      </c>
      <c r="U322" s="298">
        <f t="shared" si="199"/>
        <v>0</v>
      </c>
      <c r="V322" s="298">
        <f t="shared" si="174"/>
        <v>0</v>
      </c>
      <c r="W322" s="298">
        <f t="shared" si="193"/>
        <v>0</v>
      </c>
      <c r="X322" s="298">
        <f t="shared" si="193"/>
        <v>0</v>
      </c>
      <c r="Y322" s="298">
        <f t="shared" si="200"/>
        <v>0</v>
      </c>
      <c r="Z322" s="298">
        <f t="shared" si="201"/>
        <v>378976.30999999988</v>
      </c>
      <c r="AA322" s="298">
        <f t="shared" si="202"/>
        <v>237979.58999999985</v>
      </c>
      <c r="AB322" s="298">
        <f t="shared" si="175"/>
        <v>0</v>
      </c>
      <c r="AC322" s="451">
        <f t="shared" si="184"/>
        <v>262</v>
      </c>
      <c r="AD322" s="552">
        <f t="shared" si="185"/>
        <v>93478.109999999899</v>
      </c>
      <c r="AE322" s="552">
        <f t="shared" si="194"/>
        <v>-20358.679999999913</v>
      </c>
      <c r="AF322" s="552">
        <f t="shared" si="195"/>
        <v>73119.429999999993</v>
      </c>
      <c r="AG322" s="552">
        <f t="shared" si="186"/>
        <v>-433.95</v>
      </c>
      <c r="AH322" s="552">
        <f t="shared" si="187"/>
        <v>68862.300000000105</v>
      </c>
      <c r="AI322" s="552"/>
      <c r="AJ322" s="14">
        <f t="shared" si="203"/>
        <v>-433.95</v>
      </c>
      <c r="AK322" s="14">
        <f t="shared" ref="AK322:AK385" si="204">IF(P322&lt;=0,0,+AJ322+AK321)</f>
        <v>501959.14999999932</v>
      </c>
      <c r="AL322" s="552">
        <f>IF(R322&lt;=0,0,+([1]Profit!$B$4+AM321)*$AL$1/12)</f>
        <v>0</v>
      </c>
      <c r="AM322" s="14">
        <f t="shared" si="188"/>
        <v>262755.13764632691</v>
      </c>
    </row>
    <row r="323" spans="1:39" x14ac:dyDescent="0.25">
      <c r="A323" s="542">
        <f t="shared" si="176"/>
        <v>53649</v>
      </c>
      <c r="B323" s="298">
        <f t="shared" si="177"/>
        <v>20358.679999999913</v>
      </c>
      <c r="C323" s="14">
        <f t="shared" si="167"/>
        <v>433.95</v>
      </c>
      <c r="D323" s="14">
        <f t="shared" si="189"/>
        <v>353.36</v>
      </c>
      <c r="E323" s="14">
        <f t="shared" si="168"/>
        <v>80.59</v>
      </c>
      <c r="F323" s="298">
        <f t="shared" si="178"/>
        <v>63512.469999999987</v>
      </c>
      <c r="G323" s="298">
        <f t="shared" si="179"/>
        <v>70907.369999999937</v>
      </c>
      <c r="H323" s="298">
        <f t="shared" si="169"/>
        <v>20005.319999999912</v>
      </c>
      <c r="I323" s="451">
        <f t="shared" si="170"/>
        <v>21</v>
      </c>
      <c r="J323" s="298">
        <f t="shared" si="180"/>
        <v>194256.08999999968</v>
      </c>
      <c r="K323" s="298">
        <f t="shared" si="197"/>
        <v>2701.27</v>
      </c>
      <c r="L323" s="298">
        <f t="shared" si="190"/>
        <v>1446.7</v>
      </c>
      <c r="M323" s="298">
        <f t="shared" si="198"/>
        <v>1254.57</v>
      </c>
      <c r="N323" s="298">
        <f t="shared" si="181"/>
        <v>184245.6100000001</v>
      </c>
      <c r="O323" s="298">
        <f t="shared" si="182"/>
        <v>528889.67000000027</v>
      </c>
      <c r="P323" s="298">
        <f t="shared" si="171"/>
        <v>192809.38999999966</v>
      </c>
      <c r="Q323" s="542">
        <f t="shared" si="172"/>
        <v>53649</v>
      </c>
      <c r="R323" s="298">
        <f t="shared" si="196"/>
        <v>0</v>
      </c>
      <c r="S323" s="535">
        <f t="shared" si="183"/>
        <v>7.7499999999999999E-2</v>
      </c>
      <c r="T323" s="298">
        <f t="shared" si="173"/>
        <v>0</v>
      </c>
      <c r="U323" s="298">
        <f t="shared" si="199"/>
        <v>0</v>
      </c>
      <c r="V323" s="298">
        <f t="shared" si="174"/>
        <v>0</v>
      </c>
      <c r="W323" s="298">
        <f t="shared" si="193"/>
        <v>0</v>
      </c>
      <c r="X323" s="298">
        <f t="shared" si="193"/>
        <v>0</v>
      </c>
      <c r="Y323" s="298">
        <f t="shared" si="200"/>
        <v>0</v>
      </c>
      <c r="Z323" s="298">
        <f t="shared" si="201"/>
        <v>378976.30999999988</v>
      </c>
      <c r="AA323" s="298">
        <f t="shared" si="202"/>
        <v>237979.58999999985</v>
      </c>
      <c r="AB323" s="298">
        <f t="shared" si="175"/>
        <v>0</v>
      </c>
      <c r="AC323" s="451">
        <f t="shared" si="184"/>
        <v>263</v>
      </c>
      <c r="AD323" s="552">
        <f t="shared" si="185"/>
        <v>96179.379999999903</v>
      </c>
      <c r="AE323" s="552">
        <f t="shared" si="194"/>
        <v>-20005.319999999912</v>
      </c>
      <c r="AF323" s="552">
        <f t="shared" si="195"/>
        <v>76174.06</v>
      </c>
      <c r="AG323" s="552">
        <f t="shared" si="186"/>
        <v>-433.95</v>
      </c>
      <c r="AH323" s="552">
        <f t="shared" si="187"/>
        <v>69215.660000000091</v>
      </c>
      <c r="AI323" s="552"/>
      <c r="AJ323" s="14">
        <f t="shared" si="203"/>
        <v>-433.95</v>
      </c>
      <c r="AK323" s="14">
        <f t="shared" si="204"/>
        <v>501525.19999999931</v>
      </c>
      <c r="AL323" s="552">
        <f>IF(R323&lt;=0,0,+([1]Profit!$B$4+AM322)*$AL$1/12)</f>
        <v>0</v>
      </c>
      <c r="AM323" s="14">
        <f t="shared" si="188"/>
        <v>262755.13764632691</v>
      </c>
    </row>
    <row r="324" spans="1:39" x14ac:dyDescent="0.25">
      <c r="A324" s="542">
        <f t="shared" si="176"/>
        <v>53679</v>
      </c>
      <c r="B324" s="298">
        <f t="shared" si="177"/>
        <v>20005.319999999912</v>
      </c>
      <c r="C324" s="14">
        <f t="shared" si="167"/>
        <v>433.95</v>
      </c>
      <c r="D324" s="14">
        <f t="shared" si="189"/>
        <v>354.76</v>
      </c>
      <c r="E324" s="14">
        <f t="shared" si="168"/>
        <v>79.19</v>
      </c>
      <c r="F324" s="298">
        <f t="shared" si="178"/>
        <v>63867.229999999989</v>
      </c>
      <c r="G324" s="298">
        <f t="shared" si="179"/>
        <v>70986.559999999939</v>
      </c>
      <c r="H324" s="298">
        <f t="shared" si="169"/>
        <v>19650.559999999914</v>
      </c>
      <c r="I324" s="451">
        <f t="shared" si="170"/>
        <v>22</v>
      </c>
      <c r="J324" s="298">
        <f t="shared" si="180"/>
        <v>192809.38999999966</v>
      </c>
      <c r="K324" s="298">
        <f t="shared" si="197"/>
        <v>2701.27</v>
      </c>
      <c r="L324" s="298">
        <f t="shared" si="190"/>
        <v>1456.04</v>
      </c>
      <c r="M324" s="298">
        <f t="shared" si="198"/>
        <v>1245.23</v>
      </c>
      <c r="N324" s="298">
        <f t="shared" si="181"/>
        <v>185701.65000000011</v>
      </c>
      <c r="O324" s="298">
        <f t="shared" si="182"/>
        <v>530134.90000000026</v>
      </c>
      <c r="P324" s="298">
        <f t="shared" si="171"/>
        <v>191353.34999999966</v>
      </c>
      <c r="Q324" s="542">
        <f t="shared" si="172"/>
        <v>53679</v>
      </c>
      <c r="R324" s="298">
        <f t="shared" si="196"/>
        <v>0</v>
      </c>
      <c r="S324" s="535">
        <f t="shared" si="183"/>
        <v>7.7499999999999999E-2</v>
      </c>
      <c r="T324" s="298">
        <f t="shared" si="173"/>
        <v>0</v>
      </c>
      <c r="U324" s="298">
        <f t="shared" si="199"/>
        <v>0</v>
      </c>
      <c r="V324" s="298">
        <f t="shared" si="174"/>
        <v>0</v>
      </c>
      <c r="W324" s="298">
        <f t="shared" si="193"/>
        <v>0</v>
      </c>
      <c r="X324" s="298">
        <f t="shared" si="193"/>
        <v>0</v>
      </c>
      <c r="Y324" s="298">
        <f t="shared" si="200"/>
        <v>0</v>
      </c>
      <c r="Z324" s="298">
        <f t="shared" si="201"/>
        <v>378976.30999999988</v>
      </c>
      <c r="AA324" s="298">
        <f t="shared" si="202"/>
        <v>237979.58999999985</v>
      </c>
      <c r="AB324" s="298">
        <f t="shared" si="175"/>
        <v>0</v>
      </c>
      <c r="AC324" s="451">
        <f t="shared" si="184"/>
        <v>264</v>
      </c>
      <c r="AD324" s="552">
        <f t="shared" si="185"/>
        <v>98880.649999999907</v>
      </c>
      <c r="AE324" s="552">
        <f t="shared" si="194"/>
        <v>-19650.559999999914</v>
      </c>
      <c r="AF324" s="552">
        <f t="shared" si="195"/>
        <v>79230.09</v>
      </c>
      <c r="AG324" s="552">
        <f t="shared" si="186"/>
        <v>-433.95</v>
      </c>
      <c r="AH324" s="552">
        <f t="shared" si="187"/>
        <v>69570.4200000001</v>
      </c>
      <c r="AI324" s="552"/>
      <c r="AJ324" s="14">
        <f t="shared" si="203"/>
        <v>-433.95</v>
      </c>
      <c r="AK324" s="14">
        <f t="shared" si="204"/>
        <v>501091.2499999993</v>
      </c>
      <c r="AL324" s="552">
        <f>IF(R324&lt;=0,0,+([1]Profit!$B$4+AM323)*$AL$1/12)</f>
        <v>0</v>
      </c>
      <c r="AM324" s="14">
        <f t="shared" si="188"/>
        <v>262755.13764632691</v>
      </c>
    </row>
    <row r="325" spans="1:39" x14ac:dyDescent="0.25">
      <c r="A325" s="542">
        <f t="shared" si="176"/>
        <v>53709</v>
      </c>
      <c r="B325" s="298">
        <f t="shared" si="177"/>
        <v>19650.559999999914</v>
      </c>
      <c r="C325" s="14">
        <f t="shared" si="167"/>
        <v>433.95</v>
      </c>
      <c r="D325" s="14">
        <f t="shared" si="189"/>
        <v>356.16999999999996</v>
      </c>
      <c r="E325" s="14">
        <f t="shared" si="168"/>
        <v>77.78</v>
      </c>
      <c r="F325" s="298">
        <f t="shared" si="178"/>
        <v>64223.399999999987</v>
      </c>
      <c r="G325" s="298">
        <f t="shared" si="179"/>
        <v>71064.339999999938</v>
      </c>
      <c r="H325" s="298">
        <f t="shared" si="169"/>
        <v>19294.389999999916</v>
      </c>
      <c r="I325" s="451">
        <f t="shared" si="170"/>
        <v>22</v>
      </c>
      <c r="J325" s="298">
        <f t="shared" si="180"/>
        <v>191353.34999999966</v>
      </c>
      <c r="K325" s="298">
        <f t="shared" si="197"/>
        <v>2701.27</v>
      </c>
      <c r="L325" s="298">
        <f t="shared" si="190"/>
        <v>1465.45</v>
      </c>
      <c r="M325" s="298">
        <f t="shared" si="198"/>
        <v>1235.82</v>
      </c>
      <c r="N325" s="298">
        <f t="shared" si="181"/>
        <v>187167.10000000012</v>
      </c>
      <c r="O325" s="298">
        <f t="shared" si="182"/>
        <v>531370.7200000002</v>
      </c>
      <c r="P325" s="298">
        <f t="shared" si="171"/>
        <v>189887.89999999964</v>
      </c>
      <c r="Q325" s="542">
        <f t="shared" si="172"/>
        <v>53709</v>
      </c>
      <c r="R325" s="298">
        <f t="shared" si="196"/>
        <v>0</v>
      </c>
      <c r="S325" s="535">
        <f t="shared" si="183"/>
        <v>7.7499999999999999E-2</v>
      </c>
      <c r="T325" s="298">
        <f t="shared" si="173"/>
        <v>0</v>
      </c>
      <c r="U325" s="298">
        <f t="shared" si="199"/>
        <v>0</v>
      </c>
      <c r="V325" s="298">
        <f t="shared" si="174"/>
        <v>0</v>
      </c>
      <c r="W325" s="298">
        <f t="shared" si="193"/>
        <v>0</v>
      </c>
      <c r="X325" s="298">
        <f t="shared" si="193"/>
        <v>0</v>
      </c>
      <c r="Y325" s="298">
        <f t="shared" si="200"/>
        <v>0</v>
      </c>
      <c r="Z325" s="298">
        <f t="shared" si="201"/>
        <v>378976.30999999988</v>
      </c>
      <c r="AA325" s="298">
        <f t="shared" si="202"/>
        <v>237979.58999999985</v>
      </c>
      <c r="AB325" s="298">
        <f t="shared" si="175"/>
        <v>0</v>
      </c>
      <c r="AC325" s="451">
        <f t="shared" si="184"/>
        <v>265</v>
      </c>
      <c r="AD325" s="552">
        <f t="shared" si="185"/>
        <v>101581.91999999991</v>
      </c>
      <c r="AE325" s="552">
        <f t="shared" si="194"/>
        <v>-19294.389999999916</v>
      </c>
      <c r="AF325" s="552">
        <f t="shared" si="195"/>
        <v>82287.53</v>
      </c>
      <c r="AG325" s="552">
        <f t="shared" si="186"/>
        <v>-433.95</v>
      </c>
      <c r="AH325" s="552">
        <f t="shared" si="187"/>
        <v>69926.590000000084</v>
      </c>
      <c r="AI325" s="552"/>
      <c r="AJ325" s="14">
        <f t="shared" si="203"/>
        <v>-433.95</v>
      </c>
      <c r="AK325" s="14">
        <f t="shared" si="204"/>
        <v>500657.29999999929</v>
      </c>
      <c r="AL325" s="552">
        <f>IF(R325&lt;=0,0,+([1]Profit!$B$4+AM324)*$AL$1/12)</f>
        <v>0</v>
      </c>
      <c r="AM325" s="14">
        <f t="shared" si="188"/>
        <v>262755.13764632691</v>
      </c>
    </row>
    <row r="326" spans="1:39" ht="15.75" thickBot="1" x14ac:dyDescent="0.3">
      <c r="A326" s="545">
        <f t="shared" si="176"/>
        <v>53739</v>
      </c>
      <c r="B326" s="371">
        <f t="shared" si="177"/>
        <v>19294.389999999916</v>
      </c>
      <c r="C326" s="21">
        <f t="shared" si="167"/>
        <v>433.95</v>
      </c>
      <c r="D326" s="21">
        <f t="shared" si="189"/>
        <v>357.58</v>
      </c>
      <c r="E326" s="21">
        <f t="shared" si="168"/>
        <v>76.37</v>
      </c>
      <c r="F326" s="371">
        <f t="shared" si="178"/>
        <v>64580.979999999989</v>
      </c>
      <c r="G326" s="371">
        <f t="shared" si="179"/>
        <v>71140.709999999934</v>
      </c>
      <c r="H326" s="371">
        <f t="shared" si="169"/>
        <v>18936.809999999914</v>
      </c>
      <c r="I326" s="452">
        <f t="shared" si="170"/>
        <v>22</v>
      </c>
      <c r="J326" s="371">
        <f t="shared" si="180"/>
        <v>189887.89999999964</v>
      </c>
      <c r="K326" s="371">
        <f t="shared" si="197"/>
        <v>2701.27</v>
      </c>
      <c r="L326" s="371">
        <f t="shared" si="190"/>
        <v>1474.91</v>
      </c>
      <c r="M326" s="371">
        <f t="shared" si="198"/>
        <v>1226.3599999999999</v>
      </c>
      <c r="N326" s="371">
        <f t="shared" si="181"/>
        <v>188642.01000000013</v>
      </c>
      <c r="O326" s="371">
        <f t="shared" si="182"/>
        <v>532597.08000000019</v>
      </c>
      <c r="P326" s="371">
        <f t="shared" si="171"/>
        <v>188412.98999999964</v>
      </c>
      <c r="Q326" s="545">
        <f t="shared" si="172"/>
        <v>53739</v>
      </c>
      <c r="R326" s="371">
        <f t="shared" si="196"/>
        <v>0</v>
      </c>
      <c r="S326" s="536">
        <f t="shared" si="183"/>
        <v>7.7499999999999999E-2</v>
      </c>
      <c r="T326" s="371">
        <f t="shared" si="173"/>
        <v>0</v>
      </c>
      <c r="U326" s="371">
        <f t="shared" si="199"/>
        <v>0</v>
      </c>
      <c r="V326" s="371">
        <f t="shared" si="174"/>
        <v>0</v>
      </c>
      <c r="W326" s="371">
        <f t="shared" si="193"/>
        <v>0</v>
      </c>
      <c r="X326" s="371">
        <f t="shared" si="193"/>
        <v>0</v>
      </c>
      <c r="Y326" s="371">
        <f t="shared" si="200"/>
        <v>0</v>
      </c>
      <c r="Z326" s="371">
        <f t="shared" si="201"/>
        <v>378976.30999999988</v>
      </c>
      <c r="AA326" s="371">
        <f t="shared" si="202"/>
        <v>237979.58999999985</v>
      </c>
      <c r="AB326" s="371">
        <f t="shared" si="175"/>
        <v>0</v>
      </c>
      <c r="AC326" s="452">
        <f t="shared" si="184"/>
        <v>266</v>
      </c>
      <c r="AD326" s="553">
        <f t="shared" si="185"/>
        <v>104283.18999999992</v>
      </c>
      <c r="AE326" s="553">
        <f t="shared" si="194"/>
        <v>-18936.809999999914</v>
      </c>
      <c r="AF326" s="553">
        <f t="shared" si="195"/>
        <v>85346.38</v>
      </c>
      <c r="AG326" s="553">
        <f t="shared" si="186"/>
        <v>-433.95</v>
      </c>
      <c r="AH326" s="553">
        <f t="shared" si="187"/>
        <v>70284.1700000001</v>
      </c>
      <c r="AI326" s="553"/>
      <c r="AJ326" s="21">
        <f t="shared" si="203"/>
        <v>-433.95</v>
      </c>
      <c r="AK326" s="21">
        <f t="shared" si="204"/>
        <v>500223.34999999928</v>
      </c>
      <c r="AL326" s="553">
        <f>IF(R326&lt;=0,0,+([1]Profit!$B$4+AM325)*$AL$1/12)</f>
        <v>0</v>
      </c>
      <c r="AM326" s="21">
        <f t="shared" si="188"/>
        <v>262755.13764632691</v>
      </c>
    </row>
    <row r="327" spans="1:39" x14ac:dyDescent="0.25">
      <c r="A327" s="542">
        <f t="shared" si="176"/>
        <v>53769</v>
      </c>
      <c r="B327" s="298">
        <f t="shared" si="177"/>
        <v>18936.809999999914</v>
      </c>
      <c r="C327" s="14">
        <f t="shared" si="167"/>
        <v>433.95</v>
      </c>
      <c r="D327" s="14">
        <f t="shared" si="189"/>
        <v>358.99</v>
      </c>
      <c r="E327" s="14">
        <f t="shared" si="168"/>
        <v>74.959999999999994</v>
      </c>
      <c r="F327" s="298">
        <f t="shared" si="178"/>
        <v>64939.969999999987</v>
      </c>
      <c r="G327" s="298">
        <f t="shared" si="179"/>
        <v>71215.66999999994</v>
      </c>
      <c r="H327" s="298">
        <f t="shared" si="169"/>
        <v>18577.819999999912</v>
      </c>
      <c r="I327" s="451">
        <f t="shared" si="170"/>
        <v>22</v>
      </c>
      <c r="J327" s="298">
        <f t="shared" si="180"/>
        <v>188412.98999999964</v>
      </c>
      <c r="K327" s="298">
        <f t="shared" si="197"/>
        <v>2701.27</v>
      </c>
      <c r="L327" s="298">
        <f t="shared" si="190"/>
        <v>1484.44</v>
      </c>
      <c r="M327" s="298">
        <f t="shared" si="198"/>
        <v>1216.83</v>
      </c>
      <c r="N327" s="298">
        <f t="shared" si="181"/>
        <v>190126.45000000013</v>
      </c>
      <c r="O327" s="298">
        <f t="shared" si="182"/>
        <v>533813.91000000015</v>
      </c>
      <c r="P327" s="298">
        <f t="shared" si="171"/>
        <v>186928.54999999964</v>
      </c>
      <c r="Q327" s="542">
        <f t="shared" si="172"/>
        <v>53769</v>
      </c>
      <c r="R327" s="298">
        <f t="shared" si="196"/>
        <v>0</v>
      </c>
      <c r="S327" s="535">
        <f t="shared" si="183"/>
        <v>7.7499999999999999E-2</v>
      </c>
      <c r="T327" s="298">
        <f t="shared" si="173"/>
        <v>0</v>
      </c>
      <c r="U327" s="298">
        <f t="shared" si="199"/>
        <v>0</v>
      </c>
      <c r="V327" s="298">
        <f t="shared" si="174"/>
        <v>0</v>
      </c>
      <c r="W327" s="298">
        <f t="shared" si="193"/>
        <v>0</v>
      </c>
      <c r="X327" s="298">
        <f t="shared" si="193"/>
        <v>0</v>
      </c>
      <c r="Y327" s="298">
        <f t="shared" si="200"/>
        <v>0</v>
      </c>
      <c r="Z327" s="298">
        <f t="shared" si="201"/>
        <v>378976.30999999988</v>
      </c>
      <c r="AA327" s="298">
        <f t="shared" si="202"/>
        <v>237979.58999999985</v>
      </c>
      <c r="AB327" s="298">
        <f t="shared" si="175"/>
        <v>0</v>
      </c>
      <c r="AC327" s="451">
        <f t="shared" si="184"/>
        <v>267</v>
      </c>
      <c r="AD327" s="552">
        <f t="shared" si="185"/>
        <v>106984.45999999992</v>
      </c>
      <c r="AE327" s="552">
        <f t="shared" si="194"/>
        <v>-18577.819999999912</v>
      </c>
      <c r="AF327" s="552">
        <f t="shared" si="195"/>
        <v>88406.640000000014</v>
      </c>
      <c r="AG327" s="552">
        <f t="shared" si="186"/>
        <v>-433.95</v>
      </c>
      <c r="AH327" s="552">
        <f t="shared" si="187"/>
        <v>70643.160000000091</v>
      </c>
      <c r="AI327" s="552"/>
      <c r="AJ327" s="14">
        <f t="shared" si="203"/>
        <v>-433.95</v>
      </c>
      <c r="AK327" s="14">
        <f t="shared" si="204"/>
        <v>499789.39999999927</v>
      </c>
      <c r="AL327" s="552">
        <f>IF(R327&lt;=0,0,+([1]Profit!$B$4+AM326)*$AL$1/12)</f>
        <v>0</v>
      </c>
      <c r="AM327" s="14">
        <f t="shared" si="188"/>
        <v>262755.13764632691</v>
      </c>
    </row>
    <row r="328" spans="1:39" x14ac:dyDescent="0.25">
      <c r="A328" s="542">
        <f t="shared" si="176"/>
        <v>53799</v>
      </c>
      <c r="B328" s="298">
        <f t="shared" si="177"/>
        <v>18577.819999999912</v>
      </c>
      <c r="C328" s="14">
        <f t="shared" si="167"/>
        <v>433.95</v>
      </c>
      <c r="D328" s="14">
        <f t="shared" si="189"/>
        <v>360.40999999999997</v>
      </c>
      <c r="E328" s="14">
        <f t="shared" si="168"/>
        <v>73.540000000000006</v>
      </c>
      <c r="F328" s="298">
        <f t="shared" si="178"/>
        <v>65300.37999999999</v>
      </c>
      <c r="G328" s="298">
        <f t="shared" si="179"/>
        <v>71289.209999999934</v>
      </c>
      <c r="H328" s="298">
        <f t="shared" si="169"/>
        <v>18217.409999999913</v>
      </c>
      <c r="I328" s="451">
        <f t="shared" si="170"/>
        <v>22</v>
      </c>
      <c r="J328" s="298">
        <f t="shared" si="180"/>
        <v>186928.54999999964</v>
      </c>
      <c r="K328" s="298">
        <f t="shared" si="197"/>
        <v>2701.27</v>
      </c>
      <c r="L328" s="298">
        <f t="shared" si="190"/>
        <v>1494.02</v>
      </c>
      <c r="M328" s="298">
        <f t="shared" si="198"/>
        <v>1207.25</v>
      </c>
      <c r="N328" s="298">
        <f t="shared" si="181"/>
        <v>191620.47000000012</v>
      </c>
      <c r="O328" s="298">
        <f t="shared" si="182"/>
        <v>535021.16000000015</v>
      </c>
      <c r="P328" s="298">
        <f t="shared" si="171"/>
        <v>185434.52999999965</v>
      </c>
      <c r="Q328" s="542">
        <f t="shared" si="172"/>
        <v>53799</v>
      </c>
      <c r="R328" s="298">
        <f t="shared" si="196"/>
        <v>0</v>
      </c>
      <c r="S328" s="535">
        <f t="shared" si="183"/>
        <v>7.7499999999999999E-2</v>
      </c>
      <c r="T328" s="298">
        <f t="shared" si="173"/>
        <v>0</v>
      </c>
      <c r="U328" s="298">
        <f t="shared" si="199"/>
        <v>0</v>
      </c>
      <c r="V328" s="298">
        <f t="shared" si="174"/>
        <v>0</v>
      </c>
      <c r="W328" s="298">
        <f t="shared" si="193"/>
        <v>0</v>
      </c>
      <c r="X328" s="298">
        <f t="shared" si="193"/>
        <v>0</v>
      </c>
      <c r="Y328" s="298">
        <f t="shared" si="200"/>
        <v>0</v>
      </c>
      <c r="Z328" s="298">
        <f t="shared" si="201"/>
        <v>378976.30999999988</v>
      </c>
      <c r="AA328" s="298">
        <f t="shared" si="202"/>
        <v>237979.58999999985</v>
      </c>
      <c r="AB328" s="298">
        <f t="shared" si="175"/>
        <v>0</v>
      </c>
      <c r="AC328" s="451">
        <f t="shared" si="184"/>
        <v>268</v>
      </c>
      <c r="AD328" s="552">
        <f t="shared" si="185"/>
        <v>109685.72999999992</v>
      </c>
      <c r="AE328" s="552">
        <f t="shared" si="194"/>
        <v>-18217.409999999913</v>
      </c>
      <c r="AF328" s="552">
        <f t="shared" si="195"/>
        <v>91468.32</v>
      </c>
      <c r="AG328" s="552">
        <f t="shared" si="186"/>
        <v>-433.95</v>
      </c>
      <c r="AH328" s="552">
        <f t="shared" si="187"/>
        <v>71003.570000000123</v>
      </c>
      <c r="AI328" s="552"/>
      <c r="AJ328" s="14">
        <f t="shared" si="203"/>
        <v>-433.95</v>
      </c>
      <c r="AK328" s="14">
        <f t="shared" si="204"/>
        <v>499355.44999999925</v>
      </c>
      <c r="AL328" s="552">
        <f>IF(R328&lt;=0,0,+([1]Profit!$B$4+AM327)*$AL$1/12)</f>
        <v>0</v>
      </c>
      <c r="AM328" s="14">
        <f t="shared" si="188"/>
        <v>262755.13764632691</v>
      </c>
    </row>
    <row r="329" spans="1:39" x14ac:dyDescent="0.25">
      <c r="A329" s="542">
        <f t="shared" si="176"/>
        <v>53829</v>
      </c>
      <c r="B329" s="298">
        <f t="shared" si="177"/>
        <v>18217.409999999913</v>
      </c>
      <c r="C329" s="14">
        <f t="shared" si="167"/>
        <v>433.95</v>
      </c>
      <c r="D329" s="14">
        <f t="shared" si="189"/>
        <v>361.84</v>
      </c>
      <c r="E329" s="14">
        <f t="shared" si="168"/>
        <v>72.11</v>
      </c>
      <c r="F329" s="298">
        <f t="shared" si="178"/>
        <v>65662.219999999987</v>
      </c>
      <c r="G329" s="298">
        <f t="shared" si="179"/>
        <v>71361.319999999934</v>
      </c>
      <c r="H329" s="298">
        <f t="shared" si="169"/>
        <v>17855.569999999912</v>
      </c>
      <c r="I329" s="451">
        <f t="shared" si="170"/>
        <v>22</v>
      </c>
      <c r="J329" s="298">
        <f t="shared" si="180"/>
        <v>185434.52999999965</v>
      </c>
      <c r="K329" s="298">
        <f t="shared" si="197"/>
        <v>2701.27</v>
      </c>
      <c r="L329" s="298">
        <f t="shared" si="190"/>
        <v>1503.67</v>
      </c>
      <c r="M329" s="298">
        <f t="shared" si="198"/>
        <v>1197.5999999999999</v>
      </c>
      <c r="N329" s="298">
        <f t="shared" si="181"/>
        <v>193124.14000000013</v>
      </c>
      <c r="O329" s="298">
        <f t="shared" si="182"/>
        <v>536218.76000000013</v>
      </c>
      <c r="P329" s="298">
        <f t="shared" si="171"/>
        <v>183930.85999999964</v>
      </c>
      <c r="Q329" s="542">
        <f t="shared" si="172"/>
        <v>53829</v>
      </c>
      <c r="R329" s="298">
        <f t="shared" si="196"/>
        <v>0</v>
      </c>
      <c r="S329" s="535">
        <f t="shared" si="183"/>
        <v>7.7499999999999999E-2</v>
      </c>
      <c r="T329" s="298">
        <f t="shared" si="173"/>
        <v>0</v>
      </c>
      <c r="U329" s="298">
        <f t="shared" si="199"/>
        <v>0</v>
      </c>
      <c r="V329" s="298">
        <f t="shared" si="174"/>
        <v>0</v>
      </c>
      <c r="W329" s="298">
        <f t="shared" si="193"/>
        <v>0</v>
      </c>
      <c r="X329" s="298">
        <f t="shared" si="193"/>
        <v>0</v>
      </c>
      <c r="Y329" s="298">
        <f t="shared" si="200"/>
        <v>0</v>
      </c>
      <c r="Z329" s="298">
        <f t="shared" si="201"/>
        <v>378976.30999999988</v>
      </c>
      <c r="AA329" s="298">
        <f t="shared" si="202"/>
        <v>237979.58999999985</v>
      </c>
      <c r="AB329" s="298">
        <f t="shared" si="175"/>
        <v>0</v>
      </c>
      <c r="AC329" s="451">
        <f t="shared" si="184"/>
        <v>269</v>
      </c>
      <c r="AD329" s="552">
        <f t="shared" si="185"/>
        <v>112386.99999999993</v>
      </c>
      <c r="AE329" s="552">
        <f t="shared" si="194"/>
        <v>-17855.569999999912</v>
      </c>
      <c r="AF329" s="552">
        <f t="shared" si="195"/>
        <v>94531.430000000022</v>
      </c>
      <c r="AG329" s="552">
        <f t="shared" si="186"/>
        <v>-433.95</v>
      </c>
      <c r="AH329" s="552">
        <f t="shared" si="187"/>
        <v>71365.410000000091</v>
      </c>
      <c r="AI329" s="552"/>
      <c r="AJ329" s="14">
        <f t="shared" si="203"/>
        <v>-433.95</v>
      </c>
      <c r="AK329" s="14">
        <f t="shared" si="204"/>
        <v>498921.49999999924</v>
      </c>
      <c r="AL329" s="552">
        <f>IF(R329&lt;=0,0,+([1]Profit!$B$4+AM328)*$AL$1/12)</f>
        <v>0</v>
      </c>
      <c r="AM329" s="14">
        <f t="shared" si="188"/>
        <v>262755.13764632691</v>
      </c>
    </row>
    <row r="330" spans="1:39" x14ac:dyDescent="0.25">
      <c r="A330" s="542">
        <f t="shared" si="176"/>
        <v>53859</v>
      </c>
      <c r="B330" s="298">
        <f t="shared" si="177"/>
        <v>17855.569999999912</v>
      </c>
      <c r="C330" s="14">
        <f t="shared" si="167"/>
        <v>433.95</v>
      </c>
      <c r="D330" s="14">
        <f t="shared" si="189"/>
        <v>363.27</v>
      </c>
      <c r="E330" s="14">
        <f t="shared" si="168"/>
        <v>70.680000000000007</v>
      </c>
      <c r="F330" s="298">
        <f t="shared" si="178"/>
        <v>66025.489999999991</v>
      </c>
      <c r="G330" s="298">
        <f t="shared" si="179"/>
        <v>71431.999999999927</v>
      </c>
      <c r="H330" s="298">
        <f t="shared" si="169"/>
        <v>17492.299999999912</v>
      </c>
      <c r="I330" s="451">
        <f t="shared" si="170"/>
        <v>22</v>
      </c>
      <c r="J330" s="298">
        <f t="shared" si="180"/>
        <v>183930.85999999964</v>
      </c>
      <c r="K330" s="298">
        <f t="shared" si="197"/>
        <v>2701.27</v>
      </c>
      <c r="L330" s="298">
        <f t="shared" si="190"/>
        <v>1513.3799999999999</v>
      </c>
      <c r="M330" s="298">
        <f t="shared" si="198"/>
        <v>1187.8900000000001</v>
      </c>
      <c r="N330" s="298">
        <f t="shared" si="181"/>
        <v>194637.52000000014</v>
      </c>
      <c r="O330" s="298">
        <f t="shared" si="182"/>
        <v>537406.65000000014</v>
      </c>
      <c r="P330" s="298">
        <f t="shared" si="171"/>
        <v>182417.47999999963</v>
      </c>
      <c r="Q330" s="542">
        <f t="shared" si="172"/>
        <v>53859</v>
      </c>
      <c r="R330" s="298">
        <f t="shared" si="196"/>
        <v>0</v>
      </c>
      <c r="S330" s="535">
        <f t="shared" si="183"/>
        <v>7.7499999999999999E-2</v>
      </c>
      <c r="T330" s="298">
        <f t="shared" si="173"/>
        <v>0</v>
      </c>
      <c r="U330" s="298">
        <f t="shared" si="199"/>
        <v>0</v>
      </c>
      <c r="V330" s="298">
        <f t="shared" si="174"/>
        <v>0</v>
      </c>
      <c r="W330" s="298">
        <f t="shared" si="193"/>
        <v>0</v>
      </c>
      <c r="X330" s="298">
        <f t="shared" si="193"/>
        <v>0</v>
      </c>
      <c r="Y330" s="298">
        <f t="shared" si="200"/>
        <v>0</v>
      </c>
      <c r="Z330" s="298">
        <f t="shared" si="201"/>
        <v>378976.30999999988</v>
      </c>
      <c r="AA330" s="298">
        <f t="shared" si="202"/>
        <v>237979.58999999985</v>
      </c>
      <c r="AB330" s="298">
        <f t="shared" si="175"/>
        <v>0</v>
      </c>
      <c r="AC330" s="451">
        <f t="shared" si="184"/>
        <v>270</v>
      </c>
      <c r="AD330" s="552">
        <f t="shared" si="185"/>
        <v>115088.26999999993</v>
      </c>
      <c r="AE330" s="552">
        <f t="shared" si="194"/>
        <v>-17492.299999999912</v>
      </c>
      <c r="AF330" s="552">
        <f t="shared" si="195"/>
        <v>97595.970000000016</v>
      </c>
      <c r="AG330" s="552">
        <f t="shared" si="186"/>
        <v>-433.95</v>
      </c>
      <c r="AH330" s="552">
        <f t="shared" si="187"/>
        <v>71728.680000000109</v>
      </c>
      <c r="AI330" s="552"/>
      <c r="AJ330" s="14">
        <f t="shared" si="203"/>
        <v>-433.95</v>
      </c>
      <c r="AK330" s="14">
        <f t="shared" si="204"/>
        <v>498487.54999999923</v>
      </c>
      <c r="AL330" s="552">
        <f>IF(R330&lt;=0,0,+([1]Profit!$B$4+AM329)*$AL$1/12)</f>
        <v>0</v>
      </c>
      <c r="AM330" s="14">
        <f t="shared" si="188"/>
        <v>262755.13764632691</v>
      </c>
    </row>
    <row r="331" spans="1:39" x14ac:dyDescent="0.25">
      <c r="A331" s="542">
        <f t="shared" si="176"/>
        <v>53889</v>
      </c>
      <c r="B331" s="298">
        <f t="shared" si="177"/>
        <v>17492.299999999912</v>
      </c>
      <c r="C331" s="14">
        <f t="shared" si="167"/>
        <v>433.95</v>
      </c>
      <c r="D331" s="14">
        <f t="shared" si="189"/>
        <v>364.71</v>
      </c>
      <c r="E331" s="14">
        <f t="shared" si="168"/>
        <v>69.239999999999995</v>
      </c>
      <c r="F331" s="298">
        <f t="shared" si="178"/>
        <v>66390.2</v>
      </c>
      <c r="G331" s="298">
        <f t="shared" si="179"/>
        <v>71501.239999999932</v>
      </c>
      <c r="H331" s="298">
        <f t="shared" si="169"/>
        <v>17127.589999999913</v>
      </c>
      <c r="I331" s="451">
        <f t="shared" si="170"/>
        <v>22</v>
      </c>
      <c r="J331" s="298">
        <f t="shared" si="180"/>
        <v>182417.47999999963</v>
      </c>
      <c r="K331" s="298">
        <f t="shared" si="197"/>
        <v>2701.27</v>
      </c>
      <c r="L331" s="298">
        <f t="shared" si="190"/>
        <v>1523.16</v>
      </c>
      <c r="M331" s="298">
        <f t="shared" si="198"/>
        <v>1178.1099999999999</v>
      </c>
      <c r="N331" s="298">
        <f t="shared" si="181"/>
        <v>196160.68000000014</v>
      </c>
      <c r="O331" s="298">
        <f t="shared" si="182"/>
        <v>538584.76000000013</v>
      </c>
      <c r="P331" s="298">
        <f t="shared" si="171"/>
        <v>180894.31999999963</v>
      </c>
      <c r="Q331" s="542">
        <f t="shared" si="172"/>
        <v>53889</v>
      </c>
      <c r="R331" s="298">
        <f t="shared" si="196"/>
        <v>0</v>
      </c>
      <c r="S331" s="535">
        <f t="shared" si="183"/>
        <v>7.7499999999999999E-2</v>
      </c>
      <c r="T331" s="298">
        <f t="shared" si="173"/>
        <v>0</v>
      </c>
      <c r="U331" s="298">
        <f t="shared" si="199"/>
        <v>0</v>
      </c>
      <c r="V331" s="298">
        <f t="shared" si="174"/>
        <v>0</v>
      </c>
      <c r="W331" s="298">
        <f t="shared" si="193"/>
        <v>0</v>
      </c>
      <c r="X331" s="298">
        <f t="shared" si="193"/>
        <v>0</v>
      </c>
      <c r="Y331" s="298">
        <f t="shared" si="200"/>
        <v>0</v>
      </c>
      <c r="Z331" s="298">
        <f t="shared" si="201"/>
        <v>378976.30999999988</v>
      </c>
      <c r="AA331" s="298">
        <f t="shared" si="202"/>
        <v>237979.58999999985</v>
      </c>
      <c r="AB331" s="298">
        <f t="shared" si="175"/>
        <v>0</v>
      </c>
      <c r="AC331" s="451">
        <f t="shared" si="184"/>
        <v>271</v>
      </c>
      <c r="AD331" s="552">
        <f t="shared" si="185"/>
        <v>117789.53999999994</v>
      </c>
      <c r="AE331" s="552">
        <f t="shared" si="194"/>
        <v>-17127.589999999913</v>
      </c>
      <c r="AF331" s="552">
        <f t="shared" si="195"/>
        <v>100661.95000000003</v>
      </c>
      <c r="AG331" s="552">
        <f t="shared" si="186"/>
        <v>-433.95</v>
      </c>
      <c r="AH331" s="552">
        <f t="shared" si="187"/>
        <v>72093.39000000013</v>
      </c>
      <c r="AI331" s="552"/>
      <c r="AJ331" s="14">
        <f t="shared" si="203"/>
        <v>-433.95</v>
      </c>
      <c r="AK331" s="14">
        <f t="shared" si="204"/>
        <v>498053.59999999922</v>
      </c>
      <c r="AL331" s="552">
        <f>IF(R331&lt;=0,0,+([1]Profit!$B$4+AM330)*$AL$1/12)</f>
        <v>0</v>
      </c>
      <c r="AM331" s="14">
        <f t="shared" si="188"/>
        <v>262755.13764632691</v>
      </c>
    </row>
    <row r="332" spans="1:39" x14ac:dyDescent="0.25">
      <c r="A332" s="542">
        <f t="shared" si="176"/>
        <v>53919</v>
      </c>
      <c r="B332" s="298">
        <f t="shared" si="177"/>
        <v>17127.589999999913</v>
      </c>
      <c r="C332" s="14">
        <f t="shared" si="167"/>
        <v>433.95</v>
      </c>
      <c r="D332" s="14">
        <f t="shared" si="189"/>
        <v>366.15</v>
      </c>
      <c r="E332" s="14">
        <f t="shared" si="168"/>
        <v>67.8</v>
      </c>
      <c r="F332" s="298">
        <f t="shared" si="178"/>
        <v>66756.349999999991</v>
      </c>
      <c r="G332" s="298">
        <f t="shared" si="179"/>
        <v>71569.039999999935</v>
      </c>
      <c r="H332" s="298">
        <f t="shared" si="169"/>
        <v>16761.439999999911</v>
      </c>
      <c r="I332" s="451">
        <f t="shared" si="170"/>
        <v>22</v>
      </c>
      <c r="J332" s="298">
        <f t="shared" si="180"/>
        <v>180894.31999999963</v>
      </c>
      <c r="K332" s="298">
        <f t="shared" si="197"/>
        <v>2701.27</v>
      </c>
      <c r="L332" s="298">
        <f t="shared" si="190"/>
        <v>1532.99</v>
      </c>
      <c r="M332" s="298">
        <f t="shared" si="198"/>
        <v>1168.28</v>
      </c>
      <c r="N332" s="298">
        <f t="shared" si="181"/>
        <v>197693.67000000013</v>
      </c>
      <c r="O332" s="298">
        <f t="shared" si="182"/>
        <v>539753.04000000015</v>
      </c>
      <c r="P332" s="298">
        <f t="shared" si="171"/>
        <v>179361.32999999964</v>
      </c>
      <c r="Q332" s="542">
        <f t="shared" si="172"/>
        <v>53919</v>
      </c>
      <c r="R332" s="298">
        <f t="shared" si="196"/>
        <v>0</v>
      </c>
      <c r="S332" s="535">
        <f t="shared" si="183"/>
        <v>7.7499999999999999E-2</v>
      </c>
      <c r="T332" s="298">
        <f t="shared" si="173"/>
        <v>0</v>
      </c>
      <c r="U332" s="298">
        <f t="shared" si="199"/>
        <v>0</v>
      </c>
      <c r="V332" s="298">
        <f t="shared" si="174"/>
        <v>0</v>
      </c>
      <c r="W332" s="298">
        <f t="shared" ref="W332:X347" si="205">+W331</f>
        <v>0</v>
      </c>
      <c r="X332" s="298">
        <f t="shared" si="205"/>
        <v>0</v>
      </c>
      <c r="Y332" s="298">
        <f t="shared" si="200"/>
        <v>0</v>
      </c>
      <c r="Z332" s="298">
        <f t="shared" si="201"/>
        <v>378976.30999999988</v>
      </c>
      <c r="AA332" s="298">
        <f t="shared" si="202"/>
        <v>237979.58999999985</v>
      </c>
      <c r="AB332" s="298">
        <f t="shared" si="175"/>
        <v>0</v>
      </c>
      <c r="AC332" s="451">
        <f t="shared" si="184"/>
        <v>272</v>
      </c>
      <c r="AD332" s="552">
        <f t="shared" si="185"/>
        <v>120490.80999999994</v>
      </c>
      <c r="AE332" s="552">
        <f t="shared" si="194"/>
        <v>-16761.439999999911</v>
      </c>
      <c r="AF332" s="552">
        <f t="shared" si="195"/>
        <v>103729.37000000002</v>
      </c>
      <c r="AG332" s="552">
        <f t="shared" si="186"/>
        <v>-433.95</v>
      </c>
      <c r="AH332" s="552">
        <f t="shared" si="187"/>
        <v>72459.540000000095</v>
      </c>
      <c r="AI332" s="552"/>
      <c r="AJ332" s="14">
        <f t="shared" si="203"/>
        <v>-433.95</v>
      </c>
      <c r="AK332" s="14">
        <f t="shared" si="204"/>
        <v>497619.64999999921</v>
      </c>
      <c r="AL332" s="552">
        <f>IF(R332&lt;=0,0,+([1]Profit!$B$4+AM331)*$AL$1/12)</f>
        <v>0</v>
      </c>
      <c r="AM332" s="14">
        <f t="shared" si="188"/>
        <v>262755.13764632691</v>
      </c>
    </row>
    <row r="333" spans="1:39" x14ac:dyDescent="0.25">
      <c r="A333" s="542">
        <f t="shared" si="176"/>
        <v>53949</v>
      </c>
      <c r="B333" s="298">
        <f t="shared" si="177"/>
        <v>16761.439999999911</v>
      </c>
      <c r="C333" s="14">
        <f t="shared" si="167"/>
        <v>433.95</v>
      </c>
      <c r="D333" s="14">
        <f t="shared" si="189"/>
        <v>367.6</v>
      </c>
      <c r="E333" s="14">
        <f t="shared" si="168"/>
        <v>66.349999999999994</v>
      </c>
      <c r="F333" s="298">
        <f t="shared" si="178"/>
        <v>67123.95</v>
      </c>
      <c r="G333" s="298">
        <f t="shared" si="179"/>
        <v>71635.389999999941</v>
      </c>
      <c r="H333" s="298">
        <f t="shared" si="169"/>
        <v>16393.839999999913</v>
      </c>
      <c r="I333" s="451">
        <f t="shared" si="170"/>
        <v>22</v>
      </c>
      <c r="J333" s="298">
        <f t="shared" si="180"/>
        <v>179361.32999999964</v>
      </c>
      <c r="K333" s="298">
        <f t="shared" si="197"/>
        <v>2701.27</v>
      </c>
      <c r="L333" s="298">
        <f t="shared" si="190"/>
        <v>1542.8899999999999</v>
      </c>
      <c r="M333" s="298">
        <f t="shared" si="198"/>
        <v>1158.3800000000001</v>
      </c>
      <c r="N333" s="298">
        <f t="shared" si="181"/>
        <v>199236.56000000014</v>
      </c>
      <c r="O333" s="298">
        <f t="shared" si="182"/>
        <v>540911.42000000016</v>
      </c>
      <c r="P333" s="298">
        <f t="shared" si="171"/>
        <v>177818.43999999962</v>
      </c>
      <c r="Q333" s="542">
        <f t="shared" si="172"/>
        <v>53949</v>
      </c>
      <c r="R333" s="298">
        <f t="shared" si="196"/>
        <v>0</v>
      </c>
      <c r="S333" s="535">
        <f t="shared" si="183"/>
        <v>7.7499999999999999E-2</v>
      </c>
      <c r="T333" s="298">
        <f t="shared" si="173"/>
        <v>0</v>
      </c>
      <c r="U333" s="298">
        <f t="shared" si="199"/>
        <v>0</v>
      </c>
      <c r="V333" s="298">
        <f t="shared" si="174"/>
        <v>0</v>
      </c>
      <c r="W333" s="298">
        <f t="shared" si="205"/>
        <v>0</v>
      </c>
      <c r="X333" s="298">
        <f t="shared" si="205"/>
        <v>0</v>
      </c>
      <c r="Y333" s="298">
        <f t="shared" si="200"/>
        <v>0</v>
      </c>
      <c r="Z333" s="298">
        <f t="shared" si="201"/>
        <v>378976.30999999988</v>
      </c>
      <c r="AA333" s="298">
        <f t="shared" si="202"/>
        <v>237979.58999999985</v>
      </c>
      <c r="AB333" s="298">
        <f t="shared" si="175"/>
        <v>0</v>
      </c>
      <c r="AC333" s="451">
        <f t="shared" si="184"/>
        <v>273</v>
      </c>
      <c r="AD333" s="552">
        <f t="shared" si="185"/>
        <v>123192.07999999994</v>
      </c>
      <c r="AE333" s="552">
        <f t="shared" si="194"/>
        <v>-16393.839999999913</v>
      </c>
      <c r="AF333" s="552">
        <f t="shared" si="195"/>
        <v>106798.24000000003</v>
      </c>
      <c r="AG333" s="552">
        <f t="shared" si="186"/>
        <v>-433.95</v>
      </c>
      <c r="AH333" s="552">
        <f t="shared" si="187"/>
        <v>72827.14000000013</v>
      </c>
      <c r="AI333" s="552"/>
      <c r="AJ333" s="14">
        <f t="shared" si="203"/>
        <v>-433.95</v>
      </c>
      <c r="AK333" s="14">
        <f t="shared" si="204"/>
        <v>497185.6999999992</v>
      </c>
      <c r="AL333" s="552">
        <f>IF(R333&lt;=0,0,+([1]Profit!$B$4+AM332)*$AL$1/12)</f>
        <v>0</v>
      </c>
      <c r="AM333" s="14">
        <f t="shared" si="188"/>
        <v>262755.13764632691</v>
      </c>
    </row>
    <row r="334" spans="1:39" x14ac:dyDescent="0.25">
      <c r="A334" s="542">
        <f t="shared" si="176"/>
        <v>53979</v>
      </c>
      <c r="B334" s="298">
        <f t="shared" si="177"/>
        <v>16393.839999999913</v>
      </c>
      <c r="C334" s="14">
        <f t="shared" si="167"/>
        <v>433.95</v>
      </c>
      <c r="D334" s="14">
        <f t="shared" si="189"/>
        <v>369.06</v>
      </c>
      <c r="E334" s="14">
        <f t="shared" si="168"/>
        <v>64.89</v>
      </c>
      <c r="F334" s="298">
        <f t="shared" si="178"/>
        <v>67493.009999999995</v>
      </c>
      <c r="G334" s="298">
        <f t="shared" si="179"/>
        <v>71700.279999999941</v>
      </c>
      <c r="H334" s="298">
        <f t="shared" si="169"/>
        <v>16024.779999999913</v>
      </c>
      <c r="I334" s="451">
        <f t="shared" si="170"/>
        <v>22</v>
      </c>
      <c r="J334" s="298">
        <f t="shared" si="180"/>
        <v>177818.43999999962</v>
      </c>
      <c r="K334" s="298">
        <f t="shared" si="197"/>
        <v>2701.27</v>
      </c>
      <c r="L334" s="298">
        <f t="shared" si="190"/>
        <v>1552.86</v>
      </c>
      <c r="M334" s="298">
        <f t="shared" si="198"/>
        <v>1148.4100000000001</v>
      </c>
      <c r="N334" s="298">
        <f t="shared" si="181"/>
        <v>200789.42000000013</v>
      </c>
      <c r="O334" s="298">
        <f t="shared" si="182"/>
        <v>542059.83000000019</v>
      </c>
      <c r="P334" s="298">
        <f t="shared" si="171"/>
        <v>176265.57999999964</v>
      </c>
      <c r="Q334" s="542">
        <f t="shared" si="172"/>
        <v>53979</v>
      </c>
      <c r="R334" s="298">
        <f t="shared" si="196"/>
        <v>0</v>
      </c>
      <c r="S334" s="535">
        <f t="shared" si="183"/>
        <v>7.7499999999999999E-2</v>
      </c>
      <c r="T334" s="298">
        <f t="shared" si="173"/>
        <v>0</v>
      </c>
      <c r="U334" s="298">
        <f t="shared" si="199"/>
        <v>0</v>
      </c>
      <c r="V334" s="298">
        <f t="shared" si="174"/>
        <v>0</v>
      </c>
      <c r="W334" s="298">
        <f t="shared" si="205"/>
        <v>0</v>
      </c>
      <c r="X334" s="298">
        <f t="shared" si="205"/>
        <v>0</v>
      </c>
      <c r="Y334" s="298">
        <f t="shared" si="200"/>
        <v>0</v>
      </c>
      <c r="Z334" s="298">
        <f t="shared" si="201"/>
        <v>378976.30999999988</v>
      </c>
      <c r="AA334" s="298">
        <f t="shared" si="202"/>
        <v>237979.58999999985</v>
      </c>
      <c r="AB334" s="298">
        <f t="shared" si="175"/>
        <v>0</v>
      </c>
      <c r="AC334" s="451">
        <f t="shared" si="184"/>
        <v>274</v>
      </c>
      <c r="AD334" s="552">
        <f t="shared" si="185"/>
        <v>125893.34999999995</v>
      </c>
      <c r="AE334" s="552">
        <f t="shared" si="194"/>
        <v>-16024.779999999913</v>
      </c>
      <c r="AF334" s="552">
        <f t="shared" si="195"/>
        <v>109868.57000000004</v>
      </c>
      <c r="AG334" s="552">
        <f t="shared" si="186"/>
        <v>-433.95</v>
      </c>
      <c r="AH334" s="552">
        <f t="shared" si="187"/>
        <v>73196.200000000128</v>
      </c>
      <c r="AI334" s="552"/>
      <c r="AJ334" s="14">
        <f t="shared" si="203"/>
        <v>-433.95</v>
      </c>
      <c r="AK334" s="14">
        <f t="shared" si="204"/>
        <v>496751.74999999919</v>
      </c>
      <c r="AL334" s="552">
        <f>IF(R334&lt;=0,0,+([1]Profit!$B$4+AM333)*$AL$1/12)</f>
        <v>0</v>
      </c>
      <c r="AM334" s="14">
        <f t="shared" si="188"/>
        <v>262755.13764632691</v>
      </c>
    </row>
    <row r="335" spans="1:39" x14ac:dyDescent="0.25">
      <c r="A335" s="542">
        <f t="shared" si="176"/>
        <v>54009</v>
      </c>
      <c r="B335" s="298">
        <f t="shared" si="177"/>
        <v>16024.779999999913</v>
      </c>
      <c r="C335" s="14">
        <f t="shared" ref="C335:C398" si="206">IF(+$H334&lt;=0,0,$C$5)</f>
        <v>433.95</v>
      </c>
      <c r="D335" s="14">
        <f t="shared" si="189"/>
        <v>370.52</v>
      </c>
      <c r="E335" s="14">
        <f t="shared" ref="E335:E398" si="207">ROUND($B335*($C$3/12), 2)</f>
        <v>63.43</v>
      </c>
      <c r="F335" s="298">
        <f t="shared" si="178"/>
        <v>67863.53</v>
      </c>
      <c r="G335" s="298">
        <f t="shared" si="179"/>
        <v>71763.709999999934</v>
      </c>
      <c r="H335" s="298">
        <f t="shared" ref="H335:H398" si="208">+B335-D335</f>
        <v>15654.259999999913</v>
      </c>
      <c r="I335" s="451">
        <f t="shared" ref="I335:I398" si="209">IF(MOD(AC335,12)=0,AC335/12,I334)</f>
        <v>22</v>
      </c>
      <c r="J335" s="298">
        <f t="shared" si="180"/>
        <v>176265.57999999964</v>
      </c>
      <c r="K335" s="298">
        <f t="shared" si="197"/>
        <v>2701.27</v>
      </c>
      <c r="L335" s="298">
        <f t="shared" si="190"/>
        <v>1562.8899999999999</v>
      </c>
      <c r="M335" s="298">
        <f t="shared" si="198"/>
        <v>1138.3800000000001</v>
      </c>
      <c r="N335" s="298">
        <f t="shared" si="181"/>
        <v>202352.31000000014</v>
      </c>
      <c r="O335" s="298">
        <f t="shared" si="182"/>
        <v>543198.2100000002</v>
      </c>
      <c r="P335" s="298">
        <f t="shared" ref="P335:P398" si="210">+J335-L335</f>
        <v>174702.68999999962</v>
      </c>
      <c r="Q335" s="542">
        <f t="shared" ref="Q335:Q398" si="211">+A335</f>
        <v>54009</v>
      </c>
      <c r="R335" s="298">
        <f t="shared" si="196"/>
        <v>0</v>
      </c>
      <c r="S335" s="535">
        <f t="shared" si="183"/>
        <v>7.7499999999999999E-2</v>
      </c>
      <c r="T335" s="298">
        <f t="shared" ref="T335:T398" si="212">IF($J$10&lt;=$A335,IF(+AB334&lt;=0,0,IF(S335=$T$9,$S$9,$S$10)),0)</f>
        <v>0</v>
      </c>
      <c r="U335" s="298">
        <f t="shared" si="199"/>
        <v>0</v>
      </c>
      <c r="V335" s="298">
        <f t="shared" ref="V335:V398" si="213">IF($J$10&lt;=$A335,ROUND(R335*(S335/12),2),0)</f>
        <v>0</v>
      </c>
      <c r="W335" s="298">
        <f t="shared" si="205"/>
        <v>0</v>
      </c>
      <c r="X335" s="298">
        <f t="shared" si="205"/>
        <v>0</v>
      </c>
      <c r="Y335" s="298">
        <f t="shared" si="200"/>
        <v>0</v>
      </c>
      <c r="Z335" s="298">
        <f t="shared" si="201"/>
        <v>378976.30999999988</v>
      </c>
      <c r="AA335" s="298">
        <f t="shared" si="202"/>
        <v>237979.58999999985</v>
      </c>
      <c r="AB335" s="298">
        <f t="shared" ref="AB335:AB398" si="214">IF(Q335&lt;$J$10,$J$6,+R335-U335)</f>
        <v>0</v>
      </c>
      <c r="AC335" s="451">
        <f t="shared" si="184"/>
        <v>275</v>
      </c>
      <c r="AD335" s="552">
        <f t="shared" si="185"/>
        <v>128594.61999999995</v>
      </c>
      <c r="AE335" s="552">
        <f t="shared" si="194"/>
        <v>-15654.259999999913</v>
      </c>
      <c r="AF335" s="552">
        <f t="shared" si="195"/>
        <v>112940.36000000004</v>
      </c>
      <c r="AG335" s="552">
        <f t="shared" si="186"/>
        <v>-433.95</v>
      </c>
      <c r="AH335" s="552">
        <f t="shared" si="187"/>
        <v>73566.720000000147</v>
      </c>
      <c r="AI335" s="552"/>
      <c r="AJ335" s="14">
        <f t="shared" si="203"/>
        <v>-433.95</v>
      </c>
      <c r="AK335" s="14">
        <f t="shared" si="204"/>
        <v>496317.79999999917</v>
      </c>
      <c r="AL335" s="552">
        <f>IF(R335&lt;=0,0,+([1]Profit!$B$4+AM334)*$AL$1/12)</f>
        <v>0</v>
      </c>
      <c r="AM335" s="14">
        <f t="shared" si="188"/>
        <v>262755.13764632691</v>
      </c>
    </row>
    <row r="336" spans="1:39" x14ac:dyDescent="0.25">
      <c r="A336" s="542">
        <f t="shared" ref="A336:A399" si="215">IF(H336&lt;=0," ",+A335+30)</f>
        <v>54039</v>
      </c>
      <c r="B336" s="298">
        <f t="shared" ref="B336:B373" si="216">IF(+H335&lt;0,0,+H335)</f>
        <v>15654.259999999913</v>
      </c>
      <c r="C336" s="14">
        <f t="shared" si="206"/>
        <v>433.95</v>
      </c>
      <c r="D336" s="14">
        <f t="shared" si="189"/>
        <v>371.99</v>
      </c>
      <c r="E336" s="14">
        <f t="shared" si="207"/>
        <v>61.96</v>
      </c>
      <c r="F336" s="298">
        <f t="shared" ref="F336:F399" si="217">$D336+$F335</f>
        <v>68235.520000000004</v>
      </c>
      <c r="G336" s="298">
        <f t="shared" ref="G336:G399" si="218">$E336+$G335</f>
        <v>71825.66999999994</v>
      </c>
      <c r="H336" s="298">
        <f t="shared" si="208"/>
        <v>15282.269999999913</v>
      </c>
      <c r="I336" s="451">
        <f t="shared" si="209"/>
        <v>23</v>
      </c>
      <c r="J336" s="298">
        <f t="shared" ref="J336:J399" si="219">IF(+P335&lt;0,0,+P335)</f>
        <v>174702.68999999962</v>
      </c>
      <c r="K336" s="298">
        <f t="shared" si="197"/>
        <v>2701.27</v>
      </c>
      <c r="L336" s="298">
        <f t="shared" si="190"/>
        <v>1572.98</v>
      </c>
      <c r="M336" s="298">
        <f t="shared" si="198"/>
        <v>1128.29</v>
      </c>
      <c r="N336" s="298">
        <f t="shared" ref="N336:N399" si="220">+L336+N335</f>
        <v>203925.29000000015</v>
      </c>
      <c r="O336" s="298">
        <f t="shared" ref="O336:O399" si="221">+O335+M336</f>
        <v>544326.50000000023</v>
      </c>
      <c r="P336" s="298">
        <f t="shared" si="210"/>
        <v>173129.70999999961</v>
      </c>
      <c r="Q336" s="542">
        <f t="shared" si="211"/>
        <v>54039</v>
      </c>
      <c r="R336" s="298">
        <f t="shared" si="196"/>
        <v>0</v>
      </c>
      <c r="S336" s="535">
        <f t="shared" ref="S336:S399" si="222">IF(AC336&gt;60,$T$10,$T$9)</f>
        <v>7.7499999999999999E-2</v>
      </c>
      <c r="T336" s="298">
        <f t="shared" si="212"/>
        <v>0</v>
      </c>
      <c r="U336" s="298">
        <f t="shared" si="199"/>
        <v>0</v>
      </c>
      <c r="V336" s="298">
        <f t="shared" si="213"/>
        <v>0</v>
      </c>
      <c r="W336" s="298">
        <f t="shared" si="205"/>
        <v>0</v>
      </c>
      <c r="X336" s="298">
        <f t="shared" si="205"/>
        <v>0</v>
      </c>
      <c r="Y336" s="298">
        <f t="shared" si="200"/>
        <v>0</v>
      </c>
      <c r="Z336" s="298">
        <f t="shared" si="201"/>
        <v>378976.30999999988</v>
      </c>
      <c r="AA336" s="298">
        <f t="shared" si="202"/>
        <v>237979.58999999985</v>
      </c>
      <c r="AB336" s="298">
        <f t="shared" si="214"/>
        <v>0</v>
      </c>
      <c r="AC336" s="451">
        <f t="shared" ref="AC336:AC399" si="223">IF(J336&lt;&gt;"",IF(J336=$J$6,0,+AC335+1),0)</f>
        <v>276</v>
      </c>
      <c r="AD336" s="552">
        <f t="shared" ref="AD336:AD399" si="224">K336-T336+AD335</f>
        <v>131295.88999999996</v>
      </c>
      <c r="AE336" s="552">
        <f t="shared" si="194"/>
        <v>-15282.269999999913</v>
      </c>
      <c r="AF336" s="552">
        <f t="shared" si="195"/>
        <v>116013.62000000004</v>
      </c>
      <c r="AG336" s="552">
        <f t="shared" ref="AG336:AG399" si="225">IF(Q336&lt;=$C$10,0,+T336-$C336)</f>
        <v>-433.95</v>
      </c>
      <c r="AH336" s="552">
        <f t="shared" ref="AH336:AH399" si="226">IF(P336&lt;=0,0,+$T$5-$C$2+F336-Z336)</f>
        <v>73938.710000000137</v>
      </c>
      <c r="AI336" s="552"/>
      <c r="AJ336" s="14">
        <f t="shared" si="203"/>
        <v>-433.95</v>
      </c>
      <c r="AK336" s="14">
        <f t="shared" si="204"/>
        <v>495883.84999999916</v>
      </c>
      <c r="AL336" s="552">
        <f>IF(R336&lt;=0,0,+([1]Profit!$B$4+AM335)*$AL$1/12)</f>
        <v>0</v>
      </c>
      <c r="AM336" s="14">
        <f t="shared" ref="AM336:AM399" si="227">IF(P336&lt;=0,0,+AM335+AL336)</f>
        <v>262755.13764632691</v>
      </c>
    </row>
    <row r="337" spans="1:39" x14ac:dyDescent="0.25">
      <c r="A337" s="542">
        <f t="shared" si="215"/>
        <v>54069</v>
      </c>
      <c r="B337" s="298">
        <f t="shared" si="216"/>
        <v>15282.269999999913</v>
      </c>
      <c r="C337" s="14">
        <f t="shared" si="206"/>
        <v>433.95</v>
      </c>
      <c r="D337" s="14">
        <f t="shared" ref="D337:D400" si="228">+C337-E337</f>
        <v>373.46</v>
      </c>
      <c r="E337" s="14">
        <f t="shared" si="207"/>
        <v>60.49</v>
      </c>
      <c r="F337" s="298">
        <f t="shared" si="217"/>
        <v>68608.98000000001</v>
      </c>
      <c r="G337" s="298">
        <f t="shared" si="218"/>
        <v>71886.159999999945</v>
      </c>
      <c r="H337" s="298">
        <f t="shared" si="208"/>
        <v>14908.809999999914</v>
      </c>
      <c r="I337" s="451">
        <f t="shared" si="209"/>
        <v>23</v>
      </c>
      <c r="J337" s="298">
        <f t="shared" si="219"/>
        <v>173129.70999999961</v>
      </c>
      <c r="K337" s="298">
        <f t="shared" si="197"/>
        <v>2701.27</v>
      </c>
      <c r="L337" s="298">
        <f t="shared" ref="L337:L400" si="229">+K337-M337</f>
        <v>1583.1399999999999</v>
      </c>
      <c r="M337" s="298">
        <f t="shared" si="198"/>
        <v>1118.1300000000001</v>
      </c>
      <c r="N337" s="298">
        <f t="shared" si="220"/>
        <v>205508.43000000017</v>
      </c>
      <c r="O337" s="298">
        <f t="shared" si="221"/>
        <v>545444.63000000024</v>
      </c>
      <c r="P337" s="298">
        <f t="shared" si="210"/>
        <v>171546.5699999996</v>
      </c>
      <c r="Q337" s="542">
        <f t="shared" si="211"/>
        <v>54069</v>
      </c>
      <c r="R337" s="298">
        <f t="shared" si="196"/>
        <v>0</v>
      </c>
      <c r="S337" s="535">
        <f t="shared" si="222"/>
        <v>7.7499999999999999E-2</v>
      </c>
      <c r="T337" s="298">
        <f t="shared" si="212"/>
        <v>0</v>
      </c>
      <c r="U337" s="298">
        <f t="shared" si="199"/>
        <v>0</v>
      </c>
      <c r="V337" s="298">
        <f t="shared" si="213"/>
        <v>0</v>
      </c>
      <c r="W337" s="298">
        <f t="shared" si="205"/>
        <v>0</v>
      </c>
      <c r="X337" s="298">
        <f t="shared" si="205"/>
        <v>0</v>
      </c>
      <c r="Y337" s="298">
        <f t="shared" si="200"/>
        <v>0</v>
      </c>
      <c r="Z337" s="298">
        <f t="shared" si="201"/>
        <v>378976.30999999988</v>
      </c>
      <c r="AA337" s="298">
        <f t="shared" si="202"/>
        <v>237979.58999999985</v>
      </c>
      <c r="AB337" s="298">
        <f t="shared" si="214"/>
        <v>0</v>
      </c>
      <c r="AC337" s="451">
        <f t="shared" si="223"/>
        <v>277</v>
      </c>
      <c r="AD337" s="552">
        <f t="shared" si="224"/>
        <v>133997.15999999995</v>
      </c>
      <c r="AE337" s="552">
        <f t="shared" si="194"/>
        <v>-14908.809999999914</v>
      </c>
      <c r="AF337" s="552">
        <f t="shared" si="195"/>
        <v>119088.35000000003</v>
      </c>
      <c r="AG337" s="552">
        <f t="shared" si="225"/>
        <v>-433.95</v>
      </c>
      <c r="AH337" s="552">
        <f t="shared" si="226"/>
        <v>74312.1700000001</v>
      </c>
      <c r="AI337" s="552"/>
      <c r="AJ337" s="14">
        <f t="shared" si="203"/>
        <v>-433.95</v>
      </c>
      <c r="AK337" s="14">
        <f t="shared" si="204"/>
        <v>495449.89999999915</v>
      </c>
      <c r="AL337" s="552">
        <f>IF(R337&lt;=0,0,+([1]Profit!$B$4+AM336)*$AL$1/12)</f>
        <v>0</v>
      </c>
      <c r="AM337" s="14">
        <f t="shared" si="227"/>
        <v>262755.13764632691</v>
      </c>
    </row>
    <row r="338" spans="1:39" ht="15.75" thickBot="1" x14ac:dyDescent="0.3">
      <c r="A338" s="545">
        <f t="shared" si="215"/>
        <v>54099</v>
      </c>
      <c r="B338" s="371">
        <f t="shared" si="216"/>
        <v>14908.809999999914</v>
      </c>
      <c r="C338" s="21">
        <f t="shared" si="206"/>
        <v>433.95</v>
      </c>
      <c r="D338" s="21">
        <f t="shared" si="228"/>
        <v>374.94</v>
      </c>
      <c r="E338" s="21">
        <f t="shared" si="207"/>
        <v>59.01</v>
      </c>
      <c r="F338" s="371">
        <f t="shared" si="217"/>
        <v>68983.920000000013</v>
      </c>
      <c r="G338" s="371">
        <f t="shared" si="218"/>
        <v>71945.16999999994</v>
      </c>
      <c r="H338" s="371">
        <f t="shared" si="208"/>
        <v>14533.869999999913</v>
      </c>
      <c r="I338" s="452">
        <f t="shared" si="209"/>
        <v>23</v>
      </c>
      <c r="J338" s="371">
        <f t="shared" si="219"/>
        <v>171546.5699999996</v>
      </c>
      <c r="K338" s="371">
        <f t="shared" si="197"/>
        <v>2701.27</v>
      </c>
      <c r="L338" s="371">
        <f t="shared" si="229"/>
        <v>1593.37</v>
      </c>
      <c r="M338" s="371">
        <f t="shared" si="198"/>
        <v>1107.9000000000001</v>
      </c>
      <c r="N338" s="371">
        <f t="shared" si="220"/>
        <v>207101.80000000016</v>
      </c>
      <c r="O338" s="371">
        <f t="shared" si="221"/>
        <v>546552.53000000026</v>
      </c>
      <c r="P338" s="371">
        <f t="shared" si="210"/>
        <v>169953.1999999996</v>
      </c>
      <c r="Q338" s="545">
        <f t="shared" si="211"/>
        <v>54099</v>
      </c>
      <c r="R338" s="371">
        <f t="shared" si="196"/>
        <v>0</v>
      </c>
      <c r="S338" s="536">
        <f t="shared" si="222"/>
        <v>7.7499999999999999E-2</v>
      </c>
      <c r="T338" s="371">
        <f t="shared" si="212"/>
        <v>0</v>
      </c>
      <c r="U338" s="371">
        <f t="shared" si="199"/>
        <v>0</v>
      </c>
      <c r="V338" s="371">
        <f t="shared" si="213"/>
        <v>0</v>
      </c>
      <c r="W338" s="371">
        <f t="shared" si="205"/>
        <v>0</v>
      </c>
      <c r="X338" s="371">
        <f t="shared" si="205"/>
        <v>0</v>
      </c>
      <c r="Y338" s="371">
        <f t="shared" si="200"/>
        <v>0</v>
      </c>
      <c r="Z338" s="371">
        <f t="shared" si="201"/>
        <v>378976.30999999988</v>
      </c>
      <c r="AA338" s="371">
        <f t="shared" si="202"/>
        <v>237979.58999999985</v>
      </c>
      <c r="AB338" s="371">
        <f t="shared" si="214"/>
        <v>0</v>
      </c>
      <c r="AC338" s="452">
        <f t="shared" si="223"/>
        <v>278</v>
      </c>
      <c r="AD338" s="553">
        <f t="shared" si="224"/>
        <v>136698.42999999993</v>
      </c>
      <c r="AE338" s="553">
        <f t="shared" si="194"/>
        <v>-14533.869999999913</v>
      </c>
      <c r="AF338" s="553">
        <f t="shared" si="195"/>
        <v>122164.56000000003</v>
      </c>
      <c r="AG338" s="553">
        <f t="shared" si="225"/>
        <v>-433.95</v>
      </c>
      <c r="AH338" s="553">
        <f t="shared" si="226"/>
        <v>74687.110000000161</v>
      </c>
      <c r="AI338" s="553"/>
      <c r="AJ338" s="21">
        <f t="shared" si="203"/>
        <v>-433.95</v>
      </c>
      <c r="AK338" s="21">
        <f t="shared" si="204"/>
        <v>495015.94999999914</v>
      </c>
      <c r="AL338" s="553">
        <f>IF(R338&lt;=0,0,+([1]Profit!$B$4+AM337)*$AL$1/12)</f>
        <v>0</v>
      </c>
      <c r="AM338" s="21">
        <f t="shared" si="227"/>
        <v>262755.13764632691</v>
      </c>
    </row>
    <row r="339" spans="1:39" x14ac:dyDescent="0.25">
      <c r="A339" s="542">
        <f t="shared" si="215"/>
        <v>54129</v>
      </c>
      <c r="B339" s="298">
        <f t="shared" si="216"/>
        <v>14533.869999999913</v>
      </c>
      <c r="C339" s="14">
        <f t="shared" si="206"/>
        <v>433.95</v>
      </c>
      <c r="D339" s="14">
        <f t="shared" si="228"/>
        <v>376.41999999999996</v>
      </c>
      <c r="E339" s="14">
        <f t="shared" si="207"/>
        <v>57.53</v>
      </c>
      <c r="F339" s="298">
        <f t="shared" si="217"/>
        <v>69360.340000000011</v>
      </c>
      <c r="G339" s="298">
        <f t="shared" si="218"/>
        <v>72002.699999999939</v>
      </c>
      <c r="H339" s="298">
        <f t="shared" si="208"/>
        <v>14157.449999999913</v>
      </c>
      <c r="I339" s="451">
        <f t="shared" si="209"/>
        <v>23</v>
      </c>
      <c r="J339" s="298">
        <f t="shared" si="219"/>
        <v>169953.1999999996</v>
      </c>
      <c r="K339" s="298">
        <f t="shared" si="197"/>
        <v>2701.27</v>
      </c>
      <c r="L339" s="298">
        <f t="shared" si="229"/>
        <v>1603.66</v>
      </c>
      <c r="M339" s="298">
        <f t="shared" si="198"/>
        <v>1097.6099999999999</v>
      </c>
      <c r="N339" s="298">
        <f t="shared" si="220"/>
        <v>208705.46000000017</v>
      </c>
      <c r="O339" s="298">
        <f t="shared" si="221"/>
        <v>547650.14000000025</v>
      </c>
      <c r="P339" s="298">
        <f t="shared" si="210"/>
        <v>168349.5399999996</v>
      </c>
      <c r="Q339" s="542">
        <f t="shared" si="211"/>
        <v>54129</v>
      </c>
      <c r="R339" s="298">
        <f t="shared" si="196"/>
        <v>0</v>
      </c>
      <c r="S339" s="535">
        <f t="shared" si="222"/>
        <v>7.7499999999999999E-2</v>
      </c>
      <c r="T339" s="298">
        <f t="shared" si="212"/>
        <v>0</v>
      </c>
      <c r="U339" s="298">
        <f t="shared" si="199"/>
        <v>0</v>
      </c>
      <c r="V339" s="298">
        <f t="shared" si="213"/>
        <v>0</v>
      </c>
      <c r="W339" s="298">
        <f t="shared" si="205"/>
        <v>0</v>
      </c>
      <c r="X339" s="298">
        <f t="shared" si="205"/>
        <v>0</v>
      </c>
      <c r="Y339" s="298">
        <f t="shared" si="200"/>
        <v>0</v>
      </c>
      <c r="Z339" s="298">
        <f t="shared" si="201"/>
        <v>378976.30999999988</v>
      </c>
      <c r="AA339" s="298">
        <f t="shared" si="202"/>
        <v>237979.58999999985</v>
      </c>
      <c r="AB339" s="298">
        <f t="shared" si="214"/>
        <v>0</v>
      </c>
      <c r="AC339" s="451">
        <f t="shared" si="223"/>
        <v>279</v>
      </c>
      <c r="AD339" s="552">
        <f t="shared" si="224"/>
        <v>139399.69999999992</v>
      </c>
      <c r="AE339" s="552">
        <f t="shared" si="194"/>
        <v>-14157.449999999913</v>
      </c>
      <c r="AF339" s="552">
        <f t="shared" si="195"/>
        <v>125242.25000000001</v>
      </c>
      <c r="AG339" s="552">
        <f t="shared" si="225"/>
        <v>-433.95</v>
      </c>
      <c r="AH339" s="552">
        <f t="shared" si="226"/>
        <v>75063.530000000144</v>
      </c>
      <c r="AI339" s="552"/>
      <c r="AJ339" s="14">
        <f t="shared" si="203"/>
        <v>-433.95</v>
      </c>
      <c r="AK339" s="14">
        <f t="shared" si="204"/>
        <v>494581.99999999913</v>
      </c>
      <c r="AL339" s="552">
        <f>IF(R339&lt;=0,0,+([1]Profit!$B$4+AM338)*$AL$1/12)</f>
        <v>0</v>
      </c>
      <c r="AM339" s="14">
        <f t="shared" si="227"/>
        <v>262755.13764632691</v>
      </c>
    </row>
    <row r="340" spans="1:39" x14ac:dyDescent="0.25">
      <c r="A340" s="542">
        <f t="shared" si="215"/>
        <v>54159</v>
      </c>
      <c r="B340" s="298">
        <f t="shared" si="216"/>
        <v>14157.449999999913</v>
      </c>
      <c r="C340" s="14">
        <f t="shared" si="206"/>
        <v>433.95</v>
      </c>
      <c r="D340" s="14">
        <f t="shared" si="228"/>
        <v>377.90999999999997</v>
      </c>
      <c r="E340" s="14">
        <f t="shared" si="207"/>
        <v>56.04</v>
      </c>
      <c r="F340" s="298">
        <f t="shared" si="217"/>
        <v>69738.250000000015</v>
      </c>
      <c r="G340" s="298">
        <f t="shared" si="218"/>
        <v>72058.739999999932</v>
      </c>
      <c r="H340" s="298">
        <f t="shared" si="208"/>
        <v>13779.539999999914</v>
      </c>
      <c r="I340" s="451">
        <f t="shared" si="209"/>
        <v>23</v>
      </c>
      <c r="J340" s="298">
        <f t="shared" si="219"/>
        <v>168349.5399999996</v>
      </c>
      <c r="K340" s="298">
        <f t="shared" si="197"/>
        <v>2701.27</v>
      </c>
      <c r="L340" s="298">
        <f t="shared" si="229"/>
        <v>1614.01</v>
      </c>
      <c r="M340" s="298">
        <f t="shared" si="198"/>
        <v>1087.26</v>
      </c>
      <c r="N340" s="298">
        <f t="shared" si="220"/>
        <v>210319.47000000018</v>
      </c>
      <c r="O340" s="298">
        <f t="shared" si="221"/>
        <v>548737.40000000026</v>
      </c>
      <c r="P340" s="298">
        <f t="shared" si="210"/>
        <v>166735.52999999959</v>
      </c>
      <c r="Q340" s="542">
        <f t="shared" si="211"/>
        <v>54159</v>
      </c>
      <c r="R340" s="298">
        <f t="shared" si="196"/>
        <v>0</v>
      </c>
      <c r="S340" s="535">
        <f t="shared" si="222"/>
        <v>7.7499999999999999E-2</v>
      </c>
      <c r="T340" s="298">
        <f t="shared" si="212"/>
        <v>0</v>
      </c>
      <c r="U340" s="298">
        <f t="shared" si="199"/>
        <v>0</v>
      </c>
      <c r="V340" s="298">
        <f t="shared" si="213"/>
        <v>0</v>
      </c>
      <c r="W340" s="298">
        <f t="shared" si="205"/>
        <v>0</v>
      </c>
      <c r="X340" s="298">
        <f t="shared" si="205"/>
        <v>0</v>
      </c>
      <c r="Y340" s="298">
        <f t="shared" si="200"/>
        <v>0</v>
      </c>
      <c r="Z340" s="298">
        <f t="shared" si="201"/>
        <v>378976.30999999988</v>
      </c>
      <c r="AA340" s="298">
        <f t="shared" si="202"/>
        <v>237979.58999999985</v>
      </c>
      <c r="AB340" s="298">
        <f t="shared" si="214"/>
        <v>0</v>
      </c>
      <c r="AC340" s="451">
        <f t="shared" si="223"/>
        <v>280</v>
      </c>
      <c r="AD340" s="552">
        <f t="shared" si="224"/>
        <v>142100.96999999991</v>
      </c>
      <c r="AE340" s="552">
        <f t="shared" si="194"/>
        <v>-13779.539999999914</v>
      </c>
      <c r="AF340" s="552">
        <f t="shared" si="195"/>
        <v>128321.43</v>
      </c>
      <c r="AG340" s="552">
        <f t="shared" si="225"/>
        <v>-433.95</v>
      </c>
      <c r="AH340" s="552">
        <f t="shared" si="226"/>
        <v>75441.440000000119</v>
      </c>
      <c r="AI340" s="552"/>
      <c r="AJ340" s="14">
        <f t="shared" si="203"/>
        <v>-433.95</v>
      </c>
      <c r="AK340" s="14">
        <f t="shared" si="204"/>
        <v>494148.04999999912</v>
      </c>
      <c r="AL340" s="552">
        <f>IF(R340&lt;=0,0,+([1]Profit!$B$4+AM339)*$AL$1/12)</f>
        <v>0</v>
      </c>
      <c r="AM340" s="14">
        <f t="shared" si="227"/>
        <v>262755.13764632691</v>
      </c>
    </row>
    <row r="341" spans="1:39" x14ac:dyDescent="0.25">
      <c r="A341" s="542">
        <f t="shared" si="215"/>
        <v>54189</v>
      </c>
      <c r="B341" s="298">
        <f t="shared" si="216"/>
        <v>13779.539999999914</v>
      </c>
      <c r="C341" s="14">
        <f t="shared" si="206"/>
        <v>433.95</v>
      </c>
      <c r="D341" s="14">
        <f t="shared" si="228"/>
        <v>379.40999999999997</v>
      </c>
      <c r="E341" s="14">
        <f t="shared" si="207"/>
        <v>54.54</v>
      </c>
      <c r="F341" s="298">
        <f t="shared" si="217"/>
        <v>70117.660000000018</v>
      </c>
      <c r="G341" s="298">
        <f t="shared" si="218"/>
        <v>72113.279999999926</v>
      </c>
      <c r="H341" s="298">
        <f t="shared" si="208"/>
        <v>13400.129999999914</v>
      </c>
      <c r="I341" s="451">
        <f t="shared" si="209"/>
        <v>23</v>
      </c>
      <c r="J341" s="298">
        <f t="shared" si="219"/>
        <v>166735.52999999959</v>
      </c>
      <c r="K341" s="298">
        <f t="shared" si="197"/>
        <v>2701.27</v>
      </c>
      <c r="L341" s="298">
        <f t="shared" si="229"/>
        <v>1624.44</v>
      </c>
      <c r="M341" s="298">
        <f t="shared" si="198"/>
        <v>1076.83</v>
      </c>
      <c r="N341" s="298">
        <f t="shared" si="220"/>
        <v>211943.91000000018</v>
      </c>
      <c r="O341" s="298">
        <f t="shared" si="221"/>
        <v>549814.23000000021</v>
      </c>
      <c r="P341" s="298">
        <f t="shared" si="210"/>
        <v>165111.08999999959</v>
      </c>
      <c r="Q341" s="542">
        <f t="shared" si="211"/>
        <v>54189</v>
      </c>
      <c r="R341" s="298">
        <f t="shared" si="196"/>
        <v>0</v>
      </c>
      <c r="S341" s="535">
        <f t="shared" si="222"/>
        <v>7.7499999999999999E-2</v>
      </c>
      <c r="T341" s="298">
        <f t="shared" si="212"/>
        <v>0</v>
      </c>
      <c r="U341" s="298">
        <f t="shared" si="199"/>
        <v>0</v>
      </c>
      <c r="V341" s="298">
        <f t="shared" si="213"/>
        <v>0</v>
      </c>
      <c r="W341" s="298">
        <f t="shared" si="205"/>
        <v>0</v>
      </c>
      <c r="X341" s="298">
        <f t="shared" si="205"/>
        <v>0</v>
      </c>
      <c r="Y341" s="298">
        <f t="shared" si="200"/>
        <v>0</v>
      </c>
      <c r="Z341" s="298">
        <f t="shared" si="201"/>
        <v>378976.30999999988</v>
      </c>
      <c r="AA341" s="298">
        <f t="shared" si="202"/>
        <v>237979.58999999985</v>
      </c>
      <c r="AB341" s="298">
        <f t="shared" si="214"/>
        <v>0</v>
      </c>
      <c r="AC341" s="451">
        <f t="shared" si="223"/>
        <v>281</v>
      </c>
      <c r="AD341" s="552">
        <f t="shared" si="224"/>
        <v>144802.2399999999</v>
      </c>
      <c r="AE341" s="552">
        <f t="shared" si="194"/>
        <v>-13400.129999999914</v>
      </c>
      <c r="AF341" s="552">
        <f t="shared" si="195"/>
        <v>131402.10999999999</v>
      </c>
      <c r="AG341" s="552">
        <f t="shared" si="225"/>
        <v>-433.95</v>
      </c>
      <c r="AH341" s="552">
        <f t="shared" si="226"/>
        <v>75820.850000000151</v>
      </c>
      <c r="AI341" s="552"/>
      <c r="AJ341" s="14">
        <f t="shared" si="203"/>
        <v>-433.95</v>
      </c>
      <c r="AK341" s="14">
        <f t="shared" si="204"/>
        <v>493714.0999999991</v>
      </c>
      <c r="AL341" s="552">
        <f>IF(R341&lt;=0,0,+([1]Profit!$B$4+AM340)*$AL$1/12)</f>
        <v>0</v>
      </c>
      <c r="AM341" s="14">
        <f t="shared" si="227"/>
        <v>262755.13764632691</v>
      </c>
    </row>
    <row r="342" spans="1:39" x14ac:dyDescent="0.25">
      <c r="A342" s="542">
        <f t="shared" si="215"/>
        <v>54219</v>
      </c>
      <c r="B342" s="298">
        <f t="shared" si="216"/>
        <v>13400.129999999914</v>
      </c>
      <c r="C342" s="14">
        <f t="shared" si="206"/>
        <v>433.95</v>
      </c>
      <c r="D342" s="14">
        <f t="shared" si="228"/>
        <v>380.90999999999997</v>
      </c>
      <c r="E342" s="14">
        <f t="shared" si="207"/>
        <v>53.04</v>
      </c>
      <c r="F342" s="298">
        <f t="shared" si="217"/>
        <v>70498.570000000022</v>
      </c>
      <c r="G342" s="298">
        <f t="shared" si="218"/>
        <v>72166.31999999992</v>
      </c>
      <c r="H342" s="298">
        <f t="shared" si="208"/>
        <v>13019.219999999914</v>
      </c>
      <c r="I342" s="451">
        <f t="shared" si="209"/>
        <v>23</v>
      </c>
      <c r="J342" s="298">
        <f t="shared" si="219"/>
        <v>165111.08999999959</v>
      </c>
      <c r="K342" s="298">
        <f t="shared" si="197"/>
        <v>2701.27</v>
      </c>
      <c r="L342" s="298">
        <f t="shared" si="229"/>
        <v>1634.93</v>
      </c>
      <c r="M342" s="298">
        <f t="shared" si="198"/>
        <v>1066.3399999999999</v>
      </c>
      <c r="N342" s="298">
        <f t="shared" si="220"/>
        <v>213578.84000000017</v>
      </c>
      <c r="O342" s="298">
        <f t="shared" si="221"/>
        <v>550880.57000000018</v>
      </c>
      <c r="P342" s="298">
        <f t="shared" si="210"/>
        <v>163476.1599999996</v>
      </c>
      <c r="Q342" s="542">
        <f t="shared" si="211"/>
        <v>54219</v>
      </c>
      <c r="R342" s="298">
        <f t="shared" si="196"/>
        <v>0</v>
      </c>
      <c r="S342" s="535">
        <f t="shared" si="222"/>
        <v>7.7499999999999999E-2</v>
      </c>
      <c r="T342" s="298">
        <f t="shared" si="212"/>
        <v>0</v>
      </c>
      <c r="U342" s="298">
        <f t="shared" si="199"/>
        <v>0</v>
      </c>
      <c r="V342" s="298">
        <f t="shared" si="213"/>
        <v>0</v>
      </c>
      <c r="W342" s="298">
        <f t="shared" si="205"/>
        <v>0</v>
      </c>
      <c r="X342" s="298">
        <f t="shared" si="205"/>
        <v>0</v>
      </c>
      <c r="Y342" s="298">
        <f t="shared" si="200"/>
        <v>0</v>
      </c>
      <c r="Z342" s="298">
        <f t="shared" si="201"/>
        <v>378976.30999999988</v>
      </c>
      <c r="AA342" s="298">
        <f t="shared" si="202"/>
        <v>237979.58999999985</v>
      </c>
      <c r="AB342" s="298">
        <f t="shared" si="214"/>
        <v>0</v>
      </c>
      <c r="AC342" s="451">
        <f t="shared" si="223"/>
        <v>282</v>
      </c>
      <c r="AD342" s="552">
        <f t="shared" si="224"/>
        <v>147503.50999999989</v>
      </c>
      <c r="AE342" s="552">
        <f t="shared" si="194"/>
        <v>-13019.219999999914</v>
      </c>
      <c r="AF342" s="552">
        <f t="shared" si="195"/>
        <v>134484.28999999998</v>
      </c>
      <c r="AG342" s="552">
        <f t="shared" si="225"/>
        <v>-433.95</v>
      </c>
      <c r="AH342" s="552">
        <f t="shared" si="226"/>
        <v>76201.760000000126</v>
      </c>
      <c r="AI342" s="552"/>
      <c r="AJ342" s="14">
        <f t="shared" si="203"/>
        <v>-433.95</v>
      </c>
      <c r="AK342" s="14">
        <f t="shared" si="204"/>
        <v>493280.14999999909</v>
      </c>
      <c r="AL342" s="552">
        <f>IF(R342&lt;=0,0,+([1]Profit!$B$4+AM341)*$AL$1/12)</f>
        <v>0</v>
      </c>
      <c r="AM342" s="14">
        <f t="shared" si="227"/>
        <v>262755.13764632691</v>
      </c>
    </row>
    <row r="343" spans="1:39" x14ac:dyDescent="0.25">
      <c r="A343" s="542">
        <f t="shared" si="215"/>
        <v>54249</v>
      </c>
      <c r="B343" s="298">
        <f t="shared" si="216"/>
        <v>13019.219999999914</v>
      </c>
      <c r="C343" s="14">
        <f t="shared" si="206"/>
        <v>433.95</v>
      </c>
      <c r="D343" s="14">
        <f t="shared" si="228"/>
        <v>382.41999999999996</v>
      </c>
      <c r="E343" s="14">
        <f t="shared" si="207"/>
        <v>51.53</v>
      </c>
      <c r="F343" s="298">
        <f t="shared" si="217"/>
        <v>70880.99000000002</v>
      </c>
      <c r="G343" s="298">
        <f t="shared" si="218"/>
        <v>72217.849999999919</v>
      </c>
      <c r="H343" s="298">
        <f t="shared" si="208"/>
        <v>12636.799999999914</v>
      </c>
      <c r="I343" s="451">
        <f t="shared" si="209"/>
        <v>23</v>
      </c>
      <c r="J343" s="298">
        <f t="shared" si="219"/>
        <v>163476.1599999996</v>
      </c>
      <c r="K343" s="298">
        <f t="shared" si="197"/>
        <v>2701.27</v>
      </c>
      <c r="L343" s="298">
        <f t="shared" si="229"/>
        <v>1645.49</v>
      </c>
      <c r="M343" s="298">
        <f t="shared" si="198"/>
        <v>1055.78</v>
      </c>
      <c r="N343" s="298">
        <f t="shared" si="220"/>
        <v>215224.33000000016</v>
      </c>
      <c r="O343" s="298">
        <f t="shared" si="221"/>
        <v>551936.35000000021</v>
      </c>
      <c r="P343" s="298">
        <f t="shared" si="210"/>
        <v>161830.66999999961</v>
      </c>
      <c r="Q343" s="542">
        <f t="shared" si="211"/>
        <v>54249</v>
      </c>
      <c r="R343" s="298">
        <f t="shared" si="196"/>
        <v>0</v>
      </c>
      <c r="S343" s="535">
        <f t="shared" si="222"/>
        <v>7.7499999999999999E-2</v>
      </c>
      <c r="T343" s="298">
        <f t="shared" si="212"/>
        <v>0</v>
      </c>
      <c r="U343" s="298">
        <f t="shared" si="199"/>
        <v>0</v>
      </c>
      <c r="V343" s="298">
        <f t="shared" si="213"/>
        <v>0</v>
      </c>
      <c r="W343" s="298">
        <f t="shared" si="205"/>
        <v>0</v>
      </c>
      <c r="X343" s="298">
        <f t="shared" si="205"/>
        <v>0</v>
      </c>
      <c r="Y343" s="298">
        <f t="shared" si="200"/>
        <v>0</v>
      </c>
      <c r="Z343" s="298">
        <f t="shared" si="201"/>
        <v>378976.30999999988</v>
      </c>
      <c r="AA343" s="298">
        <f t="shared" si="202"/>
        <v>237979.58999999985</v>
      </c>
      <c r="AB343" s="298">
        <f t="shared" si="214"/>
        <v>0</v>
      </c>
      <c r="AC343" s="451">
        <f t="shared" si="223"/>
        <v>283</v>
      </c>
      <c r="AD343" s="552">
        <f t="shared" si="224"/>
        <v>150204.77999999988</v>
      </c>
      <c r="AE343" s="552">
        <f t="shared" si="194"/>
        <v>-12636.799999999914</v>
      </c>
      <c r="AF343" s="552">
        <f t="shared" si="195"/>
        <v>137567.97999999998</v>
      </c>
      <c r="AG343" s="552">
        <f t="shared" si="225"/>
        <v>-433.95</v>
      </c>
      <c r="AH343" s="552">
        <f t="shared" si="226"/>
        <v>76584.180000000109</v>
      </c>
      <c r="AI343" s="552"/>
      <c r="AJ343" s="14">
        <f t="shared" si="203"/>
        <v>-433.95</v>
      </c>
      <c r="AK343" s="14">
        <f t="shared" si="204"/>
        <v>492846.19999999908</v>
      </c>
      <c r="AL343" s="552">
        <f>IF(R343&lt;=0,0,+([1]Profit!$B$4+AM342)*$AL$1/12)</f>
        <v>0</v>
      </c>
      <c r="AM343" s="14">
        <f t="shared" si="227"/>
        <v>262755.13764632691</v>
      </c>
    </row>
    <row r="344" spans="1:39" x14ac:dyDescent="0.25">
      <c r="A344" s="542">
        <f t="shared" si="215"/>
        <v>54279</v>
      </c>
      <c r="B344" s="298">
        <f t="shared" si="216"/>
        <v>12636.799999999914</v>
      </c>
      <c r="C344" s="14">
        <f t="shared" si="206"/>
        <v>433.95</v>
      </c>
      <c r="D344" s="14">
        <f t="shared" si="228"/>
        <v>383.93</v>
      </c>
      <c r="E344" s="14">
        <f t="shared" si="207"/>
        <v>50.02</v>
      </c>
      <c r="F344" s="298">
        <f t="shared" si="217"/>
        <v>71264.920000000013</v>
      </c>
      <c r="G344" s="298">
        <f t="shared" si="218"/>
        <v>72267.869999999923</v>
      </c>
      <c r="H344" s="298">
        <f t="shared" si="208"/>
        <v>12252.869999999913</v>
      </c>
      <c r="I344" s="451">
        <f t="shared" si="209"/>
        <v>23</v>
      </c>
      <c r="J344" s="298">
        <f t="shared" si="219"/>
        <v>161830.66999999961</v>
      </c>
      <c r="K344" s="298">
        <f t="shared" si="197"/>
        <v>2701.27</v>
      </c>
      <c r="L344" s="298">
        <f t="shared" si="229"/>
        <v>1656.11</v>
      </c>
      <c r="M344" s="298">
        <f t="shared" si="198"/>
        <v>1045.1600000000001</v>
      </c>
      <c r="N344" s="298">
        <f t="shared" si="220"/>
        <v>216880.44000000015</v>
      </c>
      <c r="O344" s="298">
        <f t="shared" si="221"/>
        <v>552981.51000000024</v>
      </c>
      <c r="P344" s="298">
        <f t="shared" si="210"/>
        <v>160174.55999999962</v>
      </c>
      <c r="Q344" s="542">
        <f t="shared" si="211"/>
        <v>54279</v>
      </c>
      <c r="R344" s="298">
        <f t="shared" si="196"/>
        <v>0</v>
      </c>
      <c r="S344" s="535">
        <f t="shared" si="222"/>
        <v>7.7499999999999999E-2</v>
      </c>
      <c r="T344" s="298">
        <f t="shared" si="212"/>
        <v>0</v>
      </c>
      <c r="U344" s="298">
        <f t="shared" si="199"/>
        <v>0</v>
      </c>
      <c r="V344" s="298">
        <f t="shared" si="213"/>
        <v>0</v>
      </c>
      <c r="W344" s="298">
        <f t="shared" si="205"/>
        <v>0</v>
      </c>
      <c r="X344" s="298">
        <f t="shared" si="205"/>
        <v>0</v>
      </c>
      <c r="Y344" s="298">
        <f t="shared" si="200"/>
        <v>0</v>
      </c>
      <c r="Z344" s="298">
        <f t="shared" si="201"/>
        <v>378976.30999999988</v>
      </c>
      <c r="AA344" s="298">
        <f t="shared" si="202"/>
        <v>237979.58999999985</v>
      </c>
      <c r="AB344" s="298">
        <f t="shared" si="214"/>
        <v>0</v>
      </c>
      <c r="AC344" s="451">
        <f t="shared" si="223"/>
        <v>284</v>
      </c>
      <c r="AD344" s="552">
        <f t="shared" si="224"/>
        <v>152906.04999999987</v>
      </c>
      <c r="AE344" s="552">
        <f t="shared" si="194"/>
        <v>-12252.869999999913</v>
      </c>
      <c r="AF344" s="552">
        <f t="shared" si="195"/>
        <v>140653.17999999996</v>
      </c>
      <c r="AG344" s="552">
        <f t="shared" si="225"/>
        <v>-433.95</v>
      </c>
      <c r="AH344" s="552">
        <f t="shared" si="226"/>
        <v>76968.110000000161</v>
      </c>
      <c r="AI344" s="552"/>
      <c r="AJ344" s="14">
        <f t="shared" si="203"/>
        <v>-433.95</v>
      </c>
      <c r="AK344" s="14">
        <f t="shared" si="204"/>
        <v>492412.24999999907</v>
      </c>
      <c r="AL344" s="552">
        <f>IF(R344&lt;=0,0,+([1]Profit!$B$4+AM343)*$AL$1/12)</f>
        <v>0</v>
      </c>
      <c r="AM344" s="14">
        <f t="shared" si="227"/>
        <v>262755.13764632691</v>
      </c>
    </row>
    <row r="345" spans="1:39" x14ac:dyDescent="0.25">
      <c r="A345" s="542">
        <f t="shared" si="215"/>
        <v>54309</v>
      </c>
      <c r="B345" s="298">
        <f t="shared" si="216"/>
        <v>12252.869999999913</v>
      </c>
      <c r="C345" s="14">
        <f t="shared" si="206"/>
        <v>433.95</v>
      </c>
      <c r="D345" s="14">
        <f t="shared" si="228"/>
        <v>385.45</v>
      </c>
      <c r="E345" s="14">
        <f t="shared" si="207"/>
        <v>48.5</v>
      </c>
      <c r="F345" s="298">
        <f t="shared" si="217"/>
        <v>71650.37000000001</v>
      </c>
      <c r="G345" s="298">
        <f t="shared" si="218"/>
        <v>72316.369999999923</v>
      </c>
      <c r="H345" s="298">
        <f t="shared" si="208"/>
        <v>11867.419999999913</v>
      </c>
      <c r="I345" s="451">
        <f t="shared" si="209"/>
        <v>23</v>
      </c>
      <c r="J345" s="298">
        <f t="shared" si="219"/>
        <v>160174.55999999962</v>
      </c>
      <c r="K345" s="298">
        <f t="shared" si="197"/>
        <v>2701.27</v>
      </c>
      <c r="L345" s="298">
        <f t="shared" si="229"/>
        <v>1666.81</v>
      </c>
      <c r="M345" s="298">
        <f t="shared" si="198"/>
        <v>1034.46</v>
      </c>
      <c r="N345" s="298">
        <f t="shared" si="220"/>
        <v>218547.25000000015</v>
      </c>
      <c r="O345" s="298">
        <f t="shared" si="221"/>
        <v>554015.9700000002</v>
      </c>
      <c r="P345" s="298">
        <f t="shared" si="210"/>
        <v>158507.74999999962</v>
      </c>
      <c r="Q345" s="542">
        <f t="shared" si="211"/>
        <v>54309</v>
      </c>
      <c r="R345" s="298">
        <f t="shared" si="196"/>
        <v>0</v>
      </c>
      <c r="S345" s="535">
        <f t="shared" si="222"/>
        <v>7.7499999999999999E-2</v>
      </c>
      <c r="T345" s="298">
        <f t="shared" si="212"/>
        <v>0</v>
      </c>
      <c r="U345" s="298">
        <f t="shared" si="199"/>
        <v>0</v>
      </c>
      <c r="V345" s="298">
        <f t="shared" si="213"/>
        <v>0</v>
      </c>
      <c r="W345" s="298">
        <f t="shared" si="205"/>
        <v>0</v>
      </c>
      <c r="X345" s="298">
        <f t="shared" si="205"/>
        <v>0</v>
      </c>
      <c r="Y345" s="298">
        <f t="shared" si="200"/>
        <v>0</v>
      </c>
      <c r="Z345" s="298">
        <f t="shared" si="201"/>
        <v>378976.30999999988</v>
      </c>
      <c r="AA345" s="298">
        <f t="shared" si="202"/>
        <v>237979.58999999985</v>
      </c>
      <c r="AB345" s="298">
        <f t="shared" si="214"/>
        <v>0</v>
      </c>
      <c r="AC345" s="451">
        <f t="shared" si="223"/>
        <v>285</v>
      </c>
      <c r="AD345" s="552">
        <f t="shared" si="224"/>
        <v>155607.31999999986</v>
      </c>
      <c r="AE345" s="552">
        <f t="shared" si="194"/>
        <v>-11867.419999999913</v>
      </c>
      <c r="AF345" s="552">
        <f t="shared" si="195"/>
        <v>143739.89999999994</v>
      </c>
      <c r="AG345" s="552">
        <f t="shared" si="225"/>
        <v>-433.95</v>
      </c>
      <c r="AH345" s="552">
        <f t="shared" si="226"/>
        <v>77353.560000000114</v>
      </c>
      <c r="AI345" s="552"/>
      <c r="AJ345" s="14">
        <f t="shared" si="203"/>
        <v>-433.95</v>
      </c>
      <c r="AK345" s="14">
        <f t="shared" si="204"/>
        <v>491978.29999999906</v>
      </c>
      <c r="AL345" s="552">
        <f>IF(R345&lt;=0,0,+([1]Profit!$B$4+AM344)*$AL$1/12)</f>
        <v>0</v>
      </c>
      <c r="AM345" s="14">
        <f t="shared" si="227"/>
        <v>262755.13764632691</v>
      </c>
    </row>
    <row r="346" spans="1:39" x14ac:dyDescent="0.25">
      <c r="A346" s="542">
        <f t="shared" si="215"/>
        <v>54339</v>
      </c>
      <c r="B346" s="298">
        <f t="shared" si="216"/>
        <v>11867.419999999913</v>
      </c>
      <c r="C346" s="14">
        <f t="shared" si="206"/>
        <v>433.95</v>
      </c>
      <c r="D346" s="14">
        <f t="shared" si="228"/>
        <v>386.96999999999997</v>
      </c>
      <c r="E346" s="14">
        <f t="shared" si="207"/>
        <v>46.98</v>
      </c>
      <c r="F346" s="298">
        <f t="shared" si="217"/>
        <v>72037.340000000011</v>
      </c>
      <c r="G346" s="298">
        <f t="shared" si="218"/>
        <v>72363.349999999919</v>
      </c>
      <c r="H346" s="298">
        <f t="shared" si="208"/>
        <v>11480.449999999913</v>
      </c>
      <c r="I346" s="451">
        <f t="shared" si="209"/>
        <v>23</v>
      </c>
      <c r="J346" s="298">
        <f t="shared" si="219"/>
        <v>158507.74999999962</v>
      </c>
      <c r="K346" s="298">
        <f t="shared" si="197"/>
        <v>2701.27</v>
      </c>
      <c r="L346" s="298">
        <f t="shared" si="229"/>
        <v>1677.57</v>
      </c>
      <c r="M346" s="298">
        <f t="shared" si="198"/>
        <v>1023.7</v>
      </c>
      <c r="N346" s="298">
        <f t="shared" si="220"/>
        <v>220224.82000000015</v>
      </c>
      <c r="O346" s="298">
        <f t="shared" si="221"/>
        <v>555039.67000000016</v>
      </c>
      <c r="P346" s="298">
        <f t="shared" si="210"/>
        <v>156830.17999999961</v>
      </c>
      <c r="Q346" s="542">
        <f t="shared" si="211"/>
        <v>54339</v>
      </c>
      <c r="R346" s="298">
        <f t="shared" si="196"/>
        <v>0</v>
      </c>
      <c r="S346" s="535">
        <f t="shared" si="222"/>
        <v>7.7499999999999999E-2</v>
      </c>
      <c r="T346" s="298">
        <f t="shared" si="212"/>
        <v>0</v>
      </c>
      <c r="U346" s="298">
        <f t="shared" si="199"/>
        <v>0</v>
      </c>
      <c r="V346" s="298">
        <f t="shared" si="213"/>
        <v>0</v>
      </c>
      <c r="W346" s="298">
        <f t="shared" si="205"/>
        <v>0</v>
      </c>
      <c r="X346" s="298">
        <f t="shared" si="205"/>
        <v>0</v>
      </c>
      <c r="Y346" s="298">
        <f t="shared" si="200"/>
        <v>0</v>
      </c>
      <c r="Z346" s="298">
        <f t="shared" si="201"/>
        <v>378976.30999999988</v>
      </c>
      <c r="AA346" s="298">
        <f t="shared" si="202"/>
        <v>237979.58999999985</v>
      </c>
      <c r="AB346" s="298">
        <f t="shared" si="214"/>
        <v>0</v>
      </c>
      <c r="AC346" s="451">
        <f t="shared" si="223"/>
        <v>286</v>
      </c>
      <c r="AD346" s="552">
        <f t="shared" si="224"/>
        <v>158308.58999999985</v>
      </c>
      <c r="AE346" s="552">
        <f t="shared" si="194"/>
        <v>-11480.449999999913</v>
      </c>
      <c r="AF346" s="552">
        <f t="shared" si="195"/>
        <v>146828.13999999993</v>
      </c>
      <c r="AG346" s="552">
        <f t="shared" si="225"/>
        <v>-433.95</v>
      </c>
      <c r="AH346" s="552">
        <f t="shared" si="226"/>
        <v>77740.530000000144</v>
      </c>
      <c r="AI346" s="552"/>
      <c r="AJ346" s="14">
        <f t="shared" si="203"/>
        <v>-433.95</v>
      </c>
      <c r="AK346" s="14">
        <f t="shared" si="204"/>
        <v>491544.34999999905</v>
      </c>
      <c r="AL346" s="552">
        <f>IF(R346&lt;=0,0,+([1]Profit!$B$4+AM345)*$AL$1/12)</f>
        <v>0</v>
      </c>
      <c r="AM346" s="14">
        <f t="shared" si="227"/>
        <v>262755.13764632691</v>
      </c>
    </row>
    <row r="347" spans="1:39" x14ac:dyDescent="0.25">
      <c r="A347" s="542">
        <f t="shared" si="215"/>
        <v>54369</v>
      </c>
      <c r="B347" s="298">
        <f t="shared" si="216"/>
        <v>11480.449999999913</v>
      </c>
      <c r="C347" s="14">
        <f t="shared" si="206"/>
        <v>433.95</v>
      </c>
      <c r="D347" s="14">
        <f t="shared" si="228"/>
        <v>388.51</v>
      </c>
      <c r="E347" s="14">
        <f t="shared" si="207"/>
        <v>45.44</v>
      </c>
      <c r="F347" s="298">
        <f t="shared" si="217"/>
        <v>72425.850000000006</v>
      </c>
      <c r="G347" s="298">
        <f t="shared" si="218"/>
        <v>72408.789999999921</v>
      </c>
      <c r="H347" s="298">
        <f t="shared" si="208"/>
        <v>11091.939999999913</v>
      </c>
      <c r="I347" s="451">
        <f t="shared" si="209"/>
        <v>23</v>
      </c>
      <c r="J347" s="298">
        <f t="shared" si="219"/>
        <v>156830.17999999961</v>
      </c>
      <c r="K347" s="298">
        <f t="shared" si="197"/>
        <v>2701.27</v>
      </c>
      <c r="L347" s="298">
        <f t="shared" si="229"/>
        <v>1688.4099999999999</v>
      </c>
      <c r="M347" s="298">
        <f t="shared" si="198"/>
        <v>1012.86</v>
      </c>
      <c r="N347" s="298">
        <f t="shared" si="220"/>
        <v>221913.23000000016</v>
      </c>
      <c r="O347" s="298">
        <f t="shared" si="221"/>
        <v>556052.53000000014</v>
      </c>
      <c r="P347" s="298">
        <f t="shared" si="210"/>
        <v>155141.76999999961</v>
      </c>
      <c r="Q347" s="542">
        <f t="shared" si="211"/>
        <v>54369</v>
      </c>
      <c r="R347" s="298">
        <f t="shared" si="196"/>
        <v>0</v>
      </c>
      <c r="S347" s="535">
        <f t="shared" si="222"/>
        <v>7.7499999999999999E-2</v>
      </c>
      <c r="T347" s="298">
        <f t="shared" si="212"/>
        <v>0</v>
      </c>
      <c r="U347" s="298">
        <f t="shared" si="199"/>
        <v>0</v>
      </c>
      <c r="V347" s="298">
        <f t="shared" si="213"/>
        <v>0</v>
      </c>
      <c r="W347" s="298">
        <f t="shared" si="205"/>
        <v>0</v>
      </c>
      <c r="X347" s="298">
        <f t="shared" si="205"/>
        <v>0</v>
      </c>
      <c r="Y347" s="298">
        <f t="shared" si="200"/>
        <v>0</v>
      </c>
      <c r="Z347" s="298">
        <f t="shared" si="201"/>
        <v>378976.30999999988</v>
      </c>
      <c r="AA347" s="298">
        <f t="shared" si="202"/>
        <v>237979.58999999985</v>
      </c>
      <c r="AB347" s="298">
        <f t="shared" si="214"/>
        <v>0</v>
      </c>
      <c r="AC347" s="451">
        <f t="shared" si="223"/>
        <v>287</v>
      </c>
      <c r="AD347" s="552">
        <f t="shared" si="224"/>
        <v>161009.85999999984</v>
      </c>
      <c r="AE347" s="552">
        <f t="shared" si="194"/>
        <v>-11091.939999999913</v>
      </c>
      <c r="AF347" s="552">
        <f t="shared" si="195"/>
        <v>149917.91999999993</v>
      </c>
      <c r="AG347" s="552">
        <f t="shared" si="225"/>
        <v>-433.95</v>
      </c>
      <c r="AH347" s="552">
        <f t="shared" si="226"/>
        <v>78129.040000000095</v>
      </c>
      <c r="AI347" s="552"/>
      <c r="AJ347" s="14">
        <f t="shared" si="203"/>
        <v>-433.95</v>
      </c>
      <c r="AK347" s="14">
        <f t="shared" si="204"/>
        <v>491110.39999999903</v>
      </c>
      <c r="AL347" s="552">
        <f>IF(R347&lt;=0,0,+([1]Profit!$B$4+AM346)*$AL$1/12)</f>
        <v>0</v>
      </c>
      <c r="AM347" s="14">
        <f t="shared" si="227"/>
        <v>262755.13764632691</v>
      </c>
    </row>
    <row r="348" spans="1:39" x14ac:dyDescent="0.25">
      <c r="A348" s="542">
        <f t="shared" si="215"/>
        <v>54399</v>
      </c>
      <c r="B348" s="298">
        <f t="shared" si="216"/>
        <v>11091.939999999913</v>
      </c>
      <c r="C348" s="14">
        <f t="shared" si="206"/>
        <v>433.95</v>
      </c>
      <c r="D348" s="14">
        <f t="shared" si="228"/>
        <v>390.03999999999996</v>
      </c>
      <c r="E348" s="14">
        <f t="shared" si="207"/>
        <v>43.91</v>
      </c>
      <c r="F348" s="298">
        <f t="shared" si="217"/>
        <v>72815.89</v>
      </c>
      <c r="G348" s="298">
        <f t="shared" si="218"/>
        <v>72452.699999999924</v>
      </c>
      <c r="H348" s="298">
        <f t="shared" si="208"/>
        <v>10701.899999999914</v>
      </c>
      <c r="I348" s="451">
        <f t="shared" si="209"/>
        <v>24</v>
      </c>
      <c r="J348" s="298">
        <f t="shared" si="219"/>
        <v>155141.76999999961</v>
      </c>
      <c r="K348" s="298">
        <f t="shared" si="197"/>
        <v>2701.27</v>
      </c>
      <c r="L348" s="298">
        <f t="shared" si="229"/>
        <v>1699.31</v>
      </c>
      <c r="M348" s="298">
        <f t="shared" si="198"/>
        <v>1001.96</v>
      </c>
      <c r="N348" s="298">
        <f t="shared" si="220"/>
        <v>223612.54000000015</v>
      </c>
      <c r="O348" s="298">
        <f t="shared" si="221"/>
        <v>557054.49000000011</v>
      </c>
      <c r="P348" s="298">
        <f t="shared" si="210"/>
        <v>153442.45999999961</v>
      </c>
      <c r="Q348" s="542">
        <f t="shared" si="211"/>
        <v>54399</v>
      </c>
      <c r="R348" s="298">
        <f t="shared" si="196"/>
        <v>0</v>
      </c>
      <c r="S348" s="535">
        <f t="shared" si="222"/>
        <v>7.7499999999999999E-2</v>
      </c>
      <c r="T348" s="298">
        <f t="shared" si="212"/>
        <v>0</v>
      </c>
      <c r="U348" s="298">
        <f t="shared" si="199"/>
        <v>0</v>
      </c>
      <c r="V348" s="298">
        <f t="shared" si="213"/>
        <v>0</v>
      </c>
      <c r="W348" s="298">
        <f t="shared" ref="W348:X363" si="230">+W347</f>
        <v>0</v>
      </c>
      <c r="X348" s="298">
        <f t="shared" si="230"/>
        <v>0</v>
      </c>
      <c r="Y348" s="298">
        <f t="shared" si="200"/>
        <v>0</v>
      </c>
      <c r="Z348" s="298">
        <f t="shared" si="201"/>
        <v>378976.30999999988</v>
      </c>
      <c r="AA348" s="298">
        <f t="shared" si="202"/>
        <v>237979.58999999985</v>
      </c>
      <c r="AB348" s="298">
        <f t="shared" si="214"/>
        <v>0</v>
      </c>
      <c r="AC348" s="451">
        <f t="shared" si="223"/>
        <v>288</v>
      </c>
      <c r="AD348" s="552">
        <f t="shared" si="224"/>
        <v>163711.12999999983</v>
      </c>
      <c r="AE348" s="552">
        <f t="shared" si="194"/>
        <v>-10701.899999999914</v>
      </c>
      <c r="AF348" s="552">
        <f t="shared" si="195"/>
        <v>153009.22999999992</v>
      </c>
      <c r="AG348" s="552">
        <f t="shared" si="225"/>
        <v>-433.95</v>
      </c>
      <c r="AH348" s="552">
        <f t="shared" si="226"/>
        <v>78519.080000000133</v>
      </c>
      <c r="AI348" s="552"/>
      <c r="AJ348" s="14">
        <f t="shared" si="203"/>
        <v>-433.95</v>
      </c>
      <c r="AK348" s="14">
        <f t="shared" si="204"/>
        <v>490676.44999999902</v>
      </c>
      <c r="AL348" s="552">
        <f>IF(R348&lt;=0,0,+([1]Profit!$B$4+AM347)*$AL$1/12)</f>
        <v>0</v>
      </c>
      <c r="AM348" s="14">
        <f t="shared" si="227"/>
        <v>262755.13764632691</v>
      </c>
    </row>
    <row r="349" spans="1:39" x14ac:dyDescent="0.25">
      <c r="A349" s="542">
        <f t="shared" si="215"/>
        <v>54429</v>
      </c>
      <c r="B349" s="298">
        <f t="shared" si="216"/>
        <v>10701.899999999914</v>
      </c>
      <c r="C349" s="14">
        <f t="shared" si="206"/>
        <v>433.95</v>
      </c>
      <c r="D349" s="14">
        <f t="shared" si="228"/>
        <v>391.59</v>
      </c>
      <c r="E349" s="14">
        <f t="shared" si="207"/>
        <v>42.36</v>
      </c>
      <c r="F349" s="298">
        <f t="shared" si="217"/>
        <v>73207.48</v>
      </c>
      <c r="G349" s="298">
        <f t="shared" si="218"/>
        <v>72495.059999999925</v>
      </c>
      <c r="H349" s="298">
        <f t="shared" si="208"/>
        <v>10310.309999999914</v>
      </c>
      <c r="I349" s="451">
        <f t="shared" si="209"/>
        <v>24</v>
      </c>
      <c r="J349" s="298">
        <f t="shared" si="219"/>
        <v>153442.45999999961</v>
      </c>
      <c r="K349" s="298">
        <f t="shared" si="197"/>
        <v>2701.27</v>
      </c>
      <c r="L349" s="298">
        <f t="shared" si="229"/>
        <v>1710.29</v>
      </c>
      <c r="M349" s="298">
        <f t="shared" si="198"/>
        <v>990.98</v>
      </c>
      <c r="N349" s="298">
        <f t="shared" si="220"/>
        <v>225322.83000000016</v>
      </c>
      <c r="O349" s="298">
        <f t="shared" si="221"/>
        <v>558045.47000000009</v>
      </c>
      <c r="P349" s="298">
        <f t="shared" si="210"/>
        <v>151732.16999999961</v>
      </c>
      <c r="Q349" s="542">
        <f t="shared" si="211"/>
        <v>54429</v>
      </c>
      <c r="R349" s="298">
        <f t="shared" si="196"/>
        <v>0</v>
      </c>
      <c r="S349" s="535">
        <f t="shared" si="222"/>
        <v>7.7499999999999999E-2</v>
      </c>
      <c r="T349" s="298">
        <f t="shared" si="212"/>
        <v>0</v>
      </c>
      <c r="U349" s="298">
        <f t="shared" si="199"/>
        <v>0</v>
      </c>
      <c r="V349" s="298">
        <f t="shared" si="213"/>
        <v>0</v>
      </c>
      <c r="W349" s="298">
        <f t="shared" si="230"/>
        <v>0</v>
      </c>
      <c r="X349" s="298">
        <f t="shared" si="230"/>
        <v>0</v>
      </c>
      <c r="Y349" s="298">
        <f t="shared" si="200"/>
        <v>0</v>
      </c>
      <c r="Z349" s="298">
        <f t="shared" si="201"/>
        <v>378976.30999999988</v>
      </c>
      <c r="AA349" s="298">
        <f t="shared" si="202"/>
        <v>237979.58999999985</v>
      </c>
      <c r="AB349" s="298">
        <f t="shared" si="214"/>
        <v>0</v>
      </c>
      <c r="AC349" s="451">
        <f t="shared" si="223"/>
        <v>289</v>
      </c>
      <c r="AD349" s="552">
        <f t="shared" si="224"/>
        <v>166412.39999999982</v>
      </c>
      <c r="AE349" s="552">
        <f t="shared" si="194"/>
        <v>-10310.309999999914</v>
      </c>
      <c r="AF349" s="552">
        <f t="shared" si="195"/>
        <v>156102.08999999991</v>
      </c>
      <c r="AG349" s="552">
        <f t="shared" si="225"/>
        <v>-433.95</v>
      </c>
      <c r="AH349" s="552">
        <f t="shared" si="226"/>
        <v>78910.6700000001</v>
      </c>
      <c r="AI349" s="552"/>
      <c r="AJ349" s="14">
        <f t="shared" si="203"/>
        <v>-433.95</v>
      </c>
      <c r="AK349" s="14">
        <f t="shared" si="204"/>
        <v>490242.49999999901</v>
      </c>
      <c r="AL349" s="552">
        <f>IF(R349&lt;=0,0,+([1]Profit!$B$4+AM348)*$AL$1/12)</f>
        <v>0</v>
      </c>
      <c r="AM349" s="14">
        <f t="shared" si="227"/>
        <v>262755.13764632691</v>
      </c>
    </row>
    <row r="350" spans="1:39" ht="15.75" thickBot="1" x14ac:dyDescent="0.3">
      <c r="A350" s="545">
        <f t="shared" si="215"/>
        <v>54459</v>
      </c>
      <c r="B350" s="371">
        <f t="shared" si="216"/>
        <v>10310.309999999914</v>
      </c>
      <c r="C350" s="21">
        <f t="shared" si="206"/>
        <v>433.95</v>
      </c>
      <c r="D350" s="21">
        <f t="shared" si="228"/>
        <v>393.14</v>
      </c>
      <c r="E350" s="21">
        <f t="shared" si="207"/>
        <v>40.81</v>
      </c>
      <c r="F350" s="371">
        <f t="shared" si="217"/>
        <v>73600.62</v>
      </c>
      <c r="G350" s="371">
        <f t="shared" si="218"/>
        <v>72535.869999999923</v>
      </c>
      <c r="H350" s="371">
        <f t="shared" si="208"/>
        <v>9917.1699999999146</v>
      </c>
      <c r="I350" s="452">
        <f t="shared" si="209"/>
        <v>24</v>
      </c>
      <c r="J350" s="371">
        <f t="shared" si="219"/>
        <v>151732.16999999961</v>
      </c>
      <c r="K350" s="371">
        <f t="shared" si="197"/>
        <v>2701.27</v>
      </c>
      <c r="L350" s="371">
        <f t="shared" si="229"/>
        <v>1721.33</v>
      </c>
      <c r="M350" s="371">
        <f t="shared" si="198"/>
        <v>979.94</v>
      </c>
      <c r="N350" s="371">
        <f t="shared" si="220"/>
        <v>227044.16000000015</v>
      </c>
      <c r="O350" s="371">
        <f t="shared" si="221"/>
        <v>559025.41</v>
      </c>
      <c r="P350" s="371">
        <f t="shared" si="210"/>
        <v>150010.83999999962</v>
      </c>
      <c r="Q350" s="545">
        <f t="shared" si="211"/>
        <v>54459</v>
      </c>
      <c r="R350" s="371">
        <f t="shared" si="196"/>
        <v>0</v>
      </c>
      <c r="S350" s="536">
        <f t="shared" si="222"/>
        <v>7.7499999999999999E-2</v>
      </c>
      <c r="T350" s="371">
        <f t="shared" si="212"/>
        <v>0</v>
      </c>
      <c r="U350" s="371">
        <f t="shared" si="199"/>
        <v>0</v>
      </c>
      <c r="V350" s="371">
        <f t="shared" si="213"/>
        <v>0</v>
      </c>
      <c r="W350" s="371">
        <f t="shared" si="230"/>
        <v>0</v>
      </c>
      <c r="X350" s="371">
        <f t="shared" si="230"/>
        <v>0</v>
      </c>
      <c r="Y350" s="371">
        <f t="shared" si="200"/>
        <v>0</v>
      </c>
      <c r="Z350" s="371">
        <f t="shared" si="201"/>
        <v>378976.30999999988</v>
      </c>
      <c r="AA350" s="371">
        <f t="shared" si="202"/>
        <v>237979.58999999985</v>
      </c>
      <c r="AB350" s="371">
        <f t="shared" si="214"/>
        <v>0</v>
      </c>
      <c r="AC350" s="452">
        <f t="shared" si="223"/>
        <v>290</v>
      </c>
      <c r="AD350" s="553">
        <f t="shared" si="224"/>
        <v>169113.66999999981</v>
      </c>
      <c r="AE350" s="553">
        <f t="shared" si="194"/>
        <v>-9917.1699999999146</v>
      </c>
      <c r="AF350" s="553">
        <f t="shared" si="195"/>
        <v>159196.49999999988</v>
      </c>
      <c r="AG350" s="553">
        <f t="shared" si="225"/>
        <v>-433.95</v>
      </c>
      <c r="AH350" s="553">
        <f t="shared" si="226"/>
        <v>79303.810000000114</v>
      </c>
      <c r="AI350" s="553"/>
      <c r="AJ350" s="21">
        <f t="shared" si="203"/>
        <v>-433.95</v>
      </c>
      <c r="AK350" s="21">
        <f t="shared" si="204"/>
        <v>489808.549999999</v>
      </c>
      <c r="AL350" s="553">
        <f>IF(R350&lt;=0,0,+([1]Profit!$B$4+AM349)*$AL$1/12)</f>
        <v>0</v>
      </c>
      <c r="AM350" s="21">
        <f t="shared" si="227"/>
        <v>262755.13764632691</v>
      </c>
    </row>
    <row r="351" spans="1:39" x14ac:dyDescent="0.25">
      <c r="A351" s="542">
        <f t="shared" si="215"/>
        <v>54489</v>
      </c>
      <c r="B351" s="298">
        <f t="shared" si="216"/>
        <v>9917.1699999999146</v>
      </c>
      <c r="C351" s="14">
        <f t="shared" si="206"/>
        <v>433.95</v>
      </c>
      <c r="D351" s="14">
        <f t="shared" si="228"/>
        <v>394.69</v>
      </c>
      <c r="E351" s="14">
        <f t="shared" si="207"/>
        <v>39.26</v>
      </c>
      <c r="F351" s="298">
        <f t="shared" si="217"/>
        <v>73995.31</v>
      </c>
      <c r="G351" s="298">
        <f t="shared" si="218"/>
        <v>72575.129999999917</v>
      </c>
      <c r="H351" s="298">
        <f t="shared" si="208"/>
        <v>9522.4799999999141</v>
      </c>
      <c r="I351" s="451">
        <f t="shared" si="209"/>
        <v>24</v>
      </c>
      <c r="J351" s="298">
        <f t="shared" si="219"/>
        <v>150010.83999999962</v>
      </c>
      <c r="K351" s="298">
        <f t="shared" si="197"/>
        <v>2701.27</v>
      </c>
      <c r="L351" s="298">
        <f t="shared" si="229"/>
        <v>1732.4499999999998</v>
      </c>
      <c r="M351" s="298">
        <f t="shared" si="198"/>
        <v>968.82</v>
      </c>
      <c r="N351" s="298">
        <f t="shared" si="220"/>
        <v>228776.61000000016</v>
      </c>
      <c r="O351" s="298">
        <f t="shared" si="221"/>
        <v>559994.23</v>
      </c>
      <c r="P351" s="298">
        <f t="shared" si="210"/>
        <v>148278.38999999961</v>
      </c>
      <c r="Q351" s="542">
        <f t="shared" si="211"/>
        <v>54489</v>
      </c>
      <c r="R351" s="298">
        <f t="shared" si="196"/>
        <v>0</v>
      </c>
      <c r="S351" s="535">
        <f t="shared" si="222"/>
        <v>7.7499999999999999E-2</v>
      </c>
      <c r="T351" s="298">
        <f t="shared" si="212"/>
        <v>0</v>
      </c>
      <c r="U351" s="298">
        <f t="shared" si="199"/>
        <v>0</v>
      </c>
      <c r="V351" s="298">
        <f t="shared" si="213"/>
        <v>0</v>
      </c>
      <c r="W351" s="298">
        <f t="shared" si="230"/>
        <v>0</v>
      </c>
      <c r="X351" s="298">
        <f t="shared" si="230"/>
        <v>0</v>
      </c>
      <c r="Y351" s="298">
        <f t="shared" si="200"/>
        <v>0</v>
      </c>
      <c r="Z351" s="298">
        <f t="shared" si="201"/>
        <v>378976.30999999988</v>
      </c>
      <c r="AA351" s="298">
        <f t="shared" si="202"/>
        <v>237979.58999999985</v>
      </c>
      <c r="AB351" s="298">
        <f t="shared" si="214"/>
        <v>0</v>
      </c>
      <c r="AC351" s="451">
        <f t="shared" si="223"/>
        <v>291</v>
      </c>
      <c r="AD351" s="552">
        <f t="shared" si="224"/>
        <v>171814.9399999998</v>
      </c>
      <c r="AE351" s="552">
        <f t="shared" si="194"/>
        <v>-9522.4799999999141</v>
      </c>
      <c r="AF351" s="552">
        <f t="shared" si="195"/>
        <v>162292.45999999988</v>
      </c>
      <c r="AG351" s="552">
        <f t="shared" si="225"/>
        <v>-433.95</v>
      </c>
      <c r="AH351" s="552">
        <f t="shared" si="226"/>
        <v>79698.500000000116</v>
      </c>
      <c r="AI351" s="552"/>
      <c r="AJ351" s="14">
        <f t="shared" si="203"/>
        <v>-433.95</v>
      </c>
      <c r="AK351" s="14">
        <f t="shared" si="204"/>
        <v>489374.59999999899</v>
      </c>
      <c r="AL351" s="552">
        <f>IF(R351&lt;=0,0,+([1]Profit!$B$4+AM350)*$AL$1/12)</f>
        <v>0</v>
      </c>
      <c r="AM351" s="14">
        <f t="shared" si="227"/>
        <v>262755.13764632691</v>
      </c>
    </row>
    <row r="352" spans="1:39" x14ac:dyDescent="0.25">
      <c r="A352" s="542">
        <f t="shared" si="215"/>
        <v>54519</v>
      </c>
      <c r="B352" s="298">
        <f t="shared" si="216"/>
        <v>9522.4799999999141</v>
      </c>
      <c r="C352" s="14">
        <f t="shared" si="206"/>
        <v>433.95</v>
      </c>
      <c r="D352" s="14">
        <f t="shared" si="228"/>
        <v>396.26</v>
      </c>
      <c r="E352" s="14">
        <f t="shared" si="207"/>
        <v>37.69</v>
      </c>
      <c r="F352" s="298">
        <f t="shared" si="217"/>
        <v>74391.569999999992</v>
      </c>
      <c r="G352" s="298">
        <f t="shared" si="218"/>
        <v>72612.81999999992</v>
      </c>
      <c r="H352" s="298">
        <f t="shared" si="208"/>
        <v>9126.2199999999139</v>
      </c>
      <c r="I352" s="451">
        <f t="shared" si="209"/>
        <v>24</v>
      </c>
      <c r="J352" s="298">
        <f t="shared" si="219"/>
        <v>148278.38999999961</v>
      </c>
      <c r="K352" s="298">
        <f t="shared" si="197"/>
        <v>2701.27</v>
      </c>
      <c r="L352" s="298">
        <f t="shared" si="229"/>
        <v>1743.6399999999999</v>
      </c>
      <c r="M352" s="298">
        <f t="shared" si="198"/>
        <v>957.63</v>
      </c>
      <c r="N352" s="298">
        <f t="shared" si="220"/>
        <v>230520.25000000017</v>
      </c>
      <c r="O352" s="298">
        <f t="shared" si="221"/>
        <v>560951.86</v>
      </c>
      <c r="P352" s="298">
        <f t="shared" si="210"/>
        <v>146534.74999999959</v>
      </c>
      <c r="Q352" s="542">
        <f t="shared" si="211"/>
        <v>54519</v>
      </c>
      <c r="R352" s="298">
        <f t="shared" si="196"/>
        <v>0</v>
      </c>
      <c r="S352" s="535">
        <f t="shared" si="222"/>
        <v>7.7499999999999999E-2</v>
      </c>
      <c r="T352" s="298">
        <f t="shared" si="212"/>
        <v>0</v>
      </c>
      <c r="U352" s="298">
        <f t="shared" si="199"/>
        <v>0</v>
      </c>
      <c r="V352" s="298">
        <f t="shared" si="213"/>
        <v>0</v>
      </c>
      <c r="W352" s="298">
        <f t="shared" si="230"/>
        <v>0</v>
      </c>
      <c r="X352" s="298">
        <f t="shared" si="230"/>
        <v>0</v>
      </c>
      <c r="Y352" s="298">
        <f t="shared" si="200"/>
        <v>0</v>
      </c>
      <c r="Z352" s="298">
        <f t="shared" si="201"/>
        <v>378976.30999999988</v>
      </c>
      <c r="AA352" s="298">
        <f t="shared" si="202"/>
        <v>237979.58999999985</v>
      </c>
      <c r="AB352" s="298">
        <f t="shared" si="214"/>
        <v>0</v>
      </c>
      <c r="AC352" s="451">
        <f t="shared" si="223"/>
        <v>292</v>
      </c>
      <c r="AD352" s="552">
        <f t="shared" si="224"/>
        <v>174516.20999999979</v>
      </c>
      <c r="AE352" s="552">
        <f t="shared" si="194"/>
        <v>-9126.2199999999139</v>
      </c>
      <c r="AF352" s="552">
        <f t="shared" si="195"/>
        <v>165389.98999999987</v>
      </c>
      <c r="AG352" s="552">
        <f t="shared" si="225"/>
        <v>-433.95</v>
      </c>
      <c r="AH352" s="552">
        <f t="shared" si="226"/>
        <v>80094.760000000126</v>
      </c>
      <c r="AI352" s="552"/>
      <c r="AJ352" s="14">
        <f t="shared" si="203"/>
        <v>-433.95</v>
      </c>
      <c r="AK352" s="14">
        <f t="shared" si="204"/>
        <v>488940.64999999898</v>
      </c>
      <c r="AL352" s="552">
        <f>IF(R352&lt;=0,0,+([1]Profit!$B$4+AM351)*$AL$1/12)</f>
        <v>0</v>
      </c>
      <c r="AM352" s="14">
        <f t="shared" si="227"/>
        <v>262755.13764632691</v>
      </c>
    </row>
    <row r="353" spans="1:39" x14ac:dyDescent="0.25">
      <c r="A353" s="542">
        <f t="shared" si="215"/>
        <v>54549</v>
      </c>
      <c r="B353" s="298">
        <f t="shared" si="216"/>
        <v>9126.2199999999139</v>
      </c>
      <c r="C353" s="14">
        <f t="shared" si="206"/>
        <v>433.95</v>
      </c>
      <c r="D353" s="14">
        <f t="shared" si="228"/>
        <v>397.83</v>
      </c>
      <c r="E353" s="14">
        <f t="shared" si="207"/>
        <v>36.119999999999997</v>
      </c>
      <c r="F353" s="298">
        <f t="shared" si="217"/>
        <v>74789.399999999994</v>
      </c>
      <c r="G353" s="298">
        <f t="shared" si="218"/>
        <v>72648.939999999915</v>
      </c>
      <c r="H353" s="298">
        <f t="shared" si="208"/>
        <v>8728.3899999999139</v>
      </c>
      <c r="I353" s="451">
        <f t="shared" si="209"/>
        <v>24</v>
      </c>
      <c r="J353" s="298">
        <f t="shared" si="219"/>
        <v>146534.74999999959</v>
      </c>
      <c r="K353" s="298">
        <f t="shared" si="197"/>
        <v>2701.27</v>
      </c>
      <c r="L353" s="298">
        <f t="shared" si="229"/>
        <v>1754.9</v>
      </c>
      <c r="M353" s="298">
        <f t="shared" si="198"/>
        <v>946.37</v>
      </c>
      <c r="N353" s="298">
        <f t="shared" si="220"/>
        <v>232275.15000000017</v>
      </c>
      <c r="O353" s="298">
        <f t="shared" si="221"/>
        <v>561898.23</v>
      </c>
      <c r="P353" s="298">
        <f t="shared" si="210"/>
        <v>144779.8499999996</v>
      </c>
      <c r="Q353" s="542">
        <f t="shared" si="211"/>
        <v>54549</v>
      </c>
      <c r="R353" s="298">
        <f t="shared" si="196"/>
        <v>0</v>
      </c>
      <c r="S353" s="535">
        <f t="shared" si="222"/>
        <v>7.7499999999999999E-2</v>
      </c>
      <c r="T353" s="298">
        <f t="shared" si="212"/>
        <v>0</v>
      </c>
      <c r="U353" s="298">
        <f t="shared" si="199"/>
        <v>0</v>
      </c>
      <c r="V353" s="298">
        <f t="shared" si="213"/>
        <v>0</v>
      </c>
      <c r="W353" s="298">
        <f t="shared" si="230"/>
        <v>0</v>
      </c>
      <c r="X353" s="298">
        <f t="shared" si="230"/>
        <v>0</v>
      </c>
      <c r="Y353" s="298">
        <f t="shared" si="200"/>
        <v>0</v>
      </c>
      <c r="Z353" s="298">
        <f t="shared" si="201"/>
        <v>378976.30999999988</v>
      </c>
      <c r="AA353" s="298">
        <f t="shared" si="202"/>
        <v>237979.58999999985</v>
      </c>
      <c r="AB353" s="298">
        <f t="shared" si="214"/>
        <v>0</v>
      </c>
      <c r="AC353" s="451">
        <f t="shared" si="223"/>
        <v>293</v>
      </c>
      <c r="AD353" s="552">
        <f t="shared" si="224"/>
        <v>177217.47999999978</v>
      </c>
      <c r="AE353" s="552">
        <f t="shared" si="194"/>
        <v>-8728.3899999999139</v>
      </c>
      <c r="AF353" s="552">
        <f t="shared" si="195"/>
        <v>168489.08999999985</v>
      </c>
      <c r="AG353" s="552">
        <f t="shared" si="225"/>
        <v>-433.95</v>
      </c>
      <c r="AH353" s="552">
        <f t="shared" si="226"/>
        <v>80492.590000000142</v>
      </c>
      <c r="AI353" s="552"/>
      <c r="AJ353" s="14">
        <f t="shared" si="203"/>
        <v>-433.95</v>
      </c>
      <c r="AK353" s="14">
        <f t="shared" si="204"/>
        <v>488506.69999999896</v>
      </c>
      <c r="AL353" s="552">
        <f>IF(R353&lt;=0,0,+([1]Profit!$B$4+AM352)*$AL$1/12)</f>
        <v>0</v>
      </c>
      <c r="AM353" s="14">
        <f t="shared" si="227"/>
        <v>262755.13764632691</v>
      </c>
    </row>
    <row r="354" spans="1:39" x14ac:dyDescent="0.25">
      <c r="A354" s="542">
        <f t="shared" si="215"/>
        <v>54579</v>
      </c>
      <c r="B354" s="298">
        <f t="shared" si="216"/>
        <v>8728.3899999999139</v>
      </c>
      <c r="C354" s="14">
        <f t="shared" si="206"/>
        <v>433.95</v>
      </c>
      <c r="D354" s="14">
        <f t="shared" si="228"/>
        <v>399.4</v>
      </c>
      <c r="E354" s="14">
        <f t="shared" si="207"/>
        <v>34.549999999999997</v>
      </c>
      <c r="F354" s="298">
        <f t="shared" si="217"/>
        <v>75188.799999999988</v>
      </c>
      <c r="G354" s="298">
        <f t="shared" si="218"/>
        <v>72683.489999999918</v>
      </c>
      <c r="H354" s="298">
        <f t="shared" si="208"/>
        <v>8328.9899999999143</v>
      </c>
      <c r="I354" s="451">
        <f t="shared" si="209"/>
        <v>24</v>
      </c>
      <c r="J354" s="298">
        <f t="shared" si="219"/>
        <v>144779.8499999996</v>
      </c>
      <c r="K354" s="298">
        <f t="shared" si="197"/>
        <v>2701.27</v>
      </c>
      <c r="L354" s="298">
        <f t="shared" si="229"/>
        <v>1766.23</v>
      </c>
      <c r="M354" s="298">
        <f t="shared" si="198"/>
        <v>935.04</v>
      </c>
      <c r="N354" s="298">
        <f t="shared" si="220"/>
        <v>234041.38000000018</v>
      </c>
      <c r="O354" s="298">
        <f t="shared" si="221"/>
        <v>562833.27</v>
      </c>
      <c r="P354" s="298">
        <f t="shared" si="210"/>
        <v>143013.61999999959</v>
      </c>
      <c r="Q354" s="542">
        <f t="shared" si="211"/>
        <v>54579</v>
      </c>
      <c r="R354" s="298">
        <f t="shared" si="196"/>
        <v>0</v>
      </c>
      <c r="S354" s="535">
        <f t="shared" si="222"/>
        <v>7.7499999999999999E-2</v>
      </c>
      <c r="T354" s="298">
        <f t="shared" si="212"/>
        <v>0</v>
      </c>
      <c r="U354" s="298">
        <f t="shared" si="199"/>
        <v>0</v>
      </c>
      <c r="V354" s="298">
        <f t="shared" si="213"/>
        <v>0</v>
      </c>
      <c r="W354" s="298">
        <f t="shared" si="230"/>
        <v>0</v>
      </c>
      <c r="X354" s="298">
        <f t="shared" si="230"/>
        <v>0</v>
      </c>
      <c r="Y354" s="298">
        <f t="shared" si="200"/>
        <v>0</v>
      </c>
      <c r="Z354" s="298">
        <f t="shared" si="201"/>
        <v>378976.30999999988</v>
      </c>
      <c r="AA354" s="298">
        <f t="shared" si="202"/>
        <v>237979.58999999985</v>
      </c>
      <c r="AB354" s="298">
        <f t="shared" si="214"/>
        <v>0</v>
      </c>
      <c r="AC354" s="451">
        <f t="shared" si="223"/>
        <v>294</v>
      </c>
      <c r="AD354" s="552">
        <f t="shared" si="224"/>
        <v>179918.74999999977</v>
      </c>
      <c r="AE354" s="552">
        <f t="shared" si="194"/>
        <v>-8328.9899999999143</v>
      </c>
      <c r="AF354" s="552">
        <f t="shared" si="195"/>
        <v>171589.75999999986</v>
      </c>
      <c r="AG354" s="552">
        <f t="shared" si="225"/>
        <v>-433.95</v>
      </c>
      <c r="AH354" s="552">
        <f t="shared" si="226"/>
        <v>80891.990000000107</v>
      </c>
      <c r="AI354" s="552"/>
      <c r="AJ354" s="14">
        <f t="shared" si="203"/>
        <v>-433.95</v>
      </c>
      <c r="AK354" s="14">
        <f t="shared" si="204"/>
        <v>488072.74999999895</v>
      </c>
      <c r="AL354" s="552">
        <f>IF(R354&lt;=0,0,+([1]Profit!$B$4+AM353)*$AL$1/12)</f>
        <v>0</v>
      </c>
      <c r="AM354" s="14">
        <f t="shared" si="227"/>
        <v>262755.13764632691</v>
      </c>
    </row>
    <row r="355" spans="1:39" x14ac:dyDescent="0.25">
      <c r="A355" s="542">
        <f t="shared" si="215"/>
        <v>54609</v>
      </c>
      <c r="B355" s="298">
        <f t="shared" si="216"/>
        <v>8328.9899999999143</v>
      </c>
      <c r="C355" s="14">
        <f t="shared" si="206"/>
        <v>433.95</v>
      </c>
      <c r="D355" s="14">
        <f t="shared" si="228"/>
        <v>400.98</v>
      </c>
      <c r="E355" s="14">
        <f t="shared" si="207"/>
        <v>32.97</v>
      </c>
      <c r="F355" s="298">
        <f t="shared" si="217"/>
        <v>75589.779999999984</v>
      </c>
      <c r="G355" s="298">
        <f t="shared" si="218"/>
        <v>72716.459999999919</v>
      </c>
      <c r="H355" s="298">
        <f t="shared" si="208"/>
        <v>7928.0099999999147</v>
      </c>
      <c r="I355" s="451">
        <f t="shared" si="209"/>
        <v>24</v>
      </c>
      <c r="J355" s="298">
        <f t="shared" si="219"/>
        <v>143013.61999999959</v>
      </c>
      <c r="K355" s="298">
        <f t="shared" si="197"/>
        <v>2701.27</v>
      </c>
      <c r="L355" s="298">
        <f t="shared" si="229"/>
        <v>1777.6399999999999</v>
      </c>
      <c r="M355" s="298">
        <f t="shared" si="198"/>
        <v>923.63</v>
      </c>
      <c r="N355" s="298">
        <f t="shared" si="220"/>
        <v>235819.02000000019</v>
      </c>
      <c r="O355" s="298">
        <f t="shared" si="221"/>
        <v>563756.9</v>
      </c>
      <c r="P355" s="298">
        <f t="shared" si="210"/>
        <v>141235.97999999957</v>
      </c>
      <c r="Q355" s="542">
        <f t="shared" si="211"/>
        <v>54609</v>
      </c>
      <c r="R355" s="298">
        <f t="shared" si="196"/>
        <v>0</v>
      </c>
      <c r="S355" s="535">
        <f t="shared" si="222"/>
        <v>7.7499999999999999E-2</v>
      </c>
      <c r="T355" s="298">
        <f t="shared" si="212"/>
        <v>0</v>
      </c>
      <c r="U355" s="298">
        <f t="shared" si="199"/>
        <v>0</v>
      </c>
      <c r="V355" s="298">
        <f t="shared" si="213"/>
        <v>0</v>
      </c>
      <c r="W355" s="298">
        <f t="shared" si="230"/>
        <v>0</v>
      </c>
      <c r="X355" s="298">
        <f t="shared" si="230"/>
        <v>0</v>
      </c>
      <c r="Y355" s="298">
        <f t="shared" si="200"/>
        <v>0</v>
      </c>
      <c r="Z355" s="298">
        <f t="shared" si="201"/>
        <v>378976.30999999988</v>
      </c>
      <c r="AA355" s="298">
        <f t="shared" si="202"/>
        <v>237979.58999999985</v>
      </c>
      <c r="AB355" s="298">
        <f t="shared" si="214"/>
        <v>0</v>
      </c>
      <c r="AC355" s="451">
        <f t="shared" si="223"/>
        <v>295</v>
      </c>
      <c r="AD355" s="552">
        <f t="shared" si="224"/>
        <v>182620.01999999976</v>
      </c>
      <c r="AE355" s="552">
        <f t="shared" si="194"/>
        <v>-7928.0099999999147</v>
      </c>
      <c r="AF355" s="552">
        <f t="shared" si="195"/>
        <v>174692.00999999983</v>
      </c>
      <c r="AG355" s="552">
        <f t="shared" si="225"/>
        <v>-433.95</v>
      </c>
      <c r="AH355" s="552">
        <f t="shared" si="226"/>
        <v>81292.970000000088</v>
      </c>
      <c r="AI355" s="552"/>
      <c r="AJ355" s="14">
        <f t="shared" si="203"/>
        <v>-433.95</v>
      </c>
      <c r="AK355" s="14">
        <f t="shared" si="204"/>
        <v>487638.79999999894</v>
      </c>
      <c r="AL355" s="552">
        <f>IF(R355&lt;=0,0,+([1]Profit!$B$4+AM354)*$AL$1/12)</f>
        <v>0</v>
      </c>
      <c r="AM355" s="14">
        <f t="shared" si="227"/>
        <v>262755.13764632691</v>
      </c>
    </row>
    <row r="356" spans="1:39" x14ac:dyDescent="0.25">
      <c r="A356" s="542">
        <f t="shared" si="215"/>
        <v>54639</v>
      </c>
      <c r="B356" s="298">
        <f t="shared" si="216"/>
        <v>7928.0099999999147</v>
      </c>
      <c r="C356" s="14">
        <f t="shared" si="206"/>
        <v>433.95</v>
      </c>
      <c r="D356" s="14">
        <f t="shared" si="228"/>
        <v>402.57</v>
      </c>
      <c r="E356" s="14">
        <f t="shared" si="207"/>
        <v>31.38</v>
      </c>
      <c r="F356" s="298">
        <f t="shared" si="217"/>
        <v>75992.349999999991</v>
      </c>
      <c r="G356" s="298">
        <f t="shared" si="218"/>
        <v>72747.839999999924</v>
      </c>
      <c r="H356" s="298">
        <f t="shared" si="208"/>
        <v>7525.439999999915</v>
      </c>
      <c r="I356" s="451">
        <f t="shared" si="209"/>
        <v>24</v>
      </c>
      <c r="J356" s="298">
        <f t="shared" si="219"/>
        <v>141235.97999999957</v>
      </c>
      <c r="K356" s="298">
        <f t="shared" si="197"/>
        <v>2701.27</v>
      </c>
      <c r="L356" s="298">
        <f t="shared" si="229"/>
        <v>1789.12</v>
      </c>
      <c r="M356" s="298">
        <f t="shared" si="198"/>
        <v>912.15</v>
      </c>
      <c r="N356" s="298">
        <f t="shared" si="220"/>
        <v>237608.14000000019</v>
      </c>
      <c r="O356" s="298">
        <f t="shared" si="221"/>
        <v>564669.05000000005</v>
      </c>
      <c r="P356" s="298">
        <f t="shared" si="210"/>
        <v>139446.85999999958</v>
      </c>
      <c r="Q356" s="542">
        <f t="shared" si="211"/>
        <v>54639</v>
      </c>
      <c r="R356" s="298">
        <f t="shared" si="196"/>
        <v>0</v>
      </c>
      <c r="S356" s="535">
        <f t="shared" si="222"/>
        <v>7.7499999999999999E-2</v>
      </c>
      <c r="T356" s="298">
        <f t="shared" si="212"/>
        <v>0</v>
      </c>
      <c r="U356" s="298">
        <f t="shared" si="199"/>
        <v>0</v>
      </c>
      <c r="V356" s="298">
        <f t="shared" si="213"/>
        <v>0</v>
      </c>
      <c r="W356" s="298">
        <f t="shared" si="230"/>
        <v>0</v>
      </c>
      <c r="X356" s="298">
        <f t="shared" si="230"/>
        <v>0</v>
      </c>
      <c r="Y356" s="298">
        <f t="shared" si="200"/>
        <v>0</v>
      </c>
      <c r="Z356" s="298">
        <f t="shared" si="201"/>
        <v>378976.30999999988</v>
      </c>
      <c r="AA356" s="298">
        <f t="shared" si="202"/>
        <v>237979.58999999985</v>
      </c>
      <c r="AB356" s="298">
        <f t="shared" si="214"/>
        <v>0</v>
      </c>
      <c r="AC356" s="451">
        <f t="shared" si="223"/>
        <v>296</v>
      </c>
      <c r="AD356" s="552">
        <f t="shared" si="224"/>
        <v>185321.28999999975</v>
      </c>
      <c r="AE356" s="552">
        <f t="shared" si="194"/>
        <v>-7525.439999999915</v>
      </c>
      <c r="AF356" s="552">
        <f t="shared" si="195"/>
        <v>177795.84999999983</v>
      </c>
      <c r="AG356" s="552">
        <f t="shared" si="225"/>
        <v>-433.95</v>
      </c>
      <c r="AH356" s="552">
        <f t="shared" si="226"/>
        <v>81695.540000000095</v>
      </c>
      <c r="AI356" s="552"/>
      <c r="AJ356" s="14">
        <f t="shared" si="203"/>
        <v>-433.95</v>
      </c>
      <c r="AK356" s="14">
        <f t="shared" si="204"/>
        <v>487204.84999999893</v>
      </c>
      <c r="AL356" s="552">
        <f>IF(R356&lt;=0,0,+([1]Profit!$B$4+AM355)*$AL$1/12)</f>
        <v>0</v>
      </c>
      <c r="AM356" s="14">
        <f t="shared" si="227"/>
        <v>262755.13764632691</v>
      </c>
    </row>
    <row r="357" spans="1:39" x14ac:dyDescent="0.25">
      <c r="A357" s="542">
        <f t="shared" si="215"/>
        <v>54669</v>
      </c>
      <c r="B357" s="298">
        <f t="shared" si="216"/>
        <v>7525.439999999915</v>
      </c>
      <c r="C357" s="14">
        <f t="shared" si="206"/>
        <v>433.95</v>
      </c>
      <c r="D357" s="14">
        <f t="shared" si="228"/>
        <v>404.15999999999997</v>
      </c>
      <c r="E357" s="14">
        <f t="shared" si="207"/>
        <v>29.79</v>
      </c>
      <c r="F357" s="298">
        <f t="shared" si="217"/>
        <v>76396.509999999995</v>
      </c>
      <c r="G357" s="298">
        <f t="shared" si="218"/>
        <v>72777.629999999917</v>
      </c>
      <c r="H357" s="298">
        <f t="shared" si="208"/>
        <v>7121.2799999999152</v>
      </c>
      <c r="I357" s="451">
        <f t="shared" si="209"/>
        <v>24</v>
      </c>
      <c r="J357" s="298">
        <f t="shared" si="219"/>
        <v>139446.85999999958</v>
      </c>
      <c r="K357" s="298">
        <f t="shared" si="197"/>
        <v>2701.27</v>
      </c>
      <c r="L357" s="298">
        <f t="shared" si="229"/>
        <v>1800.6799999999998</v>
      </c>
      <c r="M357" s="298">
        <f t="shared" si="198"/>
        <v>900.59</v>
      </c>
      <c r="N357" s="298">
        <f t="shared" si="220"/>
        <v>239408.82000000018</v>
      </c>
      <c r="O357" s="298">
        <f t="shared" si="221"/>
        <v>565569.64</v>
      </c>
      <c r="P357" s="298">
        <f t="shared" si="210"/>
        <v>137646.17999999959</v>
      </c>
      <c r="Q357" s="542">
        <f t="shared" si="211"/>
        <v>54669</v>
      </c>
      <c r="R357" s="298">
        <f t="shared" si="196"/>
        <v>0</v>
      </c>
      <c r="S357" s="535">
        <f t="shared" si="222"/>
        <v>7.7499999999999999E-2</v>
      </c>
      <c r="T357" s="298">
        <f t="shared" si="212"/>
        <v>0</v>
      </c>
      <c r="U357" s="298">
        <f t="shared" si="199"/>
        <v>0</v>
      </c>
      <c r="V357" s="298">
        <f t="shared" si="213"/>
        <v>0</v>
      </c>
      <c r="W357" s="298">
        <f t="shared" si="230"/>
        <v>0</v>
      </c>
      <c r="X357" s="298">
        <f t="shared" si="230"/>
        <v>0</v>
      </c>
      <c r="Y357" s="298">
        <f t="shared" si="200"/>
        <v>0</v>
      </c>
      <c r="Z357" s="298">
        <f t="shared" si="201"/>
        <v>378976.30999999988</v>
      </c>
      <c r="AA357" s="298">
        <f t="shared" si="202"/>
        <v>237979.58999999985</v>
      </c>
      <c r="AB357" s="298">
        <f t="shared" si="214"/>
        <v>0</v>
      </c>
      <c r="AC357" s="451">
        <f t="shared" si="223"/>
        <v>297</v>
      </c>
      <c r="AD357" s="552">
        <f t="shared" si="224"/>
        <v>188022.55999999974</v>
      </c>
      <c r="AE357" s="552">
        <f t="shared" si="194"/>
        <v>-7121.2799999999152</v>
      </c>
      <c r="AF357" s="552">
        <f t="shared" si="195"/>
        <v>180901.27999999982</v>
      </c>
      <c r="AG357" s="552">
        <f t="shared" si="225"/>
        <v>-433.95</v>
      </c>
      <c r="AH357" s="552">
        <f t="shared" si="226"/>
        <v>82099.700000000128</v>
      </c>
      <c r="AI357" s="552"/>
      <c r="AJ357" s="14">
        <f t="shared" si="203"/>
        <v>-433.95</v>
      </c>
      <c r="AK357" s="14">
        <f t="shared" si="204"/>
        <v>486770.89999999892</v>
      </c>
      <c r="AL357" s="552">
        <f>IF(R357&lt;=0,0,+([1]Profit!$B$4+AM356)*$AL$1/12)</f>
        <v>0</v>
      </c>
      <c r="AM357" s="14">
        <f t="shared" si="227"/>
        <v>262755.13764632691</v>
      </c>
    </row>
    <row r="358" spans="1:39" x14ac:dyDescent="0.25">
      <c r="A358" s="542">
        <f t="shared" si="215"/>
        <v>54699</v>
      </c>
      <c r="B358" s="298">
        <f t="shared" si="216"/>
        <v>7121.2799999999152</v>
      </c>
      <c r="C358" s="14">
        <f t="shared" si="206"/>
        <v>433.95</v>
      </c>
      <c r="D358" s="14">
        <f t="shared" si="228"/>
        <v>405.76</v>
      </c>
      <c r="E358" s="14">
        <f t="shared" si="207"/>
        <v>28.19</v>
      </c>
      <c r="F358" s="298">
        <f t="shared" si="217"/>
        <v>76802.26999999999</v>
      </c>
      <c r="G358" s="298">
        <f t="shared" si="218"/>
        <v>72805.81999999992</v>
      </c>
      <c r="H358" s="298">
        <f t="shared" si="208"/>
        <v>6715.5199999999149</v>
      </c>
      <c r="I358" s="451">
        <f t="shared" si="209"/>
        <v>24</v>
      </c>
      <c r="J358" s="298">
        <f t="shared" si="219"/>
        <v>137646.17999999959</v>
      </c>
      <c r="K358" s="298">
        <f t="shared" si="197"/>
        <v>2701.27</v>
      </c>
      <c r="L358" s="298">
        <f t="shared" si="229"/>
        <v>1812.31</v>
      </c>
      <c r="M358" s="298">
        <f t="shared" si="198"/>
        <v>888.96</v>
      </c>
      <c r="N358" s="298">
        <f t="shared" si="220"/>
        <v>241221.13000000018</v>
      </c>
      <c r="O358" s="298">
        <f t="shared" si="221"/>
        <v>566458.6</v>
      </c>
      <c r="P358" s="298">
        <f t="shared" si="210"/>
        <v>135833.86999999959</v>
      </c>
      <c r="Q358" s="542">
        <f t="shared" si="211"/>
        <v>54699</v>
      </c>
      <c r="R358" s="298">
        <f t="shared" si="196"/>
        <v>0</v>
      </c>
      <c r="S358" s="535">
        <f t="shared" si="222"/>
        <v>7.7499999999999999E-2</v>
      </c>
      <c r="T358" s="298">
        <f t="shared" si="212"/>
        <v>0</v>
      </c>
      <c r="U358" s="298">
        <f t="shared" si="199"/>
        <v>0</v>
      </c>
      <c r="V358" s="298">
        <f t="shared" si="213"/>
        <v>0</v>
      </c>
      <c r="W358" s="298">
        <f t="shared" si="230"/>
        <v>0</v>
      </c>
      <c r="X358" s="298">
        <f t="shared" si="230"/>
        <v>0</v>
      </c>
      <c r="Y358" s="298">
        <f t="shared" si="200"/>
        <v>0</v>
      </c>
      <c r="Z358" s="298">
        <f t="shared" si="201"/>
        <v>378976.30999999988</v>
      </c>
      <c r="AA358" s="298">
        <f t="shared" si="202"/>
        <v>237979.58999999985</v>
      </c>
      <c r="AB358" s="298">
        <f t="shared" si="214"/>
        <v>0</v>
      </c>
      <c r="AC358" s="451">
        <f t="shared" si="223"/>
        <v>298</v>
      </c>
      <c r="AD358" s="552">
        <f t="shared" si="224"/>
        <v>190723.82999999973</v>
      </c>
      <c r="AE358" s="552">
        <f t="shared" si="194"/>
        <v>-6715.5199999999149</v>
      </c>
      <c r="AF358" s="552">
        <f t="shared" si="195"/>
        <v>184008.30999999982</v>
      </c>
      <c r="AG358" s="552">
        <f t="shared" si="225"/>
        <v>-433.95</v>
      </c>
      <c r="AH358" s="552">
        <f t="shared" si="226"/>
        <v>82505.460000000137</v>
      </c>
      <c r="AI358" s="552"/>
      <c r="AJ358" s="14">
        <f t="shared" si="203"/>
        <v>-433.95</v>
      </c>
      <c r="AK358" s="14">
        <f t="shared" si="204"/>
        <v>486336.94999999891</v>
      </c>
      <c r="AL358" s="552">
        <f>IF(R358&lt;=0,0,+([1]Profit!$B$4+AM357)*$AL$1/12)</f>
        <v>0</v>
      </c>
      <c r="AM358" s="14">
        <f t="shared" si="227"/>
        <v>262755.13764632691</v>
      </c>
    </row>
    <row r="359" spans="1:39" x14ac:dyDescent="0.25">
      <c r="A359" s="542">
        <f t="shared" si="215"/>
        <v>54729</v>
      </c>
      <c r="B359" s="298">
        <f t="shared" si="216"/>
        <v>6715.5199999999149</v>
      </c>
      <c r="C359" s="14">
        <f t="shared" si="206"/>
        <v>433.95</v>
      </c>
      <c r="D359" s="14">
        <f t="shared" si="228"/>
        <v>407.37</v>
      </c>
      <c r="E359" s="14">
        <f t="shared" si="207"/>
        <v>26.58</v>
      </c>
      <c r="F359" s="298">
        <f t="shared" si="217"/>
        <v>77209.639999999985</v>
      </c>
      <c r="G359" s="298">
        <f t="shared" si="218"/>
        <v>72832.399999999921</v>
      </c>
      <c r="H359" s="298">
        <f t="shared" si="208"/>
        <v>6308.1499999999151</v>
      </c>
      <c r="I359" s="451">
        <f t="shared" si="209"/>
        <v>24</v>
      </c>
      <c r="J359" s="298">
        <f t="shared" si="219"/>
        <v>135833.86999999959</v>
      </c>
      <c r="K359" s="298">
        <f t="shared" si="197"/>
        <v>2701.27</v>
      </c>
      <c r="L359" s="298">
        <f t="shared" si="229"/>
        <v>1824.01</v>
      </c>
      <c r="M359" s="298">
        <f t="shared" si="198"/>
        <v>877.26</v>
      </c>
      <c r="N359" s="298">
        <f t="shared" si="220"/>
        <v>243045.14000000019</v>
      </c>
      <c r="O359" s="298">
        <f t="shared" si="221"/>
        <v>567335.86</v>
      </c>
      <c r="P359" s="298">
        <f t="shared" si="210"/>
        <v>134009.85999999958</v>
      </c>
      <c r="Q359" s="542">
        <f t="shared" si="211"/>
        <v>54729</v>
      </c>
      <c r="R359" s="298">
        <f t="shared" si="196"/>
        <v>0</v>
      </c>
      <c r="S359" s="535">
        <f t="shared" si="222"/>
        <v>7.7499999999999999E-2</v>
      </c>
      <c r="T359" s="298">
        <f t="shared" si="212"/>
        <v>0</v>
      </c>
      <c r="U359" s="298">
        <f t="shared" si="199"/>
        <v>0</v>
      </c>
      <c r="V359" s="298">
        <f t="shared" si="213"/>
        <v>0</v>
      </c>
      <c r="W359" s="298">
        <f t="shared" si="230"/>
        <v>0</v>
      </c>
      <c r="X359" s="298">
        <f t="shared" si="230"/>
        <v>0</v>
      </c>
      <c r="Y359" s="298">
        <f t="shared" si="200"/>
        <v>0</v>
      </c>
      <c r="Z359" s="298">
        <f t="shared" si="201"/>
        <v>378976.30999999988</v>
      </c>
      <c r="AA359" s="298">
        <f t="shared" si="202"/>
        <v>237979.58999999985</v>
      </c>
      <c r="AB359" s="298">
        <f t="shared" si="214"/>
        <v>0</v>
      </c>
      <c r="AC359" s="451">
        <f t="shared" si="223"/>
        <v>299</v>
      </c>
      <c r="AD359" s="552">
        <f t="shared" si="224"/>
        <v>193425.09999999971</v>
      </c>
      <c r="AE359" s="552">
        <f t="shared" si="194"/>
        <v>-6308.1499999999151</v>
      </c>
      <c r="AF359" s="552">
        <f t="shared" si="195"/>
        <v>187116.94999999981</v>
      </c>
      <c r="AG359" s="552">
        <f t="shared" si="225"/>
        <v>-433.95</v>
      </c>
      <c r="AH359" s="552">
        <f t="shared" si="226"/>
        <v>82912.830000000133</v>
      </c>
      <c r="AI359" s="552"/>
      <c r="AJ359" s="14">
        <f t="shared" si="203"/>
        <v>-433.95</v>
      </c>
      <c r="AK359" s="14">
        <f t="shared" si="204"/>
        <v>485902.99999999889</v>
      </c>
      <c r="AL359" s="552">
        <f>IF(R359&lt;=0,0,+([1]Profit!$B$4+AM358)*$AL$1/12)</f>
        <v>0</v>
      </c>
      <c r="AM359" s="14">
        <f t="shared" si="227"/>
        <v>262755.13764632691</v>
      </c>
    </row>
    <row r="360" spans="1:39" x14ac:dyDescent="0.25">
      <c r="A360" s="542">
        <f t="shared" si="215"/>
        <v>54759</v>
      </c>
      <c r="B360" s="298">
        <f t="shared" si="216"/>
        <v>6308.1499999999151</v>
      </c>
      <c r="C360" s="14">
        <f t="shared" si="206"/>
        <v>433.95</v>
      </c>
      <c r="D360" s="14">
        <f t="shared" si="228"/>
        <v>408.98</v>
      </c>
      <c r="E360" s="14">
        <f t="shared" si="207"/>
        <v>24.97</v>
      </c>
      <c r="F360" s="298">
        <f t="shared" si="217"/>
        <v>77618.619999999981</v>
      </c>
      <c r="G360" s="298">
        <f t="shared" si="218"/>
        <v>72857.369999999923</v>
      </c>
      <c r="H360" s="298">
        <f t="shared" si="208"/>
        <v>5899.1699999999146</v>
      </c>
      <c r="I360" s="451">
        <f t="shared" si="209"/>
        <v>25</v>
      </c>
      <c r="J360" s="298">
        <f t="shared" si="219"/>
        <v>134009.85999999958</v>
      </c>
      <c r="K360" s="298">
        <f t="shared" si="197"/>
        <v>2701.27</v>
      </c>
      <c r="L360" s="298">
        <f t="shared" si="229"/>
        <v>1835.79</v>
      </c>
      <c r="M360" s="298">
        <f t="shared" si="198"/>
        <v>865.48</v>
      </c>
      <c r="N360" s="298">
        <f t="shared" si="220"/>
        <v>244880.9300000002</v>
      </c>
      <c r="O360" s="298">
        <f t="shared" si="221"/>
        <v>568201.34</v>
      </c>
      <c r="P360" s="298">
        <f t="shared" si="210"/>
        <v>132174.06999999957</v>
      </c>
      <c r="Q360" s="542">
        <f t="shared" si="211"/>
        <v>54759</v>
      </c>
      <c r="R360" s="298">
        <f t="shared" si="196"/>
        <v>0</v>
      </c>
      <c r="S360" s="535">
        <f t="shared" si="222"/>
        <v>7.7499999999999999E-2</v>
      </c>
      <c r="T360" s="298">
        <f t="shared" si="212"/>
        <v>0</v>
      </c>
      <c r="U360" s="298">
        <f t="shared" si="199"/>
        <v>0</v>
      </c>
      <c r="V360" s="298">
        <f t="shared" si="213"/>
        <v>0</v>
      </c>
      <c r="W360" s="298">
        <f t="shared" si="230"/>
        <v>0</v>
      </c>
      <c r="X360" s="298">
        <f t="shared" si="230"/>
        <v>0</v>
      </c>
      <c r="Y360" s="298">
        <f t="shared" si="200"/>
        <v>0</v>
      </c>
      <c r="Z360" s="298">
        <f t="shared" si="201"/>
        <v>378976.30999999988</v>
      </c>
      <c r="AA360" s="298">
        <f t="shared" si="202"/>
        <v>237979.58999999985</v>
      </c>
      <c r="AB360" s="298">
        <f t="shared" si="214"/>
        <v>0</v>
      </c>
      <c r="AC360" s="451">
        <f t="shared" si="223"/>
        <v>300</v>
      </c>
      <c r="AD360" s="552">
        <f t="shared" si="224"/>
        <v>196126.3699999997</v>
      </c>
      <c r="AE360" s="552">
        <f t="shared" si="194"/>
        <v>-5899.1699999999146</v>
      </c>
      <c r="AF360" s="552">
        <f t="shared" si="195"/>
        <v>190227.19999999978</v>
      </c>
      <c r="AG360" s="552">
        <f t="shared" si="225"/>
        <v>-433.95</v>
      </c>
      <c r="AH360" s="552">
        <f t="shared" si="226"/>
        <v>83321.810000000114</v>
      </c>
      <c r="AI360" s="552"/>
      <c r="AJ360" s="14">
        <f t="shared" si="203"/>
        <v>-433.95</v>
      </c>
      <c r="AK360" s="14">
        <f t="shared" si="204"/>
        <v>485469.04999999888</v>
      </c>
      <c r="AL360" s="552">
        <f>IF(R360&lt;=0,0,+([1]Profit!$B$4+AM359)*$AL$1/12)</f>
        <v>0</v>
      </c>
      <c r="AM360" s="14">
        <f t="shared" si="227"/>
        <v>262755.13764632691</v>
      </c>
    </row>
    <row r="361" spans="1:39" x14ac:dyDescent="0.25">
      <c r="A361" s="542">
        <f t="shared" si="215"/>
        <v>54789</v>
      </c>
      <c r="B361" s="298">
        <f t="shared" si="216"/>
        <v>5899.1699999999146</v>
      </c>
      <c r="C361" s="14">
        <f t="shared" si="206"/>
        <v>433.95</v>
      </c>
      <c r="D361" s="14">
        <f t="shared" si="228"/>
        <v>410.59999999999997</v>
      </c>
      <c r="E361" s="14">
        <f t="shared" si="207"/>
        <v>23.35</v>
      </c>
      <c r="F361" s="298">
        <f t="shared" si="217"/>
        <v>78029.219999999987</v>
      </c>
      <c r="G361" s="298">
        <f t="shared" si="218"/>
        <v>72880.719999999928</v>
      </c>
      <c r="H361" s="298">
        <f t="shared" si="208"/>
        <v>5488.5699999999142</v>
      </c>
      <c r="I361" s="451">
        <f t="shared" si="209"/>
        <v>25</v>
      </c>
      <c r="J361" s="298">
        <f t="shared" si="219"/>
        <v>132174.06999999957</v>
      </c>
      <c r="K361" s="298">
        <f t="shared" si="197"/>
        <v>2701.27</v>
      </c>
      <c r="L361" s="298">
        <f t="shared" si="229"/>
        <v>1847.65</v>
      </c>
      <c r="M361" s="298">
        <f t="shared" si="198"/>
        <v>853.62</v>
      </c>
      <c r="N361" s="298">
        <f t="shared" si="220"/>
        <v>246728.58000000019</v>
      </c>
      <c r="O361" s="298">
        <f t="shared" si="221"/>
        <v>569054.96</v>
      </c>
      <c r="P361" s="298">
        <f t="shared" si="210"/>
        <v>130326.41999999958</v>
      </c>
      <c r="Q361" s="542">
        <f t="shared" si="211"/>
        <v>54789</v>
      </c>
      <c r="R361" s="298">
        <f t="shared" si="196"/>
        <v>0</v>
      </c>
      <c r="S361" s="535">
        <f t="shared" si="222"/>
        <v>7.7499999999999999E-2</v>
      </c>
      <c r="T361" s="298">
        <f t="shared" si="212"/>
        <v>0</v>
      </c>
      <c r="U361" s="298">
        <f t="shared" si="199"/>
        <v>0</v>
      </c>
      <c r="V361" s="298">
        <f t="shared" si="213"/>
        <v>0</v>
      </c>
      <c r="W361" s="298">
        <f t="shared" si="230"/>
        <v>0</v>
      </c>
      <c r="X361" s="298">
        <f t="shared" si="230"/>
        <v>0</v>
      </c>
      <c r="Y361" s="298">
        <f t="shared" si="200"/>
        <v>0</v>
      </c>
      <c r="Z361" s="298">
        <f t="shared" si="201"/>
        <v>378976.30999999988</v>
      </c>
      <c r="AA361" s="298">
        <f t="shared" si="202"/>
        <v>237979.58999999985</v>
      </c>
      <c r="AB361" s="298">
        <f t="shared" si="214"/>
        <v>0</v>
      </c>
      <c r="AC361" s="451">
        <f t="shared" si="223"/>
        <v>301</v>
      </c>
      <c r="AD361" s="552">
        <f t="shared" si="224"/>
        <v>198827.63999999969</v>
      </c>
      <c r="AE361" s="552">
        <f t="shared" si="194"/>
        <v>-5488.5699999999142</v>
      </c>
      <c r="AF361" s="552">
        <f t="shared" si="195"/>
        <v>193339.06999999977</v>
      </c>
      <c r="AG361" s="552">
        <f t="shared" si="225"/>
        <v>-433.95</v>
      </c>
      <c r="AH361" s="552">
        <f t="shared" si="226"/>
        <v>83732.410000000091</v>
      </c>
      <c r="AI361" s="552"/>
      <c r="AJ361" s="14">
        <f t="shared" si="203"/>
        <v>-433.95</v>
      </c>
      <c r="AK361" s="14">
        <f t="shared" si="204"/>
        <v>485035.09999999887</v>
      </c>
      <c r="AL361" s="552">
        <f>IF(R361&lt;=0,0,+([1]Profit!$B$4+AM360)*$AL$1/12)</f>
        <v>0</v>
      </c>
      <c r="AM361" s="14">
        <f t="shared" si="227"/>
        <v>262755.13764632691</v>
      </c>
    </row>
    <row r="362" spans="1:39" ht="15.75" thickBot="1" x14ac:dyDescent="0.3">
      <c r="A362" s="545">
        <f t="shared" si="215"/>
        <v>54819</v>
      </c>
      <c r="B362" s="371">
        <f t="shared" si="216"/>
        <v>5488.5699999999142</v>
      </c>
      <c r="C362" s="21">
        <f t="shared" si="206"/>
        <v>433.95</v>
      </c>
      <c r="D362" s="21">
        <f t="shared" si="228"/>
        <v>412.21999999999997</v>
      </c>
      <c r="E362" s="21">
        <f t="shared" si="207"/>
        <v>21.73</v>
      </c>
      <c r="F362" s="371">
        <f t="shared" si="217"/>
        <v>78441.439999999988</v>
      </c>
      <c r="G362" s="371">
        <f t="shared" si="218"/>
        <v>72902.449999999924</v>
      </c>
      <c r="H362" s="371">
        <f t="shared" si="208"/>
        <v>5076.349999999914</v>
      </c>
      <c r="I362" s="452">
        <f t="shared" si="209"/>
        <v>25</v>
      </c>
      <c r="J362" s="371">
        <f t="shared" si="219"/>
        <v>130326.41999999958</v>
      </c>
      <c r="K362" s="371">
        <f t="shared" si="197"/>
        <v>2701.27</v>
      </c>
      <c r="L362" s="371">
        <f t="shared" si="229"/>
        <v>1859.58</v>
      </c>
      <c r="M362" s="371">
        <f t="shared" si="198"/>
        <v>841.69</v>
      </c>
      <c r="N362" s="371">
        <f t="shared" si="220"/>
        <v>248588.16000000018</v>
      </c>
      <c r="O362" s="371">
        <f t="shared" si="221"/>
        <v>569896.64999999991</v>
      </c>
      <c r="P362" s="371">
        <f t="shared" si="210"/>
        <v>128466.83999999957</v>
      </c>
      <c r="Q362" s="545">
        <f t="shared" si="211"/>
        <v>54819</v>
      </c>
      <c r="R362" s="371">
        <f t="shared" si="196"/>
        <v>0</v>
      </c>
      <c r="S362" s="536">
        <f t="shared" si="222"/>
        <v>7.7499999999999999E-2</v>
      </c>
      <c r="T362" s="371">
        <f t="shared" si="212"/>
        <v>0</v>
      </c>
      <c r="U362" s="371">
        <f t="shared" si="199"/>
        <v>0</v>
      </c>
      <c r="V362" s="371">
        <f t="shared" si="213"/>
        <v>0</v>
      </c>
      <c r="W362" s="371">
        <f t="shared" si="230"/>
        <v>0</v>
      </c>
      <c r="X362" s="371">
        <f t="shared" si="230"/>
        <v>0</v>
      </c>
      <c r="Y362" s="371">
        <f t="shared" si="200"/>
        <v>0</v>
      </c>
      <c r="Z362" s="371">
        <f t="shared" si="201"/>
        <v>378976.30999999988</v>
      </c>
      <c r="AA362" s="371">
        <f t="shared" si="202"/>
        <v>237979.58999999985</v>
      </c>
      <c r="AB362" s="371">
        <f t="shared" si="214"/>
        <v>0</v>
      </c>
      <c r="AC362" s="452">
        <f t="shared" si="223"/>
        <v>302</v>
      </c>
      <c r="AD362" s="553">
        <f t="shared" si="224"/>
        <v>201528.90999999968</v>
      </c>
      <c r="AE362" s="553">
        <f t="shared" si="194"/>
        <v>-5076.349999999914</v>
      </c>
      <c r="AF362" s="553">
        <f t="shared" si="195"/>
        <v>196452.55999999976</v>
      </c>
      <c r="AG362" s="553">
        <f t="shared" si="225"/>
        <v>-433.95</v>
      </c>
      <c r="AH362" s="553">
        <f t="shared" si="226"/>
        <v>84144.630000000121</v>
      </c>
      <c r="AI362" s="553"/>
      <c r="AJ362" s="21">
        <f t="shared" si="203"/>
        <v>-433.95</v>
      </c>
      <c r="AK362" s="21">
        <f t="shared" si="204"/>
        <v>484601.14999999886</v>
      </c>
      <c r="AL362" s="553">
        <f>IF(R362&lt;=0,0,+([1]Profit!$B$4+AM361)*$AL$1/12)</f>
        <v>0</v>
      </c>
      <c r="AM362" s="21">
        <f t="shared" si="227"/>
        <v>262755.13764632691</v>
      </c>
    </row>
    <row r="363" spans="1:39" x14ac:dyDescent="0.25">
      <c r="A363" s="542">
        <f t="shared" si="215"/>
        <v>54849</v>
      </c>
      <c r="B363" s="298">
        <f t="shared" si="216"/>
        <v>5076.349999999914</v>
      </c>
      <c r="C363" s="14">
        <f t="shared" si="206"/>
        <v>433.95</v>
      </c>
      <c r="D363" s="14">
        <f t="shared" si="228"/>
        <v>413.86</v>
      </c>
      <c r="E363" s="14">
        <f t="shared" si="207"/>
        <v>20.09</v>
      </c>
      <c r="F363" s="298">
        <f t="shared" si="217"/>
        <v>78855.299999999988</v>
      </c>
      <c r="G363" s="298">
        <f t="shared" si="218"/>
        <v>72922.539999999921</v>
      </c>
      <c r="H363" s="298">
        <f t="shared" si="208"/>
        <v>4662.4899999999143</v>
      </c>
      <c r="I363" s="451">
        <f t="shared" si="209"/>
        <v>25</v>
      </c>
      <c r="J363" s="298">
        <f t="shared" si="219"/>
        <v>128466.83999999957</v>
      </c>
      <c r="K363" s="298">
        <f t="shared" si="197"/>
        <v>2701.27</v>
      </c>
      <c r="L363" s="298">
        <f t="shared" si="229"/>
        <v>1871.5900000000001</v>
      </c>
      <c r="M363" s="298">
        <f t="shared" si="198"/>
        <v>829.68</v>
      </c>
      <c r="N363" s="298">
        <f t="shared" si="220"/>
        <v>250459.75000000017</v>
      </c>
      <c r="O363" s="298">
        <f t="shared" si="221"/>
        <v>570726.32999999996</v>
      </c>
      <c r="P363" s="298">
        <f t="shared" si="210"/>
        <v>126595.24999999958</v>
      </c>
      <c r="Q363" s="542">
        <f t="shared" si="211"/>
        <v>54849</v>
      </c>
      <c r="R363" s="298">
        <f t="shared" si="196"/>
        <v>0</v>
      </c>
      <c r="S363" s="535">
        <f t="shared" si="222"/>
        <v>7.7499999999999999E-2</v>
      </c>
      <c r="T363" s="298">
        <f t="shared" si="212"/>
        <v>0</v>
      </c>
      <c r="U363" s="298">
        <f t="shared" si="199"/>
        <v>0</v>
      </c>
      <c r="V363" s="298">
        <f t="shared" si="213"/>
        <v>0</v>
      </c>
      <c r="W363" s="298">
        <f t="shared" si="230"/>
        <v>0</v>
      </c>
      <c r="X363" s="298">
        <f t="shared" si="230"/>
        <v>0</v>
      </c>
      <c r="Y363" s="298">
        <f t="shared" si="200"/>
        <v>0</v>
      </c>
      <c r="Z363" s="298">
        <f t="shared" si="201"/>
        <v>378976.30999999988</v>
      </c>
      <c r="AA363" s="298">
        <f t="shared" si="202"/>
        <v>237979.58999999985</v>
      </c>
      <c r="AB363" s="298">
        <f t="shared" si="214"/>
        <v>0</v>
      </c>
      <c r="AC363" s="451">
        <f t="shared" si="223"/>
        <v>303</v>
      </c>
      <c r="AD363" s="552">
        <f t="shared" si="224"/>
        <v>204230.17999999967</v>
      </c>
      <c r="AE363" s="552">
        <f t="shared" si="194"/>
        <v>-4662.4899999999143</v>
      </c>
      <c r="AF363" s="552">
        <f t="shared" si="195"/>
        <v>199567.68999999977</v>
      </c>
      <c r="AG363" s="552">
        <f t="shared" si="225"/>
        <v>-433.95</v>
      </c>
      <c r="AH363" s="552">
        <f t="shared" si="226"/>
        <v>84558.490000000107</v>
      </c>
      <c r="AI363" s="552"/>
      <c r="AJ363" s="14">
        <f t="shared" si="203"/>
        <v>-433.95</v>
      </c>
      <c r="AK363" s="14">
        <f t="shared" si="204"/>
        <v>484167.19999999885</v>
      </c>
      <c r="AL363" s="552">
        <f>IF(R363&lt;=0,0,+([1]Profit!$B$4+AM362)*$AL$1/12)</f>
        <v>0</v>
      </c>
      <c r="AM363" s="14">
        <f t="shared" si="227"/>
        <v>262755.13764632691</v>
      </c>
    </row>
    <row r="364" spans="1:39" x14ac:dyDescent="0.25">
      <c r="A364" s="542">
        <f t="shared" si="215"/>
        <v>54879</v>
      </c>
      <c r="B364" s="298">
        <f t="shared" si="216"/>
        <v>4662.4899999999143</v>
      </c>
      <c r="C364" s="14">
        <f t="shared" si="206"/>
        <v>433.95</v>
      </c>
      <c r="D364" s="14">
        <f t="shared" si="228"/>
        <v>415.49</v>
      </c>
      <c r="E364" s="14">
        <f t="shared" si="207"/>
        <v>18.46</v>
      </c>
      <c r="F364" s="298">
        <f t="shared" si="217"/>
        <v>79270.789999999994</v>
      </c>
      <c r="G364" s="298">
        <f t="shared" si="218"/>
        <v>72940.999999999927</v>
      </c>
      <c r="H364" s="298">
        <f t="shared" si="208"/>
        <v>4246.9999999999145</v>
      </c>
      <c r="I364" s="451">
        <f t="shared" si="209"/>
        <v>25</v>
      </c>
      <c r="J364" s="298">
        <f t="shared" si="219"/>
        <v>126595.24999999958</v>
      </c>
      <c r="K364" s="298">
        <f t="shared" si="197"/>
        <v>2701.27</v>
      </c>
      <c r="L364" s="298">
        <f t="shared" si="229"/>
        <v>1883.6799999999998</v>
      </c>
      <c r="M364" s="298">
        <f t="shared" si="198"/>
        <v>817.59</v>
      </c>
      <c r="N364" s="298">
        <f t="shared" si="220"/>
        <v>252343.43000000017</v>
      </c>
      <c r="O364" s="298">
        <f t="shared" si="221"/>
        <v>571543.91999999993</v>
      </c>
      <c r="P364" s="298">
        <f t="shared" si="210"/>
        <v>124711.56999999958</v>
      </c>
      <c r="Q364" s="542">
        <f t="shared" si="211"/>
        <v>54879</v>
      </c>
      <c r="R364" s="298">
        <f t="shared" si="196"/>
        <v>0</v>
      </c>
      <c r="S364" s="535">
        <f t="shared" si="222"/>
        <v>7.7499999999999999E-2</v>
      </c>
      <c r="T364" s="298">
        <f t="shared" si="212"/>
        <v>0</v>
      </c>
      <c r="U364" s="298">
        <f t="shared" si="199"/>
        <v>0</v>
      </c>
      <c r="V364" s="298">
        <f t="shared" si="213"/>
        <v>0</v>
      </c>
      <c r="W364" s="298">
        <f t="shared" ref="W364:X379" si="231">+W363</f>
        <v>0</v>
      </c>
      <c r="X364" s="298">
        <f t="shared" si="231"/>
        <v>0</v>
      </c>
      <c r="Y364" s="298">
        <f t="shared" si="200"/>
        <v>0</v>
      </c>
      <c r="Z364" s="298">
        <f t="shared" si="201"/>
        <v>378976.30999999988</v>
      </c>
      <c r="AA364" s="298">
        <f t="shared" si="202"/>
        <v>237979.58999999985</v>
      </c>
      <c r="AB364" s="298">
        <f t="shared" si="214"/>
        <v>0</v>
      </c>
      <c r="AC364" s="451">
        <f t="shared" si="223"/>
        <v>304</v>
      </c>
      <c r="AD364" s="552">
        <f t="shared" si="224"/>
        <v>206931.44999999966</v>
      </c>
      <c r="AE364" s="552">
        <f t="shared" si="194"/>
        <v>-4246.9999999999145</v>
      </c>
      <c r="AF364" s="552">
        <f t="shared" si="195"/>
        <v>202684.44999999975</v>
      </c>
      <c r="AG364" s="552">
        <f t="shared" si="225"/>
        <v>-433.95</v>
      </c>
      <c r="AH364" s="552">
        <f t="shared" si="226"/>
        <v>84973.980000000098</v>
      </c>
      <c r="AI364" s="552"/>
      <c r="AJ364" s="14">
        <f t="shared" si="203"/>
        <v>-433.95</v>
      </c>
      <c r="AK364" s="14">
        <f t="shared" si="204"/>
        <v>483733.24999999884</v>
      </c>
      <c r="AL364" s="552">
        <f>IF(R364&lt;=0,0,+([1]Profit!$B$4+AM363)*$AL$1/12)</f>
        <v>0</v>
      </c>
      <c r="AM364" s="14">
        <f t="shared" si="227"/>
        <v>262755.13764632691</v>
      </c>
    </row>
    <row r="365" spans="1:39" x14ac:dyDescent="0.25">
      <c r="A365" s="542">
        <f t="shared" si="215"/>
        <v>54909</v>
      </c>
      <c r="B365" s="298">
        <f t="shared" si="216"/>
        <v>4246.9999999999145</v>
      </c>
      <c r="C365" s="14">
        <f t="shared" si="206"/>
        <v>433.95</v>
      </c>
      <c r="D365" s="14">
        <f t="shared" si="228"/>
        <v>417.14</v>
      </c>
      <c r="E365" s="14">
        <f t="shared" si="207"/>
        <v>16.809999999999999</v>
      </c>
      <c r="F365" s="298">
        <f t="shared" si="217"/>
        <v>79687.929999999993</v>
      </c>
      <c r="G365" s="298">
        <f t="shared" si="218"/>
        <v>72957.809999999925</v>
      </c>
      <c r="H365" s="298">
        <f t="shared" si="208"/>
        <v>3829.8599999999146</v>
      </c>
      <c r="I365" s="451">
        <f t="shared" si="209"/>
        <v>25</v>
      </c>
      <c r="J365" s="298">
        <f t="shared" si="219"/>
        <v>124711.56999999958</v>
      </c>
      <c r="K365" s="298">
        <f t="shared" si="197"/>
        <v>2701.27</v>
      </c>
      <c r="L365" s="298">
        <f t="shared" si="229"/>
        <v>1895.8400000000001</v>
      </c>
      <c r="M365" s="298">
        <f t="shared" si="198"/>
        <v>805.43</v>
      </c>
      <c r="N365" s="298">
        <f t="shared" si="220"/>
        <v>254239.27000000016</v>
      </c>
      <c r="O365" s="298">
        <f t="shared" si="221"/>
        <v>572349.35</v>
      </c>
      <c r="P365" s="298">
        <f t="shared" si="210"/>
        <v>122815.72999999959</v>
      </c>
      <c r="Q365" s="542">
        <f t="shared" si="211"/>
        <v>54909</v>
      </c>
      <c r="R365" s="298">
        <f t="shared" si="196"/>
        <v>0</v>
      </c>
      <c r="S365" s="535">
        <f t="shared" si="222"/>
        <v>7.7499999999999999E-2</v>
      </c>
      <c r="T365" s="298">
        <f t="shared" si="212"/>
        <v>0</v>
      </c>
      <c r="U365" s="298">
        <f t="shared" si="199"/>
        <v>0</v>
      </c>
      <c r="V365" s="298">
        <f t="shared" si="213"/>
        <v>0</v>
      </c>
      <c r="W365" s="298">
        <f t="shared" si="231"/>
        <v>0</v>
      </c>
      <c r="X365" s="298">
        <f t="shared" si="231"/>
        <v>0</v>
      </c>
      <c r="Y365" s="298">
        <f t="shared" si="200"/>
        <v>0</v>
      </c>
      <c r="Z365" s="298">
        <f t="shared" si="201"/>
        <v>378976.30999999988</v>
      </c>
      <c r="AA365" s="298">
        <f t="shared" si="202"/>
        <v>237979.58999999985</v>
      </c>
      <c r="AB365" s="298">
        <f t="shared" si="214"/>
        <v>0</v>
      </c>
      <c r="AC365" s="451">
        <f t="shared" si="223"/>
        <v>305</v>
      </c>
      <c r="AD365" s="552">
        <f t="shared" si="224"/>
        <v>209632.71999999965</v>
      </c>
      <c r="AE365" s="552">
        <f t="shared" si="194"/>
        <v>-3829.8599999999146</v>
      </c>
      <c r="AF365" s="552">
        <f t="shared" si="195"/>
        <v>205802.85999999972</v>
      </c>
      <c r="AG365" s="552">
        <f t="shared" si="225"/>
        <v>-433.95</v>
      </c>
      <c r="AH365" s="552">
        <f t="shared" si="226"/>
        <v>85391.120000000112</v>
      </c>
      <c r="AI365" s="552"/>
      <c r="AJ365" s="14">
        <f t="shared" si="203"/>
        <v>-433.95</v>
      </c>
      <c r="AK365" s="14">
        <f t="shared" si="204"/>
        <v>483299.29999999882</v>
      </c>
      <c r="AL365" s="552">
        <f>IF(R365&lt;=0,0,+([1]Profit!$B$4+AM364)*$AL$1/12)</f>
        <v>0</v>
      </c>
      <c r="AM365" s="14">
        <f t="shared" si="227"/>
        <v>262755.13764632691</v>
      </c>
    </row>
    <row r="366" spans="1:39" x14ac:dyDescent="0.25">
      <c r="A366" s="542">
        <f t="shared" si="215"/>
        <v>54939</v>
      </c>
      <c r="B366" s="298">
        <f t="shared" si="216"/>
        <v>3829.8599999999146</v>
      </c>
      <c r="C366" s="14">
        <f t="shared" si="206"/>
        <v>433.95</v>
      </c>
      <c r="D366" s="14">
        <f t="shared" si="228"/>
        <v>418.78999999999996</v>
      </c>
      <c r="E366" s="14">
        <f t="shared" si="207"/>
        <v>15.16</v>
      </c>
      <c r="F366" s="298">
        <f t="shared" si="217"/>
        <v>80106.719999999987</v>
      </c>
      <c r="G366" s="298">
        <f t="shared" si="218"/>
        <v>72972.969999999928</v>
      </c>
      <c r="H366" s="298">
        <f t="shared" si="208"/>
        <v>3411.0699999999147</v>
      </c>
      <c r="I366" s="451">
        <f t="shared" si="209"/>
        <v>25</v>
      </c>
      <c r="J366" s="298">
        <f t="shared" si="219"/>
        <v>122815.72999999959</v>
      </c>
      <c r="K366" s="298">
        <f t="shared" si="197"/>
        <v>2701.27</v>
      </c>
      <c r="L366" s="298">
        <f t="shared" si="229"/>
        <v>1908.0900000000001</v>
      </c>
      <c r="M366" s="298">
        <f t="shared" si="198"/>
        <v>793.18</v>
      </c>
      <c r="N366" s="298">
        <f t="shared" si="220"/>
        <v>256147.36000000016</v>
      </c>
      <c r="O366" s="298">
        <f t="shared" si="221"/>
        <v>573142.53</v>
      </c>
      <c r="P366" s="298">
        <f t="shared" si="210"/>
        <v>120907.63999999959</v>
      </c>
      <c r="Q366" s="542">
        <f t="shared" si="211"/>
        <v>54939</v>
      </c>
      <c r="R366" s="298">
        <f t="shared" si="196"/>
        <v>0</v>
      </c>
      <c r="S366" s="535">
        <f t="shared" si="222"/>
        <v>7.7499999999999999E-2</v>
      </c>
      <c r="T366" s="298">
        <f t="shared" si="212"/>
        <v>0</v>
      </c>
      <c r="U366" s="298">
        <f t="shared" si="199"/>
        <v>0</v>
      </c>
      <c r="V366" s="298">
        <f t="shared" si="213"/>
        <v>0</v>
      </c>
      <c r="W366" s="298">
        <f t="shared" si="231"/>
        <v>0</v>
      </c>
      <c r="X366" s="298">
        <f t="shared" si="231"/>
        <v>0</v>
      </c>
      <c r="Y366" s="298">
        <f t="shared" si="200"/>
        <v>0</v>
      </c>
      <c r="Z366" s="298">
        <f t="shared" si="201"/>
        <v>378976.30999999988</v>
      </c>
      <c r="AA366" s="298">
        <f t="shared" si="202"/>
        <v>237979.58999999985</v>
      </c>
      <c r="AB366" s="298">
        <f t="shared" si="214"/>
        <v>0</v>
      </c>
      <c r="AC366" s="451">
        <f t="shared" si="223"/>
        <v>306</v>
      </c>
      <c r="AD366" s="552">
        <f t="shared" si="224"/>
        <v>212333.98999999964</v>
      </c>
      <c r="AE366" s="552">
        <f t="shared" si="194"/>
        <v>-3411.0699999999147</v>
      </c>
      <c r="AF366" s="552">
        <f t="shared" si="195"/>
        <v>208922.91999999972</v>
      </c>
      <c r="AG366" s="552">
        <f t="shared" si="225"/>
        <v>-433.95</v>
      </c>
      <c r="AH366" s="552">
        <f t="shared" si="226"/>
        <v>85809.910000000091</v>
      </c>
      <c r="AI366" s="552"/>
      <c r="AJ366" s="14">
        <f t="shared" si="203"/>
        <v>-433.95</v>
      </c>
      <c r="AK366" s="14">
        <f t="shared" si="204"/>
        <v>482865.34999999881</v>
      </c>
      <c r="AL366" s="552">
        <f>IF(R366&lt;=0,0,+([1]Profit!$B$4+AM365)*$AL$1/12)</f>
        <v>0</v>
      </c>
      <c r="AM366" s="14">
        <f t="shared" si="227"/>
        <v>262755.13764632691</v>
      </c>
    </row>
    <row r="367" spans="1:39" x14ac:dyDescent="0.25">
      <c r="A367" s="542">
        <f t="shared" si="215"/>
        <v>54969</v>
      </c>
      <c r="B367" s="298">
        <f t="shared" si="216"/>
        <v>3411.0699999999147</v>
      </c>
      <c r="C367" s="14">
        <f t="shared" si="206"/>
        <v>433.95</v>
      </c>
      <c r="D367" s="14">
        <f t="shared" si="228"/>
        <v>420.45</v>
      </c>
      <c r="E367" s="14">
        <f t="shared" si="207"/>
        <v>13.5</v>
      </c>
      <c r="F367" s="298">
        <f t="shared" si="217"/>
        <v>80527.169999999984</v>
      </c>
      <c r="G367" s="298">
        <f t="shared" si="218"/>
        <v>72986.469999999928</v>
      </c>
      <c r="H367" s="298">
        <f t="shared" si="208"/>
        <v>2990.6199999999149</v>
      </c>
      <c r="I367" s="451">
        <f t="shared" si="209"/>
        <v>25</v>
      </c>
      <c r="J367" s="298">
        <f t="shared" si="219"/>
        <v>120907.63999999959</v>
      </c>
      <c r="K367" s="298">
        <f t="shared" si="197"/>
        <v>2701.27</v>
      </c>
      <c r="L367" s="298">
        <f t="shared" si="229"/>
        <v>1920.4099999999999</v>
      </c>
      <c r="M367" s="298">
        <f t="shared" si="198"/>
        <v>780.86</v>
      </c>
      <c r="N367" s="298">
        <f t="shared" si="220"/>
        <v>258067.77000000016</v>
      </c>
      <c r="O367" s="298">
        <f t="shared" si="221"/>
        <v>573923.39</v>
      </c>
      <c r="P367" s="298">
        <f t="shared" si="210"/>
        <v>118987.22999999959</v>
      </c>
      <c r="Q367" s="542">
        <f t="shared" si="211"/>
        <v>54969</v>
      </c>
      <c r="R367" s="298">
        <f t="shared" si="196"/>
        <v>0</v>
      </c>
      <c r="S367" s="535">
        <f t="shared" si="222"/>
        <v>7.7499999999999999E-2</v>
      </c>
      <c r="T367" s="298">
        <f t="shared" si="212"/>
        <v>0</v>
      </c>
      <c r="U367" s="298">
        <f t="shared" si="199"/>
        <v>0</v>
      </c>
      <c r="V367" s="298">
        <f t="shared" si="213"/>
        <v>0</v>
      </c>
      <c r="W367" s="298">
        <f t="shared" si="231"/>
        <v>0</v>
      </c>
      <c r="X367" s="298">
        <f t="shared" si="231"/>
        <v>0</v>
      </c>
      <c r="Y367" s="298">
        <f t="shared" si="200"/>
        <v>0</v>
      </c>
      <c r="Z367" s="298">
        <f t="shared" si="201"/>
        <v>378976.30999999988</v>
      </c>
      <c r="AA367" s="298">
        <f t="shared" si="202"/>
        <v>237979.58999999985</v>
      </c>
      <c r="AB367" s="298">
        <f t="shared" si="214"/>
        <v>0</v>
      </c>
      <c r="AC367" s="451">
        <f t="shared" si="223"/>
        <v>307</v>
      </c>
      <c r="AD367" s="552">
        <f t="shared" si="224"/>
        <v>215035.25999999963</v>
      </c>
      <c r="AE367" s="552">
        <f t="shared" si="194"/>
        <v>-2990.6199999999149</v>
      </c>
      <c r="AF367" s="552">
        <f t="shared" si="195"/>
        <v>212044.63999999972</v>
      </c>
      <c r="AG367" s="552">
        <f t="shared" si="225"/>
        <v>-433.95</v>
      </c>
      <c r="AH367" s="552">
        <f t="shared" si="226"/>
        <v>86230.360000000102</v>
      </c>
      <c r="AI367" s="552"/>
      <c r="AJ367" s="14">
        <f t="shared" si="203"/>
        <v>-433.95</v>
      </c>
      <c r="AK367" s="14">
        <f t="shared" si="204"/>
        <v>482431.3999999988</v>
      </c>
      <c r="AL367" s="552">
        <f>IF(R367&lt;=0,0,+([1]Profit!$B$4+AM366)*$AL$1/12)</f>
        <v>0</v>
      </c>
      <c r="AM367" s="14">
        <f t="shared" si="227"/>
        <v>262755.13764632691</v>
      </c>
    </row>
    <row r="368" spans="1:39" x14ac:dyDescent="0.25">
      <c r="A368" s="542">
        <f t="shared" si="215"/>
        <v>54999</v>
      </c>
      <c r="B368" s="298">
        <f t="shared" si="216"/>
        <v>2990.6199999999149</v>
      </c>
      <c r="C368" s="14">
        <f t="shared" si="206"/>
        <v>433.95</v>
      </c>
      <c r="D368" s="14">
        <f t="shared" si="228"/>
        <v>422.11</v>
      </c>
      <c r="E368" s="14">
        <f t="shared" si="207"/>
        <v>11.84</v>
      </c>
      <c r="F368" s="298">
        <f t="shared" si="217"/>
        <v>80949.279999999984</v>
      </c>
      <c r="G368" s="298">
        <f t="shared" si="218"/>
        <v>72998.309999999925</v>
      </c>
      <c r="H368" s="298">
        <f t="shared" si="208"/>
        <v>2568.5099999999147</v>
      </c>
      <c r="I368" s="451">
        <f t="shared" si="209"/>
        <v>25</v>
      </c>
      <c r="J368" s="298">
        <f t="shared" si="219"/>
        <v>118987.22999999959</v>
      </c>
      <c r="K368" s="298">
        <f t="shared" si="197"/>
        <v>2701.27</v>
      </c>
      <c r="L368" s="298">
        <f t="shared" si="229"/>
        <v>1932.81</v>
      </c>
      <c r="M368" s="298">
        <f t="shared" si="198"/>
        <v>768.46</v>
      </c>
      <c r="N368" s="298">
        <f t="shared" si="220"/>
        <v>260000.58000000016</v>
      </c>
      <c r="O368" s="298">
        <f t="shared" si="221"/>
        <v>574691.85</v>
      </c>
      <c r="P368" s="298">
        <f t="shared" si="210"/>
        <v>117054.41999999959</v>
      </c>
      <c r="Q368" s="542">
        <f t="shared" si="211"/>
        <v>54999</v>
      </c>
      <c r="R368" s="298">
        <f t="shared" si="196"/>
        <v>0</v>
      </c>
      <c r="S368" s="535">
        <f t="shared" si="222"/>
        <v>7.7499999999999999E-2</v>
      </c>
      <c r="T368" s="298">
        <f t="shared" si="212"/>
        <v>0</v>
      </c>
      <c r="U368" s="298">
        <f t="shared" si="199"/>
        <v>0</v>
      </c>
      <c r="V368" s="298">
        <f t="shared" si="213"/>
        <v>0</v>
      </c>
      <c r="W368" s="298">
        <f t="shared" si="231"/>
        <v>0</v>
      </c>
      <c r="X368" s="298">
        <f t="shared" si="231"/>
        <v>0</v>
      </c>
      <c r="Y368" s="298">
        <f t="shared" si="200"/>
        <v>0</v>
      </c>
      <c r="Z368" s="298">
        <f t="shared" si="201"/>
        <v>378976.30999999988</v>
      </c>
      <c r="AA368" s="298">
        <f t="shared" si="202"/>
        <v>237979.58999999985</v>
      </c>
      <c r="AB368" s="298">
        <f t="shared" si="214"/>
        <v>0</v>
      </c>
      <c r="AC368" s="451">
        <f t="shared" si="223"/>
        <v>308</v>
      </c>
      <c r="AD368" s="552">
        <f t="shared" si="224"/>
        <v>217736.52999999962</v>
      </c>
      <c r="AE368" s="552">
        <f t="shared" si="194"/>
        <v>-2568.5099999999147</v>
      </c>
      <c r="AF368" s="552">
        <f t="shared" si="195"/>
        <v>215168.0199999997</v>
      </c>
      <c r="AG368" s="552">
        <f t="shared" si="225"/>
        <v>-433.95</v>
      </c>
      <c r="AH368" s="552">
        <f t="shared" si="226"/>
        <v>86652.470000000088</v>
      </c>
      <c r="AI368" s="552"/>
      <c r="AJ368" s="14">
        <f t="shared" si="203"/>
        <v>-433.95</v>
      </c>
      <c r="AK368" s="14">
        <f t="shared" si="204"/>
        <v>481997.44999999879</v>
      </c>
      <c r="AL368" s="552">
        <f>IF(R368&lt;=0,0,+([1]Profit!$B$4+AM367)*$AL$1/12)</f>
        <v>0</v>
      </c>
      <c r="AM368" s="14">
        <f t="shared" si="227"/>
        <v>262755.13764632691</v>
      </c>
    </row>
    <row r="369" spans="1:39" x14ac:dyDescent="0.25">
      <c r="A369" s="542">
        <f t="shared" si="215"/>
        <v>55029</v>
      </c>
      <c r="B369" s="298">
        <f t="shared" si="216"/>
        <v>2568.5099999999147</v>
      </c>
      <c r="C369" s="14">
        <f t="shared" si="206"/>
        <v>433.95</v>
      </c>
      <c r="D369" s="14">
        <f t="shared" si="228"/>
        <v>423.78</v>
      </c>
      <c r="E369" s="14">
        <f t="shared" si="207"/>
        <v>10.17</v>
      </c>
      <c r="F369" s="298">
        <f t="shared" si="217"/>
        <v>81373.059999999983</v>
      </c>
      <c r="G369" s="298">
        <f t="shared" si="218"/>
        <v>73008.479999999923</v>
      </c>
      <c r="H369" s="298">
        <f t="shared" si="208"/>
        <v>2144.729999999915</v>
      </c>
      <c r="I369" s="451">
        <f t="shared" si="209"/>
        <v>25</v>
      </c>
      <c r="J369" s="298">
        <f t="shared" si="219"/>
        <v>117054.41999999959</v>
      </c>
      <c r="K369" s="298">
        <f t="shared" si="197"/>
        <v>2701.27</v>
      </c>
      <c r="L369" s="298">
        <f t="shared" si="229"/>
        <v>1945.29</v>
      </c>
      <c r="M369" s="298">
        <f t="shared" si="198"/>
        <v>755.98</v>
      </c>
      <c r="N369" s="298">
        <f t="shared" si="220"/>
        <v>261945.87000000017</v>
      </c>
      <c r="O369" s="298">
        <f t="shared" si="221"/>
        <v>575447.82999999996</v>
      </c>
      <c r="P369" s="298">
        <f t="shared" si="210"/>
        <v>115109.1299999996</v>
      </c>
      <c r="Q369" s="542">
        <f t="shared" si="211"/>
        <v>55029</v>
      </c>
      <c r="R369" s="298">
        <f t="shared" si="196"/>
        <v>0</v>
      </c>
      <c r="S369" s="535">
        <f t="shared" si="222"/>
        <v>7.7499999999999999E-2</v>
      </c>
      <c r="T369" s="298">
        <f t="shared" si="212"/>
        <v>0</v>
      </c>
      <c r="U369" s="298">
        <f t="shared" si="199"/>
        <v>0</v>
      </c>
      <c r="V369" s="298">
        <f t="shared" si="213"/>
        <v>0</v>
      </c>
      <c r="W369" s="298">
        <f t="shared" si="231"/>
        <v>0</v>
      </c>
      <c r="X369" s="298">
        <f t="shared" si="231"/>
        <v>0</v>
      </c>
      <c r="Y369" s="298">
        <f t="shared" si="200"/>
        <v>0</v>
      </c>
      <c r="Z369" s="298">
        <f t="shared" si="201"/>
        <v>378976.30999999988</v>
      </c>
      <c r="AA369" s="298">
        <f t="shared" si="202"/>
        <v>237979.58999999985</v>
      </c>
      <c r="AB369" s="298">
        <f t="shared" si="214"/>
        <v>0</v>
      </c>
      <c r="AC369" s="451">
        <f t="shared" si="223"/>
        <v>309</v>
      </c>
      <c r="AD369" s="552">
        <f t="shared" si="224"/>
        <v>220437.79999999961</v>
      </c>
      <c r="AE369" s="552">
        <f t="shared" si="194"/>
        <v>-2144.729999999915</v>
      </c>
      <c r="AF369" s="552">
        <f t="shared" si="195"/>
        <v>218293.06999999969</v>
      </c>
      <c r="AG369" s="552">
        <f t="shared" si="225"/>
        <v>-433.95</v>
      </c>
      <c r="AH369" s="552">
        <f t="shared" si="226"/>
        <v>87076.250000000116</v>
      </c>
      <c r="AI369" s="552"/>
      <c r="AJ369" s="14">
        <f t="shared" si="203"/>
        <v>-433.95</v>
      </c>
      <c r="AK369" s="14">
        <f t="shared" si="204"/>
        <v>481563.49999999878</v>
      </c>
      <c r="AL369" s="552">
        <f>IF(R369&lt;=0,0,+([1]Profit!$B$4+AM368)*$AL$1/12)</f>
        <v>0</v>
      </c>
      <c r="AM369" s="14">
        <f t="shared" si="227"/>
        <v>262755.13764632691</v>
      </c>
    </row>
    <row r="370" spans="1:39" x14ac:dyDescent="0.25">
      <c r="A370" s="542">
        <f t="shared" si="215"/>
        <v>55059</v>
      </c>
      <c r="B370" s="298">
        <f t="shared" si="216"/>
        <v>2144.729999999915</v>
      </c>
      <c r="C370" s="14">
        <f t="shared" si="206"/>
        <v>433.95</v>
      </c>
      <c r="D370" s="14">
        <f t="shared" si="228"/>
        <v>425.46</v>
      </c>
      <c r="E370" s="14">
        <f t="shared" si="207"/>
        <v>8.49</v>
      </c>
      <c r="F370" s="298">
        <f t="shared" si="217"/>
        <v>81798.51999999999</v>
      </c>
      <c r="G370" s="298">
        <f t="shared" si="218"/>
        <v>73016.969999999928</v>
      </c>
      <c r="H370" s="298">
        <f t="shared" si="208"/>
        <v>1719.2699999999149</v>
      </c>
      <c r="I370" s="451">
        <f t="shared" si="209"/>
        <v>25</v>
      </c>
      <c r="J370" s="298">
        <f t="shared" si="219"/>
        <v>115109.1299999996</v>
      </c>
      <c r="K370" s="298">
        <f t="shared" si="197"/>
        <v>2701.27</v>
      </c>
      <c r="L370" s="298">
        <f t="shared" si="229"/>
        <v>1957.8600000000001</v>
      </c>
      <c r="M370" s="298">
        <f t="shared" si="198"/>
        <v>743.41</v>
      </c>
      <c r="N370" s="298">
        <f t="shared" si="220"/>
        <v>263903.73000000016</v>
      </c>
      <c r="O370" s="298">
        <f t="shared" si="221"/>
        <v>576191.24</v>
      </c>
      <c r="P370" s="298">
        <f t="shared" si="210"/>
        <v>113151.2699999996</v>
      </c>
      <c r="Q370" s="542">
        <f t="shared" si="211"/>
        <v>55059</v>
      </c>
      <c r="R370" s="298">
        <f t="shared" si="196"/>
        <v>0</v>
      </c>
      <c r="S370" s="535">
        <f t="shared" si="222"/>
        <v>7.7499999999999999E-2</v>
      </c>
      <c r="T370" s="298">
        <f t="shared" si="212"/>
        <v>0</v>
      </c>
      <c r="U370" s="298">
        <f t="shared" si="199"/>
        <v>0</v>
      </c>
      <c r="V370" s="298">
        <f t="shared" si="213"/>
        <v>0</v>
      </c>
      <c r="W370" s="298">
        <f t="shared" si="231"/>
        <v>0</v>
      </c>
      <c r="X370" s="298">
        <f t="shared" si="231"/>
        <v>0</v>
      </c>
      <c r="Y370" s="298">
        <f t="shared" si="200"/>
        <v>0</v>
      </c>
      <c r="Z370" s="298">
        <f t="shared" si="201"/>
        <v>378976.30999999988</v>
      </c>
      <c r="AA370" s="298">
        <f t="shared" si="202"/>
        <v>237979.58999999985</v>
      </c>
      <c r="AB370" s="298">
        <f t="shared" si="214"/>
        <v>0</v>
      </c>
      <c r="AC370" s="451">
        <f t="shared" si="223"/>
        <v>310</v>
      </c>
      <c r="AD370" s="552">
        <f t="shared" si="224"/>
        <v>223139.0699999996</v>
      </c>
      <c r="AE370" s="552">
        <f t="shared" si="194"/>
        <v>-1719.2699999999149</v>
      </c>
      <c r="AF370" s="552">
        <f t="shared" si="195"/>
        <v>221419.7999999997</v>
      </c>
      <c r="AG370" s="552">
        <f t="shared" si="225"/>
        <v>-433.95</v>
      </c>
      <c r="AH370" s="552">
        <f t="shared" si="226"/>
        <v>87501.710000000137</v>
      </c>
      <c r="AI370" s="552"/>
      <c r="AJ370" s="14">
        <f t="shared" si="203"/>
        <v>-433.95</v>
      </c>
      <c r="AK370" s="14">
        <f t="shared" si="204"/>
        <v>481129.54999999877</v>
      </c>
      <c r="AL370" s="552">
        <f>IF(R370&lt;=0,0,+([1]Profit!$B$4+AM369)*$AL$1/12)</f>
        <v>0</v>
      </c>
      <c r="AM370" s="14">
        <f t="shared" si="227"/>
        <v>262755.13764632691</v>
      </c>
    </row>
    <row r="371" spans="1:39" x14ac:dyDescent="0.25">
      <c r="A371" s="542">
        <f t="shared" si="215"/>
        <v>55089</v>
      </c>
      <c r="B371" s="298">
        <f t="shared" si="216"/>
        <v>1719.2699999999149</v>
      </c>
      <c r="C371" s="14">
        <f t="shared" si="206"/>
        <v>433.95</v>
      </c>
      <c r="D371" s="14">
        <f t="shared" si="228"/>
        <v>427.14</v>
      </c>
      <c r="E371" s="14">
        <f t="shared" si="207"/>
        <v>6.81</v>
      </c>
      <c r="F371" s="298">
        <f t="shared" si="217"/>
        <v>82225.659999999989</v>
      </c>
      <c r="G371" s="298">
        <f t="shared" si="218"/>
        <v>73023.779999999926</v>
      </c>
      <c r="H371" s="298">
        <f t="shared" si="208"/>
        <v>1292.1299999999151</v>
      </c>
      <c r="I371" s="451">
        <f t="shared" si="209"/>
        <v>25</v>
      </c>
      <c r="J371" s="298">
        <f t="shared" si="219"/>
        <v>113151.2699999996</v>
      </c>
      <c r="K371" s="298">
        <f t="shared" si="197"/>
        <v>2701.27</v>
      </c>
      <c r="L371" s="298">
        <f t="shared" si="229"/>
        <v>1970.5</v>
      </c>
      <c r="M371" s="298">
        <f t="shared" si="198"/>
        <v>730.77</v>
      </c>
      <c r="N371" s="298">
        <f t="shared" si="220"/>
        <v>265874.23000000016</v>
      </c>
      <c r="O371" s="298">
        <f t="shared" si="221"/>
        <v>576922.01</v>
      </c>
      <c r="P371" s="298">
        <f t="shared" si="210"/>
        <v>111180.7699999996</v>
      </c>
      <c r="Q371" s="542">
        <f t="shared" si="211"/>
        <v>55089</v>
      </c>
      <c r="R371" s="298">
        <f t="shared" si="196"/>
        <v>0</v>
      </c>
      <c r="S371" s="535">
        <f t="shared" si="222"/>
        <v>7.7499999999999999E-2</v>
      </c>
      <c r="T371" s="298">
        <f t="shared" si="212"/>
        <v>0</v>
      </c>
      <c r="U371" s="298">
        <f t="shared" si="199"/>
        <v>0</v>
      </c>
      <c r="V371" s="298">
        <f t="shared" si="213"/>
        <v>0</v>
      </c>
      <c r="W371" s="298">
        <f t="shared" si="231"/>
        <v>0</v>
      </c>
      <c r="X371" s="298">
        <f t="shared" si="231"/>
        <v>0</v>
      </c>
      <c r="Y371" s="298">
        <f t="shared" si="200"/>
        <v>0</v>
      </c>
      <c r="Z371" s="298">
        <f t="shared" si="201"/>
        <v>378976.30999999988</v>
      </c>
      <c r="AA371" s="298">
        <f t="shared" si="202"/>
        <v>237979.58999999985</v>
      </c>
      <c r="AB371" s="298">
        <f t="shared" si="214"/>
        <v>0</v>
      </c>
      <c r="AC371" s="451">
        <f t="shared" si="223"/>
        <v>311</v>
      </c>
      <c r="AD371" s="552">
        <f t="shared" si="224"/>
        <v>225840.33999999959</v>
      </c>
      <c r="AE371" s="552">
        <f t="shared" si="194"/>
        <v>-1292.1299999999151</v>
      </c>
      <c r="AF371" s="552">
        <f t="shared" si="195"/>
        <v>224548.20999999967</v>
      </c>
      <c r="AG371" s="552">
        <f t="shared" si="225"/>
        <v>-433.95</v>
      </c>
      <c r="AH371" s="552">
        <f t="shared" si="226"/>
        <v>87928.850000000093</v>
      </c>
      <c r="AI371" s="552"/>
      <c r="AJ371" s="14">
        <f t="shared" si="203"/>
        <v>-433.95</v>
      </c>
      <c r="AK371" s="14">
        <f t="shared" si="204"/>
        <v>480695.59999999875</v>
      </c>
      <c r="AL371" s="552">
        <f>IF(R371&lt;=0,0,+([1]Profit!$B$4+AM370)*$AL$1/12)</f>
        <v>0</v>
      </c>
      <c r="AM371" s="14">
        <f t="shared" si="227"/>
        <v>262755.13764632691</v>
      </c>
    </row>
    <row r="372" spans="1:39" x14ac:dyDescent="0.25">
      <c r="A372" s="542">
        <f t="shared" si="215"/>
        <v>55119</v>
      </c>
      <c r="B372" s="298">
        <f t="shared" si="216"/>
        <v>1292.1299999999151</v>
      </c>
      <c r="C372" s="14">
        <f t="shared" si="206"/>
        <v>433.95</v>
      </c>
      <c r="D372" s="14">
        <f t="shared" si="228"/>
        <v>428.84</v>
      </c>
      <c r="E372" s="14">
        <f t="shared" si="207"/>
        <v>5.1100000000000003</v>
      </c>
      <c r="F372" s="298">
        <f t="shared" si="217"/>
        <v>82654.499999999985</v>
      </c>
      <c r="G372" s="298">
        <f t="shared" si="218"/>
        <v>73028.889999999927</v>
      </c>
      <c r="H372" s="298">
        <f t="shared" si="208"/>
        <v>863.28999999991515</v>
      </c>
      <c r="I372" s="451">
        <f t="shared" si="209"/>
        <v>26</v>
      </c>
      <c r="J372" s="298">
        <f t="shared" si="219"/>
        <v>111180.7699999996</v>
      </c>
      <c r="K372" s="298">
        <f t="shared" si="197"/>
        <v>2701.27</v>
      </c>
      <c r="L372" s="298">
        <f t="shared" si="229"/>
        <v>1983.23</v>
      </c>
      <c r="M372" s="298">
        <f t="shared" si="198"/>
        <v>718.04</v>
      </c>
      <c r="N372" s="298">
        <f t="shared" si="220"/>
        <v>267857.46000000014</v>
      </c>
      <c r="O372" s="298">
        <f t="shared" si="221"/>
        <v>577640.05000000005</v>
      </c>
      <c r="P372" s="298">
        <f t="shared" si="210"/>
        <v>109197.5399999996</v>
      </c>
      <c r="Q372" s="542">
        <f t="shared" si="211"/>
        <v>55119</v>
      </c>
      <c r="R372" s="298">
        <f t="shared" si="196"/>
        <v>0</v>
      </c>
      <c r="S372" s="535">
        <f t="shared" si="222"/>
        <v>7.7499999999999999E-2</v>
      </c>
      <c r="T372" s="298">
        <f t="shared" si="212"/>
        <v>0</v>
      </c>
      <c r="U372" s="298">
        <f t="shared" si="199"/>
        <v>0</v>
      </c>
      <c r="V372" s="298">
        <f t="shared" si="213"/>
        <v>0</v>
      </c>
      <c r="W372" s="298">
        <f t="shared" si="231"/>
        <v>0</v>
      </c>
      <c r="X372" s="298">
        <f t="shared" si="231"/>
        <v>0</v>
      </c>
      <c r="Y372" s="298">
        <f t="shared" si="200"/>
        <v>0</v>
      </c>
      <c r="Z372" s="298">
        <f t="shared" si="201"/>
        <v>378976.30999999988</v>
      </c>
      <c r="AA372" s="298">
        <f t="shared" si="202"/>
        <v>237979.58999999985</v>
      </c>
      <c r="AB372" s="298">
        <f t="shared" si="214"/>
        <v>0</v>
      </c>
      <c r="AC372" s="451">
        <f t="shared" si="223"/>
        <v>312</v>
      </c>
      <c r="AD372" s="552">
        <f t="shared" si="224"/>
        <v>228541.60999999958</v>
      </c>
      <c r="AE372" s="552">
        <f t="shared" si="194"/>
        <v>-863.28999999991515</v>
      </c>
      <c r="AF372" s="552">
        <f t="shared" si="195"/>
        <v>227678.31999999966</v>
      </c>
      <c r="AG372" s="552">
        <f t="shared" si="225"/>
        <v>-433.95</v>
      </c>
      <c r="AH372" s="552">
        <f t="shared" si="226"/>
        <v>88357.690000000119</v>
      </c>
      <c r="AI372" s="552"/>
      <c r="AJ372" s="14">
        <f t="shared" si="203"/>
        <v>-433.95</v>
      </c>
      <c r="AK372" s="14">
        <f t="shared" si="204"/>
        <v>480261.64999999874</v>
      </c>
      <c r="AL372" s="552">
        <f>IF(R372&lt;=0,0,+([1]Profit!$B$4+AM371)*$AL$1/12)</f>
        <v>0</v>
      </c>
      <c r="AM372" s="14">
        <f t="shared" si="227"/>
        <v>262755.13764632691</v>
      </c>
    </row>
    <row r="373" spans="1:39" x14ac:dyDescent="0.25">
      <c r="A373" s="542">
        <f t="shared" si="215"/>
        <v>55149</v>
      </c>
      <c r="B373" s="298">
        <f t="shared" si="216"/>
        <v>863.28999999991515</v>
      </c>
      <c r="C373" s="14">
        <f t="shared" si="206"/>
        <v>433.95</v>
      </c>
      <c r="D373" s="14">
        <f t="shared" si="228"/>
        <v>430.53</v>
      </c>
      <c r="E373" s="14">
        <f t="shared" si="207"/>
        <v>3.42</v>
      </c>
      <c r="F373" s="298">
        <f t="shared" si="217"/>
        <v>83085.029999999984</v>
      </c>
      <c r="G373" s="298">
        <f t="shared" si="218"/>
        <v>73032.309999999925</v>
      </c>
      <c r="H373" s="298">
        <f t="shared" si="208"/>
        <v>432.75999999991518</v>
      </c>
      <c r="I373" s="451">
        <f t="shared" si="209"/>
        <v>26</v>
      </c>
      <c r="J373" s="298">
        <f t="shared" si="219"/>
        <v>109197.5399999996</v>
      </c>
      <c r="K373" s="298">
        <f t="shared" si="197"/>
        <v>2701.27</v>
      </c>
      <c r="L373" s="298">
        <f t="shared" si="229"/>
        <v>1996.04</v>
      </c>
      <c r="M373" s="298">
        <f t="shared" si="198"/>
        <v>705.23</v>
      </c>
      <c r="N373" s="298">
        <f t="shared" si="220"/>
        <v>269853.50000000012</v>
      </c>
      <c r="O373" s="298">
        <f t="shared" si="221"/>
        <v>578345.28</v>
      </c>
      <c r="P373" s="298">
        <f t="shared" si="210"/>
        <v>107201.49999999961</v>
      </c>
      <c r="Q373" s="542">
        <f t="shared" si="211"/>
        <v>55149</v>
      </c>
      <c r="R373" s="298">
        <f t="shared" si="196"/>
        <v>0</v>
      </c>
      <c r="S373" s="535">
        <f t="shared" si="222"/>
        <v>7.7499999999999999E-2</v>
      </c>
      <c r="T373" s="298">
        <f t="shared" si="212"/>
        <v>0</v>
      </c>
      <c r="U373" s="298">
        <f t="shared" si="199"/>
        <v>0</v>
      </c>
      <c r="V373" s="298">
        <f t="shared" si="213"/>
        <v>0</v>
      </c>
      <c r="W373" s="298">
        <f t="shared" si="231"/>
        <v>0</v>
      </c>
      <c r="X373" s="298">
        <f t="shared" si="231"/>
        <v>0</v>
      </c>
      <c r="Y373" s="298">
        <f t="shared" si="200"/>
        <v>0</v>
      </c>
      <c r="Z373" s="298">
        <f t="shared" si="201"/>
        <v>378976.30999999988</v>
      </c>
      <c r="AA373" s="298">
        <f t="shared" si="202"/>
        <v>237979.58999999985</v>
      </c>
      <c r="AB373" s="298">
        <f t="shared" si="214"/>
        <v>0</v>
      </c>
      <c r="AC373" s="451">
        <f t="shared" si="223"/>
        <v>313</v>
      </c>
      <c r="AD373" s="552">
        <f t="shared" si="224"/>
        <v>231242.87999999957</v>
      </c>
      <c r="AE373" s="552">
        <f t="shared" si="194"/>
        <v>-432.75999999991518</v>
      </c>
      <c r="AF373" s="552">
        <f t="shared" si="195"/>
        <v>230810.11999999965</v>
      </c>
      <c r="AG373" s="552">
        <f t="shared" si="225"/>
        <v>-433.95</v>
      </c>
      <c r="AH373" s="552">
        <f t="shared" si="226"/>
        <v>88788.220000000088</v>
      </c>
      <c r="AI373" s="552"/>
      <c r="AJ373" s="14">
        <f t="shared" si="203"/>
        <v>-433.95</v>
      </c>
      <c r="AK373" s="14">
        <f t="shared" si="204"/>
        <v>479827.69999999873</v>
      </c>
      <c r="AL373" s="552">
        <f>IF(R373&lt;=0,0,+([1]Profit!$B$4+AM372)*$AL$1/12)</f>
        <v>0</v>
      </c>
      <c r="AM373" s="14">
        <f t="shared" si="227"/>
        <v>262755.13764632691</v>
      </c>
    </row>
    <row r="374" spans="1:39" ht="15.75" thickBot="1" x14ac:dyDescent="0.3">
      <c r="A374" s="545">
        <f t="shared" si="215"/>
        <v>55179</v>
      </c>
      <c r="B374" s="371">
        <f>IF(+H373&lt;0,0,+H373)</f>
        <v>432.75999999991518</v>
      </c>
      <c r="C374" s="21">
        <f t="shared" si="206"/>
        <v>433.95</v>
      </c>
      <c r="D374" s="21">
        <f t="shared" si="228"/>
        <v>432.24</v>
      </c>
      <c r="E374" s="21">
        <f t="shared" si="207"/>
        <v>1.71</v>
      </c>
      <c r="F374" s="371">
        <f t="shared" si="217"/>
        <v>83517.26999999999</v>
      </c>
      <c r="G374" s="371">
        <f t="shared" si="218"/>
        <v>73034.019999999931</v>
      </c>
      <c r="H374" s="371">
        <f t="shared" si="208"/>
        <v>0.51999999991517143</v>
      </c>
      <c r="I374" s="452">
        <f t="shared" si="209"/>
        <v>26</v>
      </c>
      <c r="J374" s="371">
        <f t="shared" si="219"/>
        <v>107201.49999999961</v>
      </c>
      <c r="K374" s="371">
        <f t="shared" si="197"/>
        <v>2701.27</v>
      </c>
      <c r="L374" s="371">
        <f t="shared" si="229"/>
        <v>2008.9299999999998</v>
      </c>
      <c r="M374" s="371">
        <f t="shared" si="198"/>
        <v>692.34</v>
      </c>
      <c r="N374" s="371">
        <f t="shared" si="220"/>
        <v>271862.43000000011</v>
      </c>
      <c r="O374" s="371">
        <f t="shared" si="221"/>
        <v>579037.62</v>
      </c>
      <c r="P374" s="371">
        <f t="shared" si="210"/>
        <v>105192.56999999961</v>
      </c>
      <c r="Q374" s="545">
        <f t="shared" si="211"/>
        <v>55179</v>
      </c>
      <c r="R374" s="371">
        <f t="shared" si="196"/>
        <v>0</v>
      </c>
      <c r="S374" s="536">
        <f t="shared" si="222"/>
        <v>7.7499999999999999E-2</v>
      </c>
      <c r="T374" s="371">
        <f t="shared" si="212"/>
        <v>0</v>
      </c>
      <c r="U374" s="371">
        <f t="shared" si="199"/>
        <v>0</v>
      </c>
      <c r="V374" s="371">
        <f t="shared" si="213"/>
        <v>0</v>
      </c>
      <c r="W374" s="371">
        <f t="shared" si="231"/>
        <v>0</v>
      </c>
      <c r="X374" s="371">
        <f t="shared" si="231"/>
        <v>0</v>
      </c>
      <c r="Y374" s="371">
        <f t="shared" si="200"/>
        <v>0</v>
      </c>
      <c r="Z374" s="371">
        <f t="shared" si="201"/>
        <v>378976.30999999988</v>
      </c>
      <c r="AA374" s="371">
        <f t="shared" si="202"/>
        <v>237979.58999999985</v>
      </c>
      <c r="AB374" s="371">
        <f t="shared" si="214"/>
        <v>0</v>
      </c>
      <c r="AC374" s="452">
        <f t="shared" si="223"/>
        <v>314</v>
      </c>
      <c r="AD374" s="553">
        <f t="shared" si="224"/>
        <v>233944.14999999956</v>
      </c>
      <c r="AE374" s="553">
        <f t="shared" si="194"/>
        <v>-0.51999999991517143</v>
      </c>
      <c r="AF374" s="553">
        <f t="shared" si="195"/>
        <v>233943.62999999966</v>
      </c>
      <c r="AG374" s="553">
        <f t="shared" si="225"/>
        <v>-433.95</v>
      </c>
      <c r="AH374" s="553">
        <f t="shared" si="226"/>
        <v>89220.460000000137</v>
      </c>
      <c r="AI374" s="553"/>
      <c r="AJ374" s="21">
        <f t="shared" si="203"/>
        <v>-433.95</v>
      </c>
      <c r="AK374" s="21">
        <f t="shared" si="204"/>
        <v>479393.74999999872</v>
      </c>
      <c r="AL374" s="553">
        <f>IF(R374&lt;=0,0,+([1]Profit!$B$4+AM373)*$AL$1/12)</f>
        <v>0</v>
      </c>
      <c r="AM374" s="21">
        <f t="shared" si="227"/>
        <v>262755.13764632691</v>
      </c>
    </row>
    <row r="375" spans="1:39" x14ac:dyDescent="0.25">
      <c r="A375" s="542" t="str">
        <f t="shared" si="215"/>
        <v xml:space="preserve"> </v>
      </c>
      <c r="B375" s="298">
        <f>IF(+$H374&lt;0,0,+H374)</f>
        <v>0.51999999991517143</v>
      </c>
      <c r="C375" s="14">
        <f t="shared" si="206"/>
        <v>433.95</v>
      </c>
      <c r="D375" s="14">
        <f t="shared" si="228"/>
        <v>433.95</v>
      </c>
      <c r="E375" s="14">
        <f t="shared" si="207"/>
        <v>0</v>
      </c>
      <c r="F375" s="298">
        <f t="shared" si="217"/>
        <v>83951.219999999987</v>
      </c>
      <c r="G375" s="298">
        <f t="shared" si="218"/>
        <v>73034.019999999931</v>
      </c>
      <c r="H375" s="298">
        <f t="shared" si="208"/>
        <v>-433.43000000008482</v>
      </c>
      <c r="I375" s="451">
        <f t="shared" si="209"/>
        <v>26</v>
      </c>
      <c r="J375" s="298">
        <f t="shared" si="219"/>
        <v>105192.56999999961</v>
      </c>
      <c r="K375" s="298">
        <f t="shared" si="197"/>
        <v>2701.27</v>
      </c>
      <c r="L375" s="298">
        <f t="shared" si="229"/>
        <v>2021.9</v>
      </c>
      <c r="M375" s="298">
        <f t="shared" si="198"/>
        <v>679.37</v>
      </c>
      <c r="N375" s="298">
        <f t="shared" si="220"/>
        <v>273884.33000000013</v>
      </c>
      <c r="O375" s="298">
        <f t="shared" si="221"/>
        <v>579716.99</v>
      </c>
      <c r="P375" s="298">
        <f t="shared" si="210"/>
        <v>103170.66999999962</v>
      </c>
      <c r="Q375" s="542" t="str">
        <f t="shared" si="211"/>
        <v xml:space="preserve"> </v>
      </c>
      <c r="R375" s="298">
        <f t="shared" si="196"/>
        <v>0</v>
      </c>
      <c r="S375" s="535">
        <f t="shared" si="222"/>
        <v>7.7499999999999999E-2</v>
      </c>
      <c r="T375" s="298">
        <f t="shared" si="212"/>
        <v>0</v>
      </c>
      <c r="U375" s="298">
        <f t="shared" si="199"/>
        <v>0</v>
      </c>
      <c r="V375" s="298">
        <f t="shared" si="213"/>
        <v>0</v>
      </c>
      <c r="W375" s="298">
        <f t="shared" si="231"/>
        <v>0</v>
      </c>
      <c r="X375" s="298">
        <f t="shared" si="231"/>
        <v>0</v>
      </c>
      <c r="Y375" s="298">
        <f t="shared" si="200"/>
        <v>0</v>
      </c>
      <c r="Z375" s="298">
        <f t="shared" si="201"/>
        <v>378976.30999999988</v>
      </c>
      <c r="AA375" s="298">
        <f t="shared" si="202"/>
        <v>237979.58999999985</v>
      </c>
      <c r="AB375" s="298">
        <f t="shared" si="214"/>
        <v>0</v>
      </c>
      <c r="AC375" s="451">
        <f t="shared" si="223"/>
        <v>315</v>
      </c>
      <c r="AD375" s="552">
        <f t="shared" si="224"/>
        <v>236645.41999999955</v>
      </c>
      <c r="AE375" s="552">
        <f t="shared" si="194"/>
        <v>433.43000000008482</v>
      </c>
      <c r="AF375" s="552">
        <f t="shared" si="195"/>
        <v>237078.84999999963</v>
      </c>
      <c r="AG375" s="552">
        <f t="shared" si="225"/>
        <v>-433.95</v>
      </c>
      <c r="AH375" s="552">
        <f t="shared" si="226"/>
        <v>89654.410000000091</v>
      </c>
      <c r="AI375" s="552"/>
      <c r="AJ375" s="14">
        <f t="shared" si="203"/>
        <v>-433.95</v>
      </c>
      <c r="AK375" s="14">
        <f t="shared" si="204"/>
        <v>478959.79999999871</v>
      </c>
      <c r="AL375" s="552">
        <f>IF(R375&lt;=0,0,+([1]Profit!$B$4+AM374)*$AL$1/12)</f>
        <v>0</v>
      </c>
      <c r="AM375" s="14">
        <f t="shared" si="227"/>
        <v>262755.13764632691</v>
      </c>
    </row>
    <row r="376" spans="1:39" x14ac:dyDescent="0.25">
      <c r="A376" s="542" t="str">
        <f t="shared" si="215"/>
        <v xml:space="preserve"> </v>
      </c>
      <c r="B376" s="298">
        <f t="shared" ref="B376:B439" si="232">IF(+H375&lt;0,0,+H375)</f>
        <v>0</v>
      </c>
      <c r="C376" s="14">
        <f t="shared" si="206"/>
        <v>0</v>
      </c>
      <c r="D376" s="14">
        <f t="shared" si="228"/>
        <v>0</v>
      </c>
      <c r="E376" s="14">
        <f t="shared" si="207"/>
        <v>0</v>
      </c>
      <c r="F376" s="298">
        <f t="shared" si="217"/>
        <v>83951.219999999987</v>
      </c>
      <c r="G376" s="298">
        <f t="shared" si="218"/>
        <v>73034.019999999931</v>
      </c>
      <c r="H376" s="298">
        <f t="shared" si="208"/>
        <v>0</v>
      </c>
      <c r="I376" s="451">
        <f t="shared" si="209"/>
        <v>26</v>
      </c>
      <c r="J376" s="298">
        <f t="shared" si="219"/>
        <v>103170.66999999962</v>
      </c>
      <c r="K376" s="298">
        <f t="shared" si="197"/>
        <v>2701.27</v>
      </c>
      <c r="L376" s="298">
        <f t="shared" si="229"/>
        <v>2034.96</v>
      </c>
      <c r="M376" s="298">
        <f t="shared" si="198"/>
        <v>666.31</v>
      </c>
      <c r="N376" s="298">
        <f t="shared" si="220"/>
        <v>275919.29000000015</v>
      </c>
      <c r="O376" s="298">
        <f t="shared" si="221"/>
        <v>580383.30000000005</v>
      </c>
      <c r="P376" s="298">
        <f t="shared" si="210"/>
        <v>101135.70999999961</v>
      </c>
      <c r="Q376" s="542" t="str">
        <f t="shared" si="211"/>
        <v xml:space="preserve"> </v>
      </c>
      <c r="R376" s="298">
        <f t="shared" si="196"/>
        <v>0</v>
      </c>
      <c r="S376" s="535">
        <f t="shared" si="222"/>
        <v>7.7499999999999999E-2</v>
      </c>
      <c r="T376" s="298">
        <f t="shared" si="212"/>
        <v>0</v>
      </c>
      <c r="U376" s="298">
        <f t="shared" si="199"/>
        <v>0</v>
      </c>
      <c r="V376" s="298">
        <f t="shared" si="213"/>
        <v>0</v>
      </c>
      <c r="W376" s="298">
        <f t="shared" si="231"/>
        <v>0</v>
      </c>
      <c r="X376" s="298">
        <f t="shared" si="231"/>
        <v>0</v>
      </c>
      <c r="Y376" s="298">
        <f t="shared" si="200"/>
        <v>0</v>
      </c>
      <c r="Z376" s="298">
        <f t="shared" si="201"/>
        <v>378976.30999999988</v>
      </c>
      <c r="AA376" s="298">
        <f t="shared" si="202"/>
        <v>237979.58999999985</v>
      </c>
      <c r="AB376" s="298">
        <f t="shared" si="214"/>
        <v>0</v>
      </c>
      <c r="AC376" s="451">
        <f t="shared" si="223"/>
        <v>316</v>
      </c>
      <c r="AD376" s="552">
        <f t="shared" si="224"/>
        <v>239346.68999999954</v>
      </c>
      <c r="AE376" s="552">
        <f t="shared" si="194"/>
        <v>0</v>
      </c>
      <c r="AF376" s="552">
        <f t="shared" si="195"/>
        <v>239346.68999999954</v>
      </c>
      <c r="AG376" s="552">
        <f t="shared" si="225"/>
        <v>0</v>
      </c>
      <c r="AH376" s="552">
        <f t="shared" si="226"/>
        <v>89654.410000000091</v>
      </c>
      <c r="AI376" s="552"/>
      <c r="AJ376" s="14">
        <f t="shared" si="203"/>
        <v>0</v>
      </c>
      <c r="AK376" s="14">
        <f t="shared" si="204"/>
        <v>478959.79999999871</v>
      </c>
      <c r="AL376" s="552">
        <f>IF(R376&lt;=0,0,+([1]Profit!$B$4+AM375)*$AL$1/12)</f>
        <v>0</v>
      </c>
      <c r="AM376" s="14">
        <f t="shared" si="227"/>
        <v>262755.13764632691</v>
      </c>
    </row>
    <row r="377" spans="1:39" x14ac:dyDescent="0.25">
      <c r="A377" s="542" t="str">
        <f t="shared" si="215"/>
        <v xml:space="preserve"> </v>
      </c>
      <c r="B377" s="298">
        <f t="shared" si="232"/>
        <v>0</v>
      </c>
      <c r="C377" s="14">
        <f t="shared" si="206"/>
        <v>0</v>
      </c>
      <c r="D377" s="14">
        <f t="shared" si="228"/>
        <v>0</v>
      </c>
      <c r="E377" s="14">
        <f t="shared" si="207"/>
        <v>0</v>
      </c>
      <c r="F377" s="298">
        <f t="shared" si="217"/>
        <v>83951.219999999987</v>
      </c>
      <c r="G377" s="298">
        <f t="shared" si="218"/>
        <v>73034.019999999931</v>
      </c>
      <c r="H377" s="298">
        <f t="shared" si="208"/>
        <v>0</v>
      </c>
      <c r="I377" s="451">
        <f t="shared" si="209"/>
        <v>26</v>
      </c>
      <c r="J377" s="298">
        <f t="shared" si="219"/>
        <v>101135.70999999961</v>
      </c>
      <c r="K377" s="298">
        <f t="shared" si="197"/>
        <v>2701.27</v>
      </c>
      <c r="L377" s="298">
        <f t="shared" si="229"/>
        <v>2048.1</v>
      </c>
      <c r="M377" s="298">
        <f t="shared" si="198"/>
        <v>653.16999999999996</v>
      </c>
      <c r="N377" s="298">
        <f t="shared" si="220"/>
        <v>277967.39000000013</v>
      </c>
      <c r="O377" s="298">
        <f t="shared" si="221"/>
        <v>581036.47000000009</v>
      </c>
      <c r="P377" s="298">
        <f t="shared" si="210"/>
        <v>99087.609999999608</v>
      </c>
      <c r="Q377" s="542" t="str">
        <f t="shared" si="211"/>
        <v xml:space="preserve"> </v>
      </c>
      <c r="R377" s="298">
        <f t="shared" si="196"/>
        <v>0</v>
      </c>
      <c r="S377" s="535">
        <f t="shared" si="222"/>
        <v>7.7499999999999999E-2</v>
      </c>
      <c r="T377" s="298">
        <f t="shared" si="212"/>
        <v>0</v>
      </c>
      <c r="U377" s="298">
        <f t="shared" si="199"/>
        <v>0</v>
      </c>
      <c r="V377" s="298">
        <f t="shared" si="213"/>
        <v>0</v>
      </c>
      <c r="W377" s="298">
        <f t="shared" si="231"/>
        <v>0</v>
      </c>
      <c r="X377" s="298">
        <f t="shared" si="231"/>
        <v>0</v>
      </c>
      <c r="Y377" s="298">
        <f t="shared" si="200"/>
        <v>0</v>
      </c>
      <c r="Z377" s="298">
        <f t="shared" si="201"/>
        <v>378976.30999999988</v>
      </c>
      <c r="AA377" s="298">
        <f t="shared" si="202"/>
        <v>237979.58999999985</v>
      </c>
      <c r="AB377" s="298">
        <f t="shared" si="214"/>
        <v>0</v>
      </c>
      <c r="AC377" s="451">
        <f t="shared" si="223"/>
        <v>317</v>
      </c>
      <c r="AD377" s="552">
        <f t="shared" si="224"/>
        <v>242047.95999999953</v>
      </c>
      <c r="AE377" s="552">
        <f t="shared" si="194"/>
        <v>0</v>
      </c>
      <c r="AF377" s="552">
        <f t="shared" si="195"/>
        <v>242047.95999999953</v>
      </c>
      <c r="AG377" s="552">
        <f t="shared" si="225"/>
        <v>0</v>
      </c>
      <c r="AH377" s="552">
        <f t="shared" si="226"/>
        <v>89654.410000000091</v>
      </c>
      <c r="AI377" s="552"/>
      <c r="AJ377" s="14">
        <f t="shared" si="203"/>
        <v>0</v>
      </c>
      <c r="AK377" s="14">
        <f t="shared" si="204"/>
        <v>478959.79999999871</v>
      </c>
      <c r="AL377" s="552">
        <f>IF(R377&lt;=0,0,+([1]Profit!$B$4+AM376)*$AL$1/12)</f>
        <v>0</v>
      </c>
      <c r="AM377" s="14">
        <f t="shared" si="227"/>
        <v>262755.13764632691</v>
      </c>
    </row>
    <row r="378" spans="1:39" x14ac:dyDescent="0.25">
      <c r="A378" s="542" t="str">
        <f t="shared" si="215"/>
        <v xml:space="preserve"> </v>
      </c>
      <c r="B378" s="298">
        <f t="shared" si="232"/>
        <v>0</v>
      </c>
      <c r="C378" s="14">
        <f t="shared" si="206"/>
        <v>0</v>
      </c>
      <c r="D378" s="14">
        <f t="shared" si="228"/>
        <v>0</v>
      </c>
      <c r="E378" s="14">
        <f t="shared" si="207"/>
        <v>0</v>
      </c>
      <c r="F378" s="298">
        <f t="shared" si="217"/>
        <v>83951.219999999987</v>
      </c>
      <c r="G378" s="298">
        <f t="shared" si="218"/>
        <v>73034.019999999931</v>
      </c>
      <c r="H378" s="298">
        <f t="shared" si="208"/>
        <v>0</v>
      </c>
      <c r="I378" s="451">
        <f t="shared" si="209"/>
        <v>26</v>
      </c>
      <c r="J378" s="298">
        <f t="shared" si="219"/>
        <v>99087.609999999608</v>
      </c>
      <c r="K378" s="298">
        <f t="shared" si="197"/>
        <v>2701.27</v>
      </c>
      <c r="L378" s="298">
        <f t="shared" si="229"/>
        <v>2061.33</v>
      </c>
      <c r="M378" s="298">
        <f t="shared" si="198"/>
        <v>639.94000000000005</v>
      </c>
      <c r="N378" s="298">
        <f t="shared" si="220"/>
        <v>280028.72000000015</v>
      </c>
      <c r="O378" s="298">
        <f t="shared" si="221"/>
        <v>581676.41</v>
      </c>
      <c r="P378" s="298">
        <f t="shared" si="210"/>
        <v>97026.279999999606</v>
      </c>
      <c r="Q378" s="542" t="str">
        <f t="shared" si="211"/>
        <v xml:space="preserve"> </v>
      </c>
      <c r="R378" s="298">
        <f t="shared" si="196"/>
        <v>0</v>
      </c>
      <c r="S378" s="535">
        <f t="shared" si="222"/>
        <v>7.7499999999999999E-2</v>
      </c>
      <c r="T378" s="298">
        <f t="shared" si="212"/>
        <v>0</v>
      </c>
      <c r="U378" s="298">
        <f t="shared" si="199"/>
        <v>0</v>
      </c>
      <c r="V378" s="298">
        <f t="shared" si="213"/>
        <v>0</v>
      </c>
      <c r="W378" s="298">
        <f t="shared" si="231"/>
        <v>0</v>
      </c>
      <c r="X378" s="298">
        <f t="shared" si="231"/>
        <v>0</v>
      </c>
      <c r="Y378" s="298">
        <f t="shared" si="200"/>
        <v>0</v>
      </c>
      <c r="Z378" s="298">
        <f t="shared" si="201"/>
        <v>378976.30999999988</v>
      </c>
      <c r="AA378" s="298">
        <f t="shared" si="202"/>
        <v>237979.58999999985</v>
      </c>
      <c r="AB378" s="298">
        <f t="shared" si="214"/>
        <v>0</v>
      </c>
      <c r="AC378" s="451">
        <f t="shared" si="223"/>
        <v>318</v>
      </c>
      <c r="AD378" s="552">
        <f t="shared" si="224"/>
        <v>244749.22999999952</v>
      </c>
      <c r="AE378" s="552">
        <f t="shared" si="194"/>
        <v>0</v>
      </c>
      <c r="AF378" s="552">
        <f t="shared" si="195"/>
        <v>244749.22999999952</v>
      </c>
      <c r="AG378" s="552">
        <f t="shared" si="225"/>
        <v>0</v>
      </c>
      <c r="AH378" s="552">
        <f t="shared" si="226"/>
        <v>89654.410000000091</v>
      </c>
      <c r="AI378" s="552"/>
      <c r="AJ378" s="14">
        <f t="shared" si="203"/>
        <v>0</v>
      </c>
      <c r="AK378" s="14">
        <f t="shared" si="204"/>
        <v>478959.79999999871</v>
      </c>
      <c r="AL378" s="552">
        <f>IF(R378&lt;=0,0,+([1]Profit!$B$4+AM377)*$AL$1/12)</f>
        <v>0</v>
      </c>
      <c r="AM378" s="14">
        <f t="shared" si="227"/>
        <v>262755.13764632691</v>
      </c>
    </row>
    <row r="379" spans="1:39" x14ac:dyDescent="0.25">
      <c r="A379" s="542" t="str">
        <f t="shared" si="215"/>
        <v xml:space="preserve"> </v>
      </c>
      <c r="B379" s="298">
        <f t="shared" si="232"/>
        <v>0</v>
      </c>
      <c r="C379" s="14">
        <f t="shared" si="206"/>
        <v>0</v>
      </c>
      <c r="D379" s="14">
        <f t="shared" si="228"/>
        <v>0</v>
      </c>
      <c r="E379" s="14">
        <f t="shared" si="207"/>
        <v>0</v>
      </c>
      <c r="F379" s="298">
        <f t="shared" si="217"/>
        <v>83951.219999999987</v>
      </c>
      <c r="G379" s="298">
        <f t="shared" si="218"/>
        <v>73034.019999999931</v>
      </c>
      <c r="H379" s="298">
        <f t="shared" si="208"/>
        <v>0</v>
      </c>
      <c r="I379" s="451">
        <f t="shared" si="209"/>
        <v>26</v>
      </c>
      <c r="J379" s="298">
        <f t="shared" si="219"/>
        <v>97026.279999999606</v>
      </c>
      <c r="K379" s="298">
        <f t="shared" si="197"/>
        <v>2701.27</v>
      </c>
      <c r="L379" s="298">
        <f t="shared" si="229"/>
        <v>2074.64</v>
      </c>
      <c r="M379" s="298">
        <f t="shared" si="198"/>
        <v>626.63</v>
      </c>
      <c r="N379" s="298">
        <f t="shared" si="220"/>
        <v>282103.36000000016</v>
      </c>
      <c r="O379" s="298">
        <f t="shared" si="221"/>
        <v>582303.04</v>
      </c>
      <c r="P379" s="298">
        <f t="shared" si="210"/>
        <v>94951.639999999607</v>
      </c>
      <c r="Q379" s="542" t="str">
        <f t="shared" si="211"/>
        <v xml:space="preserve"> </v>
      </c>
      <c r="R379" s="298">
        <f t="shared" si="196"/>
        <v>0</v>
      </c>
      <c r="S379" s="535">
        <f t="shared" si="222"/>
        <v>7.7499999999999999E-2</v>
      </c>
      <c r="T379" s="298">
        <f t="shared" si="212"/>
        <v>0</v>
      </c>
      <c r="U379" s="298">
        <f t="shared" si="199"/>
        <v>0</v>
      </c>
      <c r="V379" s="298">
        <f t="shared" si="213"/>
        <v>0</v>
      </c>
      <c r="W379" s="298">
        <f t="shared" si="231"/>
        <v>0</v>
      </c>
      <c r="X379" s="298">
        <f t="shared" si="231"/>
        <v>0</v>
      </c>
      <c r="Y379" s="298">
        <f t="shared" si="200"/>
        <v>0</v>
      </c>
      <c r="Z379" s="298">
        <f t="shared" si="201"/>
        <v>378976.30999999988</v>
      </c>
      <c r="AA379" s="298">
        <f t="shared" si="202"/>
        <v>237979.58999999985</v>
      </c>
      <c r="AB379" s="298">
        <f t="shared" si="214"/>
        <v>0</v>
      </c>
      <c r="AC379" s="451">
        <f t="shared" si="223"/>
        <v>319</v>
      </c>
      <c r="AD379" s="552">
        <f t="shared" si="224"/>
        <v>247450.49999999951</v>
      </c>
      <c r="AE379" s="552">
        <f t="shared" si="194"/>
        <v>0</v>
      </c>
      <c r="AF379" s="552">
        <f t="shared" si="195"/>
        <v>247450.49999999951</v>
      </c>
      <c r="AG379" s="552">
        <f t="shared" si="225"/>
        <v>0</v>
      </c>
      <c r="AH379" s="552">
        <f t="shared" si="226"/>
        <v>89654.410000000091</v>
      </c>
      <c r="AI379" s="552"/>
      <c r="AJ379" s="14">
        <f t="shared" si="203"/>
        <v>0</v>
      </c>
      <c r="AK379" s="14">
        <f t="shared" si="204"/>
        <v>478959.79999999871</v>
      </c>
      <c r="AL379" s="552">
        <f>IF(R379&lt;=0,0,+([1]Profit!$B$4+AM378)*$AL$1/12)</f>
        <v>0</v>
      </c>
      <c r="AM379" s="14">
        <f t="shared" si="227"/>
        <v>262755.13764632691</v>
      </c>
    </row>
    <row r="380" spans="1:39" x14ac:dyDescent="0.25">
      <c r="A380" s="542" t="str">
        <f t="shared" si="215"/>
        <v xml:space="preserve"> </v>
      </c>
      <c r="B380" s="298">
        <f t="shared" si="232"/>
        <v>0</v>
      </c>
      <c r="C380" s="14">
        <f t="shared" si="206"/>
        <v>0</v>
      </c>
      <c r="D380" s="14">
        <f t="shared" si="228"/>
        <v>0</v>
      </c>
      <c r="E380" s="14">
        <f t="shared" si="207"/>
        <v>0</v>
      </c>
      <c r="F380" s="298">
        <f t="shared" si="217"/>
        <v>83951.219999999987</v>
      </c>
      <c r="G380" s="298">
        <f t="shared" si="218"/>
        <v>73034.019999999931</v>
      </c>
      <c r="H380" s="298">
        <f t="shared" si="208"/>
        <v>0</v>
      </c>
      <c r="I380" s="451">
        <f t="shared" si="209"/>
        <v>26</v>
      </c>
      <c r="J380" s="298">
        <f t="shared" si="219"/>
        <v>94951.639999999607</v>
      </c>
      <c r="K380" s="298">
        <f t="shared" si="197"/>
        <v>2701.27</v>
      </c>
      <c r="L380" s="298">
        <f t="shared" si="229"/>
        <v>2088.04</v>
      </c>
      <c r="M380" s="298">
        <f t="shared" si="198"/>
        <v>613.23</v>
      </c>
      <c r="N380" s="298">
        <f t="shared" si="220"/>
        <v>284191.40000000014</v>
      </c>
      <c r="O380" s="298">
        <f t="shared" si="221"/>
        <v>582916.27</v>
      </c>
      <c r="P380" s="298">
        <f t="shared" si="210"/>
        <v>92863.599999999613</v>
      </c>
      <c r="Q380" s="542" t="str">
        <f t="shared" si="211"/>
        <v xml:space="preserve"> </v>
      </c>
      <c r="R380" s="298">
        <f t="shared" si="196"/>
        <v>0</v>
      </c>
      <c r="S380" s="535">
        <f t="shared" si="222"/>
        <v>7.7499999999999999E-2</v>
      </c>
      <c r="T380" s="298">
        <f t="shared" si="212"/>
        <v>0</v>
      </c>
      <c r="U380" s="298">
        <f t="shared" si="199"/>
        <v>0</v>
      </c>
      <c r="V380" s="298">
        <f t="shared" si="213"/>
        <v>0</v>
      </c>
      <c r="W380" s="298">
        <f t="shared" ref="W380:X395" si="233">+W379</f>
        <v>0</v>
      </c>
      <c r="X380" s="298">
        <f t="shared" si="233"/>
        <v>0</v>
      </c>
      <c r="Y380" s="298">
        <f t="shared" si="200"/>
        <v>0</v>
      </c>
      <c r="Z380" s="298">
        <f t="shared" si="201"/>
        <v>378976.30999999988</v>
      </c>
      <c r="AA380" s="298">
        <f t="shared" si="202"/>
        <v>237979.58999999985</v>
      </c>
      <c r="AB380" s="298">
        <f t="shared" si="214"/>
        <v>0</v>
      </c>
      <c r="AC380" s="451">
        <f t="shared" si="223"/>
        <v>320</v>
      </c>
      <c r="AD380" s="552">
        <f t="shared" si="224"/>
        <v>250151.76999999949</v>
      </c>
      <c r="AE380" s="552">
        <f t="shared" ref="AE380:AE443" si="234">AB380-H380</f>
        <v>0</v>
      </c>
      <c r="AF380" s="552">
        <f t="shared" ref="AF380:AF443" si="235">SUM(AD380:AE380)</f>
        <v>250151.76999999949</v>
      </c>
      <c r="AG380" s="552">
        <f t="shared" si="225"/>
        <v>0</v>
      </c>
      <c r="AH380" s="552">
        <f t="shared" si="226"/>
        <v>89654.410000000091</v>
      </c>
      <c r="AI380" s="552"/>
      <c r="AJ380" s="14">
        <f t="shared" si="203"/>
        <v>0</v>
      </c>
      <c r="AK380" s="14">
        <f t="shared" si="204"/>
        <v>478959.79999999871</v>
      </c>
      <c r="AL380" s="552">
        <f>IF(R380&lt;=0,0,+([1]Profit!$B$4+AM379)*$AL$1/12)</f>
        <v>0</v>
      </c>
      <c r="AM380" s="14">
        <f t="shared" si="227"/>
        <v>262755.13764632691</v>
      </c>
    </row>
    <row r="381" spans="1:39" x14ac:dyDescent="0.25">
      <c r="A381" s="542" t="str">
        <f t="shared" si="215"/>
        <v xml:space="preserve"> </v>
      </c>
      <c r="B381" s="298">
        <f t="shared" si="232"/>
        <v>0</v>
      </c>
      <c r="C381" s="14">
        <f t="shared" si="206"/>
        <v>0</v>
      </c>
      <c r="D381" s="14">
        <f t="shared" si="228"/>
        <v>0</v>
      </c>
      <c r="E381" s="14">
        <f t="shared" si="207"/>
        <v>0</v>
      </c>
      <c r="F381" s="298">
        <f t="shared" si="217"/>
        <v>83951.219999999987</v>
      </c>
      <c r="G381" s="298">
        <f t="shared" si="218"/>
        <v>73034.019999999931</v>
      </c>
      <c r="H381" s="298">
        <f t="shared" si="208"/>
        <v>0</v>
      </c>
      <c r="I381" s="451">
        <f t="shared" si="209"/>
        <v>26</v>
      </c>
      <c r="J381" s="298">
        <f t="shared" si="219"/>
        <v>92863.599999999613</v>
      </c>
      <c r="K381" s="298">
        <f t="shared" si="197"/>
        <v>2701.27</v>
      </c>
      <c r="L381" s="298">
        <f t="shared" si="229"/>
        <v>2101.5299999999997</v>
      </c>
      <c r="M381" s="298">
        <f t="shared" si="198"/>
        <v>599.74</v>
      </c>
      <c r="N381" s="298">
        <f t="shared" si="220"/>
        <v>286292.93000000017</v>
      </c>
      <c r="O381" s="298">
        <f t="shared" si="221"/>
        <v>583516.01</v>
      </c>
      <c r="P381" s="298">
        <f t="shared" si="210"/>
        <v>90762.069999999614</v>
      </c>
      <c r="Q381" s="542" t="str">
        <f t="shared" si="211"/>
        <v xml:space="preserve"> </v>
      </c>
      <c r="R381" s="298">
        <f t="shared" ref="R381:R444" si="236">IF(Q381&gt;$J$10,IF(+AB380&lt;0,0,+AB380),0)</f>
        <v>0</v>
      </c>
      <c r="S381" s="535">
        <f t="shared" si="222"/>
        <v>7.7499999999999999E-2</v>
      </c>
      <c r="T381" s="298">
        <f t="shared" si="212"/>
        <v>0</v>
      </c>
      <c r="U381" s="298">
        <f t="shared" si="199"/>
        <v>0</v>
      </c>
      <c r="V381" s="298">
        <f t="shared" si="213"/>
        <v>0</v>
      </c>
      <c r="W381" s="298">
        <f t="shared" si="233"/>
        <v>0</v>
      </c>
      <c r="X381" s="298">
        <f t="shared" si="233"/>
        <v>0</v>
      </c>
      <c r="Y381" s="298">
        <f t="shared" si="200"/>
        <v>0</v>
      </c>
      <c r="Z381" s="298">
        <f t="shared" si="201"/>
        <v>378976.30999999988</v>
      </c>
      <c r="AA381" s="298">
        <f t="shared" si="202"/>
        <v>237979.58999999985</v>
      </c>
      <c r="AB381" s="298">
        <f t="shared" si="214"/>
        <v>0</v>
      </c>
      <c r="AC381" s="451">
        <f t="shared" si="223"/>
        <v>321</v>
      </c>
      <c r="AD381" s="552">
        <f t="shared" si="224"/>
        <v>252853.03999999948</v>
      </c>
      <c r="AE381" s="552">
        <f t="shared" si="234"/>
        <v>0</v>
      </c>
      <c r="AF381" s="552">
        <f t="shared" si="235"/>
        <v>252853.03999999948</v>
      </c>
      <c r="AG381" s="552">
        <f t="shared" si="225"/>
        <v>0</v>
      </c>
      <c r="AH381" s="552">
        <f t="shared" si="226"/>
        <v>89654.410000000091</v>
      </c>
      <c r="AI381" s="552"/>
      <c r="AJ381" s="14">
        <f t="shared" si="203"/>
        <v>0</v>
      </c>
      <c r="AK381" s="14">
        <f t="shared" si="204"/>
        <v>478959.79999999871</v>
      </c>
      <c r="AL381" s="552">
        <f>IF(R381&lt;=0,0,+([1]Profit!$B$4+AM380)*$AL$1/12)</f>
        <v>0</v>
      </c>
      <c r="AM381" s="14">
        <f t="shared" si="227"/>
        <v>262755.13764632691</v>
      </c>
    </row>
    <row r="382" spans="1:39" x14ac:dyDescent="0.25">
      <c r="A382" s="542" t="str">
        <f t="shared" si="215"/>
        <v xml:space="preserve"> </v>
      </c>
      <c r="B382" s="298">
        <f t="shared" si="232"/>
        <v>0</v>
      </c>
      <c r="C382" s="14">
        <f t="shared" si="206"/>
        <v>0</v>
      </c>
      <c r="D382" s="14">
        <f t="shared" si="228"/>
        <v>0</v>
      </c>
      <c r="E382" s="14">
        <f t="shared" si="207"/>
        <v>0</v>
      </c>
      <c r="F382" s="298">
        <f t="shared" si="217"/>
        <v>83951.219999999987</v>
      </c>
      <c r="G382" s="298">
        <f t="shared" si="218"/>
        <v>73034.019999999931</v>
      </c>
      <c r="H382" s="298">
        <f t="shared" si="208"/>
        <v>0</v>
      </c>
      <c r="I382" s="451">
        <f t="shared" si="209"/>
        <v>26</v>
      </c>
      <c r="J382" s="298">
        <f t="shared" si="219"/>
        <v>90762.069999999614</v>
      </c>
      <c r="K382" s="298">
        <f t="shared" ref="K382:K445" si="237">IF($J$10&lt;=A382,IF(+$P381&lt;=0,0,$J$9),0)</f>
        <v>2701.27</v>
      </c>
      <c r="L382" s="298">
        <f t="shared" si="229"/>
        <v>2115.1</v>
      </c>
      <c r="M382" s="298">
        <f t="shared" ref="M382:M445" si="238">IF($J$10&lt;=A382,ROUND(J382*($J$7/12),2),0)</f>
        <v>586.16999999999996</v>
      </c>
      <c r="N382" s="298">
        <f t="shared" si="220"/>
        <v>288408.03000000014</v>
      </c>
      <c r="O382" s="298">
        <f t="shared" si="221"/>
        <v>584102.18000000005</v>
      </c>
      <c r="P382" s="298">
        <f t="shared" si="210"/>
        <v>88646.969999999608</v>
      </c>
      <c r="Q382" s="542" t="str">
        <f t="shared" si="211"/>
        <v xml:space="preserve"> </v>
      </c>
      <c r="R382" s="298">
        <f t="shared" si="236"/>
        <v>0</v>
      </c>
      <c r="S382" s="535">
        <f t="shared" si="222"/>
        <v>7.7499999999999999E-2</v>
      </c>
      <c r="T382" s="298">
        <f t="shared" si="212"/>
        <v>0</v>
      </c>
      <c r="U382" s="298">
        <f t="shared" ref="U382:U445" si="239">+T382-V382</f>
        <v>0</v>
      </c>
      <c r="V382" s="298">
        <f t="shared" si="213"/>
        <v>0</v>
      </c>
      <c r="W382" s="298">
        <f t="shared" si="233"/>
        <v>0</v>
      </c>
      <c r="X382" s="298">
        <f t="shared" si="233"/>
        <v>0</v>
      </c>
      <c r="Y382" s="298">
        <f t="shared" ref="Y382:Y445" si="240">SUM(U382:X382)</f>
        <v>0</v>
      </c>
      <c r="Z382" s="298">
        <f t="shared" ref="Z382:Z445" si="241">+U382+Z381</f>
        <v>378976.30999999988</v>
      </c>
      <c r="AA382" s="298">
        <f t="shared" ref="AA382:AA445" si="242">+AA381+V382</f>
        <v>237979.58999999985</v>
      </c>
      <c r="AB382" s="298">
        <f t="shared" si="214"/>
        <v>0</v>
      </c>
      <c r="AC382" s="451">
        <f t="shared" si="223"/>
        <v>322</v>
      </c>
      <c r="AD382" s="552">
        <f t="shared" si="224"/>
        <v>255554.30999999947</v>
      </c>
      <c r="AE382" s="552">
        <f t="shared" si="234"/>
        <v>0</v>
      </c>
      <c r="AF382" s="552">
        <f t="shared" si="235"/>
        <v>255554.30999999947</v>
      </c>
      <c r="AG382" s="552">
        <f t="shared" si="225"/>
        <v>0</v>
      </c>
      <c r="AH382" s="552">
        <f t="shared" si="226"/>
        <v>89654.410000000091</v>
      </c>
      <c r="AI382" s="552"/>
      <c r="AJ382" s="14">
        <f t="shared" ref="AJ382:AJ445" si="243">+AG382-AI382</f>
        <v>0</v>
      </c>
      <c r="AK382" s="14">
        <f t="shared" si="204"/>
        <v>478959.79999999871</v>
      </c>
      <c r="AL382" s="552">
        <f>IF(R382&lt;=0,0,+([1]Profit!$B$4+AM381)*$AL$1/12)</f>
        <v>0</v>
      </c>
      <c r="AM382" s="14">
        <f t="shared" si="227"/>
        <v>262755.13764632691</v>
      </c>
    </row>
    <row r="383" spans="1:39" x14ac:dyDescent="0.25">
      <c r="A383" s="542" t="str">
        <f t="shared" si="215"/>
        <v xml:space="preserve"> </v>
      </c>
      <c r="B383" s="298">
        <f t="shared" si="232"/>
        <v>0</v>
      </c>
      <c r="C383" s="14">
        <f t="shared" si="206"/>
        <v>0</v>
      </c>
      <c r="D383" s="14">
        <f t="shared" si="228"/>
        <v>0</v>
      </c>
      <c r="E383" s="14">
        <f t="shared" si="207"/>
        <v>0</v>
      </c>
      <c r="F383" s="298">
        <f t="shared" si="217"/>
        <v>83951.219999999987</v>
      </c>
      <c r="G383" s="298">
        <f t="shared" si="218"/>
        <v>73034.019999999931</v>
      </c>
      <c r="H383" s="298">
        <f t="shared" si="208"/>
        <v>0</v>
      </c>
      <c r="I383" s="451">
        <f t="shared" si="209"/>
        <v>26</v>
      </c>
      <c r="J383" s="298">
        <f t="shared" si="219"/>
        <v>88646.969999999608</v>
      </c>
      <c r="K383" s="298">
        <f t="shared" si="237"/>
        <v>2701.27</v>
      </c>
      <c r="L383" s="298">
        <f t="shared" si="229"/>
        <v>2128.7600000000002</v>
      </c>
      <c r="M383" s="298">
        <f t="shared" si="238"/>
        <v>572.51</v>
      </c>
      <c r="N383" s="298">
        <f t="shared" si="220"/>
        <v>290536.79000000015</v>
      </c>
      <c r="O383" s="298">
        <f t="shared" si="221"/>
        <v>584674.69000000006</v>
      </c>
      <c r="P383" s="298">
        <f t="shared" si="210"/>
        <v>86518.209999999614</v>
      </c>
      <c r="Q383" s="542" t="str">
        <f t="shared" si="211"/>
        <v xml:space="preserve"> </v>
      </c>
      <c r="R383" s="298">
        <f t="shared" si="236"/>
        <v>0</v>
      </c>
      <c r="S383" s="535">
        <f t="shared" si="222"/>
        <v>7.7499999999999999E-2</v>
      </c>
      <c r="T383" s="298">
        <f t="shared" si="212"/>
        <v>0</v>
      </c>
      <c r="U383" s="298">
        <f t="shared" si="239"/>
        <v>0</v>
      </c>
      <c r="V383" s="298">
        <f t="shared" si="213"/>
        <v>0</v>
      </c>
      <c r="W383" s="298">
        <f t="shared" si="233"/>
        <v>0</v>
      </c>
      <c r="X383" s="298">
        <f t="shared" si="233"/>
        <v>0</v>
      </c>
      <c r="Y383" s="298">
        <f t="shared" si="240"/>
        <v>0</v>
      </c>
      <c r="Z383" s="298">
        <f t="shared" si="241"/>
        <v>378976.30999999988</v>
      </c>
      <c r="AA383" s="298">
        <f t="shared" si="242"/>
        <v>237979.58999999985</v>
      </c>
      <c r="AB383" s="298">
        <f t="shared" si="214"/>
        <v>0</v>
      </c>
      <c r="AC383" s="451">
        <f t="shared" si="223"/>
        <v>323</v>
      </c>
      <c r="AD383" s="552">
        <f t="shared" si="224"/>
        <v>258255.57999999946</v>
      </c>
      <c r="AE383" s="552">
        <f t="shared" si="234"/>
        <v>0</v>
      </c>
      <c r="AF383" s="552">
        <f t="shared" si="235"/>
        <v>258255.57999999946</v>
      </c>
      <c r="AG383" s="552">
        <f t="shared" si="225"/>
        <v>0</v>
      </c>
      <c r="AH383" s="552">
        <f t="shared" si="226"/>
        <v>89654.410000000091</v>
      </c>
      <c r="AI383" s="552"/>
      <c r="AJ383" s="14">
        <f t="shared" si="243"/>
        <v>0</v>
      </c>
      <c r="AK383" s="14">
        <f t="shared" si="204"/>
        <v>478959.79999999871</v>
      </c>
      <c r="AL383" s="552">
        <f>IF(R383&lt;=0,0,+([1]Profit!$B$4+AM382)*$AL$1/12)</f>
        <v>0</v>
      </c>
      <c r="AM383" s="14">
        <f t="shared" si="227"/>
        <v>262755.13764632691</v>
      </c>
    </row>
    <row r="384" spans="1:39" x14ac:dyDescent="0.25">
      <c r="A384" s="542" t="str">
        <f t="shared" si="215"/>
        <v xml:space="preserve"> </v>
      </c>
      <c r="B384" s="298">
        <f t="shared" si="232"/>
        <v>0</v>
      </c>
      <c r="C384" s="14">
        <f t="shared" si="206"/>
        <v>0</v>
      </c>
      <c r="D384" s="14">
        <f t="shared" si="228"/>
        <v>0</v>
      </c>
      <c r="E384" s="14">
        <f t="shared" si="207"/>
        <v>0</v>
      </c>
      <c r="F384" s="298">
        <f t="shared" si="217"/>
        <v>83951.219999999987</v>
      </c>
      <c r="G384" s="298">
        <f t="shared" si="218"/>
        <v>73034.019999999931</v>
      </c>
      <c r="H384" s="298">
        <f t="shared" si="208"/>
        <v>0</v>
      </c>
      <c r="I384" s="451">
        <f t="shared" si="209"/>
        <v>27</v>
      </c>
      <c r="J384" s="298">
        <f t="shared" si="219"/>
        <v>86518.209999999614</v>
      </c>
      <c r="K384" s="298">
        <f t="shared" si="237"/>
        <v>2701.27</v>
      </c>
      <c r="L384" s="298">
        <f t="shared" si="229"/>
        <v>2142.5100000000002</v>
      </c>
      <c r="M384" s="298">
        <f t="shared" si="238"/>
        <v>558.76</v>
      </c>
      <c r="N384" s="298">
        <f t="shared" si="220"/>
        <v>292679.30000000016</v>
      </c>
      <c r="O384" s="298">
        <f t="shared" si="221"/>
        <v>585233.45000000007</v>
      </c>
      <c r="P384" s="298">
        <f t="shared" si="210"/>
        <v>84375.699999999619</v>
      </c>
      <c r="Q384" s="542" t="str">
        <f t="shared" si="211"/>
        <v xml:space="preserve"> </v>
      </c>
      <c r="R384" s="298">
        <f t="shared" si="236"/>
        <v>0</v>
      </c>
      <c r="S384" s="535">
        <f t="shared" si="222"/>
        <v>7.7499999999999999E-2</v>
      </c>
      <c r="T384" s="298">
        <f t="shared" si="212"/>
        <v>0</v>
      </c>
      <c r="U384" s="298">
        <f t="shared" si="239"/>
        <v>0</v>
      </c>
      <c r="V384" s="298">
        <f t="shared" si="213"/>
        <v>0</v>
      </c>
      <c r="W384" s="298">
        <f t="shared" si="233"/>
        <v>0</v>
      </c>
      <c r="X384" s="298">
        <f t="shared" si="233"/>
        <v>0</v>
      </c>
      <c r="Y384" s="298">
        <f t="shared" si="240"/>
        <v>0</v>
      </c>
      <c r="Z384" s="298">
        <f t="shared" si="241"/>
        <v>378976.30999999988</v>
      </c>
      <c r="AA384" s="298">
        <f t="shared" si="242"/>
        <v>237979.58999999985</v>
      </c>
      <c r="AB384" s="298">
        <f t="shared" si="214"/>
        <v>0</v>
      </c>
      <c r="AC384" s="451">
        <f t="shared" si="223"/>
        <v>324</v>
      </c>
      <c r="AD384" s="552">
        <f t="shared" si="224"/>
        <v>260956.84999999945</v>
      </c>
      <c r="AE384" s="552">
        <f t="shared" si="234"/>
        <v>0</v>
      </c>
      <c r="AF384" s="552">
        <f t="shared" si="235"/>
        <v>260956.84999999945</v>
      </c>
      <c r="AG384" s="552">
        <f t="shared" si="225"/>
        <v>0</v>
      </c>
      <c r="AH384" s="552">
        <f t="shared" si="226"/>
        <v>89654.410000000091</v>
      </c>
      <c r="AI384" s="552"/>
      <c r="AJ384" s="14">
        <f t="shared" si="243"/>
        <v>0</v>
      </c>
      <c r="AK384" s="14">
        <f t="shared" si="204"/>
        <v>478959.79999999871</v>
      </c>
      <c r="AL384" s="552">
        <f>IF(R384&lt;=0,0,+([1]Profit!$B$4+AM383)*$AL$1/12)</f>
        <v>0</v>
      </c>
      <c r="AM384" s="14">
        <f t="shared" si="227"/>
        <v>262755.13764632691</v>
      </c>
    </row>
    <row r="385" spans="1:39" x14ac:dyDescent="0.25">
      <c r="A385" s="542" t="str">
        <f t="shared" si="215"/>
        <v xml:space="preserve"> </v>
      </c>
      <c r="B385" s="298">
        <f t="shared" si="232"/>
        <v>0</v>
      </c>
      <c r="C385" s="14">
        <f t="shared" si="206"/>
        <v>0</v>
      </c>
      <c r="D385" s="14">
        <f t="shared" si="228"/>
        <v>0</v>
      </c>
      <c r="E385" s="14">
        <f t="shared" si="207"/>
        <v>0</v>
      </c>
      <c r="F385" s="298">
        <f t="shared" si="217"/>
        <v>83951.219999999987</v>
      </c>
      <c r="G385" s="298">
        <f t="shared" si="218"/>
        <v>73034.019999999931</v>
      </c>
      <c r="H385" s="298">
        <f t="shared" si="208"/>
        <v>0</v>
      </c>
      <c r="I385" s="451">
        <f t="shared" si="209"/>
        <v>27</v>
      </c>
      <c r="J385" s="298">
        <f t="shared" si="219"/>
        <v>84375.699999999619</v>
      </c>
      <c r="K385" s="298">
        <f t="shared" si="237"/>
        <v>2701.27</v>
      </c>
      <c r="L385" s="298">
        <f t="shared" si="229"/>
        <v>2156.34</v>
      </c>
      <c r="M385" s="298">
        <f t="shared" si="238"/>
        <v>544.92999999999995</v>
      </c>
      <c r="N385" s="298">
        <f t="shared" si="220"/>
        <v>294835.64000000019</v>
      </c>
      <c r="O385" s="298">
        <f t="shared" si="221"/>
        <v>585778.38000000012</v>
      </c>
      <c r="P385" s="298">
        <f t="shared" si="210"/>
        <v>82219.359999999622</v>
      </c>
      <c r="Q385" s="542" t="str">
        <f t="shared" si="211"/>
        <v xml:space="preserve"> </v>
      </c>
      <c r="R385" s="298">
        <f t="shared" si="236"/>
        <v>0</v>
      </c>
      <c r="S385" s="535">
        <f t="shared" si="222"/>
        <v>7.7499999999999999E-2</v>
      </c>
      <c r="T385" s="298">
        <f t="shared" si="212"/>
        <v>0</v>
      </c>
      <c r="U385" s="298">
        <f t="shared" si="239"/>
        <v>0</v>
      </c>
      <c r="V385" s="298">
        <f t="shared" si="213"/>
        <v>0</v>
      </c>
      <c r="W385" s="298">
        <f t="shared" si="233"/>
        <v>0</v>
      </c>
      <c r="X385" s="298">
        <f t="shared" si="233"/>
        <v>0</v>
      </c>
      <c r="Y385" s="298">
        <f t="shared" si="240"/>
        <v>0</v>
      </c>
      <c r="Z385" s="298">
        <f t="shared" si="241"/>
        <v>378976.30999999988</v>
      </c>
      <c r="AA385" s="298">
        <f t="shared" si="242"/>
        <v>237979.58999999985</v>
      </c>
      <c r="AB385" s="298">
        <f t="shared" si="214"/>
        <v>0</v>
      </c>
      <c r="AC385" s="451">
        <f t="shared" si="223"/>
        <v>325</v>
      </c>
      <c r="AD385" s="552">
        <f t="shared" si="224"/>
        <v>263658.11999999947</v>
      </c>
      <c r="AE385" s="552">
        <f t="shared" si="234"/>
        <v>0</v>
      </c>
      <c r="AF385" s="552">
        <f t="shared" si="235"/>
        <v>263658.11999999947</v>
      </c>
      <c r="AG385" s="552">
        <f t="shared" si="225"/>
        <v>0</v>
      </c>
      <c r="AH385" s="552">
        <f t="shared" si="226"/>
        <v>89654.410000000091</v>
      </c>
      <c r="AI385" s="552"/>
      <c r="AJ385" s="14">
        <f t="shared" si="243"/>
        <v>0</v>
      </c>
      <c r="AK385" s="14">
        <f t="shared" si="204"/>
        <v>478959.79999999871</v>
      </c>
      <c r="AL385" s="552">
        <f>IF(R385&lt;=0,0,+([1]Profit!$B$4+AM384)*$AL$1/12)</f>
        <v>0</v>
      </c>
      <c r="AM385" s="14">
        <f t="shared" si="227"/>
        <v>262755.13764632691</v>
      </c>
    </row>
    <row r="386" spans="1:39" ht="15.75" thickBot="1" x14ac:dyDescent="0.3">
      <c r="A386" s="545" t="str">
        <f t="shared" si="215"/>
        <v xml:space="preserve"> </v>
      </c>
      <c r="B386" s="371">
        <f t="shared" si="232"/>
        <v>0</v>
      </c>
      <c r="C386" s="21">
        <f t="shared" si="206"/>
        <v>0</v>
      </c>
      <c r="D386" s="21">
        <f t="shared" si="228"/>
        <v>0</v>
      </c>
      <c r="E386" s="21">
        <f t="shared" si="207"/>
        <v>0</v>
      </c>
      <c r="F386" s="371">
        <f t="shared" si="217"/>
        <v>83951.219999999987</v>
      </c>
      <c r="G386" s="371">
        <f t="shared" si="218"/>
        <v>73034.019999999931</v>
      </c>
      <c r="H386" s="371">
        <f t="shared" si="208"/>
        <v>0</v>
      </c>
      <c r="I386" s="452">
        <f t="shared" si="209"/>
        <v>27</v>
      </c>
      <c r="J386" s="371">
        <f t="shared" si="219"/>
        <v>82219.359999999622</v>
      </c>
      <c r="K386" s="371">
        <f t="shared" si="237"/>
        <v>2701.27</v>
      </c>
      <c r="L386" s="371">
        <f t="shared" si="229"/>
        <v>2170.27</v>
      </c>
      <c r="M386" s="371">
        <f t="shared" si="238"/>
        <v>531</v>
      </c>
      <c r="N386" s="371">
        <f t="shared" si="220"/>
        <v>297005.91000000021</v>
      </c>
      <c r="O386" s="371">
        <f t="shared" si="221"/>
        <v>586309.38000000012</v>
      </c>
      <c r="P386" s="371">
        <f t="shared" si="210"/>
        <v>80049.089999999618</v>
      </c>
      <c r="Q386" s="545" t="str">
        <f t="shared" si="211"/>
        <v xml:space="preserve"> </v>
      </c>
      <c r="R386" s="371">
        <f t="shared" si="236"/>
        <v>0</v>
      </c>
      <c r="S386" s="536">
        <f t="shared" si="222"/>
        <v>7.7499999999999999E-2</v>
      </c>
      <c r="T386" s="371">
        <f t="shared" si="212"/>
        <v>0</v>
      </c>
      <c r="U386" s="371">
        <f t="shared" si="239"/>
        <v>0</v>
      </c>
      <c r="V386" s="371">
        <f t="shared" si="213"/>
        <v>0</v>
      </c>
      <c r="W386" s="371">
        <f t="shared" si="233"/>
        <v>0</v>
      </c>
      <c r="X386" s="371">
        <f t="shared" si="233"/>
        <v>0</v>
      </c>
      <c r="Y386" s="371">
        <f t="shared" si="240"/>
        <v>0</v>
      </c>
      <c r="Z386" s="371">
        <f t="shared" si="241"/>
        <v>378976.30999999988</v>
      </c>
      <c r="AA386" s="371">
        <f t="shared" si="242"/>
        <v>237979.58999999985</v>
      </c>
      <c r="AB386" s="371">
        <f t="shared" si="214"/>
        <v>0</v>
      </c>
      <c r="AC386" s="452">
        <f t="shared" si="223"/>
        <v>326</v>
      </c>
      <c r="AD386" s="553">
        <f t="shared" si="224"/>
        <v>266359.38999999949</v>
      </c>
      <c r="AE386" s="553">
        <f t="shared" si="234"/>
        <v>0</v>
      </c>
      <c r="AF386" s="553">
        <f t="shared" si="235"/>
        <v>266359.38999999949</v>
      </c>
      <c r="AG386" s="553">
        <f t="shared" si="225"/>
        <v>0</v>
      </c>
      <c r="AH386" s="553">
        <f t="shared" si="226"/>
        <v>89654.410000000091</v>
      </c>
      <c r="AI386" s="553"/>
      <c r="AJ386" s="21">
        <f t="shared" si="243"/>
        <v>0</v>
      </c>
      <c r="AK386" s="21">
        <f t="shared" ref="AK386:AK449" si="244">IF(P386&lt;=0,0,+AJ386+AK385)</f>
        <v>478959.79999999871</v>
      </c>
      <c r="AL386" s="553">
        <f>IF(R386&lt;=0,0,+([1]Profit!$B$4+AM385)*$AL$1/12)</f>
        <v>0</v>
      </c>
      <c r="AM386" s="21">
        <f t="shared" si="227"/>
        <v>262755.13764632691</v>
      </c>
    </row>
    <row r="387" spans="1:39" x14ac:dyDescent="0.25">
      <c r="A387" s="542" t="str">
        <f t="shared" si="215"/>
        <v xml:space="preserve"> </v>
      </c>
      <c r="B387" s="298">
        <f t="shared" si="232"/>
        <v>0</v>
      </c>
      <c r="C387" s="14">
        <f t="shared" si="206"/>
        <v>0</v>
      </c>
      <c r="D387" s="14">
        <f t="shared" si="228"/>
        <v>0</v>
      </c>
      <c r="E387" s="14">
        <f t="shared" si="207"/>
        <v>0</v>
      </c>
      <c r="F387" s="298">
        <f t="shared" si="217"/>
        <v>83951.219999999987</v>
      </c>
      <c r="G387" s="298">
        <f t="shared" si="218"/>
        <v>73034.019999999931</v>
      </c>
      <c r="H387" s="298">
        <f t="shared" si="208"/>
        <v>0</v>
      </c>
      <c r="I387" s="451">
        <f t="shared" si="209"/>
        <v>27</v>
      </c>
      <c r="J387" s="298">
        <f t="shared" si="219"/>
        <v>80049.089999999618</v>
      </c>
      <c r="K387" s="298">
        <f t="shared" si="237"/>
        <v>2701.27</v>
      </c>
      <c r="L387" s="298">
        <f t="shared" si="229"/>
        <v>2184.29</v>
      </c>
      <c r="M387" s="298">
        <f t="shared" si="238"/>
        <v>516.98</v>
      </c>
      <c r="N387" s="298">
        <f t="shared" si="220"/>
        <v>299190.20000000019</v>
      </c>
      <c r="O387" s="298">
        <f t="shared" si="221"/>
        <v>586826.3600000001</v>
      </c>
      <c r="P387" s="298">
        <f t="shared" si="210"/>
        <v>77864.799999999625</v>
      </c>
      <c r="Q387" s="542" t="str">
        <f t="shared" si="211"/>
        <v xml:space="preserve"> </v>
      </c>
      <c r="R387" s="298">
        <f t="shared" si="236"/>
        <v>0</v>
      </c>
      <c r="S387" s="535">
        <f t="shared" si="222"/>
        <v>7.7499999999999999E-2</v>
      </c>
      <c r="T387" s="298">
        <f t="shared" si="212"/>
        <v>0</v>
      </c>
      <c r="U387" s="298">
        <f t="shared" si="239"/>
        <v>0</v>
      </c>
      <c r="V387" s="298">
        <f t="shared" si="213"/>
        <v>0</v>
      </c>
      <c r="W387" s="298">
        <f t="shared" si="233"/>
        <v>0</v>
      </c>
      <c r="X387" s="298">
        <f t="shared" si="233"/>
        <v>0</v>
      </c>
      <c r="Y387" s="298">
        <f t="shared" si="240"/>
        <v>0</v>
      </c>
      <c r="Z387" s="298">
        <f t="shared" si="241"/>
        <v>378976.30999999988</v>
      </c>
      <c r="AA387" s="298">
        <f t="shared" si="242"/>
        <v>237979.58999999985</v>
      </c>
      <c r="AB387" s="298">
        <f t="shared" si="214"/>
        <v>0</v>
      </c>
      <c r="AC387" s="451">
        <f t="shared" si="223"/>
        <v>327</v>
      </c>
      <c r="AD387" s="552">
        <f t="shared" si="224"/>
        <v>269060.65999999951</v>
      </c>
      <c r="AE387" s="552">
        <f t="shared" si="234"/>
        <v>0</v>
      </c>
      <c r="AF387" s="552">
        <f t="shared" si="235"/>
        <v>269060.65999999951</v>
      </c>
      <c r="AG387" s="552">
        <f t="shared" si="225"/>
        <v>0</v>
      </c>
      <c r="AH387" s="552">
        <f t="shared" si="226"/>
        <v>89654.410000000091</v>
      </c>
      <c r="AI387" s="552"/>
      <c r="AJ387" s="14">
        <f t="shared" si="243"/>
        <v>0</v>
      </c>
      <c r="AK387" s="14">
        <f t="shared" si="244"/>
        <v>478959.79999999871</v>
      </c>
      <c r="AL387" s="552">
        <f>IF(R387&lt;=0,0,+([1]Profit!$B$4+AM386)*$AL$1/12)</f>
        <v>0</v>
      </c>
      <c r="AM387" s="14">
        <f t="shared" si="227"/>
        <v>262755.13764632691</v>
      </c>
    </row>
    <row r="388" spans="1:39" x14ac:dyDescent="0.25">
      <c r="A388" s="542" t="str">
        <f t="shared" si="215"/>
        <v xml:space="preserve"> </v>
      </c>
      <c r="B388" s="298">
        <f t="shared" si="232"/>
        <v>0</v>
      </c>
      <c r="C388" s="14">
        <f t="shared" si="206"/>
        <v>0</v>
      </c>
      <c r="D388" s="14">
        <f t="shared" si="228"/>
        <v>0</v>
      </c>
      <c r="E388" s="14">
        <f t="shared" si="207"/>
        <v>0</v>
      </c>
      <c r="F388" s="298">
        <f t="shared" si="217"/>
        <v>83951.219999999987</v>
      </c>
      <c r="G388" s="298">
        <f t="shared" si="218"/>
        <v>73034.019999999931</v>
      </c>
      <c r="H388" s="298">
        <f t="shared" si="208"/>
        <v>0</v>
      </c>
      <c r="I388" s="451">
        <f t="shared" si="209"/>
        <v>27</v>
      </c>
      <c r="J388" s="298">
        <f t="shared" si="219"/>
        <v>77864.799999999625</v>
      </c>
      <c r="K388" s="298">
        <f t="shared" si="237"/>
        <v>2701.27</v>
      </c>
      <c r="L388" s="298">
        <f t="shared" si="229"/>
        <v>2198.39</v>
      </c>
      <c r="M388" s="298">
        <f t="shared" si="238"/>
        <v>502.88</v>
      </c>
      <c r="N388" s="298">
        <f t="shared" si="220"/>
        <v>301388.5900000002</v>
      </c>
      <c r="O388" s="298">
        <f t="shared" si="221"/>
        <v>587329.24000000011</v>
      </c>
      <c r="P388" s="298">
        <f t="shared" si="210"/>
        <v>75666.409999999625</v>
      </c>
      <c r="Q388" s="542" t="str">
        <f t="shared" si="211"/>
        <v xml:space="preserve"> </v>
      </c>
      <c r="R388" s="298">
        <f t="shared" si="236"/>
        <v>0</v>
      </c>
      <c r="S388" s="535">
        <f t="shared" si="222"/>
        <v>7.7499999999999999E-2</v>
      </c>
      <c r="T388" s="298">
        <f t="shared" si="212"/>
        <v>0</v>
      </c>
      <c r="U388" s="298">
        <f t="shared" si="239"/>
        <v>0</v>
      </c>
      <c r="V388" s="298">
        <f t="shared" si="213"/>
        <v>0</v>
      </c>
      <c r="W388" s="298">
        <f t="shared" si="233"/>
        <v>0</v>
      </c>
      <c r="X388" s="298">
        <f t="shared" si="233"/>
        <v>0</v>
      </c>
      <c r="Y388" s="298">
        <f t="shared" si="240"/>
        <v>0</v>
      </c>
      <c r="Z388" s="298">
        <f t="shared" si="241"/>
        <v>378976.30999999988</v>
      </c>
      <c r="AA388" s="298">
        <f t="shared" si="242"/>
        <v>237979.58999999985</v>
      </c>
      <c r="AB388" s="298">
        <f t="shared" si="214"/>
        <v>0</v>
      </c>
      <c r="AC388" s="451">
        <f t="shared" si="223"/>
        <v>328</v>
      </c>
      <c r="AD388" s="552">
        <f t="shared" si="224"/>
        <v>271761.92999999953</v>
      </c>
      <c r="AE388" s="552">
        <f t="shared" si="234"/>
        <v>0</v>
      </c>
      <c r="AF388" s="552">
        <f t="shared" si="235"/>
        <v>271761.92999999953</v>
      </c>
      <c r="AG388" s="552">
        <f t="shared" si="225"/>
        <v>0</v>
      </c>
      <c r="AH388" s="552">
        <f t="shared" si="226"/>
        <v>89654.410000000091</v>
      </c>
      <c r="AI388" s="552"/>
      <c r="AJ388" s="14">
        <f t="shared" si="243"/>
        <v>0</v>
      </c>
      <c r="AK388" s="14">
        <f t="shared" si="244"/>
        <v>478959.79999999871</v>
      </c>
      <c r="AL388" s="552">
        <f>IF(R388&lt;=0,0,+([1]Profit!$B$4+AM387)*$AL$1/12)</f>
        <v>0</v>
      </c>
      <c r="AM388" s="14">
        <f t="shared" si="227"/>
        <v>262755.13764632691</v>
      </c>
    </row>
    <row r="389" spans="1:39" x14ac:dyDescent="0.25">
      <c r="A389" s="542" t="str">
        <f t="shared" si="215"/>
        <v xml:space="preserve"> </v>
      </c>
      <c r="B389" s="298">
        <f t="shared" si="232"/>
        <v>0</v>
      </c>
      <c r="C389" s="14">
        <f t="shared" si="206"/>
        <v>0</v>
      </c>
      <c r="D389" s="14">
        <f t="shared" si="228"/>
        <v>0</v>
      </c>
      <c r="E389" s="14">
        <f t="shared" si="207"/>
        <v>0</v>
      </c>
      <c r="F389" s="298">
        <f t="shared" si="217"/>
        <v>83951.219999999987</v>
      </c>
      <c r="G389" s="298">
        <f t="shared" si="218"/>
        <v>73034.019999999931</v>
      </c>
      <c r="H389" s="298">
        <f t="shared" si="208"/>
        <v>0</v>
      </c>
      <c r="I389" s="451">
        <f t="shared" si="209"/>
        <v>27</v>
      </c>
      <c r="J389" s="298">
        <f t="shared" si="219"/>
        <v>75666.409999999625</v>
      </c>
      <c r="K389" s="298">
        <f t="shared" si="237"/>
        <v>2701.27</v>
      </c>
      <c r="L389" s="298">
        <f t="shared" si="229"/>
        <v>2212.59</v>
      </c>
      <c r="M389" s="298">
        <f t="shared" si="238"/>
        <v>488.68</v>
      </c>
      <c r="N389" s="298">
        <f t="shared" si="220"/>
        <v>303601.18000000023</v>
      </c>
      <c r="O389" s="298">
        <f t="shared" si="221"/>
        <v>587817.92000000016</v>
      </c>
      <c r="P389" s="298">
        <f t="shared" si="210"/>
        <v>73453.819999999629</v>
      </c>
      <c r="Q389" s="542" t="str">
        <f t="shared" si="211"/>
        <v xml:space="preserve"> </v>
      </c>
      <c r="R389" s="298">
        <f t="shared" si="236"/>
        <v>0</v>
      </c>
      <c r="S389" s="535">
        <f t="shared" si="222"/>
        <v>7.7499999999999999E-2</v>
      </c>
      <c r="T389" s="298">
        <f t="shared" si="212"/>
        <v>0</v>
      </c>
      <c r="U389" s="298">
        <f t="shared" si="239"/>
        <v>0</v>
      </c>
      <c r="V389" s="298">
        <f t="shared" si="213"/>
        <v>0</v>
      </c>
      <c r="W389" s="298">
        <f t="shared" si="233"/>
        <v>0</v>
      </c>
      <c r="X389" s="298">
        <f t="shared" si="233"/>
        <v>0</v>
      </c>
      <c r="Y389" s="298">
        <f t="shared" si="240"/>
        <v>0</v>
      </c>
      <c r="Z389" s="298">
        <f t="shared" si="241"/>
        <v>378976.30999999988</v>
      </c>
      <c r="AA389" s="298">
        <f t="shared" si="242"/>
        <v>237979.58999999985</v>
      </c>
      <c r="AB389" s="298">
        <f t="shared" si="214"/>
        <v>0</v>
      </c>
      <c r="AC389" s="451">
        <f t="shared" si="223"/>
        <v>329</v>
      </c>
      <c r="AD389" s="552">
        <f t="shared" si="224"/>
        <v>274463.19999999955</v>
      </c>
      <c r="AE389" s="552">
        <f t="shared" si="234"/>
        <v>0</v>
      </c>
      <c r="AF389" s="552">
        <f t="shared" si="235"/>
        <v>274463.19999999955</v>
      </c>
      <c r="AG389" s="552">
        <f t="shared" si="225"/>
        <v>0</v>
      </c>
      <c r="AH389" s="552">
        <f t="shared" si="226"/>
        <v>89654.410000000091</v>
      </c>
      <c r="AI389" s="552"/>
      <c r="AJ389" s="14">
        <f t="shared" si="243"/>
        <v>0</v>
      </c>
      <c r="AK389" s="14">
        <f t="shared" si="244"/>
        <v>478959.79999999871</v>
      </c>
      <c r="AL389" s="552">
        <f>IF(R389&lt;=0,0,+([1]Profit!$B$4+AM388)*$AL$1/12)</f>
        <v>0</v>
      </c>
      <c r="AM389" s="14">
        <f t="shared" si="227"/>
        <v>262755.13764632691</v>
      </c>
    </row>
    <row r="390" spans="1:39" x14ac:dyDescent="0.25">
      <c r="A390" s="542" t="str">
        <f t="shared" si="215"/>
        <v xml:space="preserve"> </v>
      </c>
      <c r="B390" s="298">
        <f t="shared" si="232"/>
        <v>0</v>
      </c>
      <c r="C390" s="14">
        <f t="shared" si="206"/>
        <v>0</v>
      </c>
      <c r="D390" s="14">
        <f t="shared" si="228"/>
        <v>0</v>
      </c>
      <c r="E390" s="14">
        <f t="shared" si="207"/>
        <v>0</v>
      </c>
      <c r="F390" s="298">
        <f t="shared" si="217"/>
        <v>83951.219999999987</v>
      </c>
      <c r="G390" s="298">
        <f t="shared" si="218"/>
        <v>73034.019999999931</v>
      </c>
      <c r="H390" s="298">
        <f t="shared" si="208"/>
        <v>0</v>
      </c>
      <c r="I390" s="451">
        <f t="shared" si="209"/>
        <v>27</v>
      </c>
      <c r="J390" s="298">
        <f t="shared" si="219"/>
        <v>73453.819999999629</v>
      </c>
      <c r="K390" s="298">
        <f t="shared" si="237"/>
        <v>2701.27</v>
      </c>
      <c r="L390" s="298">
        <f t="shared" si="229"/>
        <v>2226.88</v>
      </c>
      <c r="M390" s="298">
        <f t="shared" si="238"/>
        <v>474.39</v>
      </c>
      <c r="N390" s="298">
        <f t="shared" si="220"/>
        <v>305828.06000000023</v>
      </c>
      <c r="O390" s="298">
        <f t="shared" si="221"/>
        <v>588292.31000000017</v>
      </c>
      <c r="P390" s="298">
        <f t="shared" si="210"/>
        <v>71226.939999999624</v>
      </c>
      <c r="Q390" s="542" t="str">
        <f t="shared" si="211"/>
        <v xml:space="preserve"> </v>
      </c>
      <c r="R390" s="298">
        <f t="shared" si="236"/>
        <v>0</v>
      </c>
      <c r="S390" s="535">
        <f t="shared" si="222"/>
        <v>7.7499999999999999E-2</v>
      </c>
      <c r="T390" s="298">
        <f t="shared" si="212"/>
        <v>0</v>
      </c>
      <c r="U390" s="298">
        <f t="shared" si="239"/>
        <v>0</v>
      </c>
      <c r="V390" s="298">
        <f t="shared" si="213"/>
        <v>0</v>
      </c>
      <c r="W390" s="298">
        <f t="shared" si="233"/>
        <v>0</v>
      </c>
      <c r="X390" s="298">
        <f t="shared" si="233"/>
        <v>0</v>
      </c>
      <c r="Y390" s="298">
        <f t="shared" si="240"/>
        <v>0</v>
      </c>
      <c r="Z390" s="298">
        <f t="shared" si="241"/>
        <v>378976.30999999988</v>
      </c>
      <c r="AA390" s="298">
        <f t="shared" si="242"/>
        <v>237979.58999999985</v>
      </c>
      <c r="AB390" s="298">
        <f t="shared" si="214"/>
        <v>0</v>
      </c>
      <c r="AC390" s="451">
        <f t="shared" si="223"/>
        <v>330</v>
      </c>
      <c r="AD390" s="552">
        <f t="shared" si="224"/>
        <v>277164.46999999956</v>
      </c>
      <c r="AE390" s="552">
        <f t="shared" si="234"/>
        <v>0</v>
      </c>
      <c r="AF390" s="552">
        <f t="shared" si="235"/>
        <v>277164.46999999956</v>
      </c>
      <c r="AG390" s="552">
        <f t="shared" si="225"/>
        <v>0</v>
      </c>
      <c r="AH390" s="552">
        <f t="shared" si="226"/>
        <v>89654.410000000091</v>
      </c>
      <c r="AI390" s="552"/>
      <c r="AJ390" s="14">
        <f t="shared" si="243"/>
        <v>0</v>
      </c>
      <c r="AK390" s="14">
        <f t="shared" si="244"/>
        <v>478959.79999999871</v>
      </c>
      <c r="AL390" s="552">
        <f>IF(R390&lt;=0,0,+([1]Profit!$B$4+AM389)*$AL$1/12)</f>
        <v>0</v>
      </c>
      <c r="AM390" s="14">
        <f t="shared" si="227"/>
        <v>262755.13764632691</v>
      </c>
    </row>
    <row r="391" spans="1:39" x14ac:dyDescent="0.25">
      <c r="A391" s="542" t="str">
        <f t="shared" si="215"/>
        <v xml:space="preserve"> </v>
      </c>
      <c r="B391" s="298">
        <f t="shared" si="232"/>
        <v>0</v>
      </c>
      <c r="C391" s="14">
        <f t="shared" si="206"/>
        <v>0</v>
      </c>
      <c r="D391" s="14">
        <f t="shared" si="228"/>
        <v>0</v>
      </c>
      <c r="E391" s="14">
        <f t="shared" si="207"/>
        <v>0</v>
      </c>
      <c r="F391" s="298">
        <f t="shared" si="217"/>
        <v>83951.219999999987</v>
      </c>
      <c r="G391" s="298">
        <f t="shared" si="218"/>
        <v>73034.019999999931</v>
      </c>
      <c r="H391" s="298">
        <f t="shared" si="208"/>
        <v>0</v>
      </c>
      <c r="I391" s="451">
        <f t="shared" si="209"/>
        <v>27</v>
      </c>
      <c r="J391" s="298">
        <f t="shared" si="219"/>
        <v>71226.939999999624</v>
      </c>
      <c r="K391" s="298">
        <f t="shared" si="237"/>
        <v>2701.27</v>
      </c>
      <c r="L391" s="298">
        <f t="shared" si="229"/>
        <v>2241.2600000000002</v>
      </c>
      <c r="M391" s="298">
        <f t="shared" si="238"/>
        <v>460.01</v>
      </c>
      <c r="N391" s="298">
        <f t="shared" si="220"/>
        <v>308069.32000000024</v>
      </c>
      <c r="O391" s="298">
        <f t="shared" si="221"/>
        <v>588752.32000000018</v>
      </c>
      <c r="P391" s="298">
        <f t="shared" si="210"/>
        <v>68985.679999999629</v>
      </c>
      <c r="Q391" s="542" t="str">
        <f t="shared" si="211"/>
        <v xml:space="preserve"> </v>
      </c>
      <c r="R391" s="298">
        <f t="shared" si="236"/>
        <v>0</v>
      </c>
      <c r="S391" s="535">
        <f t="shared" si="222"/>
        <v>7.7499999999999999E-2</v>
      </c>
      <c r="T391" s="298">
        <f t="shared" si="212"/>
        <v>0</v>
      </c>
      <c r="U391" s="298">
        <f t="shared" si="239"/>
        <v>0</v>
      </c>
      <c r="V391" s="298">
        <f t="shared" si="213"/>
        <v>0</v>
      </c>
      <c r="W391" s="298">
        <f t="shared" si="233"/>
        <v>0</v>
      </c>
      <c r="X391" s="298">
        <f t="shared" si="233"/>
        <v>0</v>
      </c>
      <c r="Y391" s="298">
        <f t="shared" si="240"/>
        <v>0</v>
      </c>
      <c r="Z391" s="298">
        <f t="shared" si="241"/>
        <v>378976.30999999988</v>
      </c>
      <c r="AA391" s="298">
        <f t="shared" si="242"/>
        <v>237979.58999999985</v>
      </c>
      <c r="AB391" s="298">
        <f t="shared" si="214"/>
        <v>0</v>
      </c>
      <c r="AC391" s="451">
        <f t="shared" si="223"/>
        <v>331</v>
      </c>
      <c r="AD391" s="552">
        <f t="shared" si="224"/>
        <v>279865.73999999958</v>
      </c>
      <c r="AE391" s="552">
        <f t="shared" si="234"/>
        <v>0</v>
      </c>
      <c r="AF391" s="552">
        <f t="shared" si="235"/>
        <v>279865.73999999958</v>
      </c>
      <c r="AG391" s="552">
        <f t="shared" si="225"/>
        <v>0</v>
      </c>
      <c r="AH391" s="552">
        <f t="shared" si="226"/>
        <v>89654.410000000091</v>
      </c>
      <c r="AI391" s="552"/>
      <c r="AJ391" s="14">
        <f t="shared" si="243"/>
        <v>0</v>
      </c>
      <c r="AK391" s="14">
        <f t="shared" si="244"/>
        <v>478959.79999999871</v>
      </c>
      <c r="AL391" s="552">
        <f>IF(R391&lt;=0,0,+([1]Profit!$B$4+AM390)*$AL$1/12)</f>
        <v>0</v>
      </c>
      <c r="AM391" s="14">
        <f t="shared" si="227"/>
        <v>262755.13764632691</v>
      </c>
    </row>
    <row r="392" spans="1:39" x14ac:dyDescent="0.25">
      <c r="A392" s="542" t="str">
        <f t="shared" si="215"/>
        <v xml:space="preserve"> </v>
      </c>
      <c r="B392" s="298">
        <f t="shared" si="232"/>
        <v>0</v>
      </c>
      <c r="C392" s="14">
        <f t="shared" si="206"/>
        <v>0</v>
      </c>
      <c r="D392" s="14">
        <f t="shared" si="228"/>
        <v>0</v>
      </c>
      <c r="E392" s="14">
        <f t="shared" si="207"/>
        <v>0</v>
      </c>
      <c r="F392" s="298">
        <f t="shared" si="217"/>
        <v>83951.219999999987</v>
      </c>
      <c r="G392" s="298">
        <f t="shared" si="218"/>
        <v>73034.019999999931</v>
      </c>
      <c r="H392" s="298">
        <f t="shared" si="208"/>
        <v>0</v>
      </c>
      <c r="I392" s="451">
        <f t="shared" si="209"/>
        <v>27</v>
      </c>
      <c r="J392" s="298">
        <f t="shared" si="219"/>
        <v>68985.679999999629</v>
      </c>
      <c r="K392" s="298">
        <f t="shared" si="237"/>
        <v>2701.27</v>
      </c>
      <c r="L392" s="298">
        <f t="shared" si="229"/>
        <v>2255.7399999999998</v>
      </c>
      <c r="M392" s="298">
        <f t="shared" si="238"/>
        <v>445.53</v>
      </c>
      <c r="N392" s="298">
        <f t="shared" si="220"/>
        <v>310325.06000000023</v>
      </c>
      <c r="O392" s="298">
        <f t="shared" si="221"/>
        <v>589197.85000000021</v>
      </c>
      <c r="P392" s="298">
        <f t="shared" si="210"/>
        <v>66729.939999999624</v>
      </c>
      <c r="Q392" s="542" t="str">
        <f t="shared" si="211"/>
        <v xml:space="preserve"> </v>
      </c>
      <c r="R392" s="298">
        <f t="shared" si="236"/>
        <v>0</v>
      </c>
      <c r="S392" s="535">
        <f t="shared" si="222"/>
        <v>7.7499999999999999E-2</v>
      </c>
      <c r="T392" s="298">
        <f t="shared" si="212"/>
        <v>0</v>
      </c>
      <c r="U392" s="298">
        <f t="shared" si="239"/>
        <v>0</v>
      </c>
      <c r="V392" s="298">
        <f t="shared" si="213"/>
        <v>0</v>
      </c>
      <c r="W392" s="298">
        <f t="shared" si="233"/>
        <v>0</v>
      </c>
      <c r="X392" s="298">
        <f t="shared" si="233"/>
        <v>0</v>
      </c>
      <c r="Y392" s="298">
        <f t="shared" si="240"/>
        <v>0</v>
      </c>
      <c r="Z392" s="298">
        <f t="shared" si="241"/>
        <v>378976.30999999988</v>
      </c>
      <c r="AA392" s="298">
        <f t="shared" si="242"/>
        <v>237979.58999999985</v>
      </c>
      <c r="AB392" s="298">
        <f t="shared" si="214"/>
        <v>0</v>
      </c>
      <c r="AC392" s="451">
        <f t="shared" si="223"/>
        <v>332</v>
      </c>
      <c r="AD392" s="552">
        <f t="shared" si="224"/>
        <v>282567.0099999996</v>
      </c>
      <c r="AE392" s="552">
        <f t="shared" si="234"/>
        <v>0</v>
      </c>
      <c r="AF392" s="552">
        <f t="shared" si="235"/>
        <v>282567.0099999996</v>
      </c>
      <c r="AG392" s="552">
        <f t="shared" si="225"/>
        <v>0</v>
      </c>
      <c r="AH392" s="552">
        <f t="shared" si="226"/>
        <v>89654.410000000091</v>
      </c>
      <c r="AI392" s="552"/>
      <c r="AJ392" s="14">
        <f t="shared" si="243"/>
        <v>0</v>
      </c>
      <c r="AK392" s="14">
        <f t="shared" si="244"/>
        <v>478959.79999999871</v>
      </c>
      <c r="AL392" s="552">
        <f>IF(R392&lt;=0,0,+([1]Profit!$B$4+AM391)*$AL$1/12)</f>
        <v>0</v>
      </c>
      <c r="AM392" s="14">
        <f t="shared" si="227"/>
        <v>262755.13764632691</v>
      </c>
    </row>
    <row r="393" spans="1:39" x14ac:dyDescent="0.25">
      <c r="A393" s="542" t="str">
        <f t="shared" si="215"/>
        <v xml:space="preserve"> </v>
      </c>
      <c r="B393" s="298">
        <f t="shared" si="232"/>
        <v>0</v>
      </c>
      <c r="C393" s="14">
        <f t="shared" si="206"/>
        <v>0</v>
      </c>
      <c r="D393" s="14">
        <f t="shared" si="228"/>
        <v>0</v>
      </c>
      <c r="E393" s="14">
        <f t="shared" si="207"/>
        <v>0</v>
      </c>
      <c r="F393" s="298">
        <f t="shared" si="217"/>
        <v>83951.219999999987</v>
      </c>
      <c r="G393" s="298">
        <f t="shared" si="218"/>
        <v>73034.019999999931</v>
      </c>
      <c r="H393" s="298">
        <f t="shared" si="208"/>
        <v>0</v>
      </c>
      <c r="I393" s="451">
        <f t="shared" si="209"/>
        <v>27</v>
      </c>
      <c r="J393" s="298">
        <f t="shared" si="219"/>
        <v>66729.939999999624</v>
      </c>
      <c r="K393" s="298">
        <f t="shared" si="237"/>
        <v>2701.27</v>
      </c>
      <c r="L393" s="298">
        <f t="shared" si="229"/>
        <v>2270.31</v>
      </c>
      <c r="M393" s="298">
        <f t="shared" si="238"/>
        <v>430.96</v>
      </c>
      <c r="N393" s="298">
        <f t="shared" si="220"/>
        <v>312595.37000000023</v>
      </c>
      <c r="O393" s="298">
        <f t="shared" si="221"/>
        <v>589628.81000000017</v>
      </c>
      <c r="P393" s="298">
        <f t="shared" si="210"/>
        <v>64459.629999999626</v>
      </c>
      <c r="Q393" s="542" t="str">
        <f t="shared" si="211"/>
        <v xml:space="preserve"> </v>
      </c>
      <c r="R393" s="298">
        <f t="shared" si="236"/>
        <v>0</v>
      </c>
      <c r="S393" s="535">
        <f t="shared" si="222"/>
        <v>7.7499999999999999E-2</v>
      </c>
      <c r="T393" s="298">
        <f t="shared" si="212"/>
        <v>0</v>
      </c>
      <c r="U393" s="298">
        <f t="shared" si="239"/>
        <v>0</v>
      </c>
      <c r="V393" s="298">
        <f t="shared" si="213"/>
        <v>0</v>
      </c>
      <c r="W393" s="298">
        <f t="shared" si="233"/>
        <v>0</v>
      </c>
      <c r="X393" s="298">
        <f t="shared" si="233"/>
        <v>0</v>
      </c>
      <c r="Y393" s="298">
        <f t="shared" si="240"/>
        <v>0</v>
      </c>
      <c r="Z393" s="298">
        <f t="shared" si="241"/>
        <v>378976.30999999988</v>
      </c>
      <c r="AA393" s="298">
        <f t="shared" si="242"/>
        <v>237979.58999999985</v>
      </c>
      <c r="AB393" s="298">
        <f t="shared" si="214"/>
        <v>0</v>
      </c>
      <c r="AC393" s="451">
        <f t="shared" si="223"/>
        <v>333</v>
      </c>
      <c r="AD393" s="552">
        <f t="shared" si="224"/>
        <v>285268.27999999962</v>
      </c>
      <c r="AE393" s="552">
        <f t="shared" si="234"/>
        <v>0</v>
      </c>
      <c r="AF393" s="552">
        <f t="shared" si="235"/>
        <v>285268.27999999962</v>
      </c>
      <c r="AG393" s="552">
        <f t="shared" si="225"/>
        <v>0</v>
      </c>
      <c r="AH393" s="552">
        <f t="shared" si="226"/>
        <v>89654.410000000091</v>
      </c>
      <c r="AI393" s="552"/>
      <c r="AJ393" s="14">
        <f t="shared" si="243"/>
        <v>0</v>
      </c>
      <c r="AK393" s="14">
        <f t="shared" si="244"/>
        <v>478959.79999999871</v>
      </c>
      <c r="AL393" s="552">
        <f>IF(R393&lt;=0,0,+([1]Profit!$B$4+AM392)*$AL$1/12)</f>
        <v>0</v>
      </c>
      <c r="AM393" s="14">
        <f t="shared" si="227"/>
        <v>262755.13764632691</v>
      </c>
    </row>
    <row r="394" spans="1:39" x14ac:dyDescent="0.25">
      <c r="A394" s="542" t="str">
        <f t="shared" si="215"/>
        <v xml:space="preserve"> </v>
      </c>
      <c r="B394" s="298">
        <f t="shared" si="232"/>
        <v>0</v>
      </c>
      <c r="C394" s="14">
        <f t="shared" si="206"/>
        <v>0</v>
      </c>
      <c r="D394" s="14">
        <f t="shared" si="228"/>
        <v>0</v>
      </c>
      <c r="E394" s="14">
        <f t="shared" si="207"/>
        <v>0</v>
      </c>
      <c r="F394" s="298">
        <f t="shared" si="217"/>
        <v>83951.219999999987</v>
      </c>
      <c r="G394" s="298">
        <f t="shared" si="218"/>
        <v>73034.019999999931</v>
      </c>
      <c r="H394" s="298">
        <f t="shared" si="208"/>
        <v>0</v>
      </c>
      <c r="I394" s="451">
        <f t="shared" si="209"/>
        <v>27</v>
      </c>
      <c r="J394" s="298">
        <f t="shared" si="219"/>
        <v>64459.629999999626</v>
      </c>
      <c r="K394" s="298">
        <f t="shared" si="237"/>
        <v>2701.27</v>
      </c>
      <c r="L394" s="298">
        <f t="shared" si="229"/>
        <v>2284.9699999999998</v>
      </c>
      <c r="M394" s="298">
        <f t="shared" si="238"/>
        <v>416.3</v>
      </c>
      <c r="N394" s="298">
        <f t="shared" si="220"/>
        <v>314880.3400000002</v>
      </c>
      <c r="O394" s="298">
        <f t="shared" si="221"/>
        <v>590045.11000000022</v>
      </c>
      <c r="P394" s="298">
        <f t="shared" si="210"/>
        <v>62174.659999999625</v>
      </c>
      <c r="Q394" s="542" t="str">
        <f t="shared" si="211"/>
        <v xml:space="preserve"> </v>
      </c>
      <c r="R394" s="298">
        <f t="shared" si="236"/>
        <v>0</v>
      </c>
      <c r="S394" s="535">
        <f t="shared" si="222"/>
        <v>7.7499999999999999E-2</v>
      </c>
      <c r="T394" s="298">
        <f t="shared" si="212"/>
        <v>0</v>
      </c>
      <c r="U394" s="298">
        <f t="shared" si="239"/>
        <v>0</v>
      </c>
      <c r="V394" s="298">
        <f t="shared" si="213"/>
        <v>0</v>
      </c>
      <c r="W394" s="298">
        <f t="shared" si="233"/>
        <v>0</v>
      </c>
      <c r="X394" s="298">
        <f t="shared" si="233"/>
        <v>0</v>
      </c>
      <c r="Y394" s="298">
        <f t="shared" si="240"/>
        <v>0</v>
      </c>
      <c r="Z394" s="298">
        <f t="shared" si="241"/>
        <v>378976.30999999988</v>
      </c>
      <c r="AA394" s="298">
        <f t="shared" si="242"/>
        <v>237979.58999999985</v>
      </c>
      <c r="AB394" s="298">
        <f t="shared" si="214"/>
        <v>0</v>
      </c>
      <c r="AC394" s="451">
        <f t="shared" si="223"/>
        <v>334</v>
      </c>
      <c r="AD394" s="552">
        <f t="shared" si="224"/>
        <v>287969.54999999964</v>
      </c>
      <c r="AE394" s="552">
        <f t="shared" si="234"/>
        <v>0</v>
      </c>
      <c r="AF394" s="552">
        <f t="shared" si="235"/>
        <v>287969.54999999964</v>
      </c>
      <c r="AG394" s="552">
        <f t="shared" si="225"/>
        <v>0</v>
      </c>
      <c r="AH394" s="552">
        <f t="shared" si="226"/>
        <v>89654.410000000091</v>
      </c>
      <c r="AI394" s="552"/>
      <c r="AJ394" s="14">
        <f t="shared" si="243"/>
        <v>0</v>
      </c>
      <c r="AK394" s="14">
        <f t="shared" si="244"/>
        <v>478959.79999999871</v>
      </c>
      <c r="AL394" s="552">
        <f>IF(R394&lt;=0,0,+([1]Profit!$B$4+AM393)*$AL$1/12)</f>
        <v>0</v>
      </c>
      <c r="AM394" s="14">
        <f t="shared" si="227"/>
        <v>262755.13764632691</v>
      </c>
    </row>
    <row r="395" spans="1:39" x14ac:dyDescent="0.25">
      <c r="A395" s="542" t="str">
        <f t="shared" si="215"/>
        <v xml:space="preserve"> </v>
      </c>
      <c r="B395" s="298">
        <f t="shared" si="232"/>
        <v>0</v>
      </c>
      <c r="C395" s="14">
        <f t="shared" si="206"/>
        <v>0</v>
      </c>
      <c r="D395" s="14">
        <f t="shared" si="228"/>
        <v>0</v>
      </c>
      <c r="E395" s="14">
        <f t="shared" si="207"/>
        <v>0</v>
      </c>
      <c r="F395" s="298">
        <f t="shared" si="217"/>
        <v>83951.219999999987</v>
      </c>
      <c r="G395" s="298">
        <f t="shared" si="218"/>
        <v>73034.019999999931</v>
      </c>
      <c r="H395" s="298">
        <f t="shared" si="208"/>
        <v>0</v>
      </c>
      <c r="I395" s="451">
        <f t="shared" si="209"/>
        <v>27</v>
      </c>
      <c r="J395" s="298">
        <f t="shared" si="219"/>
        <v>62174.659999999625</v>
      </c>
      <c r="K395" s="298">
        <f t="shared" si="237"/>
        <v>2701.27</v>
      </c>
      <c r="L395" s="298">
        <f t="shared" si="229"/>
        <v>2299.73</v>
      </c>
      <c r="M395" s="298">
        <f t="shared" si="238"/>
        <v>401.54</v>
      </c>
      <c r="N395" s="298">
        <f t="shared" si="220"/>
        <v>317180.07000000018</v>
      </c>
      <c r="O395" s="298">
        <f t="shared" si="221"/>
        <v>590446.65000000026</v>
      </c>
      <c r="P395" s="298">
        <f t="shared" si="210"/>
        <v>59874.929999999622</v>
      </c>
      <c r="Q395" s="542" t="str">
        <f t="shared" si="211"/>
        <v xml:space="preserve"> </v>
      </c>
      <c r="R395" s="298">
        <f t="shared" si="236"/>
        <v>0</v>
      </c>
      <c r="S395" s="535">
        <f t="shared" si="222"/>
        <v>7.7499999999999999E-2</v>
      </c>
      <c r="T395" s="298">
        <f t="shared" si="212"/>
        <v>0</v>
      </c>
      <c r="U395" s="298">
        <f t="shared" si="239"/>
        <v>0</v>
      </c>
      <c r="V395" s="298">
        <f t="shared" si="213"/>
        <v>0</v>
      </c>
      <c r="W395" s="298">
        <f t="shared" si="233"/>
        <v>0</v>
      </c>
      <c r="X395" s="298">
        <f t="shared" si="233"/>
        <v>0</v>
      </c>
      <c r="Y395" s="298">
        <f t="shared" si="240"/>
        <v>0</v>
      </c>
      <c r="Z395" s="298">
        <f t="shared" si="241"/>
        <v>378976.30999999988</v>
      </c>
      <c r="AA395" s="298">
        <f t="shared" si="242"/>
        <v>237979.58999999985</v>
      </c>
      <c r="AB395" s="298">
        <f t="shared" si="214"/>
        <v>0</v>
      </c>
      <c r="AC395" s="451">
        <f t="shared" si="223"/>
        <v>335</v>
      </c>
      <c r="AD395" s="552">
        <f t="shared" si="224"/>
        <v>290670.81999999966</v>
      </c>
      <c r="AE395" s="552">
        <f t="shared" si="234"/>
        <v>0</v>
      </c>
      <c r="AF395" s="552">
        <f t="shared" si="235"/>
        <v>290670.81999999966</v>
      </c>
      <c r="AG395" s="552">
        <f t="shared" si="225"/>
        <v>0</v>
      </c>
      <c r="AH395" s="552">
        <f t="shared" si="226"/>
        <v>89654.410000000091</v>
      </c>
      <c r="AI395" s="552"/>
      <c r="AJ395" s="14">
        <f t="shared" si="243"/>
        <v>0</v>
      </c>
      <c r="AK395" s="14">
        <f t="shared" si="244"/>
        <v>478959.79999999871</v>
      </c>
      <c r="AL395" s="552">
        <f>IF(R395&lt;=0,0,+([1]Profit!$B$4+AM394)*$AL$1/12)</f>
        <v>0</v>
      </c>
      <c r="AM395" s="14">
        <f t="shared" si="227"/>
        <v>262755.13764632691</v>
      </c>
    </row>
    <row r="396" spans="1:39" x14ac:dyDescent="0.25">
      <c r="A396" s="542" t="str">
        <f t="shared" si="215"/>
        <v xml:space="preserve"> </v>
      </c>
      <c r="B396" s="298">
        <f t="shared" si="232"/>
        <v>0</v>
      </c>
      <c r="C396" s="14">
        <f t="shared" si="206"/>
        <v>0</v>
      </c>
      <c r="D396" s="14">
        <f t="shared" si="228"/>
        <v>0</v>
      </c>
      <c r="E396" s="14">
        <f t="shared" si="207"/>
        <v>0</v>
      </c>
      <c r="F396" s="298">
        <f t="shared" si="217"/>
        <v>83951.219999999987</v>
      </c>
      <c r="G396" s="298">
        <f t="shared" si="218"/>
        <v>73034.019999999931</v>
      </c>
      <c r="H396" s="298">
        <f t="shared" si="208"/>
        <v>0</v>
      </c>
      <c r="I396" s="451">
        <f t="shared" si="209"/>
        <v>28</v>
      </c>
      <c r="J396" s="298">
        <f t="shared" si="219"/>
        <v>59874.929999999622</v>
      </c>
      <c r="K396" s="298">
        <f t="shared" si="237"/>
        <v>2701.27</v>
      </c>
      <c r="L396" s="298">
        <f t="shared" si="229"/>
        <v>2314.58</v>
      </c>
      <c r="M396" s="298">
        <f t="shared" si="238"/>
        <v>386.69</v>
      </c>
      <c r="N396" s="298">
        <f t="shared" si="220"/>
        <v>319494.6500000002</v>
      </c>
      <c r="O396" s="298">
        <f t="shared" si="221"/>
        <v>590833.3400000002</v>
      </c>
      <c r="P396" s="298">
        <f t="shared" si="210"/>
        <v>57560.34999999962</v>
      </c>
      <c r="Q396" s="542" t="str">
        <f t="shared" si="211"/>
        <v xml:space="preserve"> </v>
      </c>
      <c r="R396" s="298">
        <f t="shared" si="236"/>
        <v>0</v>
      </c>
      <c r="S396" s="535">
        <f t="shared" si="222"/>
        <v>7.7499999999999999E-2</v>
      </c>
      <c r="T396" s="298">
        <f t="shared" si="212"/>
        <v>0</v>
      </c>
      <c r="U396" s="298">
        <f t="shared" si="239"/>
        <v>0</v>
      </c>
      <c r="V396" s="298">
        <f t="shared" si="213"/>
        <v>0</v>
      </c>
      <c r="W396" s="298">
        <f t="shared" ref="W396:X411" si="245">+W395</f>
        <v>0</v>
      </c>
      <c r="X396" s="298">
        <f t="shared" si="245"/>
        <v>0</v>
      </c>
      <c r="Y396" s="298">
        <f t="shared" si="240"/>
        <v>0</v>
      </c>
      <c r="Z396" s="298">
        <f t="shared" si="241"/>
        <v>378976.30999999988</v>
      </c>
      <c r="AA396" s="298">
        <f t="shared" si="242"/>
        <v>237979.58999999985</v>
      </c>
      <c r="AB396" s="298">
        <f t="shared" si="214"/>
        <v>0</v>
      </c>
      <c r="AC396" s="451">
        <f t="shared" si="223"/>
        <v>336</v>
      </c>
      <c r="AD396" s="552">
        <f t="shared" si="224"/>
        <v>293372.08999999968</v>
      </c>
      <c r="AE396" s="552">
        <f t="shared" si="234"/>
        <v>0</v>
      </c>
      <c r="AF396" s="552">
        <f t="shared" si="235"/>
        <v>293372.08999999968</v>
      </c>
      <c r="AG396" s="552">
        <f t="shared" si="225"/>
        <v>0</v>
      </c>
      <c r="AH396" s="552">
        <f t="shared" si="226"/>
        <v>89654.410000000091</v>
      </c>
      <c r="AI396" s="552"/>
      <c r="AJ396" s="14">
        <f t="shared" si="243"/>
        <v>0</v>
      </c>
      <c r="AK396" s="14">
        <f t="shared" si="244"/>
        <v>478959.79999999871</v>
      </c>
      <c r="AL396" s="552">
        <f>IF(R396&lt;=0,0,+([1]Profit!$B$4+AM395)*$AL$1/12)</f>
        <v>0</v>
      </c>
      <c r="AM396" s="14">
        <f t="shared" si="227"/>
        <v>262755.13764632691</v>
      </c>
    </row>
    <row r="397" spans="1:39" x14ac:dyDescent="0.25">
      <c r="A397" s="542" t="str">
        <f t="shared" si="215"/>
        <v xml:space="preserve"> </v>
      </c>
      <c r="B397" s="298">
        <f t="shared" si="232"/>
        <v>0</v>
      </c>
      <c r="C397" s="14">
        <f t="shared" si="206"/>
        <v>0</v>
      </c>
      <c r="D397" s="14">
        <f t="shared" si="228"/>
        <v>0</v>
      </c>
      <c r="E397" s="14">
        <f t="shared" si="207"/>
        <v>0</v>
      </c>
      <c r="F397" s="298">
        <f t="shared" si="217"/>
        <v>83951.219999999987</v>
      </c>
      <c r="G397" s="298">
        <f t="shared" si="218"/>
        <v>73034.019999999931</v>
      </c>
      <c r="H397" s="298">
        <f t="shared" si="208"/>
        <v>0</v>
      </c>
      <c r="I397" s="451">
        <f t="shared" si="209"/>
        <v>28</v>
      </c>
      <c r="J397" s="298">
        <f t="shared" si="219"/>
        <v>57560.34999999962</v>
      </c>
      <c r="K397" s="298">
        <f t="shared" si="237"/>
        <v>2701.27</v>
      </c>
      <c r="L397" s="298">
        <f t="shared" si="229"/>
        <v>2329.5299999999997</v>
      </c>
      <c r="M397" s="298">
        <f t="shared" si="238"/>
        <v>371.74</v>
      </c>
      <c r="N397" s="298">
        <f t="shared" si="220"/>
        <v>321824.18000000023</v>
      </c>
      <c r="O397" s="298">
        <f t="shared" si="221"/>
        <v>591205.08000000019</v>
      </c>
      <c r="P397" s="298">
        <f t="shared" si="210"/>
        <v>55230.819999999621</v>
      </c>
      <c r="Q397" s="542" t="str">
        <f t="shared" si="211"/>
        <v xml:space="preserve"> </v>
      </c>
      <c r="R397" s="298">
        <f t="shared" si="236"/>
        <v>0</v>
      </c>
      <c r="S397" s="535">
        <f t="shared" si="222"/>
        <v>7.7499999999999999E-2</v>
      </c>
      <c r="T397" s="298">
        <f t="shared" si="212"/>
        <v>0</v>
      </c>
      <c r="U397" s="298">
        <f t="shared" si="239"/>
        <v>0</v>
      </c>
      <c r="V397" s="298">
        <f t="shared" si="213"/>
        <v>0</v>
      </c>
      <c r="W397" s="298">
        <f t="shared" si="245"/>
        <v>0</v>
      </c>
      <c r="X397" s="298">
        <f t="shared" si="245"/>
        <v>0</v>
      </c>
      <c r="Y397" s="298">
        <f t="shared" si="240"/>
        <v>0</v>
      </c>
      <c r="Z397" s="298">
        <f t="shared" si="241"/>
        <v>378976.30999999988</v>
      </c>
      <c r="AA397" s="298">
        <f t="shared" si="242"/>
        <v>237979.58999999985</v>
      </c>
      <c r="AB397" s="298">
        <f t="shared" si="214"/>
        <v>0</v>
      </c>
      <c r="AC397" s="451">
        <f t="shared" si="223"/>
        <v>337</v>
      </c>
      <c r="AD397" s="552">
        <f t="shared" si="224"/>
        <v>296073.35999999969</v>
      </c>
      <c r="AE397" s="552">
        <f t="shared" si="234"/>
        <v>0</v>
      </c>
      <c r="AF397" s="552">
        <f t="shared" si="235"/>
        <v>296073.35999999969</v>
      </c>
      <c r="AG397" s="552">
        <f t="shared" si="225"/>
        <v>0</v>
      </c>
      <c r="AH397" s="552">
        <f t="shared" si="226"/>
        <v>89654.410000000091</v>
      </c>
      <c r="AI397" s="552"/>
      <c r="AJ397" s="14">
        <f t="shared" si="243"/>
        <v>0</v>
      </c>
      <c r="AK397" s="14">
        <f t="shared" si="244"/>
        <v>478959.79999999871</v>
      </c>
      <c r="AL397" s="552">
        <f>IF(R397&lt;=0,0,+([1]Profit!$B$4+AM396)*$AL$1/12)</f>
        <v>0</v>
      </c>
      <c r="AM397" s="14">
        <f t="shared" si="227"/>
        <v>262755.13764632691</v>
      </c>
    </row>
    <row r="398" spans="1:39" ht="15.75" thickBot="1" x14ac:dyDescent="0.3">
      <c r="A398" s="545" t="str">
        <f t="shared" si="215"/>
        <v xml:space="preserve"> </v>
      </c>
      <c r="B398" s="371">
        <f t="shared" si="232"/>
        <v>0</v>
      </c>
      <c r="C398" s="21">
        <f t="shared" si="206"/>
        <v>0</v>
      </c>
      <c r="D398" s="21">
        <f t="shared" si="228"/>
        <v>0</v>
      </c>
      <c r="E398" s="21">
        <f t="shared" si="207"/>
        <v>0</v>
      </c>
      <c r="F398" s="371">
        <f t="shared" si="217"/>
        <v>83951.219999999987</v>
      </c>
      <c r="G398" s="371">
        <f t="shared" si="218"/>
        <v>73034.019999999931</v>
      </c>
      <c r="H398" s="371">
        <f t="shared" si="208"/>
        <v>0</v>
      </c>
      <c r="I398" s="452">
        <f t="shared" si="209"/>
        <v>28</v>
      </c>
      <c r="J398" s="371">
        <f t="shared" si="219"/>
        <v>55230.819999999621</v>
      </c>
      <c r="K398" s="371">
        <f t="shared" si="237"/>
        <v>2701.27</v>
      </c>
      <c r="L398" s="371">
        <f t="shared" si="229"/>
        <v>2344.5700000000002</v>
      </c>
      <c r="M398" s="371">
        <f t="shared" si="238"/>
        <v>356.7</v>
      </c>
      <c r="N398" s="371">
        <f t="shared" si="220"/>
        <v>324168.75000000023</v>
      </c>
      <c r="O398" s="371">
        <f t="shared" si="221"/>
        <v>591561.78000000014</v>
      </c>
      <c r="P398" s="371">
        <f t="shared" si="210"/>
        <v>52886.249999999622</v>
      </c>
      <c r="Q398" s="545" t="str">
        <f t="shared" si="211"/>
        <v xml:space="preserve"> </v>
      </c>
      <c r="R398" s="371">
        <f t="shared" si="236"/>
        <v>0</v>
      </c>
      <c r="S398" s="536">
        <f t="shared" si="222"/>
        <v>7.7499999999999999E-2</v>
      </c>
      <c r="T398" s="371">
        <f t="shared" si="212"/>
        <v>0</v>
      </c>
      <c r="U398" s="371">
        <f t="shared" si="239"/>
        <v>0</v>
      </c>
      <c r="V398" s="371">
        <f t="shared" si="213"/>
        <v>0</v>
      </c>
      <c r="W398" s="371">
        <f t="shared" si="245"/>
        <v>0</v>
      </c>
      <c r="X398" s="371">
        <f t="shared" si="245"/>
        <v>0</v>
      </c>
      <c r="Y398" s="371">
        <f t="shared" si="240"/>
        <v>0</v>
      </c>
      <c r="Z398" s="371">
        <f t="shared" si="241"/>
        <v>378976.30999999988</v>
      </c>
      <c r="AA398" s="371">
        <f t="shared" si="242"/>
        <v>237979.58999999985</v>
      </c>
      <c r="AB398" s="371">
        <f t="shared" si="214"/>
        <v>0</v>
      </c>
      <c r="AC398" s="452">
        <f t="shared" si="223"/>
        <v>338</v>
      </c>
      <c r="AD398" s="553">
        <f t="shared" si="224"/>
        <v>298774.62999999971</v>
      </c>
      <c r="AE398" s="553">
        <f t="shared" si="234"/>
        <v>0</v>
      </c>
      <c r="AF398" s="553">
        <f t="shared" si="235"/>
        <v>298774.62999999971</v>
      </c>
      <c r="AG398" s="553">
        <f t="shared" si="225"/>
        <v>0</v>
      </c>
      <c r="AH398" s="553">
        <f t="shared" si="226"/>
        <v>89654.410000000091</v>
      </c>
      <c r="AI398" s="553"/>
      <c r="AJ398" s="21">
        <f t="shared" si="243"/>
        <v>0</v>
      </c>
      <c r="AK398" s="21">
        <f t="shared" si="244"/>
        <v>478959.79999999871</v>
      </c>
      <c r="AL398" s="553">
        <f>IF(R398&lt;=0,0,+([1]Profit!$B$4+AM397)*$AL$1/12)</f>
        <v>0</v>
      </c>
      <c r="AM398" s="21">
        <f t="shared" si="227"/>
        <v>262755.13764632691</v>
      </c>
    </row>
    <row r="399" spans="1:39" x14ac:dyDescent="0.25">
      <c r="A399" s="542" t="str">
        <f t="shared" si="215"/>
        <v xml:space="preserve"> </v>
      </c>
      <c r="B399" s="298">
        <f t="shared" si="232"/>
        <v>0</v>
      </c>
      <c r="C399" s="14">
        <f t="shared" ref="C399:C462" si="246">IF(+$H398&lt;=0,0,$C$5)</f>
        <v>0</v>
      </c>
      <c r="D399" s="14">
        <f t="shared" si="228"/>
        <v>0</v>
      </c>
      <c r="E399" s="14">
        <f t="shared" ref="E399:E462" si="247">ROUND($B399*($C$3/12), 2)</f>
        <v>0</v>
      </c>
      <c r="F399" s="298">
        <f t="shared" si="217"/>
        <v>83951.219999999987</v>
      </c>
      <c r="G399" s="298">
        <f t="shared" si="218"/>
        <v>73034.019999999931</v>
      </c>
      <c r="H399" s="298">
        <f t="shared" ref="H399:H462" si="248">+B399-D399</f>
        <v>0</v>
      </c>
      <c r="I399" s="451">
        <f t="shared" ref="I399:I462" si="249">IF(MOD(AC399,12)=0,AC399/12,I398)</f>
        <v>28</v>
      </c>
      <c r="J399" s="298">
        <f t="shared" si="219"/>
        <v>52886.249999999622</v>
      </c>
      <c r="K399" s="298">
        <f t="shared" si="237"/>
        <v>2701.27</v>
      </c>
      <c r="L399" s="298">
        <f t="shared" si="229"/>
        <v>2359.71</v>
      </c>
      <c r="M399" s="298">
        <f t="shared" si="238"/>
        <v>341.56</v>
      </c>
      <c r="N399" s="298">
        <f t="shared" si="220"/>
        <v>326528.46000000025</v>
      </c>
      <c r="O399" s="298">
        <f t="shared" si="221"/>
        <v>591903.3400000002</v>
      </c>
      <c r="P399" s="298">
        <f t="shared" ref="P399:P462" si="250">+J399-L399</f>
        <v>50526.539999999623</v>
      </c>
      <c r="Q399" s="542" t="str">
        <f t="shared" ref="Q399:Q462" si="251">+A399</f>
        <v xml:space="preserve"> </v>
      </c>
      <c r="R399" s="298">
        <f t="shared" si="236"/>
        <v>0</v>
      </c>
      <c r="S399" s="535">
        <f t="shared" si="222"/>
        <v>7.7499999999999999E-2</v>
      </c>
      <c r="T399" s="298">
        <f t="shared" ref="T399:T462" si="252">IF($J$10&lt;=$A399,IF(+AB398&lt;=0,0,IF(S399=$T$9,$S$9,$S$10)),0)</f>
        <v>0</v>
      </c>
      <c r="U399" s="298">
        <f t="shared" si="239"/>
        <v>0</v>
      </c>
      <c r="V399" s="298">
        <f t="shared" ref="V399:V462" si="253">IF($J$10&lt;=$A399,ROUND(R399*(S399/12),2),0)</f>
        <v>0</v>
      </c>
      <c r="W399" s="298">
        <f t="shared" si="245"/>
        <v>0</v>
      </c>
      <c r="X399" s="298">
        <f t="shared" si="245"/>
        <v>0</v>
      </c>
      <c r="Y399" s="298">
        <f t="shared" si="240"/>
        <v>0</v>
      </c>
      <c r="Z399" s="298">
        <f t="shared" si="241"/>
        <v>378976.30999999988</v>
      </c>
      <c r="AA399" s="298">
        <f t="shared" si="242"/>
        <v>237979.58999999985</v>
      </c>
      <c r="AB399" s="298">
        <f t="shared" ref="AB399:AB462" si="254">IF(Q399&lt;$J$10,$J$6,+R399-U399)</f>
        <v>0</v>
      </c>
      <c r="AC399" s="451">
        <f t="shared" si="223"/>
        <v>339</v>
      </c>
      <c r="AD399" s="552">
        <f t="shared" si="224"/>
        <v>301475.89999999973</v>
      </c>
      <c r="AE399" s="552">
        <f t="shared" si="234"/>
        <v>0</v>
      </c>
      <c r="AF399" s="552">
        <f t="shared" si="235"/>
        <v>301475.89999999973</v>
      </c>
      <c r="AG399" s="552">
        <f t="shared" si="225"/>
        <v>0</v>
      </c>
      <c r="AH399" s="552">
        <f t="shared" si="226"/>
        <v>89654.410000000091</v>
      </c>
      <c r="AI399" s="552"/>
      <c r="AJ399" s="14">
        <f t="shared" si="243"/>
        <v>0</v>
      </c>
      <c r="AK399" s="14">
        <f t="shared" si="244"/>
        <v>478959.79999999871</v>
      </c>
      <c r="AL399" s="552">
        <f>IF(R399&lt;=0,0,+([1]Profit!$B$4+AM398)*$AL$1/12)</f>
        <v>0</v>
      </c>
      <c r="AM399" s="14">
        <f t="shared" si="227"/>
        <v>262755.13764632691</v>
      </c>
    </row>
    <row r="400" spans="1:39" x14ac:dyDescent="0.25">
      <c r="A400" s="542" t="str">
        <f t="shared" ref="A400:A463" si="255">IF(H400&lt;=0," ",+A399+30)</f>
        <v xml:space="preserve"> </v>
      </c>
      <c r="B400" s="298">
        <f t="shared" si="232"/>
        <v>0</v>
      </c>
      <c r="C400" s="14">
        <f t="shared" si="246"/>
        <v>0</v>
      </c>
      <c r="D400" s="14">
        <f t="shared" si="228"/>
        <v>0</v>
      </c>
      <c r="E400" s="14">
        <f t="shared" si="247"/>
        <v>0</v>
      </c>
      <c r="F400" s="298">
        <f t="shared" ref="F400:F463" si="256">$D400+$F399</f>
        <v>83951.219999999987</v>
      </c>
      <c r="G400" s="298">
        <f t="shared" ref="G400:G463" si="257">$E400+$G399</f>
        <v>73034.019999999931</v>
      </c>
      <c r="H400" s="298">
        <f t="shared" si="248"/>
        <v>0</v>
      </c>
      <c r="I400" s="451">
        <f t="shared" si="249"/>
        <v>28</v>
      </c>
      <c r="J400" s="298">
        <f t="shared" ref="J400:J463" si="258">IF(+P399&lt;0,0,+P399)</f>
        <v>50526.539999999623</v>
      </c>
      <c r="K400" s="298">
        <f t="shared" si="237"/>
        <v>2701.27</v>
      </c>
      <c r="L400" s="298">
        <f t="shared" si="229"/>
        <v>2374.9499999999998</v>
      </c>
      <c r="M400" s="298">
        <f t="shared" si="238"/>
        <v>326.32</v>
      </c>
      <c r="N400" s="298">
        <f t="shared" ref="N400:N463" si="259">+L400+N399</f>
        <v>328903.41000000027</v>
      </c>
      <c r="O400" s="298">
        <f t="shared" ref="O400:O463" si="260">+O399+M400</f>
        <v>592229.66000000015</v>
      </c>
      <c r="P400" s="298">
        <f t="shared" si="250"/>
        <v>48151.589999999625</v>
      </c>
      <c r="Q400" s="542" t="str">
        <f t="shared" si="251"/>
        <v xml:space="preserve"> </v>
      </c>
      <c r="R400" s="298">
        <f t="shared" si="236"/>
        <v>0</v>
      </c>
      <c r="S400" s="535">
        <f t="shared" ref="S400:S463" si="261">IF(AC400&gt;60,$T$10,$T$9)</f>
        <v>7.7499999999999999E-2</v>
      </c>
      <c r="T400" s="298">
        <f t="shared" si="252"/>
        <v>0</v>
      </c>
      <c r="U400" s="298">
        <f t="shared" si="239"/>
        <v>0</v>
      </c>
      <c r="V400" s="298">
        <f t="shared" si="253"/>
        <v>0</v>
      </c>
      <c r="W400" s="298">
        <f t="shared" si="245"/>
        <v>0</v>
      </c>
      <c r="X400" s="298">
        <f t="shared" si="245"/>
        <v>0</v>
      </c>
      <c r="Y400" s="298">
        <f t="shared" si="240"/>
        <v>0</v>
      </c>
      <c r="Z400" s="298">
        <f t="shared" si="241"/>
        <v>378976.30999999988</v>
      </c>
      <c r="AA400" s="298">
        <f t="shared" si="242"/>
        <v>237979.58999999985</v>
      </c>
      <c r="AB400" s="298">
        <f t="shared" si="254"/>
        <v>0</v>
      </c>
      <c r="AC400" s="451">
        <f t="shared" ref="AC400:AC463" si="262">IF(J400&lt;&gt;"",IF(J400=$J$6,0,+AC399+1),0)</f>
        <v>340</v>
      </c>
      <c r="AD400" s="552">
        <f t="shared" ref="AD400:AD463" si="263">K400-T400+AD399</f>
        <v>304177.16999999975</v>
      </c>
      <c r="AE400" s="552">
        <f t="shared" si="234"/>
        <v>0</v>
      </c>
      <c r="AF400" s="552">
        <f t="shared" si="235"/>
        <v>304177.16999999975</v>
      </c>
      <c r="AG400" s="552">
        <f t="shared" ref="AG400:AG463" si="264">IF(Q400&lt;=$C$10,0,+T400-$C400)</f>
        <v>0</v>
      </c>
      <c r="AH400" s="552">
        <f t="shared" ref="AH400:AH463" si="265">IF(P400&lt;=0,0,+$T$5-$C$2+F400-Z400)</f>
        <v>89654.410000000091</v>
      </c>
      <c r="AI400" s="552"/>
      <c r="AJ400" s="14">
        <f t="shared" si="243"/>
        <v>0</v>
      </c>
      <c r="AK400" s="14">
        <f t="shared" si="244"/>
        <v>478959.79999999871</v>
      </c>
      <c r="AL400" s="552">
        <f>IF(R400&lt;=0,0,+([1]Profit!$B$4+AM399)*$AL$1/12)</f>
        <v>0</v>
      </c>
      <c r="AM400" s="14">
        <f t="shared" ref="AM400:AM463" si="266">IF(P400&lt;=0,0,+AM399+AL400)</f>
        <v>262755.13764632691</v>
      </c>
    </row>
    <row r="401" spans="1:39" x14ac:dyDescent="0.25">
      <c r="A401" s="542" t="str">
        <f t="shared" si="255"/>
        <v xml:space="preserve"> </v>
      </c>
      <c r="B401" s="298">
        <f t="shared" si="232"/>
        <v>0</v>
      </c>
      <c r="C401" s="14">
        <f t="shared" si="246"/>
        <v>0</v>
      </c>
      <c r="D401" s="14">
        <f t="shared" ref="D401:D464" si="267">+C401-E401</f>
        <v>0</v>
      </c>
      <c r="E401" s="14">
        <f t="shared" si="247"/>
        <v>0</v>
      </c>
      <c r="F401" s="298">
        <f t="shared" si="256"/>
        <v>83951.219999999987</v>
      </c>
      <c r="G401" s="298">
        <f t="shared" si="257"/>
        <v>73034.019999999931</v>
      </c>
      <c r="H401" s="298">
        <f t="shared" si="248"/>
        <v>0</v>
      </c>
      <c r="I401" s="451">
        <f t="shared" si="249"/>
        <v>28</v>
      </c>
      <c r="J401" s="298">
        <f t="shared" si="258"/>
        <v>48151.589999999625</v>
      </c>
      <c r="K401" s="298">
        <f t="shared" si="237"/>
        <v>2701.27</v>
      </c>
      <c r="L401" s="298">
        <f t="shared" ref="L401:L464" si="268">+K401-M401</f>
        <v>2390.29</v>
      </c>
      <c r="M401" s="298">
        <f t="shared" si="238"/>
        <v>310.98</v>
      </c>
      <c r="N401" s="298">
        <f t="shared" si="259"/>
        <v>331293.70000000024</v>
      </c>
      <c r="O401" s="298">
        <f t="shared" si="260"/>
        <v>592540.64000000013</v>
      </c>
      <c r="P401" s="298">
        <f t="shared" si="250"/>
        <v>45761.299999999625</v>
      </c>
      <c r="Q401" s="542" t="str">
        <f t="shared" si="251"/>
        <v xml:space="preserve"> </v>
      </c>
      <c r="R401" s="298">
        <f t="shared" si="236"/>
        <v>0</v>
      </c>
      <c r="S401" s="535">
        <f t="shared" si="261"/>
        <v>7.7499999999999999E-2</v>
      </c>
      <c r="T401" s="298">
        <f t="shared" si="252"/>
        <v>0</v>
      </c>
      <c r="U401" s="298">
        <f t="shared" si="239"/>
        <v>0</v>
      </c>
      <c r="V401" s="298">
        <f t="shared" si="253"/>
        <v>0</v>
      </c>
      <c r="W401" s="298">
        <f t="shared" si="245"/>
        <v>0</v>
      </c>
      <c r="X401" s="298">
        <f t="shared" si="245"/>
        <v>0</v>
      </c>
      <c r="Y401" s="298">
        <f t="shared" si="240"/>
        <v>0</v>
      </c>
      <c r="Z401" s="298">
        <f t="shared" si="241"/>
        <v>378976.30999999988</v>
      </c>
      <c r="AA401" s="298">
        <f t="shared" si="242"/>
        <v>237979.58999999985</v>
      </c>
      <c r="AB401" s="298">
        <f t="shared" si="254"/>
        <v>0</v>
      </c>
      <c r="AC401" s="451">
        <f t="shared" si="262"/>
        <v>341</v>
      </c>
      <c r="AD401" s="552">
        <f t="shared" si="263"/>
        <v>306878.43999999977</v>
      </c>
      <c r="AE401" s="552">
        <f t="shared" si="234"/>
        <v>0</v>
      </c>
      <c r="AF401" s="552">
        <f t="shared" si="235"/>
        <v>306878.43999999977</v>
      </c>
      <c r="AG401" s="552">
        <f t="shared" si="264"/>
        <v>0</v>
      </c>
      <c r="AH401" s="552">
        <f t="shared" si="265"/>
        <v>89654.410000000091</v>
      </c>
      <c r="AI401" s="552"/>
      <c r="AJ401" s="14">
        <f t="shared" si="243"/>
        <v>0</v>
      </c>
      <c r="AK401" s="14">
        <f t="shared" si="244"/>
        <v>478959.79999999871</v>
      </c>
      <c r="AL401" s="552">
        <f>IF(R401&lt;=0,0,+([1]Profit!$B$4+AM400)*$AL$1/12)</f>
        <v>0</v>
      </c>
      <c r="AM401" s="14">
        <f t="shared" si="266"/>
        <v>262755.13764632691</v>
      </c>
    </row>
    <row r="402" spans="1:39" x14ac:dyDescent="0.25">
      <c r="A402" s="542" t="str">
        <f t="shared" si="255"/>
        <v xml:space="preserve"> </v>
      </c>
      <c r="B402" s="298">
        <f t="shared" si="232"/>
        <v>0</v>
      </c>
      <c r="C402" s="14">
        <f t="shared" si="246"/>
        <v>0</v>
      </c>
      <c r="D402" s="14">
        <f t="shared" si="267"/>
        <v>0</v>
      </c>
      <c r="E402" s="14">
        <f t="shared" si="247"/>
        <v>0</v>
      </c>
      <c r="F402" s="298">
        <f t="shared" si="256"/>
        <v>83951.219999999987</v>
      </c>
      <c r="G402" s="298">
        <f t="shared" si="257"/>
        <v>73034.019999999931</v>
      </c>
      <c r="H402" s="298">
        <f t="shared" si="248"/>
        <v>0</v>
      </c>
      <c r="I402" s="451">
        <f t="shared" si="249"/>
        <v>28</v>
      </c>
      <c r="J402" s="298">
        <f t="shared" si="258"/>
        <v>45761.299999999625</v>
      </c>
      <c r="K402" s="298">
        <f t="shared" si="237"/>
        <v>2701.27</v>
      </c>
      <c r="L402" s="298">
        <f t="shared" si="268"/>
        <v>2405.73</v>
      </c>
      <c r="M402" s="298">
        <f t="shared" si="238"/>
        <v>295.54000000000002</v>
      </c>
      <c r="N402" s="298">
        <f t="shared" si="259"/>
        <v>333699.43000000023</v>
      </c>
      <c r="O402" s="298">
        <f t="shared" si="260"/>
        <v>592836.18000000017</v>
      </c>
      <c r="P402" s="298">
        <f t="shared" si="250"/>
        <v>43355.569999999621</v>
      </c>
      <c r="Q402" s="542" t="str">
        <f t="shared" si="251"/>
        <v xml:space="preserve"> </v>
      </c>
      <c r="R402" s="298">
        <f t="shared" si="236"/>
        <v>0</v>
      </c>
      <c r="S402" s="535">
        <f t="shared" si="261"/>
        <v>7.7499999999999999E-2</v>
      </c>
      <c r="T402" s="298">
        <f t="shared" si="252"/>
        <v>0</v>
      </c>
      <c r="U402" s="298">
        <f t="shared" si="239"/>
        <v>0</v>
      </c>
      <c r="V402" s="298">
        <f t="shared" si="253"/>
        <v>0</v>
      </c>
      <c r="W402" s="298">
        <f t="shared" si="245"/>
        <v>0</v>
      </c>
      <c r="X402" s="298">
        <f t="shared" si="245"/>
        <v>0</v>
      </c>
      <c r="Y402" s="298">
        <f t="shared" si="240"/>
        <v>0</v>
      </c>
      <c r="Z402" s="298">
        <f t="shared" si="241"/>
        <v>378976.30999999988</v>
      </c>
      <c r="AA402" s="298">
        <f t="shared" si="242"/>
        <v>237979.58999999985</v>
      </c>
      <c r="AB402" s="298">
        <f t="shared" si="254"/>
        <v>0</v>
      </c>
      <c r="AC402" s="451">
        <f t="shared" si="262"/>
        <v>342</v>
      </c>
      <c r="AD402" s="552">
        <f t="shared" si="263"/>
        <v>309579.70999999979</v>
      </c>
      <c r="AE402" s="552">
        <f t="shared" si="234"/>
        <v>0</v>
      </c>
      <c r="AF402" s="552">
        <f t="shared" si="235"/>
        <v>309579.70999999979</v>
      </c>
      <c r="AG402" s="552">
        <f t="shared" si="264"/>
        <v>0</v>
      </c>
      <c r="AH402" s="552">
        <f t="shared" si="265"/>
        <v>89654.410000000091</v>
      </c>
      <c r="AI402" s="552"/>
      <c r="AJ402" s="14">
        <f t="shared" si="243"/>
        <v>0</v>
      </c>
      <c r="AK402" s="14">
        <f t="shared" si="244"/>
        <v>478959.79999999871</v>
      </c>
      <c r="AL402" s="552">
        <f>IF(R402&lt;=0,0,+([1]Profit!$B$4+AM401)*$AL$1/12)</f>
        <v>0</v>
      </c>
      <c r="AM402" s="14">
        <f t="shared" si="266"/>
        <v>262755.13764632691</v>
      </c>
    </row>
    <row r="403" spans="1:39" x14ac:dyDescent="0.25">
      <c r="A403" s="542" t="str">
        <f t="shared" si="255"/>
        <v xml:space="preserve"> </v>
      </c>
      <c r="B403" s="298">
        <f t="shared" si="232"/>
        <v>0</v>
      </c>
      <c r="C403" s="14">
        <f t="shared" si="246"/>
        <v>0</v>
      </c>
      <c r="D403" s="14">
        <f t="shared" si="267"/>
        <v>0</v>
      </c>
      <c r="E403" s="14">
        <f t="shared" si="247"/>
        <v>0</v>
      </c>
      <c r="F403" s="298">
        <f t="shared" si="256"/>
        <v>83951.219999999987</v>
      </c>
      <c r="G403" s="298">
        <f t="shared" si="257"/>
        <v>73034.019999999931</v>
      </c>
      <c r="H403" s="298">
        <f t="shared" si="248"/>
        <v>0</v>
      </c>
      <c r="I403" s="451">
        <f t="shared" si="249"/>
        <v>28</v>
      </c>
      <c r="J403" s="298">
        <f t="shared" si="258"/>
        <v>43355.569999999621</v>
      </c>
      <c r="K403" s="298">
        <f t="shared" si="237"/>
        <v>2701.27</v>
      </c>
      <c r="L403" s="298">
        <f t="shared" si="268"/>
        <v>2421.27</v>
      </c>
      <c r="M403" s="298">
        <f t="shared" si="238"/>
        <v>280</v>
      </c>
      <c r="N403" s="298">
        <f t="shared" si="259"/>
        <v>336120.70000000024</v>
      </c>
      <c r="O403" s="298">
        <f t="shared" si="260"/>
        <v>593116.18000000017</v>
      </c>
      <c r="P403" s="298">
        <f t="shared" si="250"/>
        <v>40934.299999999625</v>
      </c>
      <c r="Q403" s="542" t="str">
        <f t="shared" si="251"/>
        <v xml:space="preserve"> </v>
      </c>
      <c r="R403" s="298">
        <f t="shared" si="236"/>
        <v>0</v>
      </c>
      <c r="S403" s="535">
        <f t="shared" si="261"/>
        <v>7.7499999999999999E-2</v>
      </c>
      <c r="T403" s="298">
        <f t="shared" si="252"/>
        <v>0</v>
      </c>
      <c r="U403" s="298">
        <f t="shared" si="239"/>
        <v>0</v>
      </c>
      <c r="V403" s="298">
        <f t="shared" si="253"/>
        <v>0</v>
      </c>
      <c r="W403" s="298">
        <f t="shared" si="245"/>
        <v>0</v>
      </c>
      <c r="X403" s="298">
        <f t="shared" si="245"/>
        <v>0</v>
      </c>
      <c r="Y403" s="298">
        <f t="shared" si="240"/>
        <v>0</v>
      </c>
      <c r="Z403" s="298">
        <f t="shared" si="241"/>
        <v>378976.30999999988</v>
      </c>
      <c r="AA403" s="298">
        <f t="shared" si="242"/>
        <v>237979.58999999985</v>
      </c>
      <c r="AB403" s="298">
        <f t="shared" si="254"/>
        <v>0</v>
      </c>
      <c r="AC403" s="451">
        <f t="shared" si="262"/>
        <v>343</v>
      </c>
      <c r="AD403" s="552">
        <f t="shared" si="263"/>
        <v>312280.97999999981</v>
      </c>
      <c r="AE403" s="552">
        <f t="shared" si="234"/>
        <v>0</v>
      </c>
      <c r="AF403" s="552">
        <f t="shared" si="235"/>
        <v>312280.97999999981</v>
      </c>
      <c r="AG403" s="552">
        <f t="shared" si="264"/>
        <v>0</v>
      </c>
      <c r="AH403" s="552">
        <f t="shared" si="265"/>
        <v>89654.410000000091</v>
      </c>
      <c r="AI403" s="552"/>
      <c r="AJ403" s="14">
        <f t="shared" si="243"/>
        <v>0</v>
      </c>
      <c r="AK403" s="14">
        <f t="shared" si="244"/>
        <v>478959.79999999871</v>
      </c>
      <c r="AL403" s="552">
        <f>IF(R403&lt;=0,0,+([1]Profit!$B$4+AM402)*$AL$1/12)</f>
        <v>0</v>
      </c>
      <c r="AM403" s="14">
        <f t="shared" si="266"/>
        <v>262755.13764632691</v>
      </c>
    </row>
    <row r="404" spans="1:39" x14ac:dyDescent="0.25">
      <c r="A404" s="542" t="str">
        <f t="shared" si="255"/>
        <v xml:space="preserve"> </v>
      </c>
      <c r="B404" s="298">
        <f t="shared" si="232"/>
        <v>0</v>
      </c>
      <c r="C404" s="14">
        <f t="shared" si="246"/>
        <v>0</v>
      </c>
      <c r="D404" s="14">
        <f t="shared" si="267"/>
        <v>0</v>
      </c>
      <c r="E404" s="14">
        <f t="shared" si="247"/>
        <v>0</v>
      </c>
      <c r="F404" s="298">
        <f t="shared" si="256"/>
        <v>83951.219999999987</v>
      </c>
      <c r="G404" s="298">
        <f t="shared" si="257"/>
        <v>73034.019999999931</v>
      </c>
      <c r="H404" s="298">
        <f t="shared" si="248"/>
        <v>0</v>
      </c>
      <c r="I404" s="451">
        <f t="shared" si="249"/>
        <v>28</v>
      </c>
      <c r="J404" s="298">
        <f t="shared" si="258"/>
        <v>40934.299999999625</v>
      </c>
      <c r="K404" s="298">
        <f t="shared" si="237"/>
        <v>2701.27</v>
      </c>
      <c r="L404" s="298">
        <f t="shared" si="268"/>
        <v>2436.9</v>
      </c>
      <c r="M404" s="298">
        <f t="shared" si="238"/>
        <v>264.37</v>
      </c>
      <c r="N404" s="298">
        <f t="shared" si="259"/>
        <v>338557.60000000027</v>
      </c>
      <c r="O404" s="298">
        <f t="shared" si="260"/>
        <v>593380.55000000016</v>
      </c>
      <c r="P404" s="298">
        <f t="shared" si="250"/>
        <v>38497.399999999623</v>
      </c>
      <c r="Q404" s="542" t="str">
        <f t="shared" si="251"/>
        <v xml:space="preserve"> </v>
      </c>
      <c r="R404" s="298">
        <f t="shared" si="236"/>
        <v>0</v>
      </c>
      <c r="S404" s="535">
        <f t="shared" si="261"/>
        <v>7.7499999999999999E-2</v>
      </c>
      <c r="T404" s="298">
        <f t="shared" si="252"/>
        <v>0</v>
      </c>
      <c r="U404" s="298">
        <f t="shared" si="239"/>
        <v>0</v>
      </c>
      <c r="V404" s="298">
        <f t="shared" si="253"/>
        <v>0</v>
      </c>
      <c r="W404" s="298">
        <f t="shared" si="245"/>
        <v>0</v>
      </c>
      <c r="X404" s="298">
        <f t="shared" si="245"/>
        <v>0</v>
      </c>
      <c r="Y404" s="298">
        <f t="shared" si="240"/>
        <v>0</v>
      </c>
      <c r="Z404" s="298">
        <f t="shared" si="241"/>
        <v>378976.30999999988</v>
      </c>
      <c r="AA404" s="298">
        <f t="shared" si="242"/>
        <v>237979.58999999985</v>
      </c>
      <c r="AB404" s="298">
        <f t="shared" si="254"/>
        <v>0</v>
      </c>
      <c r="AC404" s="451">
        <f t="shared" si="262"/>
        <v>344</v>
      </c>
      <c r="AD404" s="552">
        <f t="shared" si="263"/>
        <v>314982.24999999983</v>
      </c>
      <c r="AE404" s="552">
        <f t="shared" si="234"/>
        <v>0</v>
      </c>
      <c r="AF404" s="552">
        <f t="shared" si="235"/>
        <v>314982.24999999983</v>
      </c>
      <c r="AG404" s="552">
        <f t="shared" si="264"/>
        <v>0</v>
      </c>
      <c r="AH404" s="552">
        <f t="shared" si="265"/>
        <v>89654.410000000091</v>
      </c>
      <c r="AI404" s="552"/>
      <c r="AJ404" s="14">
        <f t="shared" si="243"/>
        <v>0</v>
      </c>
      <c r="AK404" s="14">
        <f t="shared" si="244"/>
        <v>478959.79999999871</v>
      </c>
      <c r="AL404" s="552">
        <f>IF(R404&lt;=0,0,+([1]Profit!$B$4+AM403)*$AL$1/12)</f>
        <v>0</v>
      </c>
      <c r="AM404" s="14">
        <f t="shared" si="266"/>
        <v>262755.13764632691</v>
      </c>
    </row>
    <row r="405" spans="1:39" x14ac:dyDescent="0.25">
      <c r="A405" s="542" t="str">
        <f t="shared" si="255"/>
        <v xml:space="preserve"> </v>
      </c>
      <c r="B405" s="298">
        <f t="shared" si="232"/>
        <v>0</v>
      </c>
      <c r="C405" s="14">
        <f t="shared" si="246"/>
        <v>0</v>
      </c>
      <c r="D405" s="14">
        <f t="shared" si="267"/>
        <v>0</v>
      </c>
      <c r="E405" s="14">
        <f t="shared" si="247"/>
        <v>0</v>
      </c>
      <c r="F405" s="298">
        <f t="shared" si="256"/>
        <v>83951.219999999987</v>
      </c>
      <c r="G405" s="298">
        <f t="shared" si="257"/>
        <v>73034.019999999931</v>
      </c>
      <c r="H405" s="298">
        <f t="shared" si="248"/>
        <v>0</v>
      </c>
      <c r="I405" s="451">
        <f t="shared" si="249"/>
        <v>28</v>
      </c>
      <c r="J405" s="298">
        <f t="shared" si="258"/>
        <v>38497.399999999623</v>
      </c>
      <c r="K405" s="298">
        <f t="shared" si="237"/>
        <v>2701.27</v>
      </c>
      <c r="L405" s="298">
        <f t="shared" si="268"/>
        <v>2452.64</v>
      </c>
      <c r="M405" s="298">
        <f t="shared" si="238"/>
        <v>248.63</v>
      </c>
      <c r="N405" s="298">
        <f t="shared" si="259"/>
        <v>341010.24000000028</v>
      </c>
      <c r="O405" s="298">
        <f t="shared" si="260"/>
        <v>593629.18000000017</v>
      </c>
      <c r="P405" s="298">
        <f t="shared" si="250"/>
        <v>36044.759999999624</v>
      </c>
      <c r="Q405" s="542" t="str">
        <f t="shared" si="251"/>
        <v xml:space="preserve"> </v>
      </c>
      <c r="R405" s="298">
        <f t="shared" si="236"/>
        <v>0</v>
      </c>
      <c r="S405" s="535">
        <f t="shared" si="261"/>
        <v>7.7499999999999999E-2</v>
      </c>
      <c r="T405" s="298">
        <f t="shared" si="252"/>
        <v>0</v>
      </c>
      <c r="U405" s="298">
        <f t="shared" si="239"/>
        <v>0</v>
      </c>
      <c r="V405" s="298">
        <f t="shared" si="253"/>
        <v>0</v>
      </c>
      <c r="W405" s="298">
        <f t="shared" si="245"/>
        <v>0</v>
      </c>
      <c r="X405" s="298">
        <f t="shared" si="245"/>
        <v>0</v>
      </c>
      <c r="Y405" s="298">
        <f t="shared" si="240"/>
        <v>0</v>
      </c>
      <c r="Z405" s="298">
        <f t="shared" si="241"/>
        <v>378976.30999999988</v>
      </c>
      <c r="AA405" s="298">
        <f t="shared" si="242"/>
        <v>237979.58999999985</v>
      </c>
      <c r="AB405" s="298">
        <f t="shared" si="254"/>
        <v>0</v>
      </c>
      <c r="AC405" s="451">
        <f t="shared" si="262"/>
        <v>345</v>
      </c>
      <c r="AD405" s="552">
        <f t="shared" si="263"/>
        <v>317683.51999999984</v>
      </c>
      <c r="AE405" s="552">
        <f t="shared" si="234"/>
        <v>0</v>
      </c>
      <c r="AF405" s="552">
        <f t="shared" si="235"/>
        <v>317683.51999999984</v>
      </c>
      <c r="AG405" s="552">
        <f t="shared" si="264"/>
        <v>0</v>
      </c>
      <c r="AH405" s="552">
        <f t="shared" si="265"/>
        <v>89654.410000000091</v>
      </c>
      <c r="AI405" s="552"/>
      <c r="AJ405" s="14">
        <f t="shared" si="243"/>
        <v>0</v>
      </c>
      <c r="AK405" s="14">
        <f t="shared" si="244"/>
        <v>478959.79999999871</v>
      </c>
      <c r="AL405" s="552">
        <f>IF(R405&lt;=0,0,+([1]Profit!$B$4+AM404)*$AL$1/12)</f>
        <v>0</v>
      </c>
      <c r="AM405" s="14">
        <f t="shared" si="266"/>
        <v>262755.13764632691</v>
      </c>
    </row>
    <row r="406" spans="1:39" x14ac:dyDescent="0.25">
      <c r="A406" s="542" t="str">
        <f t="shared" si="255"/>
        <v xml:space="preserve"> </v>
      </c>
      <c r="B406" s="298">
        <f t="shared" si="232"/>
        <v>0</v>
      </c>
      <c r="C406" s="14">
        <f t="shared" si="246"/>
        <v>0</v>
      </c>
      <c r="D406" s="14">
        <f t="shared" si="267"/>
        <v>0</v>
      </c>
      <c r="E406" s="14">
        <f t="shared" si="247"/>
        <v>0</v>
      </c>
      <c r="F406" s="298">
        <f t="shared" si="256"/>
        <v>83951.219999999987</v>
      </c>
      <c r="G406" s="298">
        <f t="shared" si="257"/>
        <v>73034.019999999931</v>
      </c>
      <c r="H406" s="298">
        <f t="shared" si="248"/>
        <v>0</v>
      </c>
      <c r="I406" s="451">
        <f t="shared" si="249"/>
        <v>28</v>
      </c>
      <c r="J406" s="298">
        <f t="shared" si="258"/>
        <v>36044.759999999624</v>
      </c>
      <c r="K406" s="298">
        <f t="shared" si="237"/>
        <v>2701.27</v>
      </c>
      <c r="L406" s="298">
        <f t="shared" si="268"/>
        <v>2468.48</v>
      </c>
      <c r="M406" s="298">
        <f t="shared" si="238"/>
        <v>232.79</v>
      </c>
      <c r="N406" s="298">
        <f t="shared" si="259"/>
        <v>343478.72000000026</v>
      </c>
      <c r="O406" s="298">
        <f t="shared" si="260"/>
        <v>593861.9700000002</v>
      </c>
      <c r="P406" s="298">
        <f t="shared" si="250"/>
        <v>33576.27999999962</v>
      </c>
      <c r="Q406" s="542" t="str">
        <f t="shared" si="251"/>
        <v xml:space="preserve"> </v>
      </c>
      <c r="R406" s="298">
        <f t="shared" si="236"/>
        <v>0</v>
      </c>
      <c r="S406" s="535">
        <f t="shared" si="261"/>
        <v>7.7499999999999999E-2</v>
      </c>
      <c r="T406" s="298">
        <f t="shared" si="252"/>
        <v>0</v>
      </c>
      <c r="U406" s="298">
        <f t="shared" si="239"/>
        <v>0</v>
      </c>
      <c r="V406" s="298">
        <f t="shared" si="253"/>
        <v>0</v>
      </c>
      <c r="W406" s="298">
        <f t="shared" si="245"/>
        <v>0</v>
      </c>
      <c r="X406" s="298">
        <f t="shared" si="245"/>
        <v>0</v>
      </c>
      <c r="Y406" s="298">
        <f t="shared" si="240"/>
        <v>0</v>
      </c>
      <c r="Z406" s="298">
        <f t="shared" si="241"/>
        <v>378976.30999999988</v>
      </c>
      <c r="AA406" s="298">
        <f t="shared" si="242"/>
        <v>237979.58999999985</v>
      </c>
      <c r="AB406" s="298">
        <f t="shared" si="254"/>
        <v>0</v>
      </c>
      <c r="AC406" s="451">
        <f t="shared" si="262"/>
        <v>346</v>
      </c>
      <c r="AD406" s="552">
        <f t="shared" si="263"/>
        <v>320384.78999999986</v>
      </c>
      <c r="AE406" s="552">
        <f t="shared" si="234"/>
        <v>0</v>
      </c>
      <c r="AF406" s="552">
        <f t="shared" si="235"/>
        <v>320384.78999999986</v>
      </c>
      <c r="AG406" s="552">
        <f t="shared" si="264"/>
        <v>0</v>
      </c>
      <c r="AH406" s="552">
        <f t="shared" si="265"/>
        <v>89654.410000000091</v>
      </c>
      <c r="AI406" s="552"/>
      <c r="AJ406" s="14">
        <f t="shared" si="243"/>
        <v>0</v>
      </c>
      <c r="AK406" s="14">
        <f t="shared" si="244"/>
        <v>478959.79999999871</v>
      </c>
      <c r="AL406" s="552">
        <f>IF(R406&lt;=0,0,+([1]Profit!$B$4+AM405)*$AL$1/12)</f>
        <v>0</v>
      </c>
      <c r="AM406" s="14">
        <f t="shared" si="266"/>
        <v>262755.13764632691</v>
      </c>
    </row>
    <row r="407" spans="1:39" x14ac:dyDescent="0.25">
      <c r="A407" s="542" t="str">
        <f t="shared" si="255"/>
        <v xml:space="preserve"> </v>
      </c>
      <c r="B407" s="298">
        <f t="shared" si="232"/>
        <v>0</v>
      </c>
      <c r="C407" s="14">
        <f t="shared" si="246"/>
        <v>0</v>
      </c>
      <c r="D407" s="14">
        <f t="shared" si="267"/>
        <v>0</v>
      </c>
      <c r="E407" s="14">
        <f t="shared" si="247"/>
        <v>0</v>
      </c>
      <c r="F407" s="298">
        <f t="shared" si="256"/>
        <v>83951.219999999987</v>
      </c>
      <c r="G407" s="298">
        <f t="shared" si="257"/>
        <v>73034.019999999931</v>
      </c>
      <c r="H407" s="298">
        <f t="shared" si="248"/>
        <v>0</v>
      </c>
      <c r="I407" s="451">
        <f t="shared" si="249"/>
        <v>28</v>
      </c>
      <c r="J407" s="298">
        <f t="shared" si="258"/>
        <v>33576.27999999962</v>
      </c>
      <c r="K407" s="298">
        <f t="shared" si="237"/>
        <v>2701.27</v>
      </c>
      <c r="L407" s="298">
        <f t="shared" si="268"/>
        <v>2484.42</v>
      </c>
      <c r="M407" s="298">
        <f t="shared" si="238"/>
        <v>216.85</v>
      </c>
      <c r="N407" s="298">
        <f t="shared" si="259"/>
        <v>345963.14000000025</v>
      </c>
      <c r="O407" s="298">
        <f t="shared" si="260"/>
        <v>594078.82000000018</v>
      </c>
      <c r="P407" s="298">
        <f t="shared" si="250"/>
        <v>31091.859999999622</v>
      </c>
      <c r="Q407" s="542" t="str">
        <f t="shared" si="251"/>
        <v xml:space="preserve"> </v>
      </c>
      <c r="R407" s="298">
        <f t="shared" si="236"/>
        <v>0</v>
      </c>
      <c r="S407" s="535">
        <f t="shared" si="261"/>
        <v>7.7499999999999999E-2</v>
      </c>
      <c r="T407" s="298">
        <f t="shared" si="252"/>
        <v>0</v>
      </c>
      <c r="U407" s="298">
        <f t="shared" si="239"/>
        <v>0</v>
      </c>
      <c r="V407" s="298">
        <f t="shared" si="253"/>
        <v>0</v>
      </c>
      <c r="W407" s="298">
        <f t="shared" si="245"/>
        <v>0</v>
      </c>
      <c r="X407" s="298">
        <f t="shared" si="245"/>
        <v>0</v>
      </c>
      <c r="Y407" s="298">
        <f t="shared" si="240"/>
        <v>0</v>
      </c>
      <c r="Z407" s="298">
        <f t="shared" si="241"/>
        <v>378976.30999999988</v>
      </c>
      <c r="AA407" s="298">
        <f t="shared" si="242"/>
        <v>237979.58999999985</v>
      </c>
      <c r="AB407" s="298">
        <f t="shared" si="254"/>
        <v>0</v>
      </c>
      <c r="AC407" s="451">
        <f t="shared" si="262"/>
        <v>347</v>
      </c>
      <c r="AD407" s="552">
        <f t="shared" si="263"/>
        <v>323086.05999999988</v>
      </c>
      <c r="AE407" s="552">
        <f t="shared" si="234"/>
        <v>0</v>
      </c>
      <c r="AF407" s="552">
        <f t="shared" si="235"/>
        <v>323086.05999999988</v>
      </c>
      <c r="AG407" s="552">
        <f t="shared" si="264"/>
        <v>0</v>
      </c>
      <c r="AH407" s="552">
        <f t="shared" si="265"/>
        <v>89654.410000000091</v>
      </c>
      <c r="AI407" s="552"/>
      <c r="AJ407" s="14">
        <f t="shared" si="243"/>
        <v>0</v>
      </c>
      <c r="AK407" s="14">
        <f t="shared" si="244"/>
        <v>478959.79999999871</v>
      </c>
      <c r="AL407" s="552">
        <f>IF(R407&lt;=0,0,+([1]Profit!$B$4+AM406)*$AL$1/12)</f>
        <v>0</v>
      </c>
      <c r="AM407" s="14">
        <f t="shared" si="266"/>
        <v>262755.13764632691</v>
      </c>
    </row>
    <row r="408" spans="1:39" x14ac:dyDescent="0.25">
      <c r="A408" s="542" t="str">
        <f t="shared" si="255"/>
        <v xml:space="preserve"> </v>
      </c>
      <c r="B408" s="298">
        <f t="shared" si="232"/>
        <v>0</v>
      </c>
      <c r="C408" s="14">
        <f t="shared" si="246"/>
        <v>0</v>
      </c>
      <c r="D408" s="14">
        <f t="shared" si="267"/>
        <v>0</v>
      </c>
      <c r="E408" s="14">
        <f t="shared" si="247"/>
        <v>0</v>
      </c>
      <c r="F408" s="298">
        <f t="shared" si="256"/>
        <v>83951.219999999987</v>
      </c>
      <c r="G408" s="298">
        <f t="shared" si="257"/>
        <v>73034.019999999931</v>
      </c>
      <c r="H408" s="298">
        <f t="shared" si="248"/>
        <v>0</v>
      </c>
      <c r="I408" s="451">
        <f t="shared" si="249"/>
        <v>29</v>
      </c>
      <c r="J408" s="298">
        <f t="shared" si="258"/>
        <v>31091.859999999622</v>
      </c>
      <c r="K408" s="298">
        <f t="shared" si="237"/>
        <v>2701.27</v>
      </c>
      <c r="L408" s="298">
        <f t="shared" si="268"/>
        <v>2500.4699999999998</v>
      </c>
      <c r="M408" s="298">
        <f t="shared" si="238"/>
        <v>200.8</v>
      </c>
      <c r="N408" s="298">
        <f t="shared" si="259"/>
        <v>348463.61000000022</v>
      </c>
      <c r="O408" s="298">
        <f t="shared" si="260"/>
        <v>594279.62000000023</v>
      </c>
      <c r="P408" s="298">
        <f t="shared" si="250"/>
        <v>28591.389999999621</v>
      </c>
      <c r="Q408" s="542" t="str">
        <f t="shared" si="251"/>
        <v xml:space="preserve"> </v>
      </c>
      <c r="R408" s="298">
        <f t="shared" si="236"/>
        <v>0</v>
      </c>
      <c r="S408" s="535">
        <f t="shared" si="261"/>
        <v>7.7499999999999999E-2</v>
      </c>
      <c r="T408" s="298">
        <f t="shared" si="252"/>
        <v>0</v>
      </c>
      <c r="U408" s="298">
        <f t="shared" si="239"/>
        <v>0</v>
      </c>
      <c r="V408" s="298">
        <f t="shared" si="253"/>
        <v>0</v>
      </c>
      <c r="W408" s="298">
        <f t="shared" si="245"/>
        <v>0</v>
      </c>
      <c r="X408" s="298">
        <f t="shared" si="245"/>
        <v>0</v>
      </c>
      <c r="Y408" s="298">
        <f t="shared" si="240"/>
        <v>0</v>
      </c>
      <c r="Z408" s="298">
        <f t="shared" si="241"/>
        <v>378976.30999999988</v>
      </c>
      <c r="AA408" s="298">
        <f t="shared" si="242"/>
        <v>237979.58999999985</v>
      </c>
      <c r="AB408" s="298">
        <f t="shared" si="254"/>
        <v>0</v>
      </c>
      <c r="AC408" s="451">
        <f t="shared" si="262"/>
        <v>348</v>
      </c>
      <c r="AD408" s="552">
        <f t="shared" si="263"/>
        <v>325787.3299999999</v>
      </c>
      <c r="AE408" s="552">
        <f t="shared" si="234"/>
        <v>0</v>
      </c>
      <c r="AF408" s="552">
        <f t="shared" si="235"/>
        <v>325787.3299999999</v>
      </c>
      <c r="AG408" s="552">
        <f t="shared" si="264"/>
        <v>0</v>
      </c>
      <c r="AH408" s="552">
        <f t="shared" si="265"/>
        <v>89654.410000000091</v>
      </c>
      <c r="AI408" s="552"/>
      <c r="AJ408" s="14">
        <f t="shared" si="243"/>
        <v>0</v>
      </c>
      <c r="AK408" s="14">
        <f t="shared" si="244"/>
        <v>478959.79999999871</v>
      </c>
      <c r="AL408" s="552">
        <f>IF(R408&lt;=0,0,+([1]Profit!$B$4+AM407)*$AL$1/12)</f>
        <v>0</v>
      </c>
      <c r="AM408" s="14">
        <f t="shared" si="266"/>
        <v>262755.13764632691</v>
      </c>
    </row>
    <row r="409" spans="1:39" x14ac:dyDescent="0.25">
      <c r="A409" s="542" t="str">
        <f t="shared" si="255"/>
        <v xml:space="preserve"> </v>
      </c>
      <c r="B409" s="298">
        <f t="shared" si="232"/>
        <v>0</v>
      </c>
      <c r="C409" s="14">
        <f t="shared" si="246"/>
        <v>0</v>
      </c>
      <c r="D409" s="14">
        <f t="shared" si="267"/>
        <v>0</v>
      </c>
      <c r="E409" s="14">
        <f t="shared" si="247"/>
        <v>0</v>
      </c>
      <c r="F409" s="298">
        <f t="shared" si="256"/>
        <v>83951.219999999987</v>
      </c>
      <c r="G409" s="298">
        <f t="shared" si="257"/>
        <v>73034.019999999931</v>
      </c>
      <c r="H409" s="298">
        <f t="shared" si="248"/>
        <v>0</v>
      </c>
      <c r="I409" s="451">
        <f t="shared" si="249"/>
        <v>29</v>
      </c>
      <c r="J409" s="298">
        <f t="shared" si="258"/>
        <v>28591.389999999621</v>
      </c>
      <c r="K409" s="298">
        <f t="shared" si="237"/>
        <v>2701.27</v>
      </c>
      <c r="L409" s="298">
        <f t="shared" si="268"/>
        <v>2516.62</v>
      </c>
      <c r="M409" s="298">
        <f t="shared" si="238"/>
        <v>184.65</v>
      </c>
      <c r="N409" s="298">
        <f t="shared" si="259"/>
        <v>350980.23000000021</v>
      </c>
      <c r="O409" s="298">
        <f t="shared" si="260"/>
        <v>594464.27000000025</v>
      </c>
      <c r="P409" s="298">
        <f t="shared" si="250"/>
        <v>26074.769999999622</v>
      </c>
      <c r="Q409" s="542" t="str">
        <f t="shared" si="251"/>
        <v xml:space="preserve"> </v>
      </c>
      <c r="R409" s="298">
        <f t="shared" si="236"/>
        <v>0</v>
      </c>
      <c r="S409" s="535">
        <f t="shared" si="261"/>
        <v>7.7499999999999999E-2</v>
      </c>
      <c r="T409" s="298">
        <f t="shared" si="252"/>
        <v>0</v>
      </c>
      <c r="U409" s="298">
        <f t="shared" si="239"/>
        <v>0</v>
      </c>
      <c r="V409" s="298">
        <f t="shared" si="253"/>
        <v>0</v>
      </c>
      <c r="W409" s="298">
        <f t="shared" si="245"/>
        <v>0</v>
      </c>
      <c r="X409" s="298">
        <f t="shared" si="245"/>
        <v>0</v>
      </c>
      <c r="Y409" s="298">
        <f t="shared" si="240"/>
        <v>0</v>
      </c>
      <c r="Z409" s="298">
        <f t="shared" si="241"/>
        <v>378976.30999999988</v>
      </c>
      <c r="AA409" s="298">
        <f t="shared" si="242"/>
        <v>237979.58999999985</v>
      </c>
      <c r="AB409" s="298">
        <f t="shared" si="254"/>
        <v>0</v>
      </c>
      <c r="AC409" s="451">
        <f t="shared" si="262"/>
        <v>349</v>
      </c>
      <c r="AD409" s="552">
        <f t="shared" si="263"/>
        <v>328488.59999999992</v>
      </c>
      <c r="AE409" s="552">
        <f t="shared" si="234"/>
        <v>0</v>
      </c>
      <c r="AF409" s="552">
        <f t="shared" si="235"/>
        <v>328488.59999999992</v>
      </c>
      <c r="AG409" s="552">
        <f t="shared" si="264"/>
        <v>0</v>
      </c>
      <c r="AH409" s="552">
        <f t="shared" si="265"/>
        <v>89654.410000000091</v>
      </c>
      <c r="AI409" s="552"/>
      <c r="AJ409" s="14">
        <f t="shared" si="243"/>
        <v>0</v>
      </c>
      <c r="AK409" s="14">
        <f t="shared" si="244"/>
        <v>478959.79999999871</v>
      </c>
      <c r="AL409" s="552">
        <f>IF(R409&lt;=0,0,+([1]Profit!$B$4+AM408)*$AL$1/12)</f>
        <v>0</v>
      </c>
      <c r="AM409" s="14">
        <f t="shared" si="266"/>
        <v>262755.13764632691</v>
      </c>
    </row>
    <row r="410" spans="1:39" ht="15.75" thickBot="1" x14ac:dyDescent="0.3">
      <c r="A410" s="545" t="str">
        <f t="shared" si="255"/>
        <v xml:space="preserve"> </v>
      </c>
      <c r="B410" s="371">
        <f t="shared" si="232"/>
        <v>0</v>
      </c>
      <c r="C410" s="21">
        <f t="shared" si="246"/>
        <v>0</v>
      </c>
      <c r="D410" s="21">
        <f t="shared" si="267"/>
        <v>0</v>
      </c>
      <c r="E410" s="21">
        <f t="shared" si="247"/>
        <v>0</v>
      </c>
      <c r="F410" s="371">
        <f t="shared" si="256"/>
        <v>83951.219999999987</v>
      </c>
      <c r="G410" s="371">
        <f t="shared" si="257"/>
        <v>73034.019999999931</v>
      </c>
      <c r="H410" s="371">
        <f t="shared" si="248"/>
        <v>0</v>
      </c>
      <c r="I410" s="452">
        <f t="shared" si="249"/>
        <v>29</v>
      </c>
      <c r="J410" s="371">
        <f t="shared" si="258"/>
        <v>26074.769999999622</v>
      </c>
      <c r="K410" s="371">
        <f t="shared" si="237"/>
        <v>2701.27</v>
      </c>
      <c r="L410" s="371">
        <f t="shared" si="268"/>
        <v>2532.87</v>
      </c>
      <c r="M410" s="371">
        <f t="shared" si="238"/>
        <v>168.4</v>
      </c>
      <c r="N410" s="371">
        <f t="shared" si="259"/>
        <v>353513.10000000021</v>
      </c>
      <c r="O410" s="371">
        <f t="shared" si="260"/>
        <v>594632.67000000027</v>
      </c>
      <c r="P410" s="371">
        <f t="shared" si="250"/>
        <v>23541.899999999623</v>
      </c>
      <c r="Q410" s="545" t="str">
        <f t="shared" si="251"/>
        <v xml:space="preserve"> </v>
      </c>
      <c r="R410" s="371">
        <f t="shared" si="236"/>
        <v>0</v>
      </c>
      <c r="S410" s="536">
        <f t="shared" si="261"/>
        <v>7.7499999999999999E-2</v>
      </c>
      <c r="T410" s="371">
        <f t="shared" si="252"/>
        <v>0</v>
      </c>
      <c r="U410" s="371">
        <f t="shared" si="239"/>
        <v>0</v>
      </c>
      <c r="V410" s="371">
        <f t="shared" si="253"/>
        <v>0</v>
      </c>
      <c r="W410" s="371">
        <f t="shared" si="245"/>
        <v>0</v>
      </c>
      <c r="X410" s="371">
        <f t="shared" si="245"/>
        <v>0</v>
      </c>
      <c r="Y410" s="371">
        <f t="shared" si="240"/>
        <v>0</v>
      </c>
      <c r="Z410" s="371">
        <f t="shared" si="241"/>
        <v>378976.30999999988</v>
      </c>
      <c r="AA410" s="371">
        <f t="shared" si="242"/>
        <v>237979.58999999985</v>
      </c>
      <c r="AB410" s="371">
        <f t="shared" si="254"/>
        <v>0</v>
      </c>
      <c r="AC410" s="452">
        <f t="shared" si="262"/>
        <v>350</v>
      </c>
      <c r="AD410" s="553">
        <f t="shared" si="263"/>
        <v>331189.86999999994</v>
      </c>
      <c r="AE410" s="553">
        <f t="shared" si="234"/>
        <v>0</v>
      </c>
      <c r="AF410" s="553">
        <f t="shared" si="235"/>
        <v>331189.86999999994</v>
      </c>
      <c r="AG410" s="553">
        <f t="shared" si="264"/>
        <v>0</v>
      </c>
      <c r="AH410" s="553">
        <f t="shared" si="265"/>
        <v>89654.410000000091</v>
      </c>
      <c r="AI410" s="553"/>
      <c r="AJ410" s="21">
        <f t="shared" si="243"/>
        <v>0</v>
      </c>
      <c r="AK410" s="21">
        <f t="shared" si="244"/>
        <v>478959.79999999871</v>
      </c>
      <c r="AL410" s="553">
        <f>IF(R410&lt;=0,0,+([1]Profit!$B$4+AM409)*$AL$1/12)</f>
        <v>0</v>
      </c>
      <c r="AM410" s="21">
        <f t="shared" si="266"/>
        <v>262755.13764632691</v>
      </c>
    </row>
    <row r="411" spans="1:39" x14ac:dyDescent="0.25">
      <c r="A411" s="542" t="str">
        <f t="shared" si="255"/>
        <v xml:space="preserve"> </v>
      </c>
      <c r="B411" s="298">
        <f t="shared" si="232"/>
        <v>0</v>
      </c>
      <c r="C411" s="14">
        <f t="shared" si="246"/>
        <v>0</v>
      </c>
      <c r="D411" s="14">
        <f t="shared" si="267"/>
        <v>0</v>
      </c>
      <c r="E411" s="14">
        <f t="shared" si="247"/>
        <v>0</v>
      </c>
      <c r="F411" s="298">
        <f t="shared" si="256"/>
        <v>83951.219999999987</v>
      </c>
      <c r="G411" s="298">
        <f t="shared" si="257"/>
        <v>73034.019999999931</v>
      </c>
      <c r="H411" s="298">
        <f t="shared" si="248"/>
        <v>0</v>
      </c>
      <c r="I411" s="451">
        <f t="shared" si="249"/>
        <v>29</v>
      </c>
      <c r="J411" s="298">
        <f t="shared" si="258"/>
        <v>23541.899999999623</v>
      </c>
      <c r="K411" s="298">
        <f t="shared" si="237"/>
        <v>2701.27</v>
      </c>
      <c r="L411" s="298">
        <f t="shared" si="268"/>
        <v>2549.23</v>
      </c>
      <c r="M411" s="298">
        <f t="shared" si="238"/>
        <v>152.04</v>
      </c>
      <c r="N411" s="298">
        <f t="shared" si="259"/>
        <v>356062.33000000019</v>
      </c>
      <c r="O411" s="298">
        <f t="shared" si="260"/>
        <v>594784.71000000031</v>
      </c>
      <c r="P411" s="298">
        <f t="shared" si="250"/>
        <v>20992.669999999624</v>
      </c>
      <c r="Q411" s="542" t="str">
        <f t="shared" si="251"/>
        <v xml:space="preserve"> </v>
      </c>
      <c r="R411" s="298">
        <f t="shared" si="236"/>
        <v>0</v>
      </c>
      <c r="S411" s="535">
        <f t="shared" si="261"/>
        <v>7.7499999999999999E-2</v>
      </c>
      <c r="T411" s="298">
        <f t="shared" si="252"/>
        <v>0</v>
      </c>
      <c r="U411" s="298">
        <f t="shared" si="239"/>
        <v>0</v>
      </c>
      <c r="V411" s="298">
        <f t="shared" si="253"/>
        <v>0</v>
      </c>
      <c r="W411" s="298">
        <f t="shared" si="245"/>
        <v>0</v>
      </c>
      <c r="X411" s="298">
        <f t="shared" si="245"/>
        <v>0</v>
      </c>
      <c r="Y411" s="298">
        <f t="shared" si="240"/>
        <v>0</v>
      </c>
      <c r="Z411" s="298">
        <f t="shared" si="241"/>
        <v>378976.30999999988</v>
      </c>
      <c r="AA411" s="298">
        <f t="shared" si="242"/>
        <v>237979.58999999985</v>
      </c>
      <c r="AB411" s="298">
        <f t="shared" si="254"/>
        <v>0</v>
      </c>
      <c r="AC411" s="451">
        <f t="shared" si="262"/>
        <v>351</v>
      </c>
      <c r="AD411" s="552">
        <f t="shared" si="263"/>
        <v>333891.13999999996</v>
      </c>
      <c r="AE411" s="552">
        <f t="shared" si="234"/>
        <v>0</v>
      </c>
      <c r="AF411" s="552">
        <f t="shared" si="235"/>
        <v>333891.13999999996</v>
      </c>
      <c r="AG411" s="552">
        <f t="shared" si="264"/>
        <v>0</v>
      </c>
      <c r="AH411" s="552">
        <f t="shared" si="265"/>
        <v>89654.410000000091</v>
      </c>
      <c r="AI411" s="552"/>
      <c r="AJ411" s="14">
        <f t="shared" si="243"/>
        <v>0</v>
      </c>
      <c r="AK411" s="14">
        <f t="shared" si="244"/>
        <v>478959.79999999871</v>
      </c>
      <c r="AL411" s="552">
        <f>IF(R411&lt;=0,0,+([1]Profit!$B$4+AM410)*$AL$1/12)</f>
        <v>0</v>
      </c>
      <c r="AM411" s="14">
        <f t="shared" si="266"/>
        <v>262755.13764632691</v>
      </c>
    </row>
    <row r="412" spans="1:39" x14ac:dyDescent="0.25">
      <c r="A412" s="542" t="str">
        <f t="shared" si="255"/>
        <v xml:space="preserve"> </v>
      </c>
      <c r="B412" s="298">
        <f t="shared" si="232"/>
        <v>0</v>
      </c>
      <c r="C412" s="14">
        <f t="shared" si="246"/>
        <v>0</v>
      </c>
      <c r="D412" s="14">
        <f t="shared" si="267"/>
        <v>0</v>
      </c>
      <c r="E412" s="14">
        <f t="shared" si="247"/>
        <v>0</v>
      </c>
      <c r="F412" s="298">
        <f t="shared" si="256"/>
        <v>83951.219999999987</v>
      </c>
      <c r="G412" s="298">
        <f t="shared" si="257"/>
        <v>73034.019999999931</v>
      </c>
      <c r="H412" s="298">
        <f t="shared" si="248"/>
        <v>0</v>
      </c>
      <c r="I412" s="451">
        <f t="shared" si="249"/>
        <v>29</v>
      </c>
      <c r="J412" s="298">
        <f t="shared" si="258"/>
        <v>20992.669999999624</v>
      </c>
      <c r="K412" s="298">
        <f t="shared" si="237"/>
        <v>2701.27</v>
      </c>
      <c r="L412" s="298">
        <f t="shared" si="268"/>
        <v>2565.69</v>
      </c>
      <c r="M412" s="298">
        <f t="shared" si="238"/>
        <v>135.58000000000001</v>
      </c>
      <c r="N412" s="298">
        <f t="shared" si="259"/>
        <v>358628.02000000019</v>
      </c>
      <c r="O412" s="298">
        <f t="shared" si="260"/>
        <v>594920.29000000027</v>
      </c>
      <c r="P412" s="298">
        <f t="shared" si="250"/>
        <v>18426.979999999625</v>
      </c>
      <c r="Q412" s="542" t="str">
        <f t="shared" si="251"/>
        <v xml:space="preserve"> </v>
      </c>
      <c r="R412" s="298">
        <f t="shared" si="236"/>
        <v>0</v>
      </c>
      <c r="S412" s="535">
        <f t="shared" si="261"/>
        <v>7.7499999999999999E-2</v>
      </c>
      <c r="T412" s="298">
        <f t="shared" si="252"/>
        <v>0</v>
      </c>
      <c r="U412" s="298">
        <f t="shared" si="239"/>
        <v>0</v>
      </c>
      <c r="V412" s="298">
        <f t="shared" si="253"/>
        <v>0</v>
      </c>
      <c r="W412" s="298">
        <f t="shared" ref="W412:X427" si="269">+W411</f>
        <v>0</v>
      </c>
      <c r="X412" s="298">
        <f t="shared" si="269"/>
        <v>0</v>
      </c>
      <c r="Y412" s="298">
        <f t="shared" si="240"/>
        <v>0</v>
      </c>
      <c r="Z412" s="298">
        <f t="shared" si="241"/>
        <v>378976.30999999988</v>
      </c>
      <c r="AA412" s="298">
        <f t="shared" si="242"/>
        <v>237979.58999999985</v>
      </c>
      <c r="AB412" s="298">
        <f t="shared" si="254"/>
        <v>0</v>
      </c>
      <c r="AC412" s="451">
        <f t="shared" si="262"/>
        <v>352</v>
      </c>
      <c r="AD412" s="552">
        <f t="shared" si="263"/>
        <v>336592.41</v>
      </c>
      <c r="AE412" s="552">
        <f t="shared" si="234"/>
        <v>0</v>
      </c>
      <c r="AF412" s="552">
        <f t="shared" si="235"/>
        <v>336592.41</v>
      </c>
      <c r="AG412" s="552">
        <f t="shared" si="264"/>
        <v>0</v>
      </c>
      <c r="AH412" s="552">
        <f t="shared" si="265"/>
        <v>89654.410000000091</v>
      </c>
      <c r="AI412" s="552"/>
      <c r="AJ412" s="14">
        <f t="shared" si="243"/>
        <v>0</v>
      </c>
      <c r="AK412" s="14">
        <f t="shared" si="244"/>
        <v>478959.79999999871</v>
      </c>
      <c r="AL412" s="552">
        <f>IF(R412&lt;=0,0,+([1]Profit!$B$4+AM411)*$AL$1/12)</f>
        <v>0</v>
      </c>
      <c r="AM412" s="14">
        <f t="shared" si="266"/>
        <v>262755.13764632691</v>
      </c>
    </row>
    <row r="413" spans="1:39" x14ac:dyDescent="0.25">
      <c r="A413" s="542" t="str">
        <f t="shared" si="255"/>
        <v xml:space="preserve"> </v>
      </c>
      <c r="B413" s="298">
        <f t="shared" si="232"/>
        <v>0</v>
      </c>
      <c r="C413" s="14">
        <f t="shared" si="246"/>
        <v>0</v>
      </c>
      <c r="D413" s="14">
        <f t="shared" si="267"/>
        <v>0</v>
      </c>
      <c r="E413" s="14">
        <f t="shared" si="247"/>
        <v>0</v>
      </c>
      <c r="F413" s="298">
        <f t="shared" si="256"/>
        <v>83951.219999999987</v>
      </c>
      <c r="G413" s="298">
        <f t="shared" si="257"/>
        <v>73034.019999999931</v>
      </c>
      <c r="H413" s="298">
        <f t="shared" si="248"/>
        <v>0</v>
      </c>
      <c r="I413" s="451">
        <f t="shared" si="249"/>
        <v>29</v>
      </c>
      <c r="J413" s="298">
        <f t="shared" si="258"/>
        <v>18426.979999999625</v>
      </c>
      <c r="K413" s="298">
        <f t="shared" si="237"/>
        <v>2701.27</v>
      </c>
      <c r="L413" s="298">
        <f t="shared" si="268"/>
        <v>2582.2599999999998</v>
      </c>
      <c r="M413" s="298">
        <f t="shared" si="238"/>
        <v>119.01</v>
      </c>
      <c r="N413" s="298">
        <f t="shared" si="259"/>
        <v>361210.2800000002</v>
      </c>
      <c r="O413" s="298">
        <f t="shared" si="260"/>
        <v>595039.30000000028</v>
      </c>
      <c r="P413" s="298">
        <f t="shared" si="250"/>
        <v>15844.719999999625</v>
      </c>
      <c r="Q413" s="542" t="str">
        <f t="shared" si="251"/>
        <v xml:space="preserve"> </v>
      </c>
      <c r="R413" s="298">
        <f t="shared" si="236"/>
        <v>0</v>
      </c>
      <c r="S413" s="535">
        <f t="shared" si="261"/>
        <v>7.7499999999999999E-2</v>
      </c>
      <c r="T413" s="298">
        <f t="shared" si="252"/>
        <v>0</v>
      </c>
      <c r="U413" s="298">
        <f t="shared" si="239"/>
        <v>0</v>
      </c>
      <c r="V413" s="298">
        <f t="shared" si="253"/>
        <v>0</v>
      </c>
      <c r="W413" s="298">
        <f t="shared" si="269"/>
        <v>0</v>
      </c>
      <c r="X413" s="298">
        <f t="shared" si="269"/>
        <v>0</v>
      </c>
      <c r="Y413" s="298">
        <f t="shared" si="240"/>
        <v>0</v>
      </c>
      <c r="Z413" s="298">
        <f t="shared" si="241"/>
        <v>378976.30999999988</v>
      </c>
      <c r="AA413" s="298">
        <f t="shared" si="242"/>
        <v>237979.58999999985</v>
      </c>
      <c r="AB413" s="298">
        <f t="shared" si="254"/>
        <v>0</v>
      </c>
      <c r="AC413" s="451">
        <f t="shared" si="262"/>
        <v>353</v>
      </c>
      <c r="AD413" s="552">
        <f t="shared" si="263"/>
        <v>339293.68</v>
      </c>
      <c r="AE413" s="552">
        <f t="shared" si="234"/>
        <v>0</v>
      </c>
      <c r="AF413" s="552">
        <f t="shared" si="235"/>
        <v>339293.68</v>
      </c>
      <c r="AG413" s="552">
        <f t="shared" si="264"/>
        <v>0</v>
      </c>
      <c r="AH413" s="552">
        <f t="shared" si="265"/>
        <v>89654.410000000091</v>
      </c>
      <c r="AI413" s="552"/>
      <c r="AJ413" s="14">
        <f t="shared" si="243"/>
        <v>0</v>
      </c>
      <c r="AK413" s="14">
        <f t="shared" si="244"/>
        <v>478959.79999999871</v>
      </c>
      <c r="AL413" s="552">
        <f>IF(R413&lt;=0,0,+([1]Profit!$B$4+AM412)*$AL$1/12)</f>
        <v>0</v>
      </c>
      <c r="AM413" s="14">
        <f t="shared" si="266"/>
        <v>262755.13764632691</v>
      </c>
    </row>
    <row r="414" spans="1:39" x14ac:dyDescent="0.25">
      <c r="A414" s="542" t="str">
        <f t="shared" si="255"/>
        <v xml:space="preserve"> </v>
      </c>
      <c r="B414" s="298">
        <f t="shared" si="232"/>
        <v>0</v>
      </c>
      <c r="C414" s="14">
        <f t="shared" si="246"/>
        <v>0</v>
      </c>
      <c r="D414" s="14">
        <f t="shared" si="267"/>
        <v>0</v>
      </c>
      <c r="E414" s="14">
        <f t="shared" si="247"/>
        <v>0</v>
      </c>
      <c r="F414" s="298">
        <f t="shared" si="256"/>
        <v>83951.219999999987</v>
      </c>
      <c r="G414" s="298">
        <f t="shared" si="257"/>
        <v>73034.019999999931</v>
      </c>
      <c r="H414" s="298">
        <f t="shared" si="248"/>
        <v>0</v>
      </c>
      <c r="I414" s="451">
        <f t="shared" si="249"/>
        <v>29</v>
      </c>
      <c r="J414" s="298">
        <f t="shared" si="258"/>
        <v>15844.719999999625</v>
      </c>
      <c r="K414" s="298">
        <f t="shared" si="237"/>
        <v>2701.27</v>
      </c>
      <c r="L414" s="298">
        <f t="shared" si="268"/>
        <v>2598.94</v>
      </c>
      <c r="M414" s="298">
        <f t="shared" si="238"/>
        <v>102.33</v>
      </c>
      <c r="N414" s="298">
        <f t="shared" si="259"/>
        <v>363809.2200000002</v>
      </c>
      <c r="O414" s="298">
        <f t="shared" si="260"/>
        <v>595141.63000000024</v>
      </c>
      <c r="P414" s="298">
        <f t="shared" si="250"/>
        <v>13245.779999999624</v>
      </c>
      <c r="Q414" s="542" t="str">
        <f t="shared" si="251"/>
        <v xml:space="preserve"> </v>
      </c>
      <c r="R414" s="298">
        <f t="shared" si="236"/>
        <v>0</v>
      </c>
      <c r="S414" s="535">
        <f t="shared" si="261"/>
        <v>7.7499999999999999E-2</v>
      </c>
      <c r="T414" s="298">
        <f t="shared" si="252"/>
        <v>0</v>
      </c>
      <c r="U414" s="298">
        <f t="shared" si="239"/>
        <v>0</v>
      </c>
      <c r="V414" s="298">
        <f t="shared" si="253"/>
        <v>0</v>
      </c>
      <c r="W414" s="298">
        <f t="shared" si="269"/>
        <v>0</v>
      </c>
      <c r="X414" s="298">
        <f t="shared" si="269"/>
        <v>0</v>
      </c>
      <c r="Y414" s="298">
        <f t="shared" si="240"/>
        <v>0</v>
      </c>
      <c r="Z414" s="298">
        <f t="shared" si="241"/>
        <v>378976.30999999988</v>
      </c>
      <c r="AA414" s="298">
        <f t="shared" si="242"/>
        <v>237979.58999999985</v>
      </c>
      <c r="AB414" s="298">
        <f t="shared" si="254"/>
        <v>0</v>
      </c>
      <c r="AC414" s="451">
        <f t="shared" si="262"/>
        <v>354</v>
      </c>
      <c r="AD414" s="552">
        <f t="shared" si="263"/>
        <v>341994.95</v>
      </c>
      <c r="AE414" s="552">
        <f t="shared" si="234"/>
        <v>0</v>
      </c>
      <c r="AF414" s="552">
        <f t="shared" si="235"/>
        <v>341994.95</v>
      </c>
      <c r="AG414" s="552">
        <f t="shared" si="264"/>
        <v>0</v>
      </c>
      <c r="AH414" s="552">
        <f t="shared" si="265"/>
        <v>89654.410000000091</v>
      </c>
      <c r="AI414" s="552"/>
      <c r="AJ414" s="14">
        <f t="shared" si="243"/>
        <v>0</v>
      </c>
      <c r="AK414" s="14">
        <f t="shared" si="244"/>
        <v>478959.79999999871</v>
      </c>
      <c r="AL414" s="552">
        <f>IF(R414&lt;=0,0,+([1]Profit!$B$4+AM413)*$AL$1/12)</f>
        <v>0</v>
      </c>
      <c r="AM414" s="14">
        <f t="shared" si="266"/>
        <v>262755.13764632691</v>
      </c>
    </row>
    <row r="415" spans="1:39" x14ac:dyDescent="0.25">
      <c r="A415" s="542" t="str">
        <f t="shared" si="255"/>
        <v xml:space="preserve"> </v>
      </c>
      <c r="B415" s="298">
        <f t="shared" si="232"/>
        <v>0</v>
      </c>
      <c r="C415" s="14">
        <f t="shared" si="246"/>
        <v>0</v>
      </c>
      <c r="D415" s="14">
        <f t="shared" si="267"/>
        <v>0</v>
      </c>
      <c r="E415" s="14">
        <f t="shared" si="247"/>
        <v>0</v>
      </c>
      <c r="F415" s="298">
        <f t="shared" si="256"/>
        <v>83951.219999999987</v>
      </c>
      <c r="G415" s="298">
        <f t="shared" si="257"/>
        <v>73034.019999999931</v>
      </c>
      <c r="H415" s="298">
        <f t="shared" si="248"/>
        <v>0</v>
      </c>
      <c r="I415" s="451">
        <f t="shared" si="249"/>
        <v>29</v>
      </c>
      <c r="J415" s="298">
        <f t="shared" si="258"/>
        <v>13245.779999999624</v>
      </c>
      <c r="K415" s="298">
        <f t="shared" si="237"/>
        <v>2701.27</v>
      </c>
      <c r="L415" s="298">
        <f t="shared" si="268"/>
        <v>2615.7199999999998</v>
      </c>
      <c r="M415" s="298">
        <f t="shared" si="238"/>
        <v>85.55</v>
      </c>
      <c r="N415" s="298">
        <f t="shared" si="259"/>
        <v>366424.94000000018</v>
      </c>
      <c r="O415" s="298">
        <f t="shared" si="260"/>
        <v>595227.18000000028</v>
      </c>
      <c r="P415" s="298">
        <f t="shared" si="250"/>
        <v>10630.059999999625</v>
      </c>
      <c r="Q415" s="542" t="str">
        <f t="shared" si="251"/>
        <v xml:space="preserve"> </v>
      </c>
      <c r="R415" s="298">
        <f t="shared" si="236"/>
        <v>0</v>
      </c>
      <c r="S415" s="535">
        <f t="shared" si="261"/>
        <v>7.7499999999999999E-2</v>
      </c>
      <c r="T415" s="298">
        <f t="shared" si="252"/>
        <v>0</v>
      </c>
      <c r="U415" s="298">
        <f t="shared" si="239"/>
        <v>0</v>
      </c>
      <c r="V415" s="298">
        <f t="shared" si="253"/>
        <v>0</v>
      </c>
      <c r="W415" s="298">
        <f t="shared" si="269"/>
        <v>0</v>
      </c>
      <c r="X415" s="298">
        <f t="shared" si="269"/>
        <v>0</v>
      </c>
      <c r="Y415" s="298">
        <f t="shared" si="240"/>
        <v>0</v>
      </c>
      <c r="Z415" s="298">
        <f t="shared" si="241"/>
        <v>378976.30999999988</v>
      </c>
      <c r="AA415" s="298">
        <f t="shared" si="242"/>
        <v>237979.58999999985</v>
      </c>
      <c r="AB415" s="298">
        <f t="shared" si="254"/>
        <v>0</v>
      </c>
      <c r="AC415" s="451">
        <f t="shared" si="262"/>
        <v>355</v>
      </c>
      <c r="AD415" s="552">
        <f t="shared" si="263"/>
        <v>344696.22000000003</v>
      </c>
      <c r="AE415" s="552">
        <f t="shared" si="234"/>
        <v>0</v>
      </c>
      <c r="AF415" s="552">
        <f t="shared" si="235"/>
        <v>344696.22000000003</v>
      </c>
      <c r="AG415" s="552">
        <f t="shared" si="264"/>
        <v>0</v>
      </c>
      <c r="AH415" s="552">
        <f t="shared" si="265"/>
        <v>89654.410000000091</v>
      </c>
      <c r="AI415" s="552"/>
      <c r="AJ415" s="14">
        <f t="shared" si="243"/>
        <v>0</v>
      </c>
      <c r="AK415" s="14">
        <f t="shared" si="244"/>
        <v>478959.79999999871</v>
      </c>
      <c r="AL415" s="552">
        <f>IF(R415&lt;=0,0,+([1]Profit!$B$4+AM414)*$AL$1/12)</f>
        <v>0</v>
      </c>
      <c r="AM415" s="14">
        <f t="shared" si="266"/>
        <v>262755.13764632691</v>
      </c>
    </row>
    <row r="416" spans="1:39" x14ac:dyDescent="0.25">
      <c r="A416" s="542" t="str">
        <f t="shared" si="255"/>
        <v xml:space="preserve"> </v>
      </c>
      <c r="B416" s="298">
        <f t="shared" si="232"/>
        <v>0</v>
      </c>
      <c r="C416" s="14">
        <f t="shared" si="246"/>
        <v>0</v>
      </c>
      <c r="D416" s="14">
        <f t="shared" si="267"/>
        <v>0</v>
      </c>
      <c r="E416" s="14">
        <f t="shared" si="247"/>
        <v>0</v>
      </c>
      <c r="F416" s="298">
        <f t="shared" si="256"/>
        <v>83951.219999999987</v>
      </c>
      <c r="G416" s="298">
        <f t="shared" si="257"/>
        <v>73034.019999999931</v>
      </c>
      <c r="H416" s="298">
        <f t="shared" si="248"/>
        <v>0</v>
      </c>
      <c r="I416" s="451">
        <f t="shared" si="249"/>
        <v>29</v>
      </c>
      <c r="J416" s="298">
        <f t="shared" si="258"/>
        <v>10630.059999999625</v>
      </c>
      <c r="K416" s="298">
        <f t="shared" si="237"/>
        <v>2701.27</v>
      </c>
      <c r="L416" s="298">
        <f t="shared" si="268"/>
        <v>2632.62</v>
      </c>
      <c r="M416" s="298">
        <f t="shared" si="238"/>
        <v>68.650000000000006</v>
      </c>
      <c r="N416" s="298">
        <f t="shared" si="259"/>
        <v>369057.56000000017</v>
      </c>
      <c r="O416" s="298">
        <f t="shared" si="260"/>
        <v>595295.83000000031</v>
      </c>
      <c r="P416" s="298">
        <f t="shared" si="250"/>
        <v>7997.4399999996249</v>
      </c>
      <c r="Q416" s="542" t="str">
        <f t="shared" si="251"/>
        <v xml:space="preserve"> </v>
      </c>
      <c r="R416" s="298">
        <f t="shared" si="236"/>
        <v>0</v>
      </c>
      <c r="S416" s="535">
        <f t="shared" si="261"/>
        <v>7.7499999999999999E-2</v>
      </c>
      <c r="T416" s="298">
        <f t="shared" si="252"/>
        <v>0</v>
      </c>
      <c r="U416" s="298">
        <f t="shared" si="239"/>
        <v>0</v>
      </c>
      <c r="V416" s="298">
        <f t="shared" si="253"/>
        <v>0</v>
      </c>
      <c r="W416" s="298">
        <f t="shared" si="269"/>
        <v>0</v>
      </c>
      <c r="X416" s="298">
        <f t="shared" si="269"/>
        <v>0</v>
      </c>
      <c r="Y416" s="298">
        <f t="shared" si="240"/>
        <v>0</v>
      </c>
      <c r="Z416" s="298">
        <f t="shared" si="241"/>
        <v>378976.30999999988</v>
      </c>
      <c r="AA416" s="298">
        <f t="shared" si="242"/>
        <v>237979.58999999985</v>
      </c>
      <c r="AB416" s="298">
        <f t="shared" si="254"/>
        <v>0</v>
      </c>
      <c r="AC416" s="451">
        <f t="shared" si="262"/>
        <v>356</v>
      </c>
      <c r="AD416" s="552">
        <f t="shared" si="263"/>
        <v>347397.49000000005</v>
      </c>
      <c r="AE416" s="552">
        <f t="shared" si="234"/>
        <v>0</v>
      </c>
      <c r="AF416" s="552">
        <f t="shared" si="235"/>
        <v>347397.49000000005</v>
      </c>
      <c r="AG416" s="552">
        <f t="shared" si="264"/>
        <v>0</v>
      </c>
      <c r="AH416" s="552">
        <f t="shared" si="265"/>
        <v>89654.410000000091</v>
      </c>
      <c r="AI416" s="552"/>
      <c r="AJ416" s="14">
        <f t="shared" si="243"/>
        <v>0</v>
      </c>
      <c r="AK416" s="14">
        <f t="shared" si="244"/>
        <v>478959.79999999871</v>
      </c>
      <c r="AL416" s="552">
        <f>IF(R416&lt;=0,0,+([1]Profit!$B$4+AM415)*$AL$1/12)</f>
        <v>0</v>
      </c>
      <c r="AM416" s="14">
        <f t="shared" si="266"/>
        <v>262755.13764632691</v>
      </c>
    </row>
    <row r="417" spans="1:39" x14ac:dyDescent="0.25">
      <c r="A417" s="542" t="str">
        <f t="shared" si="255"/>
        <v xml:space="preserve"> </v>
      </c>
      <c r="B417" s="298">
        <f t="shared" si="232"/>
        <v>0</v>
      </c>
      <c r="C417" s="14">
        <f t="shared" si="246"/>
        <v>0</v>
      </c>
      <c r="D417" s="14">
        <f t="shared" si="267"/>
        <v>0</v>
      </c>
      <c r="E417" s="14">
        <f t="shared" si="247"/>
        <v>0</v>
      </c>
      <c r="F417" s="298">
        <f t="shared" si="256"/>
        <v>83951.219999999987</v>
      </c>
      <c r="G417" s="298">
        <f t="shared" si="257"/>
        <v>73034.019999999931</v>
      </c>
      <c r="H417" s="298">
        <f t="shared" si="248"/>
        <v>0</v>
      </c>
      <c r="I417" s="451">
        <f t="shared" si="249"/>
        <v>29</v>
      </c>
      <c r="J417" s="298">
        <f t="shared" si="258"/>
        <v>7997.4399999996249</v>
      </c>
      <c r="K417" s="298">
        <f t="shared" si="237"/>
        <v>2701.27</v>
      </c>
      <c r="L417" s="298">
        <f t="shared" si="268"/>
        <v>2649.62</v>
      </c>
      <c r="M417" s="298">
        <f t="shared" si="238"/>
        <v>51.65</v>
      </c>
      <c r="N417" s="298">
        <f t="shared" si="259"/>
        <v>371707.18000000017</v>
      </c>
      <c r="O417" s="298">
        <f t="shared" si="260"/>
        <v>595347.48000000033</v>
      </c>
      <c r="P417" s="298">
        <f t="shared" si="250"/>
        <v>5347.819999999625</v>
      </c>
      <c r="Q417" s="542" t="str">
        <f t="shared" si="251"/>
        <v xml:space="preserve"> </v>
      </c>
      <c r="R417" s="298">
        <f t="shared" si="236"/>
        <v>0</v>
      </c>
      <c r="S417" s="535">
        <f t="shared" si="261"/>
        <v>7.7499999999999999E-2</v>
      </c>
      <c r="T417" s="298">
        <f t="shared" si="252"/>
        <v>0</v>
      </c>
      <c r="U417" s="298">
        <f t="shared" si="239"/>
        <v>0</v>
      </c>
      <c r="V417" s="298">
        <f t="shared" si="253"/>
        <v>0</v>
      </c>
      <c r="W417" s="298">
        <f t="shared" si="269"/>
        <v>0</v>
      </c>
      <c r="X417" s="298">
        <f t="shared" si="269"/>
        <v>0</v>
      </c>
      <c r="Y417" s="298">
        <f t="shared" si="240"/>
        <v>0</v>
      </c>
      <c r="Z417" s="298">
        <f t="shared" si="241"/>
        <v>378976.30999999988</v>
      </c>
      <c r="AA417" s="298">
        <f t="shared" si="242"/>
        <v>237979.58999999985</v>
      </c>
      <c r="AB417" s="298">
        <f t="shared" si="254"/>
        <v>0</v>
      </c>
      <c r="AC417" s="451">
        <f t="shared" si="262"/>
        <v>357</v>
      </c>
      <c r="AD417" s="552">
        <f t="shared" si="263"/>
        <v>350098.76000000007</v>
      </c>
      <c r="AE417" s="552">
        <f t="shared" si="234"/>
        <v>0</v>
      </c>
      <c r="AF417" s="552">
        <f t="shared" si="235"/>
        <v>350098.76000000007</v>
      </c>
      <c r="AG417" s="552">
        <f t="shared" si="264"/>
        <v>0</v>
      </c>
      <c r="AH417" s="552">
        <f t="shared" si="265"/>
        <v>89654.410000000091</v>
      </c>
      <c r="AI417" s="552"/>
      <c r="AJ417" s="14">
        <f t="shared" si="243"/>
        <v>0</v>
      </c>
      <c r="AK417" s="14">
        <f t="shared" si="244"/>
        <v>478959.79999999871</v>
      </c>
      <c r="AL417" s="552">
        <f>IF(R417&lt;=0,0,+([1]Profit!$B$4+AM416)*$AL$1/12)</f>
        <v>0</v>
      </c>
      <c r="AM417" s="14">
        <f t="shared" si="266"/>
        <v>262755.13764632691</v>
      </c>
    </row>
    <row r="418" spans="1:39" x14ac:dyDescent="0.25">
      <c r="A418" s="542" t="str">
        <f t="shared" si="255"/>
        <v xml:space="preserve"> </v>
      </c>
      <c r="B418" s="298">
        <f t="shared" si="232"/>
        <v>0</v>
      </c>
      <c r="C418" s="14">
        <f t="shared" si="246"/>
        <v>0</v>
      </c>
      <c r="D418" s="14">
        <f t="shared" si="267"/>
        <v>0</v>
      </c>
      <c r="E418" s="14">
        <f t="shared" si="247"/>
        <v>0</v>
      </c>
      <c r="F418" s="298">
        <f t="shared" si="256"/>
        <v>83951.219999999987</v>
      </c>
      <c r="G418" s="298">
        <f t="shared" si="257"/>
        <v>73034.019999999931</v>
      </c>
      <c r="H418" s="298">
        <f t="shared" si="248"/>
        <v>0</v>
      </c>
      <c r="I418" s="451">
        <f t="shared" si="249"/>
        <v>29</v>
      </c>
      <c r="J418" s="298">
        <f t="shared" si="258"/>
        <v>5347.819999999625</v>
      </c>
      <c r="K418" s="298">
        <f t="shared" si="237"/>
        <v>2701.27</v>
      </c>
      <c r="L418" s="298">
        <f t="shared" si="268"/>
        <v>2666.73</v>
      </c>
      <c r="M418" s="298">
        <f t="shared" si="238"/>
        <v>34.54</v>
      </c>
      <c r="N418" s="298">
        <f t="shared" si="259"/>
        <v>374373.91000000015</v>
      </c>
      <c r="O418" s="298">
        <f t="shared" si="260"/>
        <v>595382.02000000037</v>
      </c>
      <c r="P418" s="298">
        <f t="shared" si="250"/>
        <v>2681.089999999625</v>
      </c>
      <c r="Q418" s="542" t="str">
        <f t="shared" si="251"/>
        <v xml:space="preserve"> </v>
      </c>
      <c r="R418" s="298">
        <f t="shared" si="236"/>
        <v>0</v>
      </c>
      <c r="S418" s="535">
        <f t="shared" si="261"/>
        <v>7.7499999999999999E-2</v>
      </c>
      <c r="T418" s="298">
        <f t="shared" si="252"/>
        <v>0</v>
      </c>
      <c r="U418" s="298">
        <f t="shared" si="239"/>
        <v>0</v>
      </c>
      <c r="V418" s="298">
        <f t="shared" si="253"/>
        <v>0</v>
      </c>
      <c r="W418" s="298">
        <f t="shared" si="269"/>
        <v>0</v>
      </c>
      <c r="X418" s="298">
        <f t="shared" si="269"/>
        <v>0</v>
      </c>
      <c r="Y418" s="298">
        <f t="shared" si="240"/>
        <v>0</v>
      </c>
      <c r="Z418" s="298">
        <f t="shared" si="241"/>
        <v>378976.30999999988</v>
      </c>
      <c r="AA418" s="298">
        <f t="shared" si="242"/>
        <v>237979.58999999985</v>
      </c>
      <c r="AB418" s="298">
        <f t="shared" si="254"/>
        <v>0</v>
      </c>
      <c r="AC418" s="451">
        <f t="shared" si="262"/>
        <v>358</v>
      </c>
      <c r="AD418" s="552">
        <f t="shared" si="263"/>
        <v>352800.03000000009</v>
      </c>
      <c r="AE418" s="552">
        <f t="shared" si="234"/>
        <v>0</v>
      </c>
      <c r="AF418" s="552">
        <f t="shared" si="235"/>
        <v>352800.03000000009</v>
      </c>
      <c r="AG418" s="552">
        <f t="shared" si="264"/>
        <v>0</v>
      </c>
      <c r="AH418" s="552">
        <f t="shared" si="265"/>
        <v>89654.410000000091</v>
      </c>
      <c r="AI418" s="552"/>
      <c r="AJ418" s="14">
        <f t="shared" si="243"/>
        <v>0</v>
      </c>
      <c r="AK418" s="14">
        <f t="shared" si="244"/>
        <v>478959.79999999871</v>
      </c>
      <c r="AL418" s="552">
        <f>IF(R418&lt;=0,0,+([1]Profit!$B$4+AM417)*$AL$1/12)</f>
        <v>0</v>
      </c>
      <c r="AM418" s="14">
        <f t="shared" si="266"/>
        <v>262755.13764632691</v>
      </c>
    </row>
    <row r="419" spans="1:39" x14ac:dyDescent="0.25">
      <c r="A419" s="542" t="str">
        <f t="shared" si="255"/>
        <v xml:space="preserve"> </v>
      </c>
      <c r="B419" s="298">
        <f t="shared" si="232"/>
        <v>0</v>
      </c>
      <c r="C419" s="14">
        <f t="shared" si="246"/>
        <v>0</v>
      </c>
      <c r="D419" s="14">
        <f t="shared" si="267"/>
        <v>0</v>
      </c>
      <c r="E419" s="14">
        <f t="shared" si="247"/>
        <v>0</v>
      </c>
      <c r="F419" s="298">
        <f t="shared" si="256"/>
        <v>83951.219999999987</v>
      </c>
      <c r="G419" s="298">
        <f t="shared" si="257"/>
        <v>73034.019999999931</v>
      </c>
      <c r="H419" s="298">
        <f t="shared" si="248"/>
        <v>0</v>
      </c>
      <c r="I419" s="451">
        <f t="shared" si="249"/>
        <v>29</v>
      </c>
      <c r="J419" s="298">
        <f t="shared" si="258"/>
        <v>2681.089999999625</v>
      </c>
      <c r="K419" s="298">
        <f t="shared" si="237"/>
        <v>2701.27</v>
      </c>
      <c r="L419" s="298">
        <f t="shared" si="268"/>
        <v>2683.95</v>
      </c>
      <c r="M419" s="298">
        <f t="shared" si="238"/>
        <v>17.32</v>
      </c>
      <c r="N419" s="298">
        <f t="shared" si="259"/>
        <v>377057.86000000016</v>
      </c>
      <c r="O419" s="298">
        <f t="shared" si="260"/>
        <v>595399.34000000032</v>
      </c>
      <c r="P419" s="298">
        <f t="shared" si="250"/>
        <v>-2.8600000003748391</v>
      </c>
      <c r="Q419" s="542" t="str">
        <f t="shared" si="251"/>
        <v xml:space="preserve"> </v>
      </c>
      <c r="R419" s="298">
        <f t="shared" si="236"/>
        <v>0</v>
      </c>
      <c r="S419" s="535">
        <f t="shared" si="261"/>
        <v>7.7499999999999999E-2</v>
      </c>
      <c r="T419" s="298">
        <f t="shared" si="252"/>
        <v>0</v>
      </c>
      <c r="U419" s="298">
        <f t="shared" si="239"/>
        <v>0</v>
      </c>
      <c r="V419" s="298">
        <f t="shared" si="253"/>
        <v>0</v>
      </c>
      <c r="W419" s="298">
        <f t="shared" si="269"/>
        <v>0</v>
      </c>
      <c r="X419" s="298">
        <f t="shared" si="269"/>
        <v>0</v>
      </c>
      <c r="Y419" s="298">
        <f t="shared" si="240"/>
        <v>0</v>
      </c>
      <c r="Z419" s="298">
        <f t="shared" si="241"/>
        <v>378976.30999999988</v>
      </c>
      <c r="AA419" s="298">
        <f t="shared" si="242"/>
        <v>237979.58999999985</v>
      </c>
      <c r="AB419" s="298">
        <f t="shared" si="254"/>
        <v>0</v>
      </c>
      <c r="AC419" s="451">
        <f t="shared" si="262"/>
        <v>359</v>
      </c>
      <c r="AD419" s="552">
        <f t="shared" si="263"/>
        <v>355501.3000000001</v>
      </c>
      <c r="AE419" s="552">
        <f t="shared" si="234"/>
        <v>0</v>
      </c>
      <c r="AF419" s="552">
        <f t="shared" si="235"/>
        <v>355501.3000000001</v>
      </c>
      <c r="AG419" s="552">
        <f t="shared" si="264"/>
        <v>0</v>
      </c>
      <c r="AH419" s="552">
        <f t="shared" si="265"/>
        <v>0</v>
      </c>
      <c r="AI419" s="552"/>
      <c r="AJ419" s="14">
        <f t="shared" si="243"/>
        <v>0</v>
      </c>
      <c r="AK419" s="14">
        <f t="shared" si="244"/>
        <v>0</v>
      </c>
      <c r="AL419" s="552">
        <f>IF(R419&lt;=0,0,+([1]Profit!$B$4+AM418)*$AL$1/12)</f>
        <v>0</v>
      </c>
      <c r="AM419" s="14">
        <f t="shared" si="266"/>
        <v>0</v>
      </c>
    </row>
    <row r="420" spans="1:39" x14ac:dyDescent="0.25">
      <c r="A420" s="542" t="str">
        <f t="shared" si="255"/>
        <v xml:space="preserve"> </v>
      </c>
      <c r="B420" s="298">
        <f t="shared" si="232"/>
        <v>0</v>
      </c>
      <c r="C420" s="14">
        <f t="shared" si="246"/>
        <v>0</v>
      </c>
      <c r="D420" s="14">
        <f t="shared" si="267"/>
        <v>0</v>
      </c>
      <c r="E420" s="14">
        <f t="shared" si="247"/>
        <v>0</v>
      </c>
      <c r="F420" s="298">
        <f t="shared" si="256"/>
        <v>83951.219999999987</v>
      </c>
      <c r="G420" s="298">
        <f t="shared" si="257"/>
        <v>73034.019999999931</v>
      </c>
      <c r="H420" s="298">
        <f t="shared" si="248"/>
        <v>0</v>
      </c>
      <c r="I420" s="451">
        <f t="shared" si="249"/>
        <v>30</v>
      </c>
      <c r="J420" s="298">
        <f t="shared" si="258"/>
        <v>0</v>
      </c>
      <c r="K420" s="298">
        <f t="shared" si="237"/>
        <v>0</v>
      </c>
      <c r="L420" s="298">
        <f t="shared" si="268"/>
        <v>0</v>
      </c>
      <c r="M420" s="298">
        <f t="shared" si="238"/>
        <v>0</v>
      </c>
      <c r="N420" s="298">
        <f t="shared" si="259"/>
        <v>377057.86000000016</v>
      </c>
      <c r="O420" s="298">
        <f t="shared" si="260"/>
        <v>595399.34000000032</v>
      </c>
      <c r="P420" s="298">
        <f t="shared" si="250"/>
        <v>0</v>
      </c>
      <c r="Q420" s="542" t="str">
        <f t="shared" si="251"/>
        <v xml:space="preserve"> </v>
      </c>
      <c r="R420" s="298">
        <f t="shared" si="236"/>
        <v>0</v>
      </c>
      <c r="S420" s="535">
        <f t="shared" si="261"/>
        <v>7.7499999999999999E-2</v>
      </c>
      <c r="T420" s="298">
        <f t="shared" si="252"/>
        <v>0</v>
      </c>
      <c r="U420" s="298">
        <f t="shared" si="239"/>
        <v>0</v>
      </c>
      <c r="V420" s="298">
        <f t="shared" si="253"/>
        <v>0</v>
      </c>
      <c r="W420" s="298">
        <f t="shared" si="269"/>
        <v>0</v>
      </c>
      <c r="X420" s="298">
        <f t="shared" si="269"/>
        <v>0</v>
      </c>
      <c r="Y420" s="298">
        <f t="shared" si="240"/>
        <v>0</v>
      </c>
      <c r="Z420" s="298">
        <f t="shared" si="241"/>
        <v>378976.30999999988</v>
      </c>
      <c r="AA420" s="298">
        <f t="shared" si="242"/>
        <v>237979.58999999985</v>
      </c>
      <c r="AB420" s="298">
        <f t="shared" si="254"/>
        <v>0</v>
      </c>
      <c r="AC420" s="451">
        <f t="shared" si="262"/>
        <v>360</v>
      </c>
      <c r="AD420" s="552">
        <f t="shared" si="263"/>
        <v>355501.3000000001</v>
      </c>
      <c r="AE420" s="552">
        <f t="shared" si="234"/>
        <v>0</v>
      </c>
      <c r="AF420" s="552">
        <f t="shared" si="235"/>
        <v>355501.3000000001</v>
      </c>
      <c r="AG420" s="552">
        <f t="shared" si="264"/>
        <v>0</v>
      </c>
      <c r="AH420" s="552">
        <f t="shared" si="265"/>
        <v>0</v>
      </c>
      <c r="AI420" s="552"/>
      <c r="AJ420" s="14">
        <f t="shared" si="243"/>
        <v>0</v>
      </c>
      <c r="AK420" s="14">
        <f t="shared" si="244"/>
        <v>0</v>
      </c>
      <c r="AL420" s="552">
        <f>IF(R420&lt;=0,0,+([1]Profit!$B$4+AM419)*$AL$1/12)</f>
        <v>0</v>
      </c>
      <c r="AM420" s="14">
        <f t="shared" si="266"/>
        <v>0</v>
      </c>
    </row>
    <row r="421" spans="1:39" x14ac:dyDescent="0.25">
      <c r="A421" s="542" t="str">
        <f t="shared" si="255"/>
        <v xml:space="preserve"> </v>
      </c>
      <c r="B421" s="298">
        <f t="shared" si="232"/>
        <v>0</v>
      </c>
      <c r="C421" s="14">
        <f t="shared" si="246"/>
        <v>0</v>
      </c>
      <c r="D421" s="14">
        <f t="shared" si="267"/>
        <v>0</v>
      </c>
      <c r="E421" s="14">
        <f t="shared" si="247"/>
        <v>0</v>
      </c>
      <c r="F421" s="298">
        <f t="shared" si="256"/>
        <v>83951.219999999987</v>
      </c>
      <c r="G421" s="298">
        <f t="shared" si="257"/>
        <v>73034.019999999931</v>
      </c>
      <c r="H421" s="298">
        <f t="shared" si="248"/>
        <v>0</v>
      </c>
      <c r="I421" s="451">
        <f t="shared" si="249"/>
        <v>30</v>
      </c>
      <c r="J421" s="298">
        <f t="shared" si="258"/>
        <v>0</v>
      </c>
      <c r="K421" s="298">
        <f t="shared" si="237"/>
        <v>0</v>
      </c>
      <c r="L421" s="298">
        <f t="shared" si="268"/>
        <v>0</v>
      </c>
      <c r="M421" s="298">
        <f t="shared" si="238"/>
        <v>0</v>
      </c>
      <c r="N421" s="298">
        <f t="shared" si="259"/>
        <v>377057.86000000016</v>
      </c>
      <c r="O421" s="298">
        <f t="shared" si="260"/>
        <v>595399.34000000032</v>
      </c>
      <c r="P421" s="298">
        <f t="shared" si="250"/>
        <v>0</v>
      </c>
      <c r="Q421" s="542" t="str">
        <f t="shared" si="251"/>
        <v xml:space="preserve"> </v>
      </c>
      <c r="R421" s="298">
        <f t="shared" si="236"/>
        <v>0</v>
      </c>
      <c r="S421" s="535">
        <f t="shared" si="261"/>
        <v>7.7499999999999999E-2</v>
      </c>
      <c r="T421" s="298">
        <f t="shared" si="252"/>
        <v>0</v>
      </c>
      <c r="U421" s="298">
        <f t="shared" si="239"/>
        <v>0</v>
      </c>
      <c r="V421" s="298">
        <f t="shared" si="253"/>
        <v>0</v>
      </c>
      <c r="W421" s="298">
        <f t="shared" si="269"/>
        <v>0</v>
      </c>
      <c r="X421" s="298">
        <f t="shared" si="269"/>
        <v>0</v>
      </c>
      <c r="Y421" s="298">
        <f t="shared" si="240"/>
        <v>0</v>
      </c>
      <c r="Z421" s="298">
        <f t="shared" si="241"/>
        <v>378976.30999999988</v>
      </c>
      <c r="AA421" s="298">
        <f t="shared" si="242"/>
        <v>237979.58999999985</v>
      </c>
      <c r="AB421" s="298">
        <f t="shared" si="254"/>
        <v>0</v>
      </c>
      <c r="AC421" s="451">
        <f t="shared" si="262"/>
        <v>361</v>
      </c>
      <c r="AD421" s="552">
        <f t="shared" si="263"/>
        <v>355501.3000000001</v>
      </c>
      <c r="AE421" s="552">
        <f t="shared" si="234"/>
        <v>0</v>
      </c>
      <c r="AF421" s="552">
        <f t="shared" si="235"/>
        <v>355501.3000000001</v>
      </c>
      <c r="AG421" s="552">
        <f t="shared" si="264"/>
        <v>0</v>
      </c>
      <c r="AH421" s="552">
        <f t="shared" si="265"/>
        <v>0</v>
      </c>
      <c r="AI421" s="552"/>
      <c r="AJ421" s="14">
        <f t="shared" si="243"/>
        <v>0</v>
      </c>
      <c r="AK421" s="14">
        <f t="shared" si="244"/>
        <v>0</v>
      </c>
      <c r="AL421" s="552">
        <f>IF(R421&lt;=0,0,+([1]Profit!$B$4+AM420)*$AL$1/12)</f>
        <v>0</v>
      </c>
      <c r="AM421" s="14">
        <f t="shared" si="266"/>
        <v>0</v>
      </c>
    </row>
    <row r="422" spans="1:39" ht="15.75" thickBot="1" x14ac:dyDescent="0.3">
      <c r="A422" s="545" t="str">
        <f t="shared" si="255"/>
        <v xml:space="preserve"> </v>
      </c>
      <c r="B422" s="371">
        <f t="shared" si="232"/>
        <v>0</v>
      </c>
      <c r="C422" s="21">
        <f t="shared" si="246"/>
        <v>0</v>
      </c>
      <c r="D422" s="21">
        <f t="shared" si="267"/>
        <v>0</v>
      </c>
      <c r="E422" s="21">
        <f t="shared" si="247"/>
        <v>0</v>
      </c>
      <c r="F422" s="371">
        <f t="shared" si="256"/>
        <v>83951.219999999987</v>
      </c>
      <c r="G422" s="371">
        <f t="shared" si="257"/>
        <v>73034.019999999931</v>
      </c>
      <c r="H422" s="371">
        <f t="shared" si="248"/>
        <v>0</v>
      </c>
      <c r="I422" s="452">
        <f t="shared" si="249"/>
        <v>30</v>
      </c>
      <c r="J422" s="371">
        <f t="shared" si="258"/>
        <v>0</v>
      </c>
      <c r="K422" s="371">
        <f t="shared" si="237"/>
        <v>0</v>
      </c>
      <c r="L422" s="371">
        <f t="shared" si="268"/>
        <v>0</v>
      </c>
      <c r="M422" s="371">
        <f t="shared" si="238"/>
        <v>0</v>
      </c>
      <c r="N422" s="371">
        <f t="shared" si="259"/>
        <v>377057.86000000016</v>
      </c>
      <c r="O422" s="371">
        <f t="shared" si="260"/>
        <v>595399.34000000032</v>
      </c>
      <c r="P422" s="371">
        <f t="shared" si="250"/>
        <v>0</v>
      </c>
      <c r="Q422" s="545" t="str">
        <f t="shared" si="251"/>
        <v xml:space="preserve"> </v>
      </c>
      <c r="R422" s="371">
        <f t="shared" si="236"/>
        <v>0</v>
      </c>
      <c r="S422" s="536">
        <f t="shared" si="261"/>
        <v>7.7499999999999999E-2</v>
      </c>
      <c r="T422" s="371">
        <f t="shared" si="252"/>
        <v>0</v>
      </c>
      <c r="U422" s="371">
        <f t="shared" si="239"/>
        <v>0</v>
      </c>
      <c r="V422" s="371">
        <f t="shared" si="253"/>
        <v>0</v>
      </c>
      <c r="W422" s="371">
        <f t="shared" si="269"/>
        <v>0</v>
      </c>
      <c r="X422" s="371">
        <f t="shared" si="269"/>
        <v>0</v>
      </c>
      <c r="Y422" s="371">
        <f t="shared" si="240"/>
        <v>0</v>
      </c>
      <c r="Z422" s="371">
        <f t="shared" si="241"/>
        <v>378976.30999999988</v>
      </c>
      <c r="AA422" s="371">
        <f t="shared" si="242"/>
        <v>237979.58999999985</v>
      </c>
      <c r="AB422" s="371">
        <f t="shared" si="254"/>
        <v>0</v>
      </c>
      <c r="AC422" s="452">
        <f t="shared" si="262"/>
        <v>362</v>
      </c>
      <c r="AD422" s="553">
        <f t="shared" si="263"/>
        <v>355501.3000000001</v>
      </c>
      <c r="AE422" s="553">
        <f t="shared" si="234"/>
        <v>0</v>
      </c>
      <c r="AF422" s="553">
        <f t="shared" si="235"/>
        <v>355501.3000000001</v>
      </c>
      <c r="AG422" s="553">
        <f t="shared" si="264"/>
        <v>0</v>
      </c>
      <c r="AH422" s="553">
        <f t="shared" si="265"/>
        <v>0</v>
      </c>
      <c r="AI422" s="553"/>
      <c r="AJ422" s="21">
        <f t="shared" si="243"/>
        <v>0</v>
      </c>
      <c r="AK422" s="21">
        <f t="shared" si="244"/>
        <v>0</v>
      </c>
      <c r="AL422" s="553">
        <f>IF(R422&lt;=0,0,+([1]Profit!$B$4+AM421)*$AL$1/12)</f>
        <v>0</v>
      </c>
      <c r="AM422" s="21">
        <f t="shared" si="266"/>
        <v>0</v>
      </c>
    </row>
    <row r="423" spans="1:39" x14ac:dyDescent="0.25">
      <c r="A423" s="542" t="str">
        <f t="shared" si="255"/>
        <v xml:space="preserve"> </v>
      </c>
      <c r="B423" s="298">
        <f t="shared" si="232"/>
        <v>0</v>
      </c>
      <c r="C423" s="14">
        <f t="shared" si="246"/>
        <v>0</v>
      </c>
      <c r="D423" s="14">
        <f t="shared" si="267"/>
        <v>0</v>
      </c>
      <c r="E423" s="14">
        <f t="shared" si="247"/>
        <v>0</v>
      </c>
      <c r="F423" s="298">
        <f t="shared" si="256"/>
        <v>83951.219999999987</v>
      </c>
      <c r="G423" s="298">
        <f t="shared" si="257"/>
        <v>73034.019999999931</v>
      </c>
      <c r="H423" s="298">
        <f t="shared" si="248"/>
        <v>0</v>
      </c>
      <c r="I423" s="451">
        <f t="shared" si="249"/>
        <v>30</v>
      </c>
      <c r="J423" s="298">
        <f t="shared" si="258"/>
        <v>0</v>
      </c>
      <c r="K423" s="298">
        <f t="shared" si="237"/>
        <v>0</v>
      </c>
      <c r="L423" s="298">
        <f t="shared" si="268"/>
        <v>0</v>
      </c>
      <c r="M423" s="298">
        <f t="shared" si="238"/>
        <v>0</v>
      </c>
      <c r="N423" s="298">
        <f t="shared" si="259"/>
        <v>377057.86000000016</v>
      </c>
      <c r="O423" s="298">
        <f t="shared" si="260"/>
        <v>595399.34000000032</v>
      </c>
      <c r="P423" s="298">
        <f t="shared" si="250"/>
        <v>0</v>
      </c>
      <c r="Q423" s="542" t="str">
        <f t="shared" si="251"/>
        <v xml:space="preserve"> </v>
      </c>
      <c r="R423" s="298">
        <f t="shared" si="236"/>
        <v>0</v>
      </c>
      <c r="S423" s="535">
        <f t="shared" si="261"/>
        <v>7.7499999999999999E-2</v>
      </c>
      <c r="T423" s="298">
        <f t="shared" si="252"/>
        <v>0</v>
      </c>
      <c r="U423" s="298">
        <f t="shared" si="239"/>
        <v>0</v>
      </c>
      <c r="V423" s="298">
        <f t="shared" si="253"/>
        <v>0</v>
      </c>
      <c r="W423" s="298">
        <f t="shared" si="269"/>
        <v>0</v>
      </c>
      <c r="X423" s="298">
        <f t="shared" si="269"/>
        <v>0</v>
      </c>
      <c r="Y423" s="298">
        <f t="shared" si="240"/>
        <v>0</v>
      </c>
      <c r="Z423" s="298">
        <f t="shared" si="241"/>
        <v>378976.30999999988</v>
      </c>
      <c r="AA423" s="298">
        <f t="shared" si="242"/>
        <v>237979.58999999985</v>
      </c>
      <c r="AB423" s="298">
        <f t="shared" si="254"/>
        <v>0</v>
      </c>
      <c r="AC423" s="451">
        <f t="shared" si="262"/>
        <v>363</v>
      </c>
      <c r="AD423" s="552">
        <f t="shared" si="263"/>
        <v>355501.3000000001</v>
      </c>
      <c r="AE423" s="552">
        <f t="shared" si="234"/>
        <v>0</v>
      </c>
      <c r="AF423" s="552">
        <f t="shared" si="235"/>
        <v>355501.3000000001</v>
      </c>
      <c r="AG423" s="552">
        <f t="shared" si="264"/>
        <v>0</v>
      </c>
      <c r="AH423" s="552">
        <f t="shared" si="265"/>
        <v>0</v>
      </c>
      <c r="AI423" s="552"/>
      <c r="AJ423" s="14">
        <f t="shared" si="243"/>
        <v>0</v>
      </c>
      <c r="AK423" s="14">
        <f t="shared" si="244"/>
        <v>0</v>
      </c>
      <c r="AL423" s="552">
        <f>IF(R423&lt;=0,0,+([1]Profit!$B$4+AM422)*$AL$1/12)</f>
        <v>0</v>
      </c>
      <c r="AM423" s="14">
        <f t="shared" si="266"/>
        <v>0</v>
      </c>
    </row>
    <row r="424" spans="1:39" x14ac:dyDescent="0.25">
      <c r="A424" s="542" t="str">
        <f t="shared" si="255"/>
        <v xml:space="preserve"> </v>
      </c>
      <c r="B424" s="298">
        <f t="shared" si="232"/>
        <v>0</v>
      </c>
      <c r="C424" s="14">
        <f t="shared" si="246"/>
        <v>0</v>
      </c>
      <c r="D424" s="14">
        <f t="shared" si="267"/>
        <v>0</v>
      </c>
      <c r="E424" s="14">
        <f t="shared" si="247"/>
        <v>0</v>
      </c>
      <c r="F424" s="298">
        <f t="shared" si="256"/>
        <v>83951.219999999987</v>
      </c>
      <c r="G424" s="298">
        <f t="shared" si="257"/>
        <v>73034.019999999931</v>
      </c>
      <c r="H424" s="298">
        <f t="shared" si="248"/>
        <v>0</v>
      </c>
      <c r="I424" s="451">
        <f t="shared" si="249"/>
        <v>30</v>
      </c>
      <c r="J424" s="298">
        <f t="shared" si="258"/>
        <v>0</v>
      </c>
      <c r="K424" s="298">
        <f t="shared" si="237"/>
        <v>0</v>
      </c>
      <c r="L424" s="298">
        <f t="shared" si="268"/>
        <v>0</v>
      </c>
      <c r="M424" s="298">
        <f t="shared" si="238"/>
        <v>0</v>
      </c>
      <c r="N424" s="298">
        <f t="shared" si="259"/>
        <v>377057.86000000016</v>
      </c>
      <c r="O424" s="298">
        <f t="shared" si="260"/>
        <v>595399.34000000032</v>
      </c>
      <c r="P424" s="298">
        <f t="shared" si="250"/>
        <v>0</v>
      </c>
      <c r="Q424" s="542" t="str">
        <f t="shared" si="251"/>
        <v xml:space="preserve"> </v>
      </c>
      <c r="R424" s="298">
        <f t="shared" si="236"/>
        <v>0</v>
      </c>
      <c r="S424" s="535">
        <f t="shared" si="261"/>
        <v>7.7499999999999999E-2</v>
      </c>
      <c r="T424" s="298">
        <f t="shared" si="252"/>
        <v>0</v>
      </c>
      <c r="U424" s="298">
        <f t="shared" si="239"/>
        <v>0</v>
      </c>
      <c r="V424" s="298">
        <f t="shared" si="253"/>
        <v>0</v>
      </c>
      <c r="W424" s="298">
        <f t="shared" si="269"/>
        <v>0</v>
      </c>
      <c r="X424" s="298">
        <f t="shared" si="269"/>
        <v>0</v>
      </c>
      <c r="Y424" s="298">
        <f t="shared" si="240"/>
        <v>0</v>
      </c>
      <c r="Z424" s="298">
        <f t="shared" si="241"/>
        <v>378976.30999999988</v>
      </c>
      <c r="AA424" s="298">
        <f t="shared" si="242"/>
        <v>237979.58999999985</v>
      </c>
      <c r="AB424" s="298">
        <f t="shared" si="254"/>
        <v>0</v>
      </c>
      <c r="AC424" s="451">
        <f t="shared" si="262"/>
        <v>364</v>
      </c>
      <c r="AD424" s="552">
        <f t="shared" si="263"/>
        <v>355501.3000000001</v>
      </c>
      <c r="AE424" s="552">
        <f t="shared" si="234"/>
        <v>0</v>
      </c>
      <c r="AF424" s="552">
        <f t="shared" si="235"/>
        <v>355501.3000000001</v>
      </c>
      <c r="AG424" s="552">
        <f t="shared" si="264"/>
        <v>0</v>
      </c>
      <c r="AH424" s="552">
        <f t="shared" si="265"/>
        <v>0</v>
      </c>
      <c r="AI424" s="552"/>
      <c r="AJ424" s="14">
        <f t="shared" si="243"/>
        <v>0</v>
      </c>
      <c r="AK424" s="14">
        <f t="shared" si="244"/>
        <v>0</v>
      </c>
      <c r="AL424" s="552">
        <f>IF(R424&lt;=0,0,+([1]Profit!$B$4+AM423)*$AL$1/12)</f>
        <v>0</v>
      </c>
      <c r="AM424" s="14">
        <f t="shared" si="266"/>
        <v>0</v>
      </c>
    </row>
    <row r="425" spans="1:39" x14ac:dyDescent="0.25">
      <c r="A425" s="542" t="str">
        <f t="shared" si="255"/>
        <v xml:space="preserve"> </v>
      </c>
      <c r="B425" s="298">
        <f t="shared" si="232"/>
        <v>0</v>
      </c>
      <c r="C425" s="14">
        <f t="shared" si="246"/>
        <v>0</v>
      </c>
      <c r="D425" s="14">
        <f t="shared" si="267"/>
        <v>0</v>
      </c>
      <c r="E425" s="14">
        <f t="shared" si="247"/>
        <v>0</v>
      </c>
      <c r="F425" s="298">
        <f t="shared" si="256"/>
        <v>83951.219999999987</v>
      </c>
      <c r="G425" s="298">
        <f t="shared" si="257"/>
        <v>73034.019999999931</v>
      </c>
      <c r="H425" s="298">
        <f t="shared" si="248"/>
        <v>0</v>
      </c>
      <c r="I425" s="451">
        <f t="shared" si="249"/>
        <v>30</v>
      </c>
      <c r="J425" s="298">
        <f t="shared" si="258"/>
        <v>0</v>
      </c>
      <c r="K425" s="298">
        <f t="shared" si="237"/>
        <v>0</v>
      </c>
      <c r="L425" s="298">
        <f t="shared" si="268"/>
        <v>0</v>
      </c>
      <c r="M425" s="298">
        <f t="shared" si="238"/>
        <v>0</v>
      </c>
      <c r="N425" s="298">
        <f t="shared" si="259"/>
        <v>377057.86000000016</v>
      </c>
      <c r="O425" s="298">
        <f t="shared" si="260"/>
        <v>595399.34000000032</v>
      </c>
      <c r="P425" s="298">
        <f t="shared" si="250"/>
        <v>0</v>
      </c>
      <c r="Q425" s="542" t="str">
        <f t="shared" si="251"/>
        <v xml:space="preserve"> </v>
      </c>
      <c r="R425" s="298">
        <f t="shared" si="236"/>
        <v>0</v>
      </c>
      <c r="S425" s="535">
        <f t="shared" si="261"/>
        <v>7.7499999999999999E-2</v>
      </c>
      <c r="T425" s="298">
        <f t="shared" si="252"/>
        <v>0</v>
      </c>
      <c r="U425" s="298">
        <f t="shared" si="239"/>
        <v>0</v>
      </c>
      <c r="V425" s="298">
        <f t="shared" si="253"/>
        <v>0</v>
      </c>
      <c r="W425" s="298">
        <f t="shared" si="269"/>
        <v>0</v>
      </c>
      <c r="X425" s="298">
        <f t="shared" si="269"/>
        <v>0</v>
      </c>
      <c r="Y425" s="298">
        <f t="shared" si="240"/>
        <v>0</v>
      </c>
      <c r="Z425" s="298">
        <f t="shared" si="241"/>
        <v>378976.30999999988</v>
      </c>
      <c r="AA425" s="298">
        <f t="shared" si="242"/>
        <v>237979.58999999985</v>
      </c>
      <c r="AB425" s="298">
        <f t="shared" si="254"/>
        <v>0</v>
      </c>
      <c r="AC425" s="451">
        <f t="shared" si="262"/>
        <v>365</v>
      </c>
      <c r="AD425" s="552">
        <f t="shared" si="263"/>
        <v>355501.3000000001</v>
      </c>
      <c r="AE425" s="552">
        <f t="shared" si="234"/>
        <v>0</v>
      </c>
      <c r="AF425" s="552">
        <f t="shared" si="235"/>
        <v>355501.3000000001</v>
      </c>
      <c r="AG425" s="552">
        <f t="shared" si="264"/>
        <v>0</v>
      </c>
      <c r="AH425" s="552">
        <f t="shared" si="265"/>
        <v>0</v>
      </c>
      <c r="AI425" s="552"/>
      <c r="AJ425" s="14">
        <f t="shared" si="243"/>
        <v>0</v>
      </c>
      <c r="AK425" s="14">
        <f t="shared" si="244"/>
        <v>0</v>
      </c>
      <c r="AL425" s="552">
        <f>IF(R425&lt;=0,0,+([1]Profit!$B$4+AM424)*$AL$1/12)</f>
        <v>0</v>
      </c>
      <c r="AM425" s="14">
        <f t="shared" si="266"/>
        <v>0</v>
      </c>
    </row>
    <row r="426" spans="1:39" x14ac:dyDescent="0.25">
      <c r="A426" s="542" t="str">
        <f t="shared" si="255"/>
        <v xml:space="preserve"> </v>
      </c>
      <c r="B426" s="298">
        <f t="shared" si="232"/>
        <v>0</v>
      </c>
      <c r="C426" s="14">
        <f t="shared" si="246"/>
        <v>0</v>
      </c>
      <c r="D426" s="14">
        <f t="shared" si="267"/>
        <v>0</v>
      </c>
      <c r="E426" s="14">
        <f t="shared" si="247"/>
        <v>0</v>
      </c>
      <c r="F426" s="298">
        <f t="shared" si="256"/>
        <v>83951.219999999987</v>
      </c>
      <c r="G426" s="298">
        <f t="shared" si="257"/>
        <v>73034.019999999931</v>
      </c>
      <c r="H426" s="298">
        <f t="shared" si="248"/>
        <v>0</v>
      </c>
      <c r="I426" s="451">
        <f t="shared" si="249"/>
        <v>30</v>
      </c>
      <c r="J426" s="298">
        <f t="shared" si="258"/>
        <v>0</v>
      </c>
      <c r="K426" s="298">
        <f t="shared" si="237"/>
        <v>0</v>
      </c>
      <c r="L426" s="298">
        <f t="shared" si="268"/>
        <v>0</v>
      </c>
      <c r="M426" s="298">
        <f t="shared" si="238"/>
        <v>0</v>
      </c>
      <c r="N426" s="298">
        <f t="shared" si="259"/>
        <v>377057.86000000016</v>
      </c>
      <c r="O426" s="298">
        <f t="shared" si="260"/>
        <v>595399.34000000032</v>
      </c>
      <c r="P426" s="298">
        <f t="shared" si="250"/>
        <v>0</v>
      </c>
      <c r="Q426" s="542" t="str">
        <f t="shared" si="251"/>
        <v xml:space="preserve"> </v>
      </c>
      <c r="R426" s="298">
        <f t="shared" si="236"/>
        <v>0</v>
      </c>
      <c r="S426" s="535">
        <f t="shared" si="261"/>
        <v>7.7499999999999999E-2</v>
      </c>
      <c r="T426" s="298">
        <f t="shared" si="252"/>
        <v>0</v>
      </c>
      <c r="U426" s="298">
        <f t="shared" si="239"/>
        <v>0</v>
      </c>
      <c r="V426" s="298">
        <f t="shared" si="253"/>
        <v>0</v>
      </c>
      <c r="W426" s="298">
        <f t="shared" si="269"/>
        <v>0</v>
      </c>
      <c r="X426" s="298">
        <f t="shared" si="269"/>
        <v>0</v>
      </c>
      <c r="Y426" s="298">
        <f t="shared" si="240"/>
        <v>0</v>
      </c>
      <c r="Z426" s="298">
        <f t="shared" si="241"/>
        <v>378976.30999999988</v>
      </c>
      <c r="AA426" s="298">
        <f t="shared" si="242"/>
        <v>237979.58999999985</v>
      </c>
      <c r="AB426" s="298">
        <f t="shared" si="254"/>
        <v>0</v>
      </c>
      <c r="AC426" s="451">
        <f t="shared" si="262"/>
        <v>366</v>
      </c>
      <c r="AD426" s="552">
        <f t="shared" si="263"/>
        <v>355501.3000000001</v>
      </c>
      <c r="AE426" s="552">
        <f t="shared" si="234"/>
        <v>0</v>
      </c>
      <c r="AF426" s="552">
        <f t="shared" si="235"/>
        <v>355501.3000000001</v>
      </c>
      <c r="AG426" s="552">
        <f t="shared" si="264"/>
        <v>0</v>
      </c>
      <c r="AH426" s="552">
        <f t="shared" si="265"/>
        <v>0</v>
      </c>
      <c r="AI426" s="552"/>
      <c r="AJ426" s="14">
        <f t="shared" si="243"/>
        <v>0</v>
      </c>
      <c r="AK426" s="14">
        <f t="shared" si="244"/>
        <v>0</v>
      </c>
      <c r="AL426" s="552">
        <f>IF(R426&lt;=0,0,+([1]Profit!$B$4+AM425)*$AL$1/12)</f>
        <v>0</v>
      </c>
      <c r="AM426" s="14">
        <f t="shared" si="266"/>
        <v>0</v>
      </c>
    </row>
    <row r="427" spans="1:39" x14ac:dyDescent="0.25">
      <c r="A427" s="542" t="str">
        <f t="shared" si="255"/>
        <v xml:space="preserve"> </v>
      </c>
      <c r="B427" s="298">
        <f t="shared" si="232"/>
        <v>0</v>
      </c>
      <c r="C427" s="14">
        <f t="shared" si="246"/>
        <v>0</v>
      </c>
      <c r="D427" s="14">
        <f t="shared" si="267"/>
        <v>0</v>
      </c>
      <c r="E427" s="14">
        <f t="shared" si="247"/>
        <v>0</v>
      </c>
      <c r="F427" s="298">
        <f t="shared" si="256"/>
        <v>83951.219999999987</v>
      </c>
      <c r="G427" s="298">
        <f t="shared" si="257"/>
        <v>73034.019999999931</v>
      </c>
      <c r="H427" s="298">
        <f t="shared" si="248"/>
        <v>0</v>
      </c>
      <c r="I427" s="451">
        <f t="shared" si="249"/>
        <v>30</v>
      </c>
      <c r="J427" s="298">
        <f t="shared" si="258"/>
        <v>0</v>
      </c>
      <c r="K427" s="298">
        <f t="shared" si="237"/>
        <v>0</v>
      </c>
      <c r="L427" s="298">
        <f t="shared" si="268"/>
        <v>0</v>
      </c>
      <c r="M427" s="298">
        <f t="shared" si="238"/>
        <v>0</v>
      </c>
      <c r="N427" s="298">
        <f t="shared" si="259"/>
        <v>377057.86000000016</v>
      </c>
      <c r="O427" s="298">
        <f t="shared" si="260"/>
        <v>595399.34000000032</v>
      </c>
      <c r="P427" s="298">
        <f t="shared" si="250"/>
        <v>0</v>
      </c>
      <c r="Q427" s="542" t="str">
        <f t="shared" si="251"/>
        <v xml:space="preserve"> </v>
      </c>
      <c r="R427" s="298">
        <f t="shared" si="236"/>
        <v>0</v>
      </c>
      <c r="S427" s="535">
        <f t="shared" si="261"/>
        <v>7.7499999999999999E-2</v>
      </c>
      <c r="T427" s="298">
        <f t="shared" si="252"/>
        <v>0</v>
      </c>
      <c r="U427" s="298">
        <f t="shared" si="239"/>
        <v>0</v>
      </c>
      <c r="V427" s="298">
        <f t="shared" si="253"/>
        <v>0</v>
      </c>
      <c r="W427" s="298">
        <f t="shared" si="269"/>
        <v>0</v>
      </c>
      <c r="X427" s="298">
        <f t="shared" si="269"/>
        <v>0</v>
      </c>
      <c r="Y427" s="298">
        <f t="shared" si="240"/>
        <v>0</v>
      </c>
      <c r="Z427" s="298">
        <f t="shared" si="241"/>
        <v>378976.30999999988</v>
      </c>
      <c r="AA427" s="298">
        <f t="shared" si="242"/>
        <v>237979.58999999985</v>
      </c>
      <c r="AB427" s="298">
        <f t="shared" si="254"/>
        <v>0</v>
      </c>
      <c r="AC427" s="451">
        <f t="shared" si="262"/>
        <v>367</v>
      </c>
      <c r="AD427" s="552">
        <f t="shared" si="263"/>
        <v>355501.3000000001</v>
      </c>
      <c r="AE427" s="552">
        <f t="shared" si="234"/>
        <v>0</v>
      </c>
      <c r="AF427" s="552">
        <f t="shared" si="235"/>
        <v>355501.3000000001</v>
      </c>
      <c r="AG427" s="552">
        <f t="shared" si="264"/>
        <v>0</v>
      </c>
      <c r="AH427" s="552">
        <f t="shared" si="265"/>
        <v>0</v>
      </c>
      <c r="AI427" s="552"/>
      <c r="AJ427" s="14">
        <f t="shared" si="243"/>
        <v>0</v>
      </c>
      <c r="AK427" s="14">
        <f t="shared" si="244"/>
        <v>0</v>
      </c>
      <c r="AL427" s="552">
        <f>IF(R427&lt;=0,0,+([1]Profit!$B$4+AM426)*$AL$1/12)</f>
        <v>0</v>
      </c>
      <c r="AM427" s="14">
        <f t="shared" si="266"/>
        <v>0</v>
      </c>
    </row>
    <row r="428" spans="1:39" x14ac:dyDescent="0.25">
      <c r="A428" s="542" t="str">
        <f t="shared" si="255"/>
        <v xml:space="preserve"> </v>
      </c>
      <c r="B428" s="298">
        <f t="shared" si="232"/>
        <v>0</v>
      </c>
      <c r="C428" s="14">
        <f t="shared" si="246"/>
        <v>0</v>
      </c>
      <c r="D428" s="14">
        <f t="shared" si="267"/>
        <v>0</v>
      </c>
      <c r="E428" s="14">
        <f t="shared" si="247"/>
        <v>0</v>
      </c>
      <c r="F428" s="298">
        <f t="shared" si="256"/>
        <v>83951.219999999987</v>
      </c>
      <c r="G428" s="298">
        <f t="shared" si="257"/>
        <v>73034.019999999931</v>
      </c>
      <c r="H428" s="298">
        <f t="shared" si="248"/>
        <v>0</v>
      </c>
      <c r="I428" s="451">
        <f t="shared" si="249"/>
        <v>30</v>
      </c>
      <c r="J428" s="298">
        <f t="shared" si="258"/>
        <v>0</v>
      </c>
      <c r="K428" s="298">
        <f t="shared" si="237"/>
        <v>0</v>
      </c>
      <c r="L428" s="298">
        <f t="shared" si="268"/>
        <v>0</v>
      </c>
      <c r="M428" s="298">
        <f t="shared" si="238"/>
        <v>0</v>
      </c>
      <c r="N428" s="298">
        <f t="shared" si="259"/>
        <v>377057.86000000016</v>
      </c>
      <c r="O428" s="298">
        <f t="shared" si="260"/>
        <v>595399.34000000032</v>
      </c>
      <c r="P428" s="298">
        <f t="shared" si="250"/>
        <v>0</v>
      </c>
      <c r="Q428" s="542" t="str">
        <f t="shared" si="251"/>
        <v xml:space="preserve"> </v>
      </c>
      <c r="R428" s="298">
        <f t="shared" si="236"/>
        <v>0</v>
      </c>
      <c r="S428" s="535">
        <f t="shared" si="261"/>
        <v>7.7499999999999999E-2</v>
      </c>
      <c r="T428" s="298">
        <f t="shared" si="252"/>
        <v>0</v>
      </c>
      <c r="U428" s="298">
        <f t="shared" si="239"/>
        <v>0</v>
      </c>
      <c r="V428" s="298">
        <f t="shared" si="253"/>
        <v>0</v>
      </c>
      <c r="W428" s="298">
        <f t="shared" ref="W428:X443" si="270">+W427</f>
        <v>0</v>
      </c>
      <c r="X428" s="298">
        <f t="shared" si="270"/>
        <v>0</v>
      </c>
      <c r="Y428" s="298">
        <f t="shared" si="240"/>
        <v>0</v>
      </c>
      <c r="Z428" s="298">
        <f t="shared" si="241"/>
        <v>378976.30999999988</v>
      </c>
      <c r="AA428" s="298">
        <f t="shared" si="242"/>
        <v>237979.58999999985</v>
      </c>
      <c r="AB428" s="298">
        <f t="shared" si="254"/>
        <v>0</v>
      </c>
      <c r="AC428" s="451">
        <f t="shared" si="262"/>
        <v>368</v>
      </c>
      <c r="AD428" s="552">
        <f t="shared" si="263"/>
        <v>355501.3000000001</v>
      </c>
      <c r="AE428" s="552">
        <f t="shared" si="234"/>
        <v>0</v>
      </c>
      <c r="AF428" s="552">
        <f t="shared" si="235"/>
        <v>355501.3000000001</v>
      </c>
      <c r="AG428" s="552">
        <f t="shared" si="264"/>
        <v>0</v>
      </c>
      <c r="AH428" s="552">
        <f t="shared" si="265"/>
        <v>0</v>
      </c>
      <c r="AI428" s="552"/>
      <c r="AJ428" s="14">
        <f t="shared" si="243"/>
        <v>0</v>
      </c>
      <c r="AK428" s="14">
        <f t="shared" si="244"/>
        <v>0</v>
      </c>
      <c r="AL428" s="552">
        <f>IF(R428&lt;=0,0,+([1]Profit!$B$4+AM427)*$AL$1/12)</f>
        <v>0</v>
      </c>
      <c r="AM428" s="14">
        <f t="shared" si="266"/>
        <v>0</v>
      </c>
    </row>
    <row r="429" spans="1:39" x14ac:dyDescent="0.25">
      <c r="A429" s="542" t="str">
        <f t="shared" si="255"/>
        <v xml:space="preserve"> </v>
      </c>
      <c r="B429" s="298">
        <f t="shared" si="232"/>
        <v>0</v>
      </c>
      <c r="C429" s="14">
        <f t="shared" si="246"/>
        <v>0</v>
      </c>
      <c r="D429" s="14">
        <f t="shared" si="267"/>
        <v>0</v>
      </c>
      <c r="E429" s="14">
        <f t="shared" si="247"/>
        <v>0</v>
      </c>
      <c r="F429" s="298">
        <f t="shared" si="256"/>
        <v>83951.219999999987</v>
      </c>
      <c r="G429" s="298">
        <f t="shared" si="257"/>
        <v>73034.019999999931</v>
      </c>
      <c r="H429" s="298">
        <f t="shared" si="248"/>
        <v>0</v>
      </c>
      <c r="I429" s="451">
        <f t="shared" si="249"/>
        <v>30</v>
      </c>
      <c r="J429" s="298">
        <f t="shared" si="258"/>
        <v>0</v>
      </c>
      <c r="K429" s="298">
        <f t="shared" si="237"/>
        <v>0</v>
      </c>
      <c r="L429" s="298">
        <f t="shared" si="268"/>
        <v>0</v>
      </c>
      <c r="M429" s="298">
        <f t="shared" si="238"/>
        <v>0</v>
      </c>
      <c r="N429" s="298">
        <f t="shared" si="259"/>
        <v>377057.86000000016</v>
      </c>
      <c r="O429" s="298">
        <f t="shared" si="260"/>
        <v>595399.34000000032</v>
      </c>
      <c r="P429" s="298">
        <f t="shared" si="250"/>
        <v>0</v>
      </c>
      <c r="Q429" s="542" t="str">
        <f t="shared" si="251"/>
        <v xml:space="preserve"> </v>
      </c>
      <c r="R429" s="298">
        <f t="shared" si="236"/>
        <v>0</v>
      </c>
      <c r="S429" s="535">
        <f t="shared" si="261"/>
        <v>7.7499999999999999E-2</v>
      </c>
      <c r="T429" s="298">
        <f t="shared" si="252"/>
        <v>0</v>
      </c>
      <c r="U429" s="298">
        <f t="shared" si="239"/>
        <v>0</v>
      </c>
      <c r="V429" s="298">
        <f t="shared" si="253"/>
        <v>0</v>
      </c>
      <c r="W429" s="298">
        <f t="shared" si="270"/>
        <v>0</v>
      </c>
      <c r="X429" s="298">
        <f t="shared" si="270"/>
        <v>0</v>
      </c>
      <c r="Y429" s="298">
        <f t="shared" si="240"/>
        <v>0</v>
      </c>
      <c r="Z429" s="298">
        <f t="shared" si="241"/>
        <v>378976.30999999988</v>
      </c>
      <c r="AA429" s="298">
        <f t="shared" si="242"/>
        <v>237979.58999999985</v>
      </c>
      <c r="AB429" s="298">
        <f t="shared" si="254"/>
        <v>0</v>
      </c>
      <c r="AC429" s="451">
        <f t="shared" si="262"/>
        <v>369</v>
      </c>
      <c r="AD429" s="552">
        <f t="shared" si="263"/>
        <v>355501.3000000001</v>
      </c>
      <c r="AE429" s="552">
        <f t="shared" si="234"/>
        <v>0</v>
      </c>
      <c r="AF429" s="552">
        <f t="shared" si="235"/>
        <v>355501.3000000001</v>
      </c>
      <c r="AG429" s="552">
        <f t="shared" si="264"/>
        <v>0</v>
      </c>
      <c r="AH429" s="552">
        <f t="shared" si="265"/>
        <v>0</v>
      </c>
      <c r="AI429" s="552"/>
      <c r="AJ429" s="14">
        <f t="shared" si="243"/>
        <v>0</v>
      </c>
      <c r="AK429" s="14">
        <f t="shared" si="244"/>
        <v>0</v>
      </c>
      <c r="AL429" s="552">
        <f>IF(R429&lt;=0,0,+([1]Profit!$B$4+AM428)*$AL$1/12)</f>
        <v>0</v>
      </c>
      <c r="AM429" s="14">
        <f t="shared" si="266"/>
        <v>0</v>
      </c>
    </row>
    <row r="430" spans="1:39" x14ac:dyDescent="0.25">
      <c r="A430" s="542" t="str">
        <f t="shared" si="255"/>
        <v xml:space="preserve"> </v>
      </c>
      <c r="B430" s="298">
        <f t="shared" si="232"/>
        <v>0</v>
      </c>
      <c r="C430" s="14">
        <f t="shared" si="246"/>
        <v>0</v>
      </c>
      <c r="D430" s="14">
        <f t="shared" si="267"/>
        <v>0</v>
      </c>
      <c r="E430" s="14">
        <f t="shared" si="247"/>
        <v>0</v>
      </c>
      <c r="F430" s="298">
        <f t="shared" si="256"/>
        <v>83951.219999999987</v>
      </c>
      <c r="G430" s="298">
        <f t="shared" si="257"/>
        <v>73034.019999999931</v>
      </c>
      <c r="H430" s="298">
        <f t="shared" si="248"/>
        <v>0</v>
      </c>
      <c r="I430" s="451">
        <f t="shared" si="249"/>
        <v>30</v>
      </c>
      <c r="J430" s="298">
        <f t="shared" si="258"/>
        <v>0</v>
      </c>
      <c r="K430" s="298">
        <f t="shared" si="237"/>
        <v>0</v>
      </c>
      <c r="L430" s="298">
        <f t="shared" si="268"/>
        <v>0</v>
      </c>
      <c r="M430" s="298">
        <f t="shared" si="238"/>
        <v>0</v>
      </c>
      <c r="N430" s="298">
        <f t="shared" si="259"/>
        <v>377057.86000000016</v>
      </c>
      <c r="O430" s="298">
        <f t="shared" si="260"/>
        <v>595399.34000000032</v>
      </c>
      <c r="P430" s="298">
        <f t="shared" si="250"/>
        <v>0</v>
      </c>
      <c r="Q430" s="542" t="str">
        <f t="shared" si="251"/>
        <v xml:space="preserve"> </v>
      </c>
      <c r="R430" s="298">
        <f t="shared" si="236"/>
        <v>0</v>
      </c>
      <c r="S430" s="535">
        <f t="shared" si="261"/>
        <v>7.7499999999999999E-2</v>
      </c>
      <c r="T430" s="298">
        <f t="shared" si="252"/>
        <v>0</v>
      </c>
      <c r="U430" s="298">
        <f t="shared" si="239"/>
        <v>0</v>
      </c>
      <c r="V430" s="298">
        <f t="shared" si="253"/>
        <v>0</v>
      </c>
      <c r="W430" s="298">
        <f t="shared" si="270"/>
        <v>0</v>
      </c>
      <c r="X430" s="298">
        <f t="shared" si="270"/>
        <v>0</v>
      </c>
      <c r="Y430" s="298">
        <f t="shared" si="240"/>
        <v>0</v>
      </c>
      <c r="Z430" s="298">
        <f t="shared" si="241"/>
        <v>378976.30999999988</v>
      </c>
      <c r="AA430" s="298">
        <f t="shared" si="242"/>
        <v>237979.58999999985</v>
      </c>
      <c r="AB430" s="298">
        <f t="shared" si="254"/>
        <v>0</v>
      </c>
      <c r="AC430" s="451">
        <f t="shared" si="262"/>
        <v>370</v>
      </c>
      <c r="AD430" s="552">
        <f t="shared" si="263"/>
        <v>355501.3000000001</v>
      </c>
      <c r="AE430" s="552">
        <f t="shared" si="234"/>
        <v>0</v>
      </c>
      <c r="AF430" s="552">
        <f t="shared" si="235"/>
        <v>355501.3000000001</v>
      </c>
      <c r="AG430" s="552">
        <f t="shared" si="264"/>
        <v>0</v>
      </c>
      <c r="AH430" s="552">
        <f t="shared" si="265"/>
        <v>0</v>
      </c>
      <c r="AI430" s="552"/>
      <c r="AJ430" s="14">
        <f t="shared" si="243"/>
        <v>0</v>
      </c>
      <c r="AK430" s="14">
        <f t="shared" si="244"/>
        <v>0</v>
      </c>
      <c r="AL430" s="552">
        <f>IF(R430&lt;=0,0,+([1]Profit!$B$4+AM429)*$AL$1/12)</f>
        <v>0</v>
      </c>
      <c r="AM430" s="14">
        <f t="shared" si="266"/>
        <v>0</v>
      </c>
    </row>
    <row r="431" spans="1:39" x14ac:dyDescent="0.25">
      <c r="A431" s="542" t="str">
        <f t="shared" si="255"/>
        <v xml:space="preserve"> </v>
      </c>
      <c r="B431" s="298">
        <f t="shared" si="232"/>
        <v>0</v>
      </c>
      <c r="C431" s="14">
        <f t="shared" si="246"/>
        <v>0</v>
      </c>
      <c r="D431" s="14">
        <f t="shared" si="267"/>
        <v>0</v>
      </c>
      <c r="E431" s="14">
        <f t="shared" si="247"/>
        <v>0</v>
      </c>
      <c r="F431" s="298">
        <f t="shared" si="256"/>
        <v>83951.219999999987</v>
      </c>
      <c r="G431" s="298">
        <f t="shared" si="257"/>
        <v>73034.019999999931</v>
      </c>
      <c r="H431" s="298">
        <f t="shared" si="248"/>
        <v>0</v>
      </c>
      <c r="I431" s="451">
        <f t="shared" si="249"/>
        <v>30</v>
      </c>
      <c r="J431" s="298">
        <f t="shared" si="258"/>
        <v>0</v>
      </c>
      <c r="K431" s="298">
        <f t="shared" si="237"/>
        <v>0</v>
      </c>
      <c r="L431" s="298">
        <f t="shared" si="268"/>
        <v>0</v>
      </c>
      <c r="M431" s="298">
        <f t="shared" si="238"/>
        <v>0</v>
      </c>
      <c r="N431" s="298">
        <f t="shared" si="259"/>
        <v>377057.86000000016</v>
      </c>
      <c r="O431" s="298">
        <f t="shared" si="260"/>
        <v>595399.34000000032</v>
      </c>
      <c r="P431" s="298">
        <f t="shared" si="250"/>
        <v>0</v>
      </c>
      <c r="Q431" s="542" t="str">
        <f t="shared" si="251"/>
        <v xml:space="preserve"> </v>
      </c>
      <c r="R431" s="298">
        <f t="shared" si="236"/>
        <v>0</v>
      </c>
      <c r="S431" s="535">
        <f t="shared" si="261"/>
        <v>7.7499999999999999E-2</v>
      </c>
      <c r="T431" s="298">
        <f t="shared" si="252"/>
        <v>0</v>
      </c>
      <c r="U431" s="298">
        <f t="shared" si="239"/>
        <v>0</v>
      </c>
      <c r="V431" s="298">
        <f t="shared" si="253"/>
        <v>0</v>
      </c>
      <c r="W431" s="298">
        <f t="shared" si="270"/>
        <v>0</v>
      </c>
      <c r="X431" s="298">
        <f t="shared" si="270"/>
        <v>0</v>
      </c>
      <c r="Y431" s="298">
        <f t="shared" si="240"/>
        <v>0</v>
      </c>
      <c r="Z431" s="298">
        <f t="shared" si="241"/>
        <v>378976.30999999988</v>
      </c>
      <c r="AA431" s="298">
        <f t="shared" si="242"/>
        <v>237979.58999999985</v>
      </c>
      <c r="AB431" s="298">
        <f t="shared" si="254"/>
        <v>0</v>
      </c>
      <c r="AC431" s="451">
        <f t="shared" si="262"/>
        <v>371</v>
      </c>
      <c r="AD431" s="552">
        <f t="shared" si="263"/>
        <v>355501.3000000001</v>
      </c>
      <c r="AE431" s="552">
        <f t="shared" si="234"/>
        <v>0</v>
      </c>
      <c r="AF431" s="552">
        <f t="shared" si="235"/>
        <v>355501.3000000001</v>
      </c>
      <c r="AG431" s="552">
        <f t="shared" si="264"/>
        <v>0</v>
      </c>
      <c r="AH431" s="552">
        <f t="shared" si="265"/>
        <v>0</v>
      </c>
      <c r="AI431" s="552"/>
      <c r="AJ431" s="14">
        <f t="shared" si="243"/>
        <v>0</v>
      </c>
      <c r="AK431" s="14">
        <f t="shared" si="244"/>
        <v>0</v>
      </c>
      <c r="AL431" s="552">
        <f>IF(R431&lt;=0,0,+([1]Profit!$B$4+AM430)*$AL$1/12)</f>
        <v>0</v>
      </c>
      <c r="AM431" s="14">
        <f t="shared" si="266"/>
        <v>0</v>
      </c>
    </row>
    <row r="432" spans="1:39" x14ac:dyDescent="0.25">
      <c r="A432" s="542" t="str">
        <f t="shared" si="255"/>
        <v xml:space="preserve"> </v>
      </c>
      <c r="B432" s="298">
        <f t="shared" si="232"/>
        <v>0</v>
      </c>
      <c r="C432" s="14">
        <f t="shared" si="246"/>
        <v>0</v>
      </c>
      <c r="D432" s="14">
        <f t="shared" si="267"/>
        <v>0</v>
      </c>
      <c r="E432" s="14">
        <f t="shared" si="247"/>
        <v>0</v>
      </c>
      <c r="F432" s="298">
        <f t="shared" si="256"/>
        <v>83951.219999999987</v>
      </c>
      <c r="G432" s="298">
        <f t="shared" si="257"/>
        <v>73034.019999999931</v>
      </c>
      <c r="H432" s="298">
        <f t="shared" si="248"/>
        <v>0</v>
      </c>
      <c r="I432" s="451">
        <f t="shared" si="249"/>
        <v>31</v>
      </c>
      <c r="J432" s="298">
        <f t="shared" si="258"/>
        <v>0</v>
      </c>
      <c r="K432" s="298">
        <f t="shared" si="237"/>
        <v>0</v>
      </c>
      <c r="L432" s="298">
        <f t="shared" si="268"/>
        <v>0</v>
      </c>
      <c r="M432" s="298">
        <f t="shared" si="238"/>
        <v>0</v>
      </c>
      <c r="N432" s="298">
        <f t="shared" si="259"/>
        <v>377057.86000000016</v>
      </c>
      <c r="O432" s="298">
        <f t="shared" si="260"/>
        <v>595399.34000000032</v>
      </c>
      <c r="P432" s="298">
        <f t="shared" si="250"/>
        <v>0</v>
      </c>
      <c r="Q432" s="542" t="str">
        <f t="shared" si="251"/>
        <v xml:space="preserve"> </v>
      </c>
      <c r="R432" s="298">
        <f t="shared" si="236"/>
        <v>0</v>
      </c>
      <c r="S432" s="535">
        <f t="shared" si="261"/>
        <v>7.7499999999999999E-2</v>
      </c>
      <c r="T432" s="298">
        <f t="shared" si="252"/>
        <v>0</v>
      </c>
      <c r="U432" s="298">
        <f t="shared" si="239"/>
        <v>0</v>
      </c>
      <c r="V432" s="298">
        <f t="shared" si="253"/>
        <v>0</v>
      </c>
      <c r="W432" s="298">
        <f t="shared" si="270"/>
        <v>0</v>
      </c>
      <c r="X432" s="298">
        <f t="shared" si="270"/>
        <v>0</v>
      </c>
      <c r="Y432" s="298">
        <f t="shared" si="240"/>
        <v>0</v>
      </c>
      <c r="Z432" s="298">
        <f t="shared" si="241"/>
        <v>378976.30999999988</v>
      </c>
      <c r="AA432" s="298">
        <f t="shared" si="242"/>
        <v>237979.58999999985</v>
      </c>
      <c r="AB432" s="298">
        <f t="shared" si="254"/>
        <v>0</v>
      </c>
      <c r="AC432" s="451">
        <f t="shared" si="262"/>
        <v>372</v>
      </c>
      <c r="AD432" s="552">
        <f t="shared" si="263"/>
        <v>355501.3000000001</v>
      </c>
      <c r="AE432" s="552">
        <f t="shared" si="234"/>
        <v>0</v>
      </c>
      <c r="AF432" s="552">
        <f t="shared" si="235"/>
        <v>355501.3000000001</v>
      </c>
      <c r="AG432" s="552">
        <f t="shared" si="264"/>
        <v>0</v>
      </c>
      <c r="AH432" s="552">
        <f t="shared" si="265"/>
        <v>0</v>
      </c>
      <c r="AI432" s="552"/>
      <c r="AJ432" s="14">
        <f t="shared" si="243"/>
        <v>0</v>
      </c>
      <c r="AK432" s="14">
        <f t="shared" si="244"/>
        <v>0</v>
      </c>
      <c r="AL432" s="552">
        <f>IF(R432&lt;=0,0,+([1]Profit!$B$4+AM431)*$AL$1/12)</f>
        <v>0</v>
      </c>
      <c r="AM432" s="14">
        <f t="shared" si="266"/>
        <v>0</v>
      </c>
    </row>
    <row r="433" spans="1:39" x14ac:dyDescent="0.25">
      <c r="A433" s="542" t="str">
        <f t="shared" si="255"/>
        <v xml:space="preserve"> </v>
      </c>
      <c r="B433" s="298">
        <f t="shared" si="232"/>
        <v>0</v>
      </c>
      <c r="C433" s="14">
        <f t="shared" si="246"/>
        <v>0</v>
      </c>
      <c r="D433" s="14">
        <f t="shared" si="267"/>
        <v>0</v>
      </c>
      <c r="E433" s="14">
        <f t="shared" si="247"/>
        <v>0</v>
      </c>
      <c r="F433" s="298">
        <f t="shared" si="256"/>
        <v>83951.219999999987</v>
      </c>
      <c r="G433" s="298">
        <f t="shared" si="257"/>
        <v>73034.019999999931</v>
      </c>
      <c r="H433" s="298">
        <f t="shared" si="248"/>
        <v>0</v>
      </c>
      <c r="I433" s="451">
        <f t="shared" si="249"/>
        <v>31</v>
      </c>
      <c r="J433" s="298">
        <f t="shared" si="258"/>
        <v>0</v>
      </c>
      <c r="K433" s="298">
        <f t="shared" si="237"/>
        <v>0</v>
      </c>
      <c r="L433" s="298">
        <f t="shared" si="268"/>
        <v>0</v>
      </c>
      <c r="M433" s="298">
        <f t="shared" si="238"/>
        <v>0</v>
      </c>
      <c r="N433" s="298">
        <f t="shared" si="259"/>
        <v>377057.86000000016</v>
      </c>
      <c r="O433" s="298">
        <f t="shared" si="260"/>
        <v>595399.34000000032</v>
      </c>
      <c r="P433" s="298">
        <f t="shared" si="250"/>
        <v>0</v>
      </c>
      <c r="Q433" s="542" t="str">
        <f t="shared" si="251"/>
        <v xml:space="preserve"> </v>
      </c>
      <c r="R433" s="298">
        <f t="shared" si="236"/>
        <v>0</v>
      </c>
      <c r="S433" s="535">
        <f t="shared" si="261"/>
        <v>7.7499999999999999E-2</v>
      </c>
      <c r="T433" s="298">
        <f t="shared" si="252"/>
        <v>0</v>
      </c>
      <c r="U433" s="298">
        <f t="shared" si="239"/>
        <v>0</v>
      </c>
      <c r="V433" s="298">
        <f t="shared" si="253"/>
        <v>0</v>
      </c>
      <c r="W433" s="298">
        <f t="shared" si="270"/>
        <v>0</v>
      </c>
      <c r="X433" s="298">
        <f t="shared" si="270"/>
        <v>0</v>
      </c>
      <c r="Y433" s="298">
        <f t="shared" si="240"/>
        <v>0</v>
      </c>
      <c r="Z433" s="298">
        <f t="shared" si="241"/>
        <v>378976.30999999988</v>
      </c>
      <c r="AA433" s="298">
        <f t="shared" si="242"/>
        <v>237979.58999999985</v>
      </c>
      <c r="AB433" s="298">
        <f t="shared" si="254"/>
        <v>0</v>
      </c>
      <c r="AC433" s="451">
        <f t="shared" si="262"/>
        <v>373</v>
      </c>
      <c r="AD433" s="552">
        <f t="shared" si="263"/>
        <v>355501.3000000001</v>
      </c>
      <c r="AE433" s="552">
        <f t="shared" si="234"/>
        <v>0</v>
      </c>
      <c r="AF433" s="552">
        <f t="shared" si="235"/>
        <v>355501.3000000001</v>
      </c>
      <c r="AG433" s="552">
        <f t="shared" si="264"/>
        <v>0</v>
      </c>
      <c r="AH433" s="552">
        <f t="shared" si="265"/>
        <v>0</v>
      </c>
      <c r="AI433" s="552"/>
      <c r="AJ433" s="14">
        <f t="shared" si="243"/>
        <v>0</v>
      </c>
      <c r="AK433" s="14">
        <f t="shared" si="244"/>
        <v>0</v>
      </c>
      <c r="AL433" s="552">
        <f>IF(R433&lt;=0,0,+([1]Profit!$B$4+AM432)*$AL$1/12)</f>
        <v>0</v>
      </c>
      <c r="AM433" s="14">
        <f t="shared" si="266"/>
        <v>0</v>
      </c>
    </row>
    <row r="434" spans="1:39" ht="15.75" thickBot="1" x14ac:dyDescent="0.3">
      <c r="A434" s="545" t="str">
        <f t="shared" si="255"/>
        <v xml:space="preserve"> </v>
      </c>
      <c r="B434" s="371">
        <f t="shared" si="232"/>
        <v>0</v>
      </c>
      <c r="C434" s="21">
        <f t="shared" si="246"/>
        <v>0</v>
      </c>
      <c r="D434" s="21">
        <f t="shared" si="267"/>
        <v>0</v>
      </c>
      <c r="E434" s="21">
        <f t="shared" si="247"/>
        <v>0</v>
      </c>
      <c r="F434" s="371">
        <f t="shared" si="256"/>
        <v>83951.219999999987</v>
      </c>
      <c r="G434" s="371">
        <f t="shared" si="257"/>
        <v>73034.019999999931</v>
      </c>
      <c r="H434" s="371">
        <f t="shared" si="248"/>
        <v>0</v>
      </c>
      <c r="I434" s="452">
        <f t="shared" si="249"/>
        <v>31</v>
      </c>
      <c r="J434" s="371">
        <f t="shared" si="258"/>
        <v>0</v>
      </c>
      <c r="K434" s="371">
        <f t="shared" si="237"/>
        <v>0</v>
      </c>
      <c r="L434" s="371">
        <f t="shared" si="268"/>
        <v>0</v>
      </c>
      <c r="M434" s="371">
        <f t="shared" si="238"/>
        <v>0</v>
      </c>
      <c r="N434" s="371">
        <f t="shared" si="259"/>
        <v>377057.86000000016</v>
      </c>
      <c r="O434" s="371">
        <f t="shared" si="260"/>
        <v>595399.34000000032</v>
      </c>
      <c r="P434" s="371">
        <f t="shared" si="250"/>
        <v>0</v>
      </c>
      <c r="Q434" s="545" t="str">
        <f t="shared" si="251"/>
        <v xml:space="preserve"> </v>
      </c>
      <c r="R434" s="371">
        <f t="shared" si="236"/>
        <v>0</v>
      </c>
      <c r="S434" s="536">
        <f t="shared" si="261"/>
        <v>7.7499999999999999E-2</v>
      </c>
      <c r="T434" s="371">
        <f t="shared" si="252"/>
        <v>0</v>
      </c>
      <c r="U434" s="371">
        <f t="shared" si="239"/>
        <v>0</v>
      </c>
      <c r="V434" s="371">
        <f t="shared" si="253"/>
        <v>0</v>
      </c>
      <c r="W434" s="371">
        <f t="shared" si="270"/>
        <v>0</v>
      </c>
      <c r="X434" s="371">
        <f t="shared" si="270"/>
        <v>0</v>
      </c>
      <c r="Y434" s="371">
        <f t="shared" si="240"/>
        <v>0</v>
      </c>
      <c r="Z434" s="371">
        <f t="shared" si="241"/>
        <v>378976.30999999988</v>
      </c>
      <c r="AA434" s="371">
        <f t="shared" si="242"/>
        <v>237979.58999999985</v>
      </c>
      <c r="AB434" s="371">
        <f t="shared" si="254"/>
        <v>0</v>
      </c>
      <c r="AC434" s="452">
        <f t="shared" si="262"/>
        <v>374</v>
      </c>
      <c r="AD434" s="553">
        <f t="shared" si="263"/>
        <v>355501.3000000001</v>
      </c>
      <c r="AE434" s="553">
        <f t="shared" si="234"/>
        <v>0</v>
      </c>
      <c r="AF434" s="553">
        <f t="shared" si="235"/>
        <v>355501.3000000001</v>
      </c>
      <c r="AG434" s="553">
        <f t="shared" si="264"/>
        <v>0</v>
      </c>
      <c r="AH434" s="553">
        <f t="shared" si="265"/>
        <v>0</v>
      </c>
      <c r="AI434" s="553"/>
      <c r="AJ434" s="21">
        <f t="shared" si="243"/>
        <v>0</v>
      </c>
      <c r="AK434" s="21">
        <f t="shared" si="244"/>
        <v>0</v>
      </c>
      <c r="AL434" s="553">
        <f>IF(R434&lt;=0,0,+([1]Profit!$B$4+AM433)*$AL$1/12)</f>
        <v>0</v>
      </c>
      <c r="AM434" s="21">
        <f t="shared" si="266"/>
        <v>0</v>
      </c>
    </row>
    <row r="435" spans="1:39" x14ac:dyDescent="0.25">
      <c r="A435" s="542" t="str">
        <f t="shared" si="255"/>
        <v xml:space="preserve"> </v>
      </c>
      <c r="B435" s="298">
        <f t="shared" si="232"/>
        <v>0</v>
      </c>
      <c r="C435" s="14">
        <f t="shared" si="246"/>
        <v>0</v>
      </c>
      <c r="D435" s="14">
        <f t="shared" si="267"/>
        <v>0</v>
      </c>
      <c r="E435" s="14">
        <f t="shared" si="247"/>
        <v>0</v>
      </c>
      <c r="F435" s="298">
        <f t="shared" si="256"/>
        <v>83951.219999999987</v>
      </c>
      <c r="G435" s="298">
        <f t="shared" si="257"/>
        <v>73034.019999999931</v>
      </c>
      <c r="H435" s="298">
        <f t="shared" si="248"/>
        <v>0</v>
      </c>
      <c r="I435" s="451">
        <f t="shared" si="249"/>
        <v>31</v>
      </c>
      <c r="J435" s="298">
        <f t="shared" si="258"/>
        <v>0</v>
      </c>
      <c r="K435" s="298">
        <f t="shared" si="237"/>
        <v>0</v>
      </c>
      <c r="L435" s="298">
        <f t="shared" si="268"/>
        <v>0</v>
      </c>
      <c r="M435" s="298">
        <f t="shared" si="238"/>
        <v>0</v>
      </c>
      <c r="N435" s="298">
        <f t="shared" si="259"/>
        <v>377057.86000000016</v>
      </c>
      <c r="O435" s="298">
        <f t="shared" si="260"/>
        <v>595399.34000000032</v>
      </c>
      <c r="P435" s="298">
        <f t="shared" si="250"/>
        <v>0</v>
      </c>
      <c r="Q435" s="542" t="str">
        <f t="shared" si="251"/>
        <v xml:space="preserve"> </v>
      </c>
      <c r="R435" s="298">
        <f t="shared" si="236"/>
        <v>0</v>
      </c>
      <c r="S435" s="535">
        <f t="shared" si="261"/>
        <v>7.7499999999999999E-2</v>
      </c>
      <c r="T435" s="298">
        <f t="shared" si="252"/>
        <v>0</v>
      </c>
      <c r="U435" s="298">
        <f t="shared" si="239"/>
        <v>0</v>
      </c>
      <c r="V435" s="298">
        <f t="shared" si="253"/>
        <v>0</v>
      </c>
      <c r="W435" s="298">
        <f t="shared" si="270"/>
        <v>0</v>
      </c>
      <c r="X435" s="298">
        <f t="shared" si="270"/>
        <v>0</v>
      </c>
      <c r="Y435" s="298">
        <f t="shared" si="240"/>
        <v>0</v>
      </c>
      <c r="Z435" s="298">
        <f t="shared" si="241"/>
        <v>378976.30999999988</v>
      </c>
      <c r="AA435" s="298">
        <f t="shared" si="242"/>
        <v>237979.58999999985</v>
      </c>
      <c r="AB435" s="298">
        <f t="shared" si="254"/>
        <v>0</v>
      </c>
      <c r="AC435" s="451">
        <f t="shared" si="262"/>
        <v>375</v>
      </c>
      <c r="AD435" s="552">
        <f t="shared" si="263"/>
        <v>355501.3000000001</v>
      </c>
      <c r="AE435" s="552">
        <f t="shared" si="234"/>
        <v>0</v>
      </c>
      <c r="AF435" s="552">
        <f t="shared" si="235"/>
        <v>355501.3000000001</v>
      </c>
      <c r="AG435" s="552">
        <f t="shared" si="264"/>
        <v>0</v>
      </c>
      <c r="AH435" s="552">
        <f t="shared" si="265"/>
        <v>0</v>
      </c>
      <c r="AI435" s="552"/>
      <c r="AJ435" s="14">
        <f t="shared" si="243"/>
        <v>0</v>
      </c>
      <c r="AK435" s="14">
        <f t="shared" si="244"/>
        <v>0</v>
      </c>
      <c r="AL435" s="552">
        <f>IF(R435&lt;=0,0,+([1]Profit!$B$4+AM434)*$AL$1/12)</f>
        <v>0</v>
      </c>
      <c r="AM435" s="14">
        <f t="shared" si="266"/>
        <v>0</v>
      </c>
    </row>
    <row r="436" spans="1:39" x14ac:dyDescent="0.25">
      <c r="A436" s="542" t="str">
        <f t="shared" si="255"/>
        <v xml:space="preserve"> </v>
      </c>
      <c r="B436" s="298">
        <f t="shared" si="232"/>
        <v>0</v>
      </c>
      <c r="C436" s="14">
        <f t="shared" si="246"/>
        <v>0</v>
      </c>
      <c r="D436" s="14">
        <f t="shared" si="267"/>
        <v>0</v>
      </c>
      <c r="E436" s="14">
        <f t="shared" si="247"/>
        <v>0</v>
      </c>
      <c r="F436" s="298">
        <f t="shared" si="256"/>
        <v>83951.219999999987</v>
      </c>
      <c r="G436" s="298">
        <f t="shared" si="257"/>
        <v>73034.019999999931</v>
      </c>
      <c r="H436" s="298">
        <f t="shared" si="248"/>
        <v>0</v>
      </c>
      <c r="I436" s="451">
        <f t="shared" si="249"/>
        <v>31</v>
      </c>
      <c r="J436" s="298">
        <f t="shared" si="258"/>
        <v>0</v>
      </c>
      <c r="K436" s="298">
        <f t="shared" si="237"/>
        <v>0</v>
      </c>
      <c r="L436" s="298">
        <f t="shared" si="268"/>
        <v>0</v>
      </c>
      <c r="M436" s="298">
        <f t="shared" si="238"/>
        <v>0</v>
      </c>
      <c r="N436" s="298">
        <f t="shared" si="259"/>
        <v>377057.86000000016</v>
      </c>
      <c r="O436" s="298">
        <f t="shared" si="260"/>
        <v>595399.34000000032</v>
      </c>
      <c r="P436" s="298">
        <f t="shared" si="250"/>
        <v>0</v>
      </c>
      <c r="Q436" s="542" t="str">
        <f t="shared" si="251"/>
        <v xml:space="preserve"> </v>
      </c>
      <c r="R436" s="298">
        <f t="shared" si="236"/>
        <v>0</v>
      </c>
      <c r="S436" s="535">
        <f t="shared" si="261"/>
        <v>7.7499999999999999E-2</v>
      </c>
      <c r="T436" s="298">
        <f t="shared" si="252"/>
        <v>0</v>
      </c>
      <c r="U436" s="298">
        <f t="shared" si="239"/>
        <v>0</v>
      </c>
      <c r="V436" s="298">
        <f t="shared" si="253"/>
        <v>0</v>
      </c>
      <c r="W436" s="298">
        <f t="shared" si="270"/>
        <v>0</v>
      </c>
      <c r="X436" s="298">
        <f t="shared" si="270"/>
        <v>0</v>
      </c>
      <c r="Y436" s="298">
        <f t="shared" si="240"/>
        <v>0</v>
      </c>
      <c r="Z436" s="298">
        <f t="shared" si="241"/>
        <v>378976.30999999988</v>
      </c>
      <c r="AA436" s="298">
        <f t="shared" si="242"/>
        <v>237979.58999999985</v>
      </c>
      <c r="AB436" s="298">
        <f t="shared" si="254"/>
        <v>0</v>
      </c>
      <c r="AC436" s="451">
        <f t="shared" si="262"/>
        <v>376</v>
      </c>
      <c r="AD436" s="552">
        <f t="shared" si="263"/>
        <v>355501.3000000001</v>
      </c>
      <c r="AE436" s="552">
        <f t="shared" si="234"/>
        <v>0</v>
      </c>
      <c r="AF436" s="552">
        <f t="shared" si="235"/>
        <v>355501.3000000001</v>
      </c>
      <c r="AG436" s="552">
        <f t="shared" si="264"/>
        <v>0</v>
      </c>
      <c r="AH436" s="552">
        <f t="shared" si="265"/>
        <v>0</v>
      </c>
      <c r="AI436" s="552"/>
      <c r="AJ436" s="14">
        <f t="shared" si="243"/>
        <v>0</v>
      </c>
      <c r="AK436" s="14">
        <f t="shared" si="244"/>
        <v>0</v>
      </c>
      <c r="AL436" s="552">
        <f>IF(R436&lt;=0,0,+([1]Profit!$B$4+AM435)*$AL$1/12)</f>
        <v>0</v>
      </c>
      <c r="AM436" s="14">
        <f t="shared" si="266"/>
        <v>0</v>
      </c>
    </row>
    <row r="437" spans="1:39" x14ac:dyDescent="0.25">
      <c r="A437" s="542" t="str">
        <f t="shared" si="255"/>
        <v xml:space="preserve"> </v>
      </c>
      <c r="B437" s="298">
        <f t="shared" si="232"/>
        <v>0</v>
      </c>
      <c r="C437" s="14">
        <f t="shared" si="246"/>
        <v>0</v>
      </c>
      <c r="D437" s="14">
        <f t="shared" si="267"/>
        <v>0</v>
      </c>
      <c r="E437" s="14">
        <f t="shared" si="247"/>
        <v>0</v>
      </c>
      <c r="F437" s="298">
        <f t="shared" si="256"/>
        <v>83951.219999999987</v>
      </c>
      <c r="G437" s="298">
        <f t="shared" si="257"/>
        <v>73034.019999999931</v>
      </c>
      <c r="H437" s="298">
        <f t="shared" si="248"/>
        <v>0</v>
      </c>
      <c r="I437" s="451">
        <f t="shared" si="249"/>
        <v>31</v>
      </c>
      <c r="J437" s="298">
        <f t="shared" si="258"/>
        <v>0</v>
      </c>
      <c r="K437" s="298">
        <f t="shared" si="237"/>
        <v>0</v>
      </c>
      <c r="L437" s="298">
        <f t="shared" si="268"/>
        <v>0</v>
      </c>
      <c r="M437" s="298">
        <f t="shared" si="238"/>
        <v>0</v>
      </c>
      <c r="N437" s="298">
        <f t="shared" si="259"/>
        <v>377057.86000000016</v>
      </c>
      <c r="O437" s="298">
        <f t="shared" si="260"/>
        <v>595399.34000000032</v>
      </c>
      <c r="P437" s="298">
        <f t="shared" si="250"/>
        <v>0</v>
      </c>
      <c r="Q437" s="542" t="str">
        <f t="shared" si="251"/>
        <v xml:space="preserve"> </v>
      </c>
      <c r="R437" s="298">
        <f t="shared" si="236"/>
        <v>0</v>
      </c>
      <c r="S437" s="535">
        <f t="shared" si="261"/>
        <v>7.7499999999999999E-2</v>
      </c>
      <c r="T437" s="298">
        <f t="shared" si="252"/>
        <v>0</v>
      </c>
      <c r="U437" s="298">
        <f t="shared" si="239"/>
        <v>0</v>
      </c>
      <c r="V437" s="298">
        <f t="shared" si="253"/>
        <v>0</v>
      </c>
      <c r="W437" s="298">
        <f t="shared" si="270"/>
        <v>0</v>
      </c>
      <c r="X437" s="298">
        <f t="shared" si="270"/>
        <v>0</v>
      </c>
      <c r="Y437" s="298">
        <f t="shared" si="240"/>
        <v>0</v>
      </c>
      <c r="Z437" s="298">
        <f t="shared" si="241"/>
        <v>378976.30999999988</v>
      </c>
      <c r="AA437" s="298">
        <f t="shared" si="242"/>
        <v>237979.58999999985</v>
      </c>
      <c r="AB437" s="298">
        <f t="shared" si="254"/>
        <v>0</v>
      </c>
      <c r="AC437" s="451">
        <f t="shared" si="262"/>
        <v>377</v>
      </c>
      <c r="AD437" s="552">
        <f t="shared" si="263"/>
        <v>355501.3000000001</v>
      </c>
      <c r="AE437" s="552">
        <f t="shared" si="234"/>
        <v>0</v>
      </c>
      <c r="AF437" s="552">
        <f t="shared" si="235"/>
        <v>355501.3000000001</v>
      </c>
      <c r="AG437" s="552">
        <f t="shared" si="264"/>
        <v>0</v>
      </c>
      <c r="AH437" s="552">
        <f t="shared" si="265"/>
        <v>0</v>
      </c>
      <c r="AI437" s="552"/>
      <c r="AJ437" s="14">
        <f t="shared" si="243"/>
        <v>0</v>
      </c>
      <c r="AK437" s="14">
        <f t="shared" si="244"/>
        <v>0</v>
      </c>
      <c r="AL437" s="552">
        <f>IF(R437&lt;=0,0,+([1]Profit!$B$4+AM436)*$AL$1/12)</f>
        <v>0</v>
      </c>
      <c r="AM437" s="14">
        <f t="shared" si="266"/>
        <v>0</v>
      </c>
    </row>
    <row r="438" spans="1:39" x14ac:dyDescent="0.25">
      <c r="A438" s="542" t="str">
        <f t="shared" si="255"/>
        <v xml:space="preserve"> </v>
      </c>
      <c r="B438" s="298">
        <f t="shared" si="232"/>
        <v>0</v>
      </c>
      <c r="C438" s="14">
        <f t="shared" si="246"/>
        <v>0</v>
      </c>
      <c r="D438" s="14">
        <f t="shared" si="267"/>
        <v>0</v>
      </c>
      <c r="E438" s="14">
        <f t="shared" si="247"/>
        <v>0</v>
      </c>
      <c r="F438" s="298">
        <f t="shared" si="256"/>
        <v>83951.219999999987</v>
      </c>
      <c r="G438" s="298">
        <f t="shared" si="257"/>
        <v>73034.019999999931</v>
      </c>
      <c r="H438" s="298">
        <f t="shared" si="248"/>
        <v>0</v>
      </c>
      <c r="I438" s="451">
        <f t="shared" si="249"/>
        <v>31</v>
      </c>
      <c r="J438" s="298">
        <f t="shared" si="258"/>
        <v>0</v>
      </c>
      <c r="K438" s="298">
        <f t="shared" si="237"/>
        <v>0</v>
      </c>
      <c r="L438" s="298">
        <f t="shared" si="268"/>
        <v>0</v>
      </c>
      <c r="M438" s="298">
        <f t="shared" si="238"/>
        <v>0</v>
      </c>
      <c r="N438" s="298">
        <f t="shared" si="259"/>
        <v>377057.86000000016</v>
      </c>
      <c r="O438" s="298">
        <f t="shared" si="260"/>
        <v>595399.34000000032</v>
      </c>
      <c r="P438" s="298">
        <f t="shared" si="250"/>
        <v>0</v>
      </c>
      <c r="Q438" s="542" t="str">
        <f t="shared" si="251"/>
        <v xml:space="preserve"> </v>
      </c>
      <c r="R438" s="298">
        <f t="shared" si="236"/>
        <v>0</v>
      </c>
      <c r="S438" s="535">
        <f t="shared" si="261"/>
        <v>7.7499999999999999E-2</v>
      </c>
      <c r="T438" s="298">
        <f t="shared" si="252"/>
        <v>0</v>
      </c>
      <c r="U438" s="298">
        <f t="shared" si="239"/>
        <v>0</v>
      </c>
      <c r="V438" s="298">
        <f t="shared" si="253"/>
        <v>0</v>
      </c>
      <c r="W438" s="298">
        <f t="shared" si="270"/>
        <v>0</v>
      </c>
      <c r="X438" s="298">
        <f t="shared" si="270"/>
        <v>0</v>
      </c>
      <c r="Y438" s="298">
        <f t="shared" si="240"/>
        <v>0</v>
      </c>
      <c r="Z438" s="298">
        <f t="shared" si="241"/>
        <v>378976.30999999988</v>
      </c>
      <c r="AA438" s="298">
        <f t="shared" si="242"/>
        <v>237979.58999999985</v>
      </c>
      <c r="AB438" s="298">
        <f t="shared" si="254"/>
        <v>0</v>
      </c>
      <c r="AC438" s="451">
        <f t="shared" si="262"/>
        <v>378</v>
      </c>
      <c r="AD438" s="552">
        <f t="shared" si="263"/>
        <v>355501.3000000001</v>
      </c>
      <c r="AE438" s="552">
        <f t="shared" si="234"/>
        <v>0</v>
      </c>
      <c r="AF438" s="552">
        <f t="shared" si="235"/>
        <v>355501.3000000001</v>
      </c>
      <c r="AG438" s="552">
        <f t="shared" si="264"/>
        <v>0</v>
      </c>
      <c r="AH438" s="552">
        <f t="shared" si="265"/>
        <v>0</v>
      </c>
      <c r="AI438" s="552"/>
      <c r="AJ438" s="14">
        <f t="shared" si="243"/>
        <v>0</v>
      </c>
      <c r="AK438" s="14">
        <f t="shared" si="244"/>
        <v>0</v>
      </c>
      <c r="AL438" s="552">
        <f>IF(R438&lt;=0,0,+([1]Profit!$B$4+AM437)*$AL$1/12)</f>
        <v>0</v>
      </c>
      <c r="AM438" s="14">
        <f t="shared" si="266"/>
        <v>0</v>
      </c>
    </row>
    <row r="439" spans="1:39" x14ac:dyDescent="0.25">
      <c r="A439" s="542" t="str">
        <f t="shared" si="255"/>
        <v xml:space="preserve"> </v>
      </c>
      <c r="B439" s="298">
        <f t="shared" si="232"/>
        <v>0</v>
      </c>
      <c r="C439" s="14">
        <f t="shared" si="246"/>
        <v>0</v>
      </c>
      <c r="D439" s="14">
        <f t="shared" si="267"/>
        <v>0</v>
      </c>
      <c r="E439" s="14">
        <f t="shared" si="247"/>
        <v>0</v>
      </c>
      <c r="F439" s="298">
        <f t="shared" si="256"/>
        <v>83951.219999999987</v>
      </c>
      <c r="G439" s="298">
        <f t="shared" si="257"/>
        <v>73034.019999999931</v>
      </c>
      <c r="H439" s="298">
        <f t="shared" si="248"/>
        <v>0</v>
      </c>
      <c r="I439" s="451">
        <f t="shared" si="249"/>
        <v>31</v>
      </c>
      <c r="J439" s="298">
        <f t="shared" si="258"/>
        <v>0</v>
      </c>
      <c r="K439" s="298">
        <f t="shared" si="237"/>
        <v>0</v>
      </c>
      <c r="L439" s="298">
        <f t="shared" si="268"/>
        <v>0</v>
      </c>
      <c r="M439" s="298">
        <f t="shared" si="238"/>
        <v>0</v>
      </c>
      <c r="N439" s="298">
        <f t="shared" si="259"/>
        <v>377057.86000000016</v>
      </c>
      <c r="O439" s="298">
        <f t="shared" si="260"/>
        <v>595399.34000000032</v>
      </c>
      <c r="P439" s="298">
        <f t="shared" si="250"/>
        <v>0</v>
      </c>
      <c r="Q439" s="542" t="str">
        <f t="shared" si="251"/>
        <v xml:space="preserve"> </v>
      </c>
      <c r="R439" s="298">
        <f t="shared" si="236"/>
        <v>0</v>
      </c>
      <c r="S439" s="535">
        <f t="shared" si="261"/>
        <v>7.7499999999999999E-2</v>
      </c>
      <c r="T439" s="298">
        <f t="shared" si="252"/>
        <v>0</v>
      </c>
      <c r="U439" s="298">
        <f t="shared" si="239"/>
        <v>0</v>
      </c>
      <c r="V439" s="298">
        <f t="shared" si="253"/>
        <v>0</v>
      </c>
      <c r="W439" s="298">
        <f t="shared" si="270"/>
        <v>0</v>
      </c>
      <c r="X439" s="298">
        <f t="shared" si="270"/>
        <v>0</v>
      </c>
      <c r="Y439" s="298">
        <f t="shared" si="240"/>
        <v>0</v>
      </c>
      <c r="Z439" s="298">
        <f t="shared" si="241"/>
        <v>378976.30999999988</v>
      </c>
      <c r="AA439" s="298">
        <f t="shared" si="242"/>
        <v>237979.58999999985</v>
      </c>
      <c r="AB439" s="298">
        <f t="shared" si="254"/>
        <v>0</v>
      </c>
      <c r="AC439" s="451">
        <f t="shared" si="262"/>
        <v>379</v>
      </c>
      <c r="AD439" s="552">
        <f t="shared" si="263"/>
        <v>355501.3000000001</v>
      </c>
      <c r="AE439" s="552">
        <f t="shared" si="234"/>
        <v>0</v>
      </c>
      <c r="AF439" s="552">
        <f t="shared" si="235"/>
        <v>355501.3000000001</v>
      </c>
      <c r="AG439" s="552">
        <f t="shared" si="264"/>
        <v>0</v>
      </c>
      <c r="AH439" s="552">
        <f t="shared" si="265"/>
        <v>0</v>
      </c>
      <c r="AI439" s="552"/>
      <c r="AJ439" s="14">
        <f t="shared" si="243"/>
        <v>0</v>
      </c>
      <c r="AK439" s="14">
        <f t="shared" si="244"/>
        <v>0</v>
      </c>
      <c r="AL439" s="552">
        <f>IF(R439&lt;=0,0,+([1]Profit!$B$4+AM438)*$AL$1/12)</f>
        <v>0</v>
      </c>
      <c r="AM439" s="14">
        <f t="shared" si="266"/>
        <v>0</v>
      </c>
    </row>
    <row r="440" spans="1:39" x14ac:dyDescent="0.25">
      <c r="A440" s="542" t="str">
        <f t="shared" si="255"/>
        <v xml:space="preserve"> </v>
      </c>
      <c r="B440" s="298">
        <f t="shared" ref="B440:B490" si="271">IF(+H439&lt;0,0,+H439)</f>
        <v>0</v>
      </c>
      <c r="C440" s="14">
        <f t="shared" si="246"/>
        <v>0</v>
      </c>
      <c r="D440" s="14">
        <f t="shared" si="267"/>
        <v>0</v>
      </c>
      <c r="E440" s="14">
        <f t="shared" si="247"/>
        <v>0</v>
      </c>
      <c r="F440" s="298">
        <f t="shared" si="256"/>
        <v>83951.219999999987</v>
      </c>
      <c r="G440" s="298">
        <f t="shared" si="257"/>
        <v>73034.019999999931</v>
      </c>
      <c r="H440" s="298">
        <f t="shared" si="248"/>
        <v>0</v>
      </c>
      <c r="I440" s="451">
        <f t="shared" si="249"/>
        <v>31</v>
      </c>
      <c r="J440" s="298">
        <f t="shared" si="258"/>
        <v>0</v>
      </c>
      <c r="K440" s="298">
        <f t="shared" si="237"/>
        <v>0</v>
      </c>
      <c r="L440" s="298">
        <f t="shared" si="268"/>
        <v>0</v>
      </c>
      <c r="M440" s="298">
        <f t="shared" si="238"/>
        <v>0</v>
      </c>
      <c r="N440" s="298">
        <f t="shared" si="259"/>
        <v>377057.86000000016</v>
      </c>
      <c r="O440" s="298">
        <f t="shared" si="260"/>
        <v>595399.34000000032</v>
      </c>
      <c r="P440" s="298">
        <f t="shared" si="250"/>
        <v>0</v>
      </c>
      <c r="Q440" s="542" t="str">
        <f t="shared" si="251"/>
        <v xml:space="preserve"> </v>
      </c>
      <c r="R440" s="298">
        <f t="shared" si="236"/>
        <v>0</v>
      </c>
      <c r="S440" s="535">
        <f t="shared" si="261"/>
        <v>7.7499999999999999E-2</v>
      </c>
      <c r="T440" s="298">
        <f t="shared" si="252"/>
        <v>0</v>
      </c>
      <c r="U440" s="298">
        <f t="shared" si="239"/>
        <v>0</v>
      </c>
      <c r="V440" s="298">
        <f t="shared" si="253"/>
        <v>0</v>
      </c>
      <c r="W440" s="298">
        <f t="shared" si="270"/>
        <v>0</v>
      </c>
      <c r="X440" s="298">
        <f t="shared" si="270"/>
        <v>0</v>
      </c>
      <c r="Y440" s="298">
        <f t="shared" si="240"/>
        <v>0</v>
      </c>
      <c r="Z440" s="298">
        <f t="shared" si="241"/>
        <v>378976.30999999988</v>
      </c>
      <c r="AA440" s="298">
        <f t="shared" si="242"/>
        <v>237979.58999999985</v>
      </c>
      <c r="AB440" s="298">
        <f t="shared" si="254"/>
        <v>0</v>
      </c>
      <c r="AC440" s="451">
        <f t="shared" si="262"/>
        <v>380</v>
      </c>
      <c r="AD440" s="552">
        <f t="shared" si="263"/>
        <v>355501.3000000001</v>
      </c>
      <c r="AE440" s="552">
        <f t="shared" si="234"/>
        <v>0</v>
      </c>
      <c r="AF440" s="552">
        <f t="shared" si="235"/>
        <v>355501.3000000001</v>
      </c>
      <c r="AG440" s="552">
        <f t="shared" si="264"/>
        <v>0</v>
      </c>
      <c r="AH440" s="552">
        <f t="shared" si="265"/>
        <v>0</v>
      </c>
      <c r="AI440" s="552"/>
      <c r="AJ440" s="14">
        <f t="shared" si="243"/>
        <v>0</v>
      </c>
      <c r="AK440" s="14">
        <f t="shared" si="244"/>
        <v>0</v>
      </c>
      <c r="AL440" s="552">
        <f>IF(R440&lt;=0,0,+([1]Profit!$B$4+AM439)*$AL$1/12)</f>
        <v>0</v>
      </c>
      <c r="AM440" s="14">
        <f t="shared" si="266"/>
        <v>0</v>
      </c>
    </row>
    <row r="441" spans="1:39" x14ac:dyDescent="0.25">
      <c r="A441" s="542" t="str">
        <f t="shared" si="255"/>
        <v xml:space="preserve"> </v>
      </c>
      <c r="B441" s="298">
        <f t="shared" si="271"/>
        <v>0</v>
      </c>
      <c r="C441" s="14">
        <f t="shared" si="246"/>
        <v>0</v>
      </c>
      <c r="D441" s="14">
        <f t="shared" si="267"/>
        <v>0</v>
      </c>
      <c r="E441" s="14">
        <f t="shared" si="247"/>
        <v>0</v>
      </c>
      <c r="F441" s="298">
        <f t="shared" si="256"/>
        <v>83951.219999999987</v>
      </c>
      <c r="G441" s="298">
        <f t="shared" si="257"/>
        <v>73034.019999999931</v>
      </c>
      <c r="H441" s="298">
        <f t="shared" si="248"/>
        <v>0</v>
      </c>
      <c r="I441" s="451">
        <f t="shared" si="249"/>
        <v>31</v>
      </c>
      <c r="J441" s="298">
        <f t="shared" si="258"/>
        <v>0</v>
      </c>
      <c r="K441" s="298">
        <f t="shared" si="237"/>
        <v>0</v>
      </c>
      <c r="L441" s="298">
        <f t="shared" si="268"/>
        <v>0</v>
      </c>
      <c r="M441" s="298">
        <f t="shared" si="238"/>
        <v>0</v>
      </c>
      <c r="N441" s="298">
        <f t="shared" si="259"/>
        <v>377057.86000000016</v>
      </c>
      <c r="O441" s="298">
        <f t="shared" si="260"/>
        <v>595399.34000000032</v>
      </c>
      <c r="P441" s="298">
        <f t="shared" si="250"/>
        <v>0</v>
      </c>
      <c r="Q441" s="542" t="str">
        <f t="shared" si="251"/>
        <v xml:space="preserve"> </v>
      </c>
      <c r="R441" s="298">
        <f t="shared" si="236"/>
        <v>0</v>
      </c>
      <c r="S441" s="535">
        <f t="shared" si="261"/>
        <v>7.7499999999999999E-2</v>
      </c>
      <c r="T441" s="298">
        <f t="shared" si="252"/>
        <v>0</v>
      </c>
      <c r="U441" s="298">
        <f t="shared" si="239"/>
        <v>0</v>
      </c>
      <c r="V441" s="298">
        <f t="shared" si="253"/>
        <v>0</v>
      </c>
      <c r="W441" s="298">
        <f t="shared" si="270"/>
        <v>0</v>
      </c>
      <c r="X441" s="298">
        <f t="shared" si="270"/>
        <v>0</v>
      </c>
      <c r="Y441" s="298">
        <f t="shared" si="240"/>
        <v>0</v>
      </c>
      <c r="Z441" s="298">
        <f t="shared" si="241"/>
        <v>378976.30999999988</v>
      </c>
      <c r="AA441" s="298">
        <f t="shared" si="242"/>
        <v>237979.58999999985</v>
      </c>
      <c r="AB441" s="298">
        <f t="shared" si="254"/>
        <v>0</v>
      </c>
      <c r="AC441" s="451">
        <f t="shared" si="262"/>
        <v>381</v>
      </c>
      <c r="AD441" s="552">
        <f t="shared" si="263"/>
        <v>355501.3000000001</v>
      </c>
      <c r="AE441" s="552">
        <f t="shared" si="234"/>
        <v>0</v>
      </c>
      <c r="AF441" s="552">
        <f t="shared" si="235"/>
        <v>355501.3000000001</v>
      </c>
      <c r="AG441" s="552">
        <f t="shared" si="264"/>
        <v>0</v>
      </c>
      <c r="AH441" s="552">
        <f t="shared" si="265"/>
        <v>0</v>
      </c>
      <c r="AI441" s="552"/>
      <c r="AJ441" s="14">
        <f t="shared" si="243"/>
        <v>0</v>
      </c>
      <c r="AK441" s="14">
        <f t="shared" si="244"/>
        <v>0</v>
      </c>
      <c r="AL441" s="552">
        <f>IF(R441&lt;=0,0,+([1]Profit!$B$4+AM440)*$AL$1/12)</f>
        <v>0</v>
      </c>
      <c r="AM441" s="14">
        <f t="shared" si="266"/>
        <v>0</v>
      </c>
    </row>
    <row r="442" spans="1:39" x14ac:dyDescent="0.25">
      <c r="A442" s="542" t="str">
        <f t="shared" si="255"/>
        <v xml:space="preserve"> </v>
      </c>
      <c r="B442" s="298">
        <f t="shared" si="271"/>
        <v>0</v>
      </c>
      <c r="C442" s="14">
        <f t="shared" si="246"/>
        <v>0</v>
      </c>
      <c r="D442" s="14">
        <f t="shared" si="267"/>
        <v>0</v>
      </c>
      <c r="E442" s="14">
        <f t="shared" si="247"/>
        <v>0</v>
      </c>
      <c r="F442" s="298">
        <f t="shared" si="256"/>
        <v>83951.219999999987</v>
      </c>
      <c r="G442" s="298">
        <f t="shared" si="257"/>
        <v>73034.019999999931</v>
      </c>
      <c r="H442" s="298">
        <f t="shared" si="248"/>
        <v>0</v>
      </c>
      <c r="I442" s="451">
        <f t="shared" si="249"/>
        <v>31</v>
      </c>
      <c r="J442" s="298">
        <f t="shared" si="258"/>
        <v>0</v>
      </c>
      <c r="K442" s="298">
        <f t="shared" si="237"/>
        <v>0</v>
      </c>
      <c r="L442" s="298">
        <f t="shared" si="268"/>
        <v>0</v>
      </c>
      <c r="M442" s="298">
        <f t="shared" si="238"/>
        <v>0</v>
      </c>
      <c r="N442" s="298">
        <f t="shared" si="259"/>
        <v>377057.86000000016</v>
      </c>
      <c r="O442" s="298">
        <f t="shared" si="260"/>
        <v>595399.34000000032</v>
      </c>
      <c r="P442" s="298">
        <f t="shared" si="250"/>
        <v>0</v>
      </c>
      <c r="Q442" s="542" t="str">
        <f t="shared" si="251"/>
        <v xml:space="preserve"> </v>
      </c>
      <c r="R442" s="298">
        <f t="shared" si="236"/>
        <v>0</v>
      </c>
      <c r="S442" s="535">
        <f t="shared" si="261"/>
        <v>7.7499999999999999E-2</v>
      </c>
      <c r="T442" s="298">
        <f t="shared" si="252"/>
        <v>0</v>
      </c>
      <c r="U442" s="298">
        <f t="shared" si="239"/>
        <v>0</v>
      </c>
      <c r="V442" s="298">
        <f t="shared" si="253"/>
        <v>0</v>
      </c>
      <c r="W442" s="298">
        <f t="shared" si="270"/>
        <v>0</v>
      </c>
      <c r="X442" s="298">
        <f t="shared" si="270"/>
        <v>0</v>
      </c>
      <c r="Y442" s="298">
        <f t="shared" si="240"/>
        <v>0</v>
      </c>
      <c r="Z442" s="298">
        <f t="shared" si="241"/>
        <v>378976.30999999988</v>
      </c>
      <c r="AA442" s="298">
        <f t="shared" si="242"/>
        <v>237979.58999999985</v>
      </c>
      <c r="AB442" s="298">
        <f t="shared" si="254"/>
        <v>0</v>
      </c>
      <c r="AC442" s="451">
        <f t="shared" si="262"/>
        <v>382</v>
      </c>
      <c r="AD442" s="552">
        <f t="shared" si="263"/>
        <v>355501.3000000001</v>
      </c>
      <c r="AE442" s="552">
        <f t="shared" si="234"/>
        <v>0</v>
      </c>
      <c r="AF442" s="552">
        <f t="shared" si="235"/>
        <v>355501.3000000001</v>
      </c>
      <c r="AG442" s="552">
        <f t="shared" si="264"/>
        <v>0</v>
      </c>
      <c r="AH442" s="552">
        <f t="shared" si="265"/>
        <v>0</v>
      </c>
      <c r="AI442" s="552"/>
      <c r="AJ442" s="14">
        <f t="shared" si="243"/>
        <v>0</v>
      </c>
      <c r="AK442" s="14">
        <f t="shared" si="244"/>
        <v>0</v>
      </c>
      <c r="AL442" s="552">
        <f>IF(R442&lt;=0,0,+([1]Profit!$B$4+AM441)*$AL$1/12)</f>
        <v>0</v>
      </c>
      <c r="AM442" s="14">
        <f t="shared" si="266"/>
        <v>0</v>
      </c>
    </row>
    <row r="443" spans="1:39" x14ac:dyDescent="0.25">
      <c r="A443" s="542" t="str">
        <f t="shared" si="255"/>
        <v xml:space="preserve"> </v>
      </c>
      <c r="B443" s="298">
        <f t="shared" si="271"/>
        <v>0</v>
      </c>
      <c r="C443" s="14">
        <f t="shared" si="246"/>
        <v>0</v>
      </c>
      <c r="D443" s="14">
        <f t="shared" si="267"/>
        <v>0</v>
      </c>
      <c r="E443" s="14">
        <f t="shared" si="247"/>
        <v>0</v>
      </c>
      <c r="F443" s="298">
        <f t="shared" si="256"/>
        <v>83951.219999999987</v>
      </c>
      <c r="G443" s="298">
        <f t="shared" si="257"/>
        <v>73034.019999999931</v>
      </c>
      <c r="H443" s="298">
        <f t="shared" si="248"/>
        <v>0</v>
      </c>
      <c r="I443" s="451">
        <f t="shared" si="249"/>
        <v>31</v>
      </c>
      <c r="J443" s="298">
        <f t="shared" si="258"/>
        <v>0</v>
      </c>
      <c r="K443" s="298">
        <f t="shared" si="237"/>
        <v>0</v>
      </c>
      <c r="L443" s="298">
        <f t="shared" si="268"/>
        <v>0</v>
      </c>
      <c r="M443" s="298">
        <f t="shared" si="238"/>
        <v>0</v>
      </c>
      <c r="N443" s="298">
        <f t="shared" si="259"/>
        <v>377057.86000000016</v>
      </c>
      <c r="O443" s="298">
        <f t="shared" si="260"/>
        <v>595399.34000000032</v>
      </c>
      <c r="P443" s="298">
        <f t="shared" si="250"/>
        <v>0</v>
      </c>
      <c r="Q443" s="542" t="str">
        <f t="shared" si="251"/>
        <v xml:space="preserve"> </v>
      </c>
      <c r="R443" s="298">
        <f t="shared" si="236"/>
        <v>0</v>
      </c>
      <c r="S443" s="535">
        <f t="shared" si="261"/>
        <v>7.7499999999999999E-2</v>
      </c>
      <c r="T443" s="298">
        <f t="shared" si="252"/>
        <v>0</v>
      </c>
      <c r="U443" s="298">
        <f t="shared" si="239"/>
        <v>0</v>
      </c>
      <c r="V443" s="298">
        <f t="shared" si="253"/>
        <v>0</v>
      </c>
      <c r="W443" s="298">
        <f t="shared" si="270"/>
        <v>0</v>
      </c>
      <c r="X443" s="298">
        <f t="shared" si="270"/>
        <v>0</v>
      </c>
      <c r="Y443" s="298">
        <f t="shared" si="240"/>
        <v>0</v>
      </c>
      <c r="Z443" s="298">
        <f t="shared" si="241"/>
        <v>378976.30999999988</v>
      </c>
      <c r="AA443" s="298">
        <f t="shared" si="242"/>
        <v>237979.58999999985</v>
      </c>
      <c r="AB443" s="298">
        <f t="shared" si="254"/>
        <v>0</v>
      </c>
      <c r="AC443" s="451">
        <f t="shared" si="262"/>
        <v>383</v>
      </c>
      <c r="AD443" s="552">
        <f t="shared" si="263"/>
        <v>355501.3000000001</v>
      </c>
      <c r="AE443" s="552">
        <f t="shared" si="234"/>
        <v>0</v>
      </c>
      <c r="AF443" s="552">
        <f t="shared" si="235"/>
        <v>355501.3000000001</v>
      </c>
      <c r="AG443" s="552">
        <f t="shared" si="264"/>
        <v>0</v>
      </c>
      <c r="AH443" s="552">
        <f t="shared" si="265"/>
        <v>0</v>
      </c>
      <c r="AI443" s="552"/>
      <c r="AJ443" s="14">
        <f t="shared" si="243"/>
        <v>0</v>
      </c>
      <c r="AK443" s="14">
        <f t="shared" si="244"/>
        <v>0</v>
      </c>
      <c r="AL443" s="552">
        <f>IF(R443&lt;=0,0,+([1]Profit!$B$4+AM442)*$AL$1/12)</f>
        <v>0</v>
      </c>
      <c r="AM443" s="14">
        <f t="shared" si="266"/>
        <v>0</v>
      </c>
    </row>
    <row r="444" spans="1:39" x14ac:dyDescent="0.25">
      <c r="A444" s="542" t="str">
        <f t="shared" si="255"/>
        <v xml:space="preserve"> </v>
      </c>
      <c r="B444" s="298">
        <f t="shared" si="271"/>
        <v>0</v>
      </c>
      <c r="C444" s="14">
        <f t="shared" si="246"/>
        <v>0</v>
      </c>
      <c r="D444" s="14">
        <f t="shared" si="267"/>
        <v>0</v>
      </c>
      <c r="E444" s="14">
        <f t="shared" si="247"/>
        <v>0</v>
      </c>
      <c r="F444" s="298">
        <f t="shared" si="256"/>
        <v>83951.219999999987</v>
      </c>
      <c r="G444" s="298">
        <f t="shared" si="257"/>
        <v>73034.019999999931</v>
      </c>
      <c r="H444" s="298">
        <f t="shared" si="248"/>
        <v>0</v>
      </c>
      <c r="I444" s="451">
        <f t="shared" si="249"/>
        <v>32</v>
      </c>
      <c r="J444" s="298">
        <f t="shared" si="258"/>
        <v>0</v>
      </c>
      <c r="K444" s="298">
        <f t="shared" si="237"/>
        <v>0</v>
      </c>
      <c r="L444" s="298">
        <f t="shared" si="268"/>
        <v>0</v>
      </c>
      <c r="M444" s="298">
        <f t="shared" si="238"/>
        <v>0</v>
      </c>
      <c r="N444" s="298">
        <f t="shared" si="259"/>
        <v>377057.86000000016</v>
      </c>
      <c r="O444" s="298">
        <f t="shared" si="260"/>
        <v>595399.34000000032</v>
      </c>
      <c r="P444" s="298">
        <f t="shared" si="250"/>
        <v>0</v>
      </c>
      <c r="Q444" s="542" t="str">
        <f t="shared" si="251"/>
        <v xml:space="preserve"> </v>
      </c>
      <c r="R444" s="298">
        <f t="shared" si="236"/>
        <v>0</v>
      </c>
      <c r="S444" s="535">
        <f t="shared" si="261"/>
        <v>7.7499999999999999E-2</v>
      </c>
      <c r="T444" s="298">
        <f t="shared" si="252"/>
        <v>0</v>
      </c>
      <c r="U444" s="298">
        <f t="shared" si="239"/>
        <v>0</v>
      </c>
      <c r="V444" s="298">
        <f t="shared" si="253"/>
        <v>0</v>
      </c>
      <c r="W444" s="298">
        <f t="shared" ref="W444:X459" si="272">+W443</f>
        <v>0</v>
      </c>
      <c r="X444" s="298">
        <f t="shared" si="272"/>
        <v>0</v>
      </c>
      <c r="Y444" s="298">
        <f t="shared" si="240"/>
        <v>0</v>
      </c>
      <c r="Z444" s="298">
        <f t="shared" si="241"/>
        <v>378976.30999999988</v>
      </c>
      <c r="AA444" s="298">
        <f t="shared" si="242"/>
        <v>237979.58999999985</v>
      </c>
      <c r="AB444" s="298">
        <f t="shared" si="254"/>
        <v>0</v>
      </c>
      <c r="AC444" s="451">
        <f t="shared" si="262"/>
        <v>384</v>
      </c>
      <c r="AD444" s="552">
        <f t="shared" si="263"/>
        <v>355501.3000000001</v>
      </c>
      <c r="AE444" s="552">
        <f t="shared" ref="AE444:AE507" si="273">AB444-H444</f>
        <v>0</v>
      </c>
      <c r="AF444" s="552">
        <f t="shared" ref="AF444:AF507" si="274">SUM(AD444:AE444)</f>
        <v>355501.3000000001</v>
      </c>
      <c r="AG444" s="552">
        <f t="shared" si="264"/>
        <v>0</v>
      </c>
      <c r="AH444" s="552">
        <f t="shared" si="265"/>
        <v>0</v>
      </c>
      <c r="AI444" s="552"/>
      <c r="AJ444" s="14">
        <f t="shared" si="243"/>
        <v>0</v>
      </c>
      <c r="AK444" s="14">
        <f t="shared" si="244"/>
        <v>0</v>
      </c>
      <c r="AL444" s="552">
        <f>IF(R444&lt;=0,0,+([1]Profit!$B$4+AM443)*$AL$1/12)</f>
        <v>0</v>
      </c>
      <c r="AM444" s="14">
        <f t="shared" si="266"/>
        <v>0</v>
      </c>
    </row>
    <row r="445" spans="1:39" x14ac:dyDescent="0.25">
      <c r="A445" s="542" t="str">
        <f t="shared" si="255"/>
        <v xml:space="preserve"> </v>
      </c>
      <c r="B445" s="298">
        <f t="shared" si="271"/>
        <v>0</v>
      </c>
      <c r="C445" s="14">
        <f t="shared" si="246"/>
        <v>0</v>
      </c>
      <c r="D445" s="14">
        <f t="shared" si="267"/>
        <v>0</v>
      </c>
      <c r="E445" s="14">
        <f t="shared" si="247"/>
        <v>0</v>
      </c>
      <c r="F445" s="298">
        <f t="shared" si="256"/>
        <v>83951.219999999987</v>
      </c>
      <c r="G445" s="298">
        <f t="shared" si="257"/>
        <v>73034.019999999931</v>
      </c>
      <c r="H445" s="298">
        <f t="shared" si="248"/>
        <v>0</v>
      </c>
      <c r="I445" s="451">
        <f t="shared" si="249"/>
        <v>32</v>
      </c>
      <c r="J445" s="298">
        <f t="shared" si="258"/>
        <v>0</v>
      </c>
      <c r="K445" s="298">
        <f t="shared" si="237"/>
        <v>0</v>
      </c>
      <c r="L445" s="298">
        <f t="shared" si="268"/>
        <v>0</v>
      </c>
      <c r="M445" s="298">
        <f t="shared" si="238"/>
        <v>0</v>
      </c>
      <c r="N445" s="298">
        <f t="shared" si="259"/>
        <v>377057.86000000016</v>
      </c>
      <c r="O445" s="298">
        <f t="shared" si="260"/>
        <v>595399.34000000032</v>
      </c>
      <c r="P445" s="298">
        <f t="shared" si="250"/>
        <v>0</v>
      </c>
      <c r="Q445" s="542" t="str">
        <f t="shared" si="251"/>
        <v xml:space="preserve"> </v>
      </c>
      <c r="R445" s="298">
        <f t="shared" ref="R445:R508" si="275">IF(Q445&gt;$J$10,IF(+AB444&lt;0,0,+AB444),0)</f>
        <v>0</v>
      </c>
      <c r="S445" s="535">
        <f t="shared" si="261"/>
        <v>7.7499999999999999E-2</v>
      </c>
      <c r="T445" s="298">
        <f t="shared" si="252"/>
        <v>0</v>
      </c>
      <c r="U445" s="298">
        <f t="shared" si="239"/>
        <v>0</v>
      </c>
      <c r="V445" s="298">
        <f t="shared" si="253"/>
        <v>0</v>
      </c>
      <c r="W445" s="298">
        <f t="shared" si="272"/>
        <v>0</v>
      </c>
      <c r="X445" s="298">
        <f t="shared" si="272"/>
        <v>0</v>
      </c>
      <c r="Y445" s="298">
        <f t="shared" si="240"/>
        <v>0</v>
      </c>
      <c r="Z445" s="298">
        <f t="shared" si="241"/>
        <v>378976.30999999988</v>
      </c>
      <c r="AA445" s="298">
        <f t="shared" si="242"/>
        <v>237979.58999999985</v>
      </c>
      <c r="AB445" s="298">
        <f t="shared" si="254"/>
        <v>0</v>
      </c>
      <c r="AC445" s="451">
        <f t="shared" si="262"/>
        <v>385</v>
      </c>
      <c r="AD445" s="552">
        <f t="shared" si="263"/>
        <v>355501.3000000001</v>
      </c>
      <c r="AE445" s="552">
        <f t="shared" si="273"/>
        <v>0</v>
      </c>
      <c r="AF445" s="552">
        <f t="shared" si="274"/>
        <v>355501.3000000001</v>
      </c>
      <c r="AG445" s="552">
        <f t="shared" si="264"/>
        <v>0</v>
      </c>
      <c r="AH445" s="552">
        <f t="shared" si="265"/>
        <v>0</v>
      </c>
      <c r="AI445" s="552"/>
      <c r="AJ445" s="14">
        <f t="shared" si="243"/>
        <v>0</v>
      </c>
      <c r="AK445" s="14">
        <f t="shared" si="244"/>
        <v>0</v>
      </c>
      <c r="AL445" s="552">
        <f>IF(R445&lt;=0,0,+([1]Profit!$B$4+AM444)*$AL$1/12)</f>
        <v>0</v>
      </c>
      <c r="AM445" s="14">
        <f t="shared" si="266"/>
        <v>0</v>
      </c>
    </row>
    <row r="446" spans="1:39" ht="15.75" thickBot="1" x14ac:dyDescent="0.3">
      <c r="A446" s="545" t="str">
        <f t="shared" si="255"/>
        <v xml:space="preserve"> </v>
      </c>
      <c r="B446" s="371">
        <f t="shared" si="271"/>
        <v>0</v>
      </c>
      <c r="C446" s="21">
        <f t="shared" si="246"/>
        <v>0</v>
      </c>
      <c r="D446" s="21">
        <f t="shared" si="267"/>
        <v>0</v>
      </c>
      <c r="E446" s="21">
        <f t="shared" si="247"/>
        <v>0</v>
      </c>
      <c r="F446" s="371">
        <f t="shared" si="256"/>
        <v>83951.219999999987</v>
      </c>
      <c r="G446" s="371">
        <f t="shared" si="257"/>
        <v>73034.019999999931</v>
      </c>
      <c r="H446" s="371">
        <f t="shared" si="248"/>
        <v>0</v>
      </c>
      <c r="I446" s="452">
        <f t="shared" si="249"/>
        <v>32</v>
      </c>
      <c r="J446" s="371">
        <f t="shared" si="258"/>
        <v>0</v>
      </c>
      <c r="K446" s="371">
        <f t="shared" ref="K446:K490" si="276">IF($J$10&lt;=A446,IF(+$P445&lt;=0,0,$J$9),0)</f>
        <v>0</v>
      </c>
      <c r="L446" s="371">
        <f t="shared" si="268"/>
        <v>0</v>
      </c>
      <c r="M446" s="371">
        <f t="shared" ref="M446:M490" si="277">IF($J$10&lt;=A446,ROUND(J446*($J$7/12),2),0)</f>
        <v>0</v>
      </c>
      <c r="N446" s="371">
        <f t="shared" si="259"/>
        <v>377057.86000000016</v>
      </c>
      <c r="O446" s="371">
        <f t="shared" si="260"/>
        <v>595399.34000000032</v>
      </c>
      <c r="P446" s="371">
        <f t="shared" si="250"/>
        <v>0</v>
      </c>
      <c r="Q446" s="545" t="str">
        <f t="shared" si="251"/>
        <v xml:space="preserve"> </v>
      </c>
      <c r="R446" s="371">
        <f t="shared" si="275"/>
        <v>0</v>
      </c>
      <c r="S446" s="536">
        <f t="shared" si="261"/>
        <v>7.7499999999999999E-2</v>
      </c>
      <c r="T446" s="371">
        <f t="shared" si="252"/>
        <v>0</v>
      </c>
      <c r="U446" s="371">
        <f t="shared" ref="U446:U509" si="278">+T446-V446</f>
        <v>0</v>
      </c>
      <c r="V446" s="371">
        <f t="shared" si="253"/>
        <v>0</v>
      </c>
      <c r="W446" s="371">
        <f t="shared" si="272"/>
        <v>0</v>
      </c>
      <c r="X446" s="371">
        <f t="shared" si="272"/>
        <v>0</v>
      </c>
      <c r="Y446" s="371">
        <f t="shared" ref="Y446:Y509" si="279">SUM(U446:X446)</f>
        <v>0</v>
      </c>
      <c r="Z446" s="371">
        <f t="shared" ref="Z446:Z509" si="280">+U446+Z445</f>
        <v>378976.30999999988</v>
      </c>
      <c r="AA446" s="371">
        <f t="shared" ref="AA446:AA509" si="281">+AA445+V446</f>
        <v>237979.58999999985</v>
      </c>
      <c r="AB446" s="371">
        <f t="shared" si="254"/>
        <v>0</v>
      </c>
      <c r="AC446" s="452">
        <f t="shared" si="262"/>
        <v>386</v>
      </c>
      <c r="AD446" s="553">
        <f t="shared" si="263"/>
        <v>355501.3000000001</v>
      </c>
      <c r="AE446" s="553">
        <f t="shared" si="273"/>
        <v>0</v>
      </c>
      <c r="AF446" s="553">
        <f t="shared" si="274"/>
        <v>355501.3000000001</v>
      </c>
      <c r="AG446" s="553">
        <f t="shared" si="264"/>
        <v>0</v>
      </c>
      <c r="AH446" s="553">
        <f t="shared" si="265"/>
        <v>0</v>
      </c>
      <c r="AI446" s="553"/>
      <c r="AJ446" s="21">
        <f t="shared" ref="AJ446:AJ490" si="282">+AG446-AI446</f>
        <v>0</v>
      </c>
      <c r="AK446" s="21">
        <f t="shared" si="244"/>
        <v>0</v>
      </c>
      <c r="AL446" s="553">
        <f>IF(R446&lt;=0,0,+([1]Profit!$B$4+AM445)*$AL$1/12)</f>
        <v>0</v>
      </c>
      <c r="AM446" s="21">
        <f t="shared" si="266"/>
        <v>0</v>
      </c>
    </row>
    <row r="447" spans="1:39" x14ac:dyDescent="0.25">
      <c r="A447" s="542" t="str">
        <f t="shared" si="255"/>
        <v xml:space="preserve"> </v>
      </c>
      <c r="B447" s="298">
        <f t="shared" si="271"/>
        <v>0</v>
      </c>
      <c r="C447" s="14">
        <f t="shared" si="246"/>
        <v>0</v>
      </c>
      <c r="D447" s="14">
        <f t="shared" si="267"/>
        <v>0</v>
      </c>
      <c r="E447" s="14">
        <f t="shared" si="247"/>
        <v>0</v>
      </c>
      <c r="F447" s="298">
        <f t="shared" si="256"/>
        <v>83951.219999999987</v>
      </c>
      <c r="G447" s="298">
        <f t="shared" si="257"/>
        <v>73034.019999999931</v>
      </c>
      <c r="H447" s="298">
        <f t="shared" si="248"/>
        <v>0</v>
      </c>
      <c r="I447" s="451">
        <f t="shared" si="249"/>
        <v>32</v>
      </c>
      <c r="J447" s="298">
        <f t="shared" si="258"/>
        <v>0</v>
      </c>
      <c r="K447" s="298">
        <f t="shared" si="276"/>
        <v>0</v>
      </c>
      <c r="L447" s="298">
        <f t="shared" si="268"/>
        <v>0</v>
      </c>
      <c r="M447" s="298">
        <f t="shared" si="277"/>
        <v>0</v>
      </c>
      <c r="N447" s="298">
        <f t="shared" si="259"/>
        <v>377057.86000000016</v>
      </c>
      <c r="O447" s="298">
        <f t="shared" si="260"/>
        <v>595399.34000000032</v>
      </c>
      <c r="P447" s="298">
        <f t="shared" si="250"/>
        <v>0</v>
      </c>
      <c r="Q447" s="542" t="str">
        <f t="shared" si="251"/>
        <v xml:space="preserve"> </v>
      </c>
      <c r="R447" s="298">
        <f t="shared" si="275"/>
        <v>0</v>
      </c>
      <c r="S447" s="535">
        <f t="shared" si="261"/>
        <v>7.7499999999999999E-2</v>
      </c>
      <c r="T447" s="298">
        <f t="shared" si="252"/>
        <v>0</v>
      </c>
      <c r="U447" s="298">
        <f t="shared" si="278"/>
        <v>0</v>
      </c>
      <c r="V447" s="298">
        <f t="shared" si="253"/>
        <v>0</v>
      </c>
      <c r="W447" s="298">
        <f t="shared" si="272"/>
        <v>0</v>
      </c>
      <c r="X447" s="298">
        <f t="shared" si="272"/>
        <v>0</v>
      </c>
      <c r="Y447" s="298">
        <f t="shared" si="279"/>
        <v>0</v>
      </c>
      <c r="Z447" s="298">
        <f t="shared" si="280"/>
        <v>378976.30999999988</v>
      </c>
      <c r="AA447" s="298">
        <f t="shared" si="281"/>
        <v>237979.58999999985</v>
      </c>
      <c r="AB447" s="298">
        <f t="shared" si="254"/>
        <v>0</v>
      </c>
      <c r="AC447" s="451">
        <f t="shared" si="262"/>
        <v>387</v>
      </c>
      <c r="AD447" s="552">
        <f t="shared" si="263"/>
        <v>355501.3000000001</v>
      </c>
      <c r="AE447" s="552">
        <f t="shared" si="273"/>
        <v>0</v>
      </c>
      <c r="AF447" s="552">
        <f t="shared" si="274"/>
        <v>355501.3000000001</v>
      </c>
      <c r="AG447" s="552">
        <f t="shared" si="264"/>
        <v>0</v>
      </c>
      <c r="AH447" s="552">
        <f t="shared" si="265"/>
        <v>0</v>
      </c>
      <c r="AI447" s="552"/>
      <c r="AJ447" s="14">
        <f t="shared" si="282"/>
        <v>0</v>
      </c>
      <c r="AK447" s="14">
        <f t="shared" si="244"/>
        <v>0</v>
      </c>
      <c r="AL447" s="552">
        <f>IF(R447&lt;=0,0,+([1]Profit!$B$4+AM446)*$AL$1/12)</f>
        <v>0</v>
      </c>
      <c r="AM447" s="14">
        <f t="shared" si="266"/>
        <v>0</v>
      </c>
    </row>
    <row r="448" spans="1:39" x14ac:dyDescent="0.25">
      <c r="A448" s="542" t="str">
        <f t="shared" si="255"/>
        <v xml:space="preserve"> </v>
      </c>
      <c r="B448" s="298">
        <f t="shared" si="271"/>
        <v>0</v>
      </c>
      <c r="C448" s="14">
        <f t="shared" si="246"/>
        <v>0</v>
      </c>
      <c r="D448" s="14">
        <f t="shared" si="267"/>
        <v>0</v>
      </c>
      <c r="E448" s="14">
        <f t="shared" si="247"/>
        <v>0</v>
      </c>
      <c r="F448" s="298">
        <f t="shared" si="256"/>
        <v>83951.219999999987</v>
      </c>
      <c r="G448" s="298">
        <f t="shared" si="257"/>
        <v>73034.019999999931</v>
      </c>
      <c r="H448" s="298">
        <f t="shared" si="248"/>
        <v>0</v>
      </c>
      <c r="I448" s="451">
        <f t="shared" si="249"/>
        <v>32</v>
      </c>
      <c r="J448" s="298">
        <f t="shared" si="258"/>
        <v>0</v>
      </c>
      <c r="K448" s="298">
        <f t="shared" si="276"/>
        <v>0</v>
      </c>
      <c r="L448" s="298">
        <f t="shared" si="268"/>
        <v>0</v>
      </c>
      <c r="M448" s="298">
        <f t="shared" si="277"/>
        <v>0</v>
      </c>
      <c r="N448" s="298">
        <f t="shared" si="259"/>
        <v>377057.86000000016</v>
      </c>
      <c r="O448" s="298">
        <f t="shared" si="260"/>
        <v>595399.34000000032</v>
      </c>
      <c r="P448" s="298">
        <f t="shared" si="250"/>
        <v>0</v>
      </c>
      <c r="Q448" s="542" t="str">
        <f t="shared" si="251"/>
        <v xml:space="preserve"> </v>
      </c>
      <c r="R448" s="298">
        <f t="shared" si="275"/>
        <v>0</v>
      </c>
      <c r="S448" s="535">
        <f t="shared" si="261"/>
        <v>7.7499999999999999E-2</v>
      </c>
      <c r="T448" s="298">
        <f t="shared" si="252"/>
        <v>0</v>
      </c>
      <c r="U448" s="298">
        <f t="shared" si="278"/>
        <v>0</v>
      </c>
      <c r="V448" s="298">
        <f t="shared" si="253"/>
        <v>0</v>
      </c>
      <c r="W448" s="298">
        <f t="shared" si="272"/>
        <v>0</v>
      </c>
      <c r="X448" s="298">
        <f t="shared" si="272"/>
        <v>0</v>
      </c>
      <c r="Y448" s="298">
        <f t="shared" si="279"/>
        <v>0</v>
      </c>
      <c r="Z448" s="298">
        <f t="shared" si="280"/>
        <v>378976.30999999988</v>
      </c>
      <c r="AA448" s="298">
        <f t="shared" si="281"/>
        <v>237979.58999999985</v>
      </c>
      <c r="AB448" s="298">
        <f t="shared" si="254"/>
        <v>0</v>
      </c>
      <c r="AC448" s="451">
        <f t="shared" si="262"/>
        <v>388</v>
      </c>
      <c r="AD448" s="552">
        <f t="shared" si="263"/>
        <v>355501.3000000001</v>
      </c>
      <c r="AE448" s="552">
        <f t="shared" si="273"/>
        <v>0</v>
      </c>
      <c r="AF448" s="552">
        <f t="shared" si="274"/>
        <v>355501.3000000001</v>
      </c>
      <c r="AG448" s="552">
        <f t="shared" si="264"/>
        <v>0</v>
      </c>
      <c r="AH448" s="552">
        <f t="shared" si="265"/>
        <v>0</v>
      </c>
      <c r="AI448" s="552"/>
      <c r="AJ448" s="14">
        <f t="shared" si="282"/>
        <v>0</v>
      </c>
      <c r="AK448" s="14">
        <f t="shared" si="244"/>
        <v>0</v>
      </c>
      <c r="AL448" s="552">
        <f>IF(R448&lt;=0,0,+([1]Profit!$B$4+AM447)*$AL$1/12)</f>
        <v>0</v>
      </c>
      <c r="AM448" s="14">
        <f t="shared" si="266"/>
        <v>0</v>
      </c>
    </row>
    <row r="449" spans="1:39" x14ac:dyDescent="0.25">
      <c r="A449" s="542" t="str">
        <f t="shared" si="255"/>
        <v xml:space="preserve"> </v>
      </c>
      <c r="B449" s="298">
        <f t="shared" si="271"/>
        <v>0</v>
      </c>
      <c r="C449" s="14">
        <f t="shared" si="246"/>
        <v>0</v>
      </c>
      <c r="D449" s="14">
        <f t="shared" si="267"/>
        <v>0</v>
      </c>
      <c r="E449" s="14">
        <f t="shared" si="247"/>
        <v>0</v>
      </c>
      <c r="F449" s="298">
        <f t="shared" si="256"/>
        <v>83951.219999999987</v>
      </c>
      <c r="G449" s="298">
        <f t="shared" si="257"/>
        <v>73034.019999999931</v>
      </c>
      <c r="H449" s="298">
        <f t="shared" si="248"/>
        <v>0</v>
      </c>
      <c r="I449" s="451">
        <f t="shared" si="249"/>
        <v>32</v>
      </c>
      <c r="J449" s="298">
        <f t="shared" si="258"/>
        <v>0</v>
      </c>
      <c r="K449" s="298">
        <f t="shared" si="276"/>
        <v>0</v>
      </c>
      <c r="L449" s="298">
        <f t="shared" si="268"/>
        <v>0</v>
      </c>
      <c r="M449" s="298">
        <f t="shared" si="277"/>
        <v>0</v>
      </c>
      <c r="N449" s="298">
        <f t="shared" si="259"/>
        <v>377057.86000000016</v>
      </c>
      <c r="O449" s="298">
        <f t="shared" si="260"/>
        <v>595399.34000000032</v>
      </c>
      <c r="P449" s="298">
        <f t="shared" si="250"/>
        <v>0</v>
      </c>
      <c r="Q449" s="542" t="str">
        <f t="shared" si="251"/>
        <v xml:space="preserve"> </v>
      </c>
      <c r="R449" s="298">
        <f t="shared" si="275"/>
        <v>0</v>
      </c>
      <c r="S449" s="535">
        <f t="shared" si="261"/>
        <v>7.7499999999999999E-2</v>
      </c>
      <c r="T449" s="298">
        <f t="shared" si="252"/>
        <v>0</v>
      </c>
      <c r="U449" s="298">
        <f t="shared" si="278"/>
        <v>0</v>
      </c>
      <c r="V449" s="298">
        <f t="shared" si="253"/>
        <v>0</v>
      </c>
      <c r="W449" s="298">
        <f t="shared" si="272"/>
        <v>0</v>
      </c>
      <c r="X449" s="298">
        <f t="shared" si="272"/>
        <v>0</v>
      </c>
      <c r="Y449" s="298">
        <f t="shared" si="279"/>
        <v>0</v>
      </c>
      <c r="Z449" s="298">
        <f t="shared" si="280"/>
        <v>378976.30999999988</v>
      </c>
      <c r="AA449" s="298">
        <f t="shared" si="281"/>
        <v>237979.58999999985</v>
      </c>
      <c r="AB449" s="298">
        <f t="shared" si="254"/>
        <v>0</v>
      </c>
      <c r="AC449" s="451">
        <f t="shared" si="262"/>
        <v>389</v>
      </c>
      <c r="AD449" s="552">
        <f t="shared" si="263"/>
        <v>355501.3000000001</v>
      </c>
      <c r="AE449" s="552">
        <f t="shared" si="273"/>
        <v>0</v>
      </c>
      <c r="AF449" s="552">
        <f t="shared" si="274"/>
        <v>355501.3000000001</v>
      </c>
      <c r="AG449" s="552">
        <f t="shared" si="264"/>
        <v>0</v>
      </c>
      <c r="AH449" s="552">
        <f t="shared" si="265"/>
        <v>0</v>
      </c>
      <c r="AI449" s="552"/>
      <c r="AJ449" s="14">
        <f t="shared" si="282"/>
        <v>0</v>
      </c>
      <c r="AK449" s="14">
        <f t="shared" si="244"/>
        <v>0</v>
      </c>
      <c r="AL449" s="552">
        <f>IF(R449&lt;=0,0,+([1]Profit!$B$4+AM448)*$AL$1/12)</f>
        <v>0</v>
      </c>
      <c r="AM449" s="14">
        <f t="shared" si="266"/>
        <v>0</v>
      </c>
    </row>
    <row r="450" spans="1:39" x14ac:dyDescent="0.25">
      <c r="A450" s="542" t="str">
        <f t="shared" si="255"/>
        <v xml:space="preserve"> </v>
      </c>
      <c r="B450" s="298">
        <f t="shared" si="271"/>
        <v>0</v>
      </c>
      <c r="C450" s="14">
        <f t="shared" si="246"/>
        <v>0</v>
      </c>
      <c r="D450" s="14">
        <f t="shared" si="267"/>
        <v>0</v>
      </c>
      <c r="E450" s="14">
        <f t="shared" si="247"/>
        <v>0</v>
      </c>
      <c r="F450" s="298">
        <f t="shared" si="256"/>
        <v>83951.219999999987</v>
      </c>
      <c r="G450" s="298">
        <f t="shared" si="257"/>
        <v>73034.019999999931</v>
      </c>
      <c r="H450" s="298">
        <f t="shared" si="248"/>
        <v>0</v>
      </c>
      <c r="I450" s="451">
        <f t="shared" si="249"/>
        <v>32</v>
      </c>
      <c r="J450" s="298">
        <f t="shared" si="258"/>
        <v>0</v>
      </c>
      <c r="K450" s="298">
        <f t="shared" si="276"/>
        <v>0</v>
      </c>
      <c r="L450" s="298">
        <f t="shared" si="268"/>
        <v>0</v>
      </c>
      <c r="M450" s="298">
        <f t="shared" si="277"/>
        <v>0</v>
      </c>
      <c r="N450" s="298">
        <f t="shared" si="259"/>
        <v>377057.86000000016</v>
      </c>
      <c r="O450" s="298">
        <f t="shared" si="260"/>
        <v>595399.34000000032</v>
      </c>
      <c r="P450" s="298">
        <f t="shared" si="250"/>
        <v>0</v>
      </c>
      <c r="Q450" s="542" t="str">
        <f t="shared" si="251"/>
        <v xml:space="preserve"> </v>
      </c>
      <c r="R450" s="298">
        <f t="shared" si="275"/>
        <v>0</v>
      </c>
      <c r="S450" s="535">
        <f t="shared" si="261"/>
        <v>7.7499999999999999E-2</v>
      </c>
      <c r="T450" s="298">
        <f t="shared" si="252"/>
        <v>0</v>
      </c>
      <c r="U450" s="298">
        <f t="shared" si="278"/>
        <v>0</v>
      </c>
      <c r="V450" s="298">
        <f t="shared" si="253"/>
        <v>0</v>
      </c>
      <c r="W450" s="298">
        <f t="shared" si="272"/>
        <v>0</v>
      </c>
      <c r="X450" s="298">
        <f t="shared" si="272"/>
        <v>0</v>
      </c>
      <c r="Y450" s="298">
        <f t="shared" si="279"/>
        <v>0</v>
      </c>
      <c r="Z450" s="298">
        <f t="shared" si="280"/>
        <v>378976.30999999988</v>
      </c>
      <c r="AA450" s="298">
        <f t="shared" si="281"/>
        <v>237979.58999999985</v>
      </c>
      <c r="AB450" s="298">
        <f t="shared" si="254"/>
        <v>0</v>
      </c>
      <c r="AC450" s="451">
        <f t="shared" si="262"/>
        <v>390</v>
      </c>
      <c r="AD450" s="552">
        <f t="shared" si="263"/>
        <v>355501.3000000001</v>
      </c>
      <c r="AE450" s="552">
        <f t="shared" si="273"/>
        <v>0</v>
      </c>
      <c r="AF450" s="552">
        <f t="shared" si="274"/>
        <v>355501.3000000001</v>
      </c>
      <c r="AG450" s="552">
        <f t="shared" si="264"/>
        <v>0</v>
      </c>
      <c r="AH450" s="552">
        <f t="shared" si="265"/>
        <v>0</v>
      </c>
      <c r="AI450" s="552"/>
      <c r="AJ450" s="14">
        <f t="shared" si="282"/>
        <v>0</v>
      </c>
      <c r="AK450" s="14">
        <f t="shared" ref="AK450:AK490" si="283">IF(P450&lt;=0,0,+AJ450+AK449)</f>
        <v>0</v>
      </c>
      <c r="AL450" s="552">
        <f>IF(R450&lt;=0,0,+([1]Profit!$B$4+AM449)*$AL$1/12)</f>
        <v>0</v>
      </c>
      <c r="AM450" s="14">
        <f t="shared" si="266"/>
        <v>0</v>
      </c>
    </row>
    <row r="451" spans="1:39" x14ac:dyDescent="0.25">
      <c r="A451" s="542" t="str">
        <f t="shared" si="255"/>
        <v xml:space="preserve"> </v>
      </c>
      <c r="B451" s="298">
        <f t="shared" si="271"/>
        <v>0</v>
      </c>
      <c r="C451" s="14">
        <f t="shared" si="246"/>
        <v>0</v>
      </c>
      <c r="D451" s="14">
        <f t="shared" si="267"/>
        <v>0</v>
      </c>
      <c r="E451" s="14">
        <f t="shared" si="247"/>
        <v>0</v>
      </c>
      <c r="F451" s="298">
        <f t="shared" si="256"/>
        <v>83951.219999999987</v>
      </c>
      <c r="G451" s="298">
        <f t="shared" si="257"/>
        <v>73034.019999999931</v>
      </c>
      <c r="H451" s="298">
        <f t="shared" si="248"/>
        <v>0</v>
      </c>
      <c r="I451" s="451">
        <f t="shared" si="249"/>
        <v>32</v>
      </c>
      <c r="J451" s="298">
        <f t="shared" si="258"/>
        <v>0</v>
      </c>
      <c r="K451" s="298">
        <f t="shared" si="276"/>
        <v>0</v>
      </c>
      <c r="L451" s="298">
        <f t="shared" si="268"/>
        <v>0</v>
      </c>
      <c r="M451" s="298">
        <f t="shared" si="277"/>
        <v>0</v>
      </c>
      <c r="N451" s="298">
        <f t="shared" si="259"/>
        <v>377057.86000000016</v>
      </c>
      <c r="O451" s="298">
        <f t="shared" si="260"/>
        <v>595399.34000000032</v>
      </c>
      <c r="P451" s="298">
        <f t="shared" si="250"/>
        <v>0</v>
      </c>
      <c r="Q451" s="542" t="str">
        <f t="shared" si="251"/>
        <v xml:space="preserve"> </v>
      </c>
      <c r="R451" s="298">
        <f t="shared" si="275"/>
        <v>0</v>
      </c>
      <c r="S451" s="535">
        <f t="shared" si="261"/>
        <v>7.7499999999999999E-2</v>
      </c>
      <c r="T451" s="298">
        <f t="shared" si="252"/>
        <v>0</v>
      </c>
      <c r="U451" s="298">
        <f t="shared" si="278"/>
        <v>0</v>
      </c>
      <c r="V451" s="298">
        <f t="shared" si="253"/>
        <v>0</v>
      </c>
      <c r="W451" s="298">
        <f t="shared" si="272"/>
        <v>0</v>
      </c>
      <c r="X451" s="298">
        <f t="shared" si="272"/>
        <v>0</v>
      </c>
      <c r="Y451" s="298">
        <f t="shared" si="279"/>
        <v>0</v>
      </c>
      <c r="Z451" s="298">
        <f t="shared" si="280"/>
        <v>378976.30999999988</v>
      </c>
      <c r="AA451" s="298">
        <f t="shared" si="281"/>
        <v>237979.58999999985</v>
      </c>
      <c r="AB451" s="298">
        <f t="shared" si="254"/>
        <v>0</v>
      </c>
      <c r="AC451" s="451">
        <f t="shared" si="262"/>
        <v>391</v>
      </c>
      <c r="AD451" s="552">
        <f t="shared" si="263"/>
        <v>355501.3000000001</v>
      </c>
      <c r="AE451" s="552">
        <f t="shared" si="273"/>
        <v>0</v>
      </c>
      <c r="AF451" s="552">
        <f t="shared" si="274"/>
        <v>355501.3000000001</v>
      </c>
      <c r="AG451" s="552">
        <f t="shared" si="264"/>
        <v>0</v>
      </c>
      <c r="AH451" s="552">
        <f t="shared" si="265"/>
        <v>0</v>
      </c>
      <c r="AI451" s="552"/>
      <c r="AJ451" s="14">
        <f t="shared" si="282"/>
        <v>0</v>
      </c>
      <c r="AK451" s="14">
        <f t="shared" si="283"/>
        <v>0</v>
      </c>
      <c r="AL451" s="552">
        <f>IF(R451&lt;=0,0,+([1]Profit!$B$4+AM450)*$AL$1/12)</f>
        <v>0</v>
      </c>
      <c r="AM451" s="14">
        <f t="shared" si="266"/>
        <v>0</v>
      </c>
    </row>
    <row r="452" spans="1:39" x14ac:dyDescent="0.25">
      <c r="A452" s="542" t="str">
        <f t="shared" si="255"/>
        <v xml:space="preserve"> </v>
      </c>
      <c r="B452" s="298">
        <f t="shared" si="271"/>
        <v>0</v>
      </c>
      <c r="C452" s="14">
        <f t="shared" si="246"/>
        <v>0</v>
      </c>
      <c r="D452" s="14">
        <f t="shared" si="267"/>
        <v>0</v>
      </c>
      <c r="E452" s="14">
        <f t="shared" si="247"/>
        <v>0</v>
      </c>
      <c r="F452" s="298">
        <f t="shared" si="256"/>
        <v>83951.219999999987</v>
      </c>
      <c r="G452" s="298">
        <f t="shared" si="257"/>
        <v>73034.019999999931</v>
      </c>
      <c r="H452" s="298">
        <f t="shared" si="248"/>
        <v>0</v>
      </c>
      <c r="I452" s="451">
        <f t="shared" si="249"/>
        <v>32</v>
      </c>
      <c r="J452" s="298">
        <f t="shared" si="258"/>
        <v>0</v>
      </c>
      <c r="K452" s="298">
        <f t="shared" si="276"/>
        <v>0</v>
      </c>
      <c r="L452" s="298">
        <f t="shared" si="268"/>
        <v>0</v>
      </c>
      <c r="M452" s="298">
        <f t="shared" si="277"/>
        <v>0</v>
      </c>
      <c r="N452" s="298">
        <f t="shared" si="259"/>
        <v>377057.86000000016</v>
      </c>
      <c r="O452" s="298">
        <f t="shared" si="260"/>
        <v>595399.34000000032</v>
      </c>
      <c r="P452" s="298">
        <f t="shared" si="250"/>
        <v>0</v>
      </c>
      <c r="Q452" s="542" t="str">
        <f t="shared" si="251"/>
        <v xml:space="preserve"> </v>
      </c>
      <c r="R452" s="298">
        <f t="shared" si="275"/>
        <v>0</v>
      </c>
      <c r="S452" s="535">
        <f t="shared" si="261"/>
        <v>7.7499999999999999E-2</v>
      </c>
      <c r="T452" s="298">
        <f t="shared" si="252"/>
        <v>0</v>
      </c>
      <c r="U452" s="298">
        <f t="shared" si="278"/>
        <v>0</v>
      </c>
      <c r="V452" s="298">
        <f t="shared" si="253"/>
        <v>0</v>
      </c>
      <c r="W452" s="298">
        <f t="shared" si="272"/>
        <v>0</v>
      </c>
      <c r="X452" s="298">
        <f t="shared" si="272"/>
        <v>0</v>
      </c>
      <c r="Y452" s="298">
        <f t="shared" si="279"/>
        <v>0</v>
      </c>
      <c r="Z452" s="298">
        <f t="shared" si="280"/>
        <v>378976.30999999988</v>
      </c>
      <c r="AA452" s="298">
        <f t="shared" si="281"/>
        <v>237979.58999999985</v>
      </c>
      <c r="AB452" s="298">
        <f t="shared" si="254"/>
        <v>0</v>
      </c>
      <c r="AC452" s="451">
        <f t="shared" si="262"/>
        <v>392</v>
      </c>
      <c r="AD452" s="552">
        <f t="shared" si="263"/>
        <v>355501.3000000001</v>
      </c>
      <c r="AE452" s="552">
        <f t="shared" si="273"/>
        <v>0</v>
      </c>
      <c r="AF452" s="552">
        <f t="shared" si="274"/>
        <v>355501.3000000001</v>
      </c>
      <c r="AG452" s="552">
        <f t="shared" si="264"/>
        <v>0</v>
      </c>
      <c r="AH452" s="552">
        <f t="shared" si="265"/>
        <v>0</v>
      </c>
      <c r="AI452" s="552"/>
      <c r="AJ452" s="14">
        <f t="shared" si="282"/>
        <v>0</v>
      </c>
      <c r="AK452" s="14">
        <f t="shared" si="283"/>
        <v>0</v>
      </c>
      <c r="AL452" s="552">
        <f>IF(R452&lt;=0,0,+([1]Profit!$B$4+AM451)*$AL$1/12)</f>
        <v>0</v>
      </c>
      <c r="AM452" s="14">
        <f t="shared" si="266"/>
        <v>0</v>
      </c>
    </row>
    <row r="453" spans="1:39" x14ac:dyDescent="0.25">
      <c r="A453" s="542" t="str">
        <f t="shared" si="255"/>
        <v xml:space="preserve"> </v>
      </c>
      <c r="B453" s="298">
        <f t="shared" si="271"/>
        <v>0</v>
      </c>
      <c r="C453" s="14">
        <f t="shared" si="246"/>
        <v>0</v>
      </c>
      <c r="D453" s="14">
        <f t="shared" si="267"/>
        <v>0</v>
      </c>
      <c r="E453" s="14">
        <f t="shared" si="247"/>
        <v>0</v>
      </c>
      <c r="F453" s="298">
        <f t="shared" si="256"/>
        <v>83951.219999999987</v>
      </c>
      <c r="G453" s="298">
        <f t="shared" si="257"/>
        <v>73034.019999999931</v>
      </c>
      <c r="H453" s="298">
        <f t="shared" si="248"/>
        <v>0</v>
      </c>
      <c r="I453" s="451">
        <f t="shared" si="249"/>
        <v>32</v>
      </c>
      <c r="J453" s="298">
        <f t="shared" si="258"/>
        <v>0</v>
      </c>
      <c r="K453" s="298">
        <f t="shared" si="276"/>
        <v>0</v>
      </c>
      <c r="L453" s="298">
        <f t="shared" si="268"/>
        <v>0</v>
      </c>
      <c r="M453" s="298">
        <f t="shared" si="277"/>
        <v>0</v>
      </c>
      <c r="N453" s="298">
        <f t="shared" si="259"/>
        <v>377057.86000000016</v>
      </c>
      <c r="O453" s="298">
        <f t="shared" si="260"/>
        <v>595399.34000000032</v>
      </c>
      <c r="P453" s="298">
        <f t="shared" si="250"/>
        <v>0</v>
      </c>
      <c r="Q453" s="542" t="str">
        <f t="shared" si="251"/>
        <v xml:space="preserve"> </v>
      </c>
      <c r="R453" s="298">
        <f t="shared" si="275"/>
        <v>0</v>
      </c>
      <c r="S453" s="535">
        <f t="shared" si="261"/>
        <v>7.7499999999999999E-2</v>
      </c>
      <c r="T453" s="298">
        <f t="shared" si="252"/>
        <v>0</v>
      </c>
      <c r="U453" s="298">
        <f t="shared" si="278"/>
        <v>0</v>
      </c>
      <c r="V453" s="298">
        <f t="shared" si="253"/>
        <v>0</v>
      </c>
      <c r="W453" s="298">
        <f t="shared" si="272"/>
        <v>0</v>
      </c>
      <c r="X453" s="298">
        <f t="shared" si="272"/>
        <v>0</v>
      </c>
      <c r="Y453" s="298">
        <f t="shared" si="279"/>
        <v>0</v>
      </c>
      <c r="Z453" s="298">
        <f t="shared" si="280"/>
        <v>378976.30999999988</v>
      </c>
      <c r="AA453" s="298">
        <f t="shared" si="281"/>
        <v>237979.58999999985</v>
      </c>
      <c r="AB453" s="298">
        <f t="shared" si="254"/>
        <v>0</v>
      </c>
      <c r="AC453" s="451">
        <f t="shared" si="262"/>
        <v>393</v>
      </c>
      <c r="AD453" s="552">
        <f t="shared" si="263"/>
        <v>355501.3000000001</v>
      </c>
      <c r="AE453" s="552">
        <f t="shared" si="273"/>
        <v>0</v>
      </c>
      <c r="AF453" s="552">
        <f t="shared" si="274"/>
        <v>355501.3000000001</v>
      </c>
      <c r="AG453" s="552">
        <f t="shared" si="264"/>
        <v>0</v>
      </c>
      <c r="AH453" s="552">
        <f t="shared" si="265"/>
        <v>0</v>
      </c>
      <c r="AI453" s="552"/>
      <c r="AJ453" s="14">
        <f t="shared" si="282"/>
        <v>0</v>
      </c>
      <c r="AK453" s="14">
        <f t="shared" si="283"/>
        <v>0</v>
      </c>
      <c r="AL453" s="552">
        <f>IF(R453&lt;=0,0,+([1]Profit!$B$4+AM452)*$AL$1/12)</f>
        <v>0</v>
      </c>
      <c r="AM453" s="14">
        <f t="shared" si="266"/>
        <v>0</v>
      </c>
    </row>
    <row r="454" spans="1:39" x14ac:dyDescent="0.25">
      <c r="A454" s="542" t="str">
        <f t="shared" si="255"/>
        <v xml:space="preserve"> </v>
      </c>
      <c r="B454" s="298">
        <f t="shared" si="271"/>
        <v>0</v>
      </c>
      <c r="C454" s="14">
        <f t="shared" si="246"/>
        <v>0</v>
      </c>
      <c r="D454" s="14">
        <f t="shared" si="267"/>
        <v>0</v>
      </c>
      <c r="E454" s="14">
        <f t="shared" si="247"/>
        <v>0</v>
      </c>
      <c r="F454" s="298">
        <f t="shared" si="256"/>
        <v>83951.219999999987</v>
      </c>
      <c r="G454" s="298">
        <f t="shared" si="257"/>
        <v>73034.019999999931</v>
      </c>
      <c r="H454" s="298">
        <f t="shared" si="248"/>
        <v>0</v>
      </c>
      <c r="I454" s="451">
        <f t="shared" si="249"/>
        <v>32</v>
      </c>
      <c r="J454" s="298">
        <f t="shared" si="258"/>
        <v>0</v>
      </c>
      <c r="K454" s="298">
        <f t="shared" si="276"/>
        <v>0</v>
      </c>
      <c r="L454" s="298">
        <f t="shared" si="268"/>
        <v>0</v>
      </c>
      <c r="M454" s="298">
        <f t="shared" si="277"/>
        <v>0</v>
      </c>
      <c r="N454" s="298">
        <f t="shared" si="259"/>
        <v>377057.86000000016</v>
      </c>
      <c r="O454" s="298">
        <f t="shared" si="260"/>
        <v>595399.34000000032</v>
      </c>
      <c r="P454" s="298">
        <f t="shared" si="250"/>
        <v>0</v>
      </c>
      <c r="Q454" s="542" t="str">
        <f t="shared" si="251"/>
        <v xml:space="preserve"> </v>
      </c>
      <c r="R454" s="298">
        <f t="shared" si="275"/>
        <v>0</v>
      </c>
      <c r="S454" s="535">
        <f t="shared" si="261"/>
        <v>7.7499999999999999E-2</v>
      </c>
      <c r="T454" s="298">
        <f t="shared" si="252"/>
        <v>0</v>
      </c>
      <c r="U454" s="298">
        <f t="shared" si="278"/>
        <v>0</v>
      </c>
      <c r="V454" s="298">
        <f t="shared" si="253"/>
        <v>0</v>
      </c>
      <c r="W454" s="298">
        <f t="shared" si="272"/>
        <v>0</v>
      </c>
      <c r="X454" s="298">
        <f t="shared" si="272"/>
        <v>0</v>
      </c>
      <c r="Y454" s="298">
        <f t="shared" si="279"/>
        <v>0</v>
      </c>
      <c r="Z454" s="298">
        <f t="shared" si="280"/>
        <v>378976.30999999988</v>
      </c>
      <c r="AA454" s="298">
        <f t="shared" si="281"/>
        <v>237979.58999999985</v>
      </c>
      <c r="AB454" s="298">
        <f t="shared" si="254"/>
        <v>0</v>
      </c>
      <c r="AC454" s="451">
        <f t="shared" si="262"/>
        <v>394</v>
      </c>
      <c r="AD454" s="552">
        <f t="shared" si="263"/>
        <v>355501.3000000001</v>
      </c>
      <c r="AE454" s="552">
        <f t="shared" si="273"/>
        <v>0</v>
      </c>
      <c r="AF454" s="552">
        <f t="shared" si="274"/>
        <v>355501.3000000001</v>
      </c>
      <c r="AG454" s="552">
        <f t="shared" si="264"/>
        <v>0</v>
      </c>
      <c r="AH454" s="552">
        <f t="shared" si="265"/>
        <v>0</v>
      </c>
      <c r="AI454" s="552"/>
      <c r="AJ454" s="14">
        <f t="shared" si="282"/>
        <v>0</v>
      </c>
      <c r="AK454" s="14">
        <f t="shared" si="283"/>
        <v>0</v>
      </c>
      <c r="AL454" s="552">
        <f>IF(R454&lt;=0,0,+([1]Profit!$B$4+AM453)*$AL$1/12)</f>
        <v>0</v>
      </c>
      <c r="AM454" s="14">
        <f t="shared" si="266"/>
        <v>0</v>
      </c>
    </row>
    <row r="455" spans="1:39" x14ac:dyDescent="0.25">
      <c r="A455" s="542" t="str">
        <f t="shared" si="255"/>
        <v xml:space="preserve"> </v>
      </c>
      <c r="B455" s="298">
        <f t="shared" si="271"/>
        <v>0</v>
      </c>
      <c r="C455" s="14">
        <f t="shared" si="246"/>
        <v>0</v>
      </c>
      <c r="D455" s="14">
        <f t="shared" si="267"/>
        <v>0</v>
      </c>
      <c r="E455" s="14">
        <f t="shared" si="247"/>
        <v>0</v>
      </c>
      <c r="F455" s="298">
        <f t="shared" si="256"/>
        <v>83951.219999999987</v>
      </c>
      <c r="G455" s="298">
        <f t="shared" si="257"/>
        <v>73034.019999999931</v>
      </c>
      <c r="H455" s="298">
        <f t="shared" si="248"/>
        <v>0</v>
      </c>
      <c r="I455" s="451">
        <f t="shared" si="249"/>
        <v>32</v>
      </c>
      <c r="J455" s="298">
        <f t="shared" si="258"/>
        <v>0</v>
      </c>
      <c r="K455" s="298">
        <f t="shared" si="276"/>
        <v>0</v>
      </c>
      <c r="L455" s="298">
        <f t="shared" si="268"/>
        <v>0</v>
      </c>
      <c r="M455" s="298">
        <f t="shared" si="277"/>
        <v>0</v>
      </c>
      <c r="N455" s="298">
        <f t="shared" si="259"/>
        <v>377057.86000000016</v>
      </c>
      <c r="O455" s="298">
        <f t="shared" si="260"/>
        <v>595399.34000000032</v>
      </c>
      <c r="P455" s="298">
        <f t="shared" si="250"/>
        <v>0</v>
      </c>
      <c r="Q455" s="542" t="str">
        <f t="shared" si="251"/>
        <v xml:space="preserve"> </v>
      </c>
      <c r="R455" s="298">
        <f t="shared" si="275"/>
        <v>0</v>
      </c>
      <c r="S455" s="535">
        <f t="shared" si="261"/>
        <v>7.7499999999999999E-2</v>
      </c>
      <c r="T455" s="298">
        <f t="shared" si="252"/>
        <v>0</v>
      </c>
      <c r="U455" s="298">
        <f t="shared" si="278"/>
        <v>0</v>
      </c>
      <c r="V455" s="298">
        <f t="shared" si="253"/>
        <v>0</v>
      </c>
      <c r="W455" s="298">
        <f t="shared" si="272"/>
        <v>0</v>
      </c>
      <c r="X455" s="298">
        <f t="shared" si="272"/>
        <v>0</v>
      </c>
      <c r="Y455" s="298">
        <f t="shared" si="279"/>
        <v>0</v>
      </c>
      <c r="Z455" s="298">
        <f t="shared" si="280"/>
        <v>378976.30999999988</v>
      </c>
      <c r="AA455" s="298">
        <f t="shared" si="281"/>
        <v>237979.58999999985</v>
      </c>
      <c r="AB455" s="298">
        <f t="shared" si="254"/>
        <v>0</v>
      </c>
      <c r="AC455" s="451">
        <f t="shared" si="262"/>
        <v>395</v>
      </c>
      <c r="AD455" s="552">
        <f t="shared" si="263"/>
        <v>355501.3000000001</v>
      </c>
      <c r="AE455" s="552">
        <f t="shared" si="273"/>
        <v>0</v>
      </c>
      <c r="AF455" s="552">
        <f t="shared" si="274"/>
        <v>355501.3000000001</v>
      </c>
      <c r="AG455" s="552">
        <f t="shared" si="264"/>
        <v>0</v>
      </c>
      <c r="AH455" s="552">
        <f t="shared" si="265"/>
        <v>0</v>
      </c>
      <c r="AI455" s="552"/>
      <c r="AJ455" s="14">
        <f t="shared" si="282"/>
        <v>0</v>
      </c>
      <c r="AK455" s="14">
        <f t="shared" si="283"/>
        <v>0</v>
      </c>
      <c r="AL455" s="552">
        <f>IF(R455&lt;=0,0,+([1]Profit!$B$4+AM454)*$AL$1/12)</f>
        <v>0</v>
      </c>
      <c r="AM455" s="14">
        <f t="shared" si="266"/>
        <v>0</v>
      </c>
    </row>
    <row r="456" spans="1:39" x14ac:dyDescent="0.25">
      <c r="A456" s="542" t="str">
        <f t="shared" si="255"/>
        <v xml:space="preserve"> </v>
      </c>
      <c r="B456" s="298">
        <f t="shared" si="271"/>
        <v>0</v>
      </c>
      <c r="C456" s="14">
        <f t="shared" si="246"/>
        <v>0</v>
      </c>
      <c r="D456" s="14">
        <f t="shared" si="267"/>
        <v>0</v>
      </c>
      <c r="E456" s="14">
        <f t="shared" si="247"/>
        <v>0</v>
      </c>
      <c r="F456" s="298">
        <f t="shared" si="256"/>
        <v>83951.219999999987</v>
      </c>
      <c r="G456" s="298">
        <f t="shared" si="257"/>
        <v>73034.019999999931</v>
      </c>
      <c r="H456" s="298">
        <f t="shared" si="248"/>
        <v>0</v>
      </c>
      <c r="I456" s="451">
        <f t="shared" si="249"/>
        <v>33</v>
      </c>
      <c r="J456" s="298">
        <f t="shared" si="258"/>
        <v>0</v>
      </c>
      <c r="K456" s="298">
        <f t="shared" si="276"/>
        <v>0</v>
      </c>
      <c r="L456" s="298">
        <f t="shared" si="268"/>
        <v>0</v>
      </c>
      <c r="M456" s="298">
        <f t="shared" si="277"/>
        <v>0</v>
      </c>
      <c r="N456" s="298">
        <f t="shared" si="259"/>
        <v>377057.86000000016</v>
      </c>
      <c r="O456" s="298">
        <f t="shared" si="260"/>
        <v>595399.34000000032</v>
      </c>
      <c r="P456" s="298">
        <f t="shared" si="250"/>
        <v>0</v>
      </c>
      <c r="Q456" s="542" t="str">
        <f t="shared" si="251"/>
        <v xml:space="preserve"> </v>
      </c>
      <c r="R456" s="298">
        <f t="shared" si="275"/>
        <v>0</v>
      </c>
      <c r="S456" s="535">
        <f t="shared" si="261"/>
        <v>7.7499999999999999E-2</v>
      </c>
      <c r="T456" s="298">
        <f t="shared" si="252"/>
        <v>0</v>
      </c>
      <c r="U456" s="298">
        <f t="shared" si="278"/>
        <v>0</v>
      </c>
      <c r="V456" s="298">
        <f t="shared" si="253"/>
        <v>0</v>
      </c>
      <c r="W456" s="298">
        <f t="shared" si="272"/>
        <v>0</v>
      </c>
      <c r="X456" s="298">
        <f t="shared" si="272"/>
        <v>0</v>
      </c>
      <c r="Y456" s="298">
        <f t="shared" si="279"/>
        <v>0</v>
      </c>
      <c r="Z456" s="298">
        <f t="shared" si="280"/>
        <v>378976.30999999988</v>
      </c>
      <c r="AA456" s="298">
        <f t="shared" si="281"/>
        <v>237979.58999999985</v>
      </c>
      <c r="AB456" s="298">
        <f t="shared" si="254"/>
        <v>0</v>
      </c>
      <c r="AC456" s="451">
        <f t="shared" si="262"/>
        <v>396</v>
      </c>
      <c r="AD456" s="552">
        <f t="shared" si="263"/>
        <v>355501.3000000001</v>
      </c>
      <c r="AE456" s="552">
        <f t="shared" si="273"/>
        <v>0</v>
      </c>
      <c r="AF456" s="552">
        <f t="shared" si="274"/>
        <v>355501.3000000001</v>
      </c>
      <c r="AG456" s="552">
        <f t="shared" si="264"/>
        <v>0</v>
      </c>
      <c r="AH456" s="552">
        <f t="shared" si="265"/>
        <v>0</v>
      </c>
      <c r="AI456" s="552"/>
      <c r="AJ456" s="14">
        <f t="shared" si="282"/>
        <v>0</v>
      </c>
      <c r="AK456" s="14">
        <f t="shared" si="283"/>
        <v>0</v>
      </c>
      <c r="AL456" s="552">
        <f>IF(R456&lt;=0,0,+([1]Profit!$B$4+AM455)*$AL$1/12)</f>
        <v>0</v>
      </c>
      <c r="AM456" s="14">
        <f t="shared" si="266"/>
        <v>0</v>
      </c>
    </row>
    <row r="457" spans="1:39" x14ac:dyDescent="0.25">
      <c r="A457" s="542" t="str">
        <f t="shared" si="255"/>
        <v xml:space="preserve"> </v>
      </c>
      <c r="B457" s="298">
        <f t="shared" si="271"/>
        <v>0</v>
      </c>
      <c r="C457" s="14">
        <f t="shared" si="246"/>
        <v>0</v>
      </c>
      <c r="D457" s="14">
        <f t="shared" si="267"/>
        <v>0</v>
      </c>
      <c r="E457" s="14">
        <f t="shared" si="247"/>
        <v>0</v>
      </c>
      <c r="F457" s="298">
        <f t="shared" si="256"/>
        <v>83951.219999999987</v>
      </c>
      <c r="G457" s="298">
        <f t="shared" si="257"/>
        <v>73034.019999999931</v>
      </c>
      <c r="H457" s="298">
        <f t="shared" si="248"/>
        <v>0</v>
      </c>
      <c r="I457" s="451">
        <f t="shared" si="249"/>
        <v>33</v>
      </c>
      <c r="J457" s="298">
        <f t="shared" si="258"/>
        <v>0</v>
      </c>
      <c r="K457" s="298">
        <f t="shared" si="276"/>
        <v>0</v>
      </c>
      <c r="L457" s="298">
        <f t="shared" si="268"/>
        <v>0</v>
      </c>
      <c r="M457" s="298">
        <f t="shared" si="277"/>
        <v>0</v>
      </c>
      <c r="N457" s="298">
        <f t="shared" si="259"/>
        <v>377057.86000000016</v>
      </c>
      <c r="O457" s="298">
        <f t="shared" si="260"/>
        <v>595399.34000000032</v>
      </c>
      <c r="P457" s="298">
        <f t="shared" si="250"/>
        <v>0</v>
      </c>
      <c r="Q457" s="542" t="str">
        <f t="shared" si="251"/>
        <v xml:space="preserve"> </v>
      </c>
      <c r="R457" s="298">
        <f t="shared" si="275"/>
        <v>0</v>
      </c>
      <c r="S457" s="535">
        <f t="shared" si="261"/>
        <v>7.7499999999999999E-2</v>
      </c>
      <c r="T457" s="298">
        <f t="shared" si="252"/>
        <v>0</v>
      </c>
      <c r="U457" s="298">
        <f t="shared" si="278"/>
        <v>0</v>
      </c>
      <c r="V457" s="298">
        <f t="shared" si="253"/>
        <v>0</v>
      </c>
      <c r="W457" s="298">
        <f t="shared" si="272"/>
        <v>0</v>
      </c>
      <c r="X457" s="298">
        <f t="shared" si="272"/>
        <v>0</v>
      </c>
      <c r="Y457" s="298">
        <f t="shared" si="279"/>
        <v>0</v>
      </c>
      <c r="Z457" s="298">
        <f t="shared" si="280"/>
        <v>378976.30999999988</v>
      </c>
      <c r="AA457" s="298">
        <f t="shared" si="281"/>
        <v>237979.58999999985</v>
      </c>
      <c r="AB457" s="298">
        <f t="shared" si="254"/>
        <v>0</v>
      </c>
      <c r="AC457" s="451">
        <f t="shared" si="262"/>
        <v>397</v>
      </c>
      <c r="AD457" s="552">
        <f t="shared" si="263"/>
        <v>355501.3000000001</v>
      </c>
      <c r="AE457" s="552">
        <f t="shared" si="273"/>
        <v>0</v>
      </c>
      <c r="AF457" s="552">
        <f t="shared" si="274"/>
        <v>355501.3000000001</v>
      </c>
      <c r="AG457" s="552">
        <f t="shared" si="264"/>
        <v>0</v>
      </c>
      <c r="AH457" s="552">
        <f t="shared" si="265"/>
        <v>0</v>
      </c>
      <c r="AI457" s="552"/>
      <c r="AJ457" s="14">
        <f t="shared" si="282"/>
        <v>0</v>
      </c>
      <c r="AK457" s="14">
        <f t="shared" si="283"/>
        <v>0</v>
      </c>
      <c r="AL457" s="552">
        <f>IF(R457&lt;=0,0,+([1]Profit!$B$4+AM456)*$AL$1/12)</f>
        <v>0</v>
      </c>
      <c r="AM457" s="14">
        <f t="shared" si="266"/>
        <v>0</v>
      </c>
    </row>
    <row r="458" spans="1:39" ht="15.75" thickBot="1" x14ac:dyDescent="0.3">
      <c r="A458" s="545" t="str">
        <f t="shared" si="255"/>
        <v xml:space="preserve"> </v>
      </c>
      <c r="B458" s="371">
        <f t="shared" si="271"/>
        <v>0</v>
      </c>
      <c r="C458" s="21">
        <f t="shared" si="246"/>
        <v>0</v>
      </c>
      <c r="D458" s="21">
        <f t="shared" si="267"/>
        <v>0</v>
      </c>
      <c r="E458" s="21">
        <f t="shared" si="247"/>
        <v>0</v>
      </c>
      <c r="F458" s="371">
        <f t="shared" si="256"/>
        <v>83951.219999999987</v>
      </c>
      <c r="G458" s="371">
        <f t="shared" si="257"/>
        <v>73034.019999999931</v>
      </c>
      <c r="H458" s="371">
        <f t="shared" si="248"/>
        <v>0</v>
      </c>
      <c r="I458" s="452">
        <f t="shared" si="249"/>
        <v>33</v>
      </c>
      <c r="J458" s="371">
        <f t="shared" si="258"/>
        <v>0</v>
      </c>
      <c r="K458" s="371">
        <f t="shared" si="276"/>
        <v>0</v>
      </c>
      <c r="L458" s="371">
        <f t="shared" si="268"/>
        <v>0</v>
      </c>
      <c r="M458" s="371">
        <f t="shared" si="277"/>
        <v>0</v>
      </c>
      <c r="N458" s="371">
        <f t="shared" si="259"/>
        <v>377057.86000000016</v>
      </c>
      <c r="O458" s="371">
        <f t="shared" si="260"/>
        <v>595399.34000000032</v>
      </c>
      <c r="P458" s="371">
        <f t="shared" si="250"/>
        <v>0</v>
      </c>
      <c r="Q458" s="545" t="str">
        <f t="shared" si="251"/>
        <v xml:space="preserve"> </v>
      </c>
      <c r="R458" s="371">
        <f t="shared" si="275"/>
        <v>0</v>
      </c>
      <c r="S458" s="536">
        <f t="shared" si="261"/>
        <v>7.7499999999999999E-2</v>
      </c>
      <c r="T458" s="371">
        <f t="shared" si="252"/>
        <v>0</v>
      </c>
      <c r="U458" s="371">
        <f t="shared" si="278"/>
        <v>0</v>
      </c>
      <c r="V458" s="371">
        <f t="shared" si="253"/>
        <v>0</v>
      </c>
      <c r="W458" s="371">
        <f t="shared" si="272"/>
        <v>0</v>
      </c>
      <c r="X458" s="371">
        <f t="shared" si="272"/>
        <v>0</v>
      </c>
      <c r="Y458" s="371">
        <f t="shared" si="279"/>
        <v>0</v>
      </c>
      <c r="Z458" s="371">
        <f t="shared" si="280"/>
        <v>378976.30999999988</v>
      </c>
      <c r="AA458" s="371">
        <f t="shared" si="281"/>
        <v>237979.58999999985</v>
      </c>
      <c r="AB458" s="371">
        <f t="shared" si="254"/>
        <v>0</v>
      </c>
      <c r="AC458" s="452">
        <f t="shared" si="262"/>
        <v>398</v>
      </c>
      <c r="AD458" s="553">
        <f t="shared" si="263"/>
        <v>355501.3000000001</v>
      </c>
      <c r="AE458" s="553">
        <f t="shared" si="273"/>
        <v>0</v>
      </c>
      <c r="AF458" s="553">
        <f t="shared" si="274"/>
        <v>355501.3000000001</v>
      </c>
      <c r="AG458" s="553">
        <f t="shared" si="264"/>
        <v>0</v>
      </c>
      <c r="AH458" s="553">
        <f t="shared" si="265"/>
        <v>0</v>
      </c>
      <c r="AI458" s="553"/>
      <c r="AJ458" s="21">
        <f t="shared" si="282"/>
        <v>0</v>
      </c>
      <c r="AK458" s="21">
        <f t="shared" si="283"/>
        <v>0</v>
      </c>
      <c r="AL458" s="553">
        <f>IF(R458&lt;=0,0,+([1]Profit!$B$4+AM457)*$AL$1/12)</f>
        <v>0</v>
      </c>
      <c r="AM458" s="21">
        <f t="shared" si="266"/>
        <v>0</v>
      </c>
    </row>
    <row r="459" spans="1:39" x14ac:dyDescent="0.25">
      <c r="A459" s="542" t="str">
        <f t="shared" si="255"/>
        <v xml:space="preserve"> </v>
      </c>
      <c r="B459" s="298">
        <f t="shared" si="271"/>
        <v>0</v>
      </c>
      <c r="C459" s="14">
        <f t="shared" si="246"/>
        <v>0</v>
      </c>
      <c r="D459" s="14">
        <f t="shared" si="267"/>
        <v>0</v>
      </c>
      <c r="E459" s="14">
        <f t="shared" si="247"/>
        <v>0</v>
      </c>
      <c r="F459" s="298">
        <f t="shared" si="256"/>
        <v>83951.219999999987</v>
      </c>
      <c r="G459" s="298">
        <f t="shared" si="257"/>
        <v>73034.019999999931</v>
      </c>
      <c r="H459" s="298">
        <f t="shared" si="248"/>
        <v>0</v>
      </c>
      <c r="I459" s="451">
        <f t="shared" si="249"/>
        <v>33</v>
      </c>
      <c r="J459" s="298">
        <f t="shared" si="258"/>
        <v>0</v>
      </c>
      <c r="K459" s="298">
        <f t="shared" si="276"/>
        <v>0</v>
      </c>
      <c r="L459" s="298">
        <f t="shared" si="268"/>
        <v>0</v>
      </c>
      <c r="M459" s="298">
        <f t="shared" si="277"/>
        <v>0</v>
      </c>
      <c r="N459" s="298">
        <f t="shared" si="259"/>
        <v>377057.86000000016</v>
      </c>
      <c r="O459" s="298">
        <f t="shared" si="260"/>
        <v>595399.34000000032</v>
      </c>
      <c r="P459" s="298">
        <f t="shared" si="250"/>
        <v>0</v>
      </c>
      <c r="Q459" s="542" t="str">
        <f t="shared" si="251"/>
        <v xml:space="preserve"> </v>
      </c>
      <c r="R459" s="298">
        <f t="shared" si="275"/>
        <v>0</v>
      </c>
      <c r="S459" s="535">
        <f t="shared" si="261"/>
        <v>7.7499999999999999E-2</v>
      </c>
      <c r="T459" s="298">
        <f t="shared" si="252"/>
        <v>0</v>
      </c>
      <c r="U459" s="298">
        <f t="shared" si="278"/>
        <v>0</v>
      </c>
      <c r="V459" s="298">
        <f t="shared" si="253"/>
        <v>0</v>
      </c>
      <c r="W459" s="298">
        <f t="shared" si="272"/>
        <v>0</v>
      </c>
      <c r="X459" s="298">
        <f t="shared" si="272"/>
        <v>0</v>
      </c>
      <c r="Y459" s="298">
        <f t="shared" si="279"/>
        <v>0</v>
      </c>
      <c r="Z459" s="298">
        <f t="shared" si="280"/>
        <v>378976.30999999988</v>
      </c>
      <c r="AA459" s="298">
        <f t="shared" si="281"/>
        <v>237979.58999999985</v>
      </c>
      <c r="AB459" s="298">
        <f t="shared" si="254"/>
        <v>0</v>
      </c>
      <c r="AC459" s="451">
        <f t="shared" si="262"/>
        <v>399</v>
      </c>
      <c r="AD459" s="552">
        <f t="shared" si="263"/>
        <v>355501.3000000001</v>
      </c>
      <c r="AE459" s="552">
        <f t="shared" si="273"/>
        <v>0</v>
      </c>
      <c r="AF459" s="552">
        <f t="shared" si="274"/>
        <v>355501.3000000001</v>
      </c>
      <c r="AG459" s="552">
        <f t="shared" si="264"/>
        <v>0</v>
      </c>
      <c r="AH459" s="552">
        <f t="shared" si="265"/>
        <v>0</v>
      </c>
      <c r="AI459" s="552"/>
      <c r="AJ459" s="14">
        <f t="shared" si="282"/>
        <v>0</v>
      </c>
      <c r="AK459" s="14">
        <f t="shared" si="283"/>
        <v>0</v>
      </c>
      <c r="AL459" s="552">
        <f>IF(R459&lt;=0,0,+([1]Profit!$B$4+AM458)*$AL$1/12)</f>
        <v>0</v>
      </c>
      <c r="AM459" s="14">
        <f t="shared" si="266"/>
        <v>0</v>
      </c>
    </row>
    <row r="460" spans="1:39" x14ac:dyDescent="0.25">
      <c r="A460" s="542" t="str">
        <f t="shared" si="255"/>
        <v xml:space="preserve"> </v>
      </c>
      <c r="B460" s="298">
        <f t="shared" si="271"/>
        <v>0</v>
      </c>
      <c r="C460" s="14">
        <f t="shared" si="246"/>
        <v>0</v>
      </c>
      <c r="D460" s="14">
        <f t="shared" si="267"/>
        <v>0</v>
      </c>
      <c r="E460" s="14">
        <f t="shared" si="247"/>
        <v>0</v>
      </c>
      <c r="F460" s="298">
        <f t="shared" si="256"/>
        <v>83951.219999999987</v>
      </c>
      <c r="G460" s="298">
        <f t="shared" si="257"/>
        <v>73034.019999999931</v>
      </c>
      <c r="H460" s="298">
        <f t="shared" si="248"/>
        <v>0</v>
      </c>
      <c r="I460" s="451">
        <f t="shared" si="249"/>
        <v>33</v>
      </c>
      <c r="J460" s="298">
        <f t="shared" si="258"/>
        <v>0</v>
      </c>
      <c r="K460" s="298">
        <f t="shared" si="276"/>
        <v>0</v>
      </c>
      <c r="L460" s="298">
        <f t="shared" si="268"/>
        <v>0</v>
      </c>
      <c r="M460" s="298">
        <f t="shared" si="277"/>
        <v>0</v>
      </c>
      <c r="N460" s="298">
        <f t="shared" si="259"/>
        <v>377057.86000000016</v>
      </c>
      <c r="O460" s="298">
        <f t="shared" si="260"/>
        <v>595399.34000000032</v>
      </c>
      <c r="P460" s="298">
        <f t="shared" si="250"/>
        <v>0</v>
      </c>
      <c r="Q460" s="542" t="str">
        <f t="shared" si="251"/>
        <v xml:space="preserve"> </v>
      </c>
      <c r="R460" s="298">
        <f t="shared" si="275"/>
        <v>0</v>
      </c>
      <c r="S460" s="535">
        <f t="shared" si="261"/>
        <v>7.7499999999999999E-2</v>
      </c>
      <c r="T460" s="298">
        <f t="shared" si="252"/>
        <v>0</v>
      </c>
      <c r="U460" s="298">
        <f t="shared" si="278"/>
        <v>0</v>
      </c>
      <c r="V460" s="298">
        <f t="shared" si="253"/>
        <v>0</v>
      </c>
      <c r="W460" s="298">
        <f t="shared" ref="W460:X475" si="284">+W459</f>
        <v>0</v>
      </c>
      <c r="X460" s="298">
        <f t="shared" si="284"/>
        <v>0</v>
      </c>
      <c r="Y460" s="298">
        <f t="shared" si="279"/>
        <v>0</v>
      </c>
      <c r="Z460" s="298">
        <f t="shared" si="280"/>
        <v>378976.30999999988</v>
      </c>
      <c r="AA460" s="298">
        <f t="shared" si="281"/>
        <v>237979.58999999985</v>
      </c>
      <c r="AB460" s="298">
        <f t="shared" si="254"/>
        <v>0</v>
      </c>
      <c r="AC460" s="451">
        <f t="shared" si="262"/>
        <v>400</v>
      </c>
      <c r="AD460" s="552">
        <f t="shared" si="263"/>
        <v>355501.3000000001</v>
      </c>
      <c r="AE460" s="552">
        <f t="shared" si="273"/>
        <v>0</v>
      </c>
      <c r="AF460" s="552">
        <f t="shared" si="274"/>
        <v>355501.3000000001</v>
      </c>
      <c r="AG460" s="552">
        <f t="shared" si="264"/>
        <v>0</v>
      </c>
      <c r="AH460" s="552">
        <f t="shared" si="265"/>
        <v>0</v>
      </c>
      <c r="AI460" s="552"/>
      <c r="AJ460" s="14">
        <f t="shared" si="282"/>
        <v>0</v>
      </c>
      <c r="AK460" s="14">
        <f t="shared" si="283"/>
        <v>0</v>
      </c>
      <c r="AL460" s="552">
        <f>IF(R460&lt;=0,0,+([1]Profit!$B$4+AM459)*$AL$1/12)</f>
        <v>0</v>
      </c>
      <c r="AM460" s="14">
        <f t="shared" si="266"/>
        <v>0</v>
      </c>
    </row>
    <row r="461" spans="1:39" x14ac:dyDescent="0.25">
      <c r="A461" s="542" t="str">
        <f t="shared" si="255"/>
        <v xml:space="preserve"> </v>
      </c>
      <c r="B461" s="298">
        <f t="shared" si="271"/>
        <v>0</v>
      </c>
      <c r="C461" s="14">
        <f t="shared" si="246"/>
        <v>0</v>
      </c>
      <c r="D461" s="14">
        <f t="shared" si="267"/>
        <v>0</v>
      </c>
      <c r="E461" s="14">
        <f t="shared" si="247"/>
        <v>0</v>
      </c>
      <c r="F461" s="298">
        <f t="shared" si="256"/>
        <v>83951.219999999987</v>
      </c>
      <c r="G461" s="298">
        <f t="shared" si="257"/>
        <v>73034.019999999931</v>
      </c>
      <c r="H461" s="298">
        <f t="shared" si="248"/>
        <v>0</v>
      </c>
      <c r="I461" s="451">
        <f t="shared" si="249"/>
        <v>33</v>
      </c>
      <c r="J461" s="298">
        <f t="shared" si="258"/>
        <v>0</v>
      </c>
      <c r="K461" s="298">
        <f t="shared" si="276"/>
        <v>0</v>
      </c>
      <c r="L461" s="298">
        <f t="shared" si="268"/>
        <v>0</v>
      </c>
      <c r="M461" s="298">
        <f t="shared" si="277"/>
        <v>0</v>
      </c>
      <c r="N461" s="298">
        <f t="shared" si="259"/>
        <v>377057.86000000016</v>
      </c>
      <c r="O461" s="298">
        <f t="shared" si="260"/>
        <v>595399.34000000032</v>
      </c>
      <c r="P461" s="298">
        <f t="shared" si="250"/>
        <v>0</v>
      </c>
      <c r="Q461" s="542" t="str">
        <f t="shared" si="251"/>
        <v xml:space="preserve"> </v>
      </c>
      <c r="R461" s="298">
        <f t="shared" si="275"/>
        <v>0</v>
      </c>
      <c r="S461" s="535">
        <f t="shared" si="261"/>
        <v>7.7499999999999999E-2</v>
      </c>
      <c r="T461" s="298">
        <f t="shared" si="252"/>
        <v>0</v>
      </c>
      <c r="U461" s="298">
        <f t="shared" si="278"/>
        <v>0</v>
      </c>
      <c r="V461" s="298">
        <f t="shared" si="253"/>
        <v>0</v>
      </c>
      <c r="W461" s="298">
        <f t="shared" si="284"/>
        <v>0</v>
      </c>
      <c r="X461" s="298">
        <f t="shared" si="284"/>
        <v>0</v>
      </c>
      <c r="Y461" s="298">
        <f t="shared" si="279"/>
        <v>0</v>
      </c>
      <c r="Z461" s="298">
        <f t="shared" si="280"/>
        <v>378976.30999999988</v>
      </c>
      <c r="AA461" s="298">
        <f t="shared" si="281"/>
        <v>237979.58999999985</v>
      </c>
      <c r="AB461" s="298">
        <f t="shared" si="254"/>
        <v>0</v>
      </c>
      <c r="AC461" s="451">
        <f t="shared" si="262"/>
        <v>401</v>
      </c>
      <c r="AD461" s="552">
        <f t="shared" si="263"/>
        <v>355501.3000000001</v>
      </c>
      <c r="AE461" s="552">
        <f t="shared" si="273"/>
        <v>0</v>
      </c>
      <c r="AF461" s="552">
        <f t="shared" si="274"/>
        <v>355501.3000000001</v>
      </c>
      <c r="AG461" s="552">
        <f t="shared" si="264"/>
        <v>0</v>
      </c>
      <c r="AH461" s="552">
        <f t="shared" si="265"/>
        <v>0</v>
      </c>
      <c r="AI461" s="552"/>
      <c r="AJ461" s="14">
        <f t="shared" si="282"/>
        <v>0</v>
      </c>
      <c r="AK461" s="14">
        <f t="shared" si="283"/>
        <v>0</v>
      </c>
      <c r="AL461" s="552">
        <f>IF(R461&lt;=0,0,+([1]Profit!$B$4+AM460)*$AL$1/12)</f>
        <v>0</v>
      </c>
      <c r="AM461" s="14">
        <f t="shared" si="266"/>
        <v>0</v>
      </c>
    </row>
    <row r="462" spans="1:39" x14ac:dyDescent="0.25">
      <c r="A462" s="542" t="str">
        <f t="shared" si="255"/>
        <v xml:space="preserve"> </v>
      </c>
      <c r="B462" s="298">
        <f t="shared" si="271"/>
        <v>0</v>
      </c>
      <c r="C462" s="14">
        <f t="shared" si="246"/>
        <v>0</v>
      </c>
      <c r="D462" s="14">
        <f t="shared" si="267"/>
        <v>0</v>
      </c>
      <c r="E462" s="14">
        <f t="shared" si="247"/>
        <v>0</v>
      </c>
      <c r="F462" s="298">
        <f t="shared" si="256"/>
        <v>83951.219999999987</v>
      </c>
      <c r="G462" s="298">
        <f t="shared" si="257"/>
        <v>73034.019999999931</v>
      </c>
      <c r="H462" s="298">
        <f t="shared" si="248"/>
        <v>0</v>
      </c>
      <c r="I462" s="451">
        <f t="shared" si="249"/>
        <v>33</v>
      </c>
      <c r="J462" s="298">
        <f t="shared" si="258"/>
        <v>0</v>
      </c>
      <c r="K462" s="298">
        <f t="shared" si="276"/>
        <v>0</v>
      </c>
      <c r="L462" s="298">
        <f t="shared" si="268"/>
        <v>0</v>
      </c>
      <c r="M462" s="298">
        <f t="shared" si="277"/>
        <v>0</v>
      </c>
      <c r="N462" s="298">
        <f t="shared" si="259"/>
        <v>377057.86000000016</v>
      </c>
      <c r="O462" s="298">
        <f t="shared" si="260"/>
        <v>595399.34000000032</v>
      </c>
      <c r="P462" s="298">
        <f t="shared" si="250"/>
        <v>0</v>
      </c>
      <c r="Q462" s="542" t="str">
        <f t="shared" si="251"/>
        <v xml:space="preserve"> </v>
      </c>
      <c r="R462" s="298">
        <f t="shared" si="275"/>
        <v>0</v>
      </c>
      <c r="S462" s="535">
        <f t="shared" si="261"/>
        <v>7.7499999999999999E-2</v>
      </c>
      <c r="T462" s="298">
        <f t="shared" si="252"/>
        <v>0</v>
      </c>
      <c r="U462" s="298">
        <f t="shared" si="278"/>
        <v>0</v>
      </c>
      <c r="V462" s="298">
        <f t="shared" si="253"/>
        <v>0</v>
      </c>
      <c r="W462" s="298">
        <f t="shared" si="284"/>
        <v>0</v>
      </c>
      <c r="X462" s="298">
        <f t="shared" si="284"/>
        <v>0</v>
      </c>
      <c r="Y462" s="298">
        <f t="shared" si="279"/>
        <v>0</v>
      </c>
      <c r="Z462" s="298">
        <f t="shared" si="280"/>
        <v>378976.30999999988</v>
      </c>
      <c r="AA462" s="298">
        <f t="shared" si="281"/>
        <v>237979.58999999985</v>
      </c>
      <c r="AB462" s="298">
        <f t="shared" si="254"/>
        <v>0</v>
      </c>
      <c r="AC462" s="451">
        <f t="shared" si="262"/>
        <v>402</v>
      </c>
      <c r="AD462" s="552">
        <f t="shared" si="263"/>
        <v>355501.3000000001</v>
      </c>
      <c r="AE462" s="552">
        <f t="shared" si="273"/>
        <v>0</v>
      </c>
      <c r="AF462" s="552">
        <f t="shared" si="274"/>
        <v>355501.3000000001</v>
      </c>
      <c r="AG462" s="552">
        <f t="shared" si="264"/>
        <v>0</v>
      </c>
      <c r="AH462" s="552">
        <f t="shared" si="265"/>
        <v>0</v>
      </c>
      <c r="AI462" s="552"/>
      <c r="AJ462" s="14">
        <f t="shared" si="282"/>
        <v>0</v>
      </c>
      <c r="AK462" s="14">
        <f t="shared" si="283"/>
        <v>0</v>
      </c>
      <c r="AL462" s="552">
        <f>IF(R462&lt;=0,0,+([1]Profit!$B$4+AM461)*$AL$1/12)</f>
        <v>0</v>
      </c>
      <c r="AM462" s="14">
        <f t="shared" si="266"/>
        <v>0</v>
      </c>
    </row>
    <row r="463" spans="1:39" x14ac:dyDescent="0.25">
      <c r="A463" s="542" t="str">
        <f t="shared" si="255"/>
        <v xml:space="preserve"> </v>
      </c>
      <c r="B463" s="298">
        <f t="shared" si="271"/>
        <v>0</v>
      </c>
      <c r="C463" s="14">
        <f t="shared" ref="C463:C490" si="285">IF(+$H462&lt;=0,0,$C$5)</f>
        <v>0</v>
      </c>
      <c r="D463" s="14">
        <f t="shared" si="267"/>
        <v>0</v>
      </c>
      <c r="E463" s="14">
        <f t="shared" ref="E463:E490" si="286">ROUND($B463*($C$3/12), 2)</f>
        <v>0</v>
      </c>
      <c r="F463" s="298">
        <f t="shared" si="256"/>
        <v>83951.219999999987</v>
      </c>
      <c r="G463" s="298">
        <f t="shared" si="257"/>
        <v>73034.019999999931</v>
      </c>
      <c r="H463" s="298">
        <f t="shared" ref="H463:H490" si="287">+B463-D463</f>
        <v>0</v>
      </c>
      <c r="I463" s="451">
        <f t="shared" ref="I463:I490" si="288">IF(MOD(AC463,12)=0,AC463/12,I462)</f>
        <v>33</v>
      </c>
      <c r="J463" s="298">
        <f t="shared" si="258"/>
        <v>0</v>
      </c>
      <c r="K463" s="298">
        <f t="shared" si="276"/>
        <v>0</v>
      </c>
      <c r="L463" s="298">
        <f t="shared" si="268"/>
        <v>0</v>
      </c>
      <c r="M463" s="298">
        <f t="shared" si="277"/>
        <v>0</v>
      </c>
      <c r="N463" s="298">
        <f t="shared" si="259"/>
        <v>377057.86000000016</v>
      </c>
      <c r="O463" s="298">
        <f t="shared" si="260"/>
        <v>595399.34000000032</v>
      </c>
      <c r="P463" s="298">
        <f t="shared" ref="P463:P490" si="289">+J463-L463</f>
        <v>0</v>
      </c>
      <c r="Q463" s="542" t="str">
        <f t="shared" ref="Q463:Q526" si="290">+A463</f>
        <v xml:space="preserve"> </v>
      </c>
      <c r="R463" s="298">
        <f t="shared" si="275"/>
        <v>0</v>
      </c>
      <c r="S463" s="535">
        <f t="shared" si="261"/>
        <v>7.7499999999999999E-2</v>
      </c>
      <c r="T463" s="298">
        <f t="shared" ref="T463:T526" si="291">IF($J$10&lt;=$A463,IF(+AB462&lt;=0,0,IF(S463=$T$9,$S$9,$S$10)),0)</f>
        <v>0</v>
      </c>
      <c r="U463" s="298">
        <f t="shared" si="278"/>
        <v>0</v>
      </c>
      <c r="V463" s="298">
        <f t="shared" ref="V463:V526" si="292">IF($J$10&lt;=$A463,ROUND(R463*(S463/12),2),0)</f>
        <v>0</v>
      </c>
      <c r="W463" s="298">
        <f t="shared" si="284"/>
        <v>0</v>
      </c>
      <c r="X463" s="298">
        <f t="shared" si="284"/>
        <v>0</v>
      </c>
      <c r="Y463" s="298">
        <f t="shared" si="279"/>
        <v>0</v>
      </c>
      <c r="Z463" s="298">
        <f t="shared" si="280"/>
        <v>378976.30999999988</v>
      </c>
      <c r="AA463" s="298">
        <f t="shared" si="281"/>
        <v>237979.58999999985</v>
      </c>
      <c r="AB463" s="298">
        <f t="shared" ref="AB463:AB526" si="293">IF(Q463&lt;$J$10,$J$6,+R463-U463)</f>
        <v>0</v>
      </c>
      <c r="AC463" s="451">
        <f t="shared" si="262"/>
        <v>403</v>
      </c>
      <c r="AD463" s="552">
        <f t="shared" si="263"/>
        <v>355501.3000000001</v>
      </c>
      <c r="AE463" s="552">
        <f t="shared" si="273"/>
        <v>0</v>
      </c>
      <c r="AF463" s="552">
        <f t="shared" si="274"/>
        <v>355501.3000000001</v>
      </c>
      <c r="AG463" s="552">
        <f t="shared" si="264"/>
        <v>0</v>
      </c>
      <c r="AH463" s="552">
        <f t="shared" si="265"/>
        <v>0</v>
      </c>
      <c r="AI463" s="552"/>
      <c r="AJ463" s="14">
        <f t="shared" si="282"/>
        <v>0</v>
      </c>
      <c r="AK463" s="14">
        <f t="shared" si="283"/>
        <v>0</v>
      </c>
      <c r="AL463" s="552">
        <f>IF(R463&lt;=0,0,+([1]Profit!$B$4+AM462)*$AL$1/12)</f>
        <v>0</v>
      </c>
      <c r="AM463" s="14">
        <f t="shared" si="266"/>
        <v>0</v>
      </c>
    </row>
    <row r="464" spans="1:39" x14ac:dyDescent="0.25">
      <c r="A464" s="542" t="str">
        <f t="shared" ref="A464:A490" si="294">IF(H464&lt;=0," ",+A463+30)</f>
        <v xml:space="preserve"> </v>
      </c>
      <c r="B464" s="298">
        <f t="shared" si="271"/>
        <v>0</v>
      </c>
      <c r="C464" s="14">
        <f t="shared" si="285"/>
        <v>0</v>
      </c>
      <c r="D464" s="14">
        <f t="shared" si="267"/>
        <v>0</v>
      </c>
      <c r="E464" s="14">
        <f t="shared" si="286"/>
        <v>0</v>
      </c>
      <c r="F464" s="298">
        <f t="shared" ref="F464:F490" si="295">$D464+$F463</f>
        <v>83951.219999999987</v>
      </c>
      <c r="G464" s="298">
        <f t="shared" ref="G464:G490" si="296">$E464+$G463</f>
        <v>73034.019999999931</v>
      </c>
      <c r="H464" s="298">
        <f t="shared" si="287"/>
        <v>0</v>
      </c>
      <c r="I464" s="451">
        <f t="shared" si="288"/>
        <v>33</v>
      </c>
      <c r="J464" s="298">
        <f t="shared" ref="J464:J490" si="297">IF(+P463&lt;0,0,+P463)</f>
        <v>0</v>
      </c>
      <c r="K464" s="298">
        <f t="shared" si="276"/>
        <v>0</v>
      </c>
      <c r="L464" s="298">
        <f t="shared" si="268"/>
        <v>0</v>
      </c>
      <c r="M464" s="298">
        <f t="shared" si="277"/>
        <v>0</v>
      </c>
      <c r="N464" s="298">
        <f t="shared" ref="N464:N490" si="298">+L464+N463</f>
        <v>377057.86000000016</v>
      </c>
      <c r="O464" s="298">
        <f t="shared" ref="O464:O490" si="299">+O463+M464</f>
        <v>595399.34000000032</v>
      </c>
      <c r="P464" s="298">
        <f t="shared" si="289"/>
        <v>0</v>
      </c>
      <c r="Q464" s="542" t="str">
        <f t="shared" si="290"/>
        <v xml:space="preserve"> </v>
      </c>
      <c r="R464" s="298">
        <f t="shared" si="275"/>
        <v>0</v>
      </c>
      <c r="S464" s="535">
        <f t="shared" ref="S464:S527" si="300">IF(AC464&gt;60,$T$10,$T$9)</f>
        <v>7.7499999999999999E-2</v>
      </c>
      <c r="T464" s="298">
        <f t="shared" si="291"/>
        <v>0</v>
      </c>
      <c r="U464" s="298">
        <f t="shared" si="278"/>
        <v>0</v>
      </c>
      <c r="V464" s="298">
        <f t="shared" si="292"/>
        <v>0</v>
      </c>
      <c r="W464" s="298">
        <f t="shared" si="284"/>
        <v>0</v>
      </c>
      <c r="X464" s="298">
        <f t="shared" si="284"/>
        <v>0</v>
      </c>
      <c r="Y464" s="298">
        <f t="shared" si="279"/>
        <v>0</v>
      </c>
      <c r="Z464" s="298">
        <f t="shared" si="280"/>
        <v>378976.30999999988</v>
      </c>
      <c r="AA464" s="298">
        <f t="shared" si="281"/>
        <v>237979.58999999985</v>
      </c>
      <c r="AB464" s="298">
        <f t="shared" si="293"/>
        <v>0</v>
      </c>
      <c r="AC464" s="451">
        <f t="shared" ref="AC464:AC490" si="301">IF(J464&lt;&gt;"",IF(J464=$J$6,0,+AC463+1),0)</f>
        <v>404</v>
      </c>
      <c r="AD464" s="552">
        <f t="shared" ref="AD464:AD527" si="302">K464-T464+AD463</f>
        <v>355501.3000000001</v>
      </c>
      <c r="AE464" s="552">
        <f t="shared" si="273"/>
        <v>0</v>
      </c>
      <c r="AF464" s="552">
        <f t="shared" si="274"/>
        <v>355501.3000000001</v>
      </c>
      <c r="AG464" s="552">
        <f t="shared" ref="AG464:AG490" si="303">IF(Q464&lt;=$C$10,0,+T464-$C464)</f>
        <v>0</v>
      </c>
      <c r="AH464" s="552">
        <f t="shared" ref="AH464:AH490" si="304">IF(P464&lt;=0,0,+$T$5-$C$2+F464-Z464)</f>
        <v>0</v>
      </c>
      <c r="AI464" s="552"/>
      <c r="AJ464" s="14">
        <f t="shared" si="282"/>
        <v>0</v>
      </c>
      <c r="AK464" s="14">
        <f t="shared" si="283"/>
        <v>0</v>
      </c>
      <c r="AL464" s="552">
        <f>IF(R464&lt;=0,0,+([1]Profit!$B$4+AM463)*$AL$1/12)</f>
        <v>0</v>
      </c>
      <c r="AM464" s="14">
        <f t="shared" ref="AM464:AM490" si="305">IF(P464&lt;=0,0,+AM463+AL464)</f>
        <v>0</v>
      </c>
    </row>
    <row r="465" spans="1:39" x14ac:dyDescent="0.25">
      <c r="A465" s="542" t="str">
        <f t="shared" si="294"/>
        <v xml:space="preserve"> </v>
      </c>
      <c r="B465" s="298">
        <f t="shared" si="271"/>
        <v>0</v>
      </c>
      <c r="C465" s="14">
        <f t="shared" si="285"/>
        <v>0</v>
      </c>
      <c r="D465" s="14">
        <f t="shared" ref="D465:D490" si="306">+C465-E465</f>
        <v>0</v>
      </c>
      <c r="E465" s="14">
        <f t="shared" si="286"/>
        <v>0</v>
      </c>
      <c r="F465" s="298">
        <f t="shared" si="295"/>
        <v>83951.219999999987</v>
      </c>
      <c r="G465" s="298">
        <f t="shared" si="296"/>
        <v>73034.019999999931</v>
      </c>
      <c r="H465" s="298">
        <f t="shared" si="287"/>
        <v>0</v>
      </c>
      <c r="I465" s="451">
        <f t="shared" si="288"/>
        <v>33</v>
      </c>
      <c r="J465" s="298">
        <f t="shared" si="297"/>
        <v>0</v>
      </c>
      <c r="K465" s="298">
        <f t="shared" si="276"/>
        <v>0</v>
      </c>
      <c r="L465" s="298">
        <f t="shared" ref="L465:L490" si="307">+K465-M465</f>
        <v>0</v>
      </c>
      <c r="M465" s="298">
        <f t="shared" si="277"/>
        <v>0</v>
      </c>
      <c r="N465" s="298">
        <f t="shared" si="298"/>
        <v>377057.86000000016</v>
      </c>
      <c r="O465" s="298">
        <f t="shared" si="299"/>
        <v>595399.34000000032</v>
      </c>
      <c r="P465" s="298">
        <f t="shared" si="289"/>
        <v>0</v>
      </c>
      <c r="Q465" s="542" t="str">
        <f t="shared" si="290"/>
        <v xml:space="preserve"> </v>
      </c>
      <c r="R465" s="298">
        <f t="shared" si="275"/>
        <v>0</v>
      </c>
      <c r="S465" s="535">
        <f t="shared" si="300"/>
        <v>7.7499999999999999E-2</v>
      </c>
      <c r="T465" s="298">
        <f t="shared" si="291"/>
        <v>0</v>
      </c>
      <c r="U465" s="298">
        <f t="shared" si="278"/>
        <v>0</v>
      </c>
      <c r="V465" s="298">
        <f t="shared" si="292"/>
        <v>0</v>
      </c>
      <c r="W465" s="298">
        <f t="shared" si="284"/>
        <v>0</v>
      </c>
      <c r="X465" s="298">
        <f t="shared" si="284"/>
        <v>0</v>
      </c>
      <c r="Y465" s="298">
        <f t="shared" si="279"/>
        <v>0</v>
      </c>
      <c r="Z465" s="298">
        <f t="shared" si="280"/>
        <v>378976.30999999988</v>
      </c>
      <c r="AA465" s="298">
        <f t="shared" si="281"/>
        <v>237979.58999999985</v>
      </c>
      <c r="AB465" s="298">
        <f t="shared" si="293"/>
        <v>0</v>
      </c>
      <c r="AC465" s="451">
        <f t="shared" si="301"/>
        <v>405</v>
      </c>
      <c r="AD465" s="552">
        <f t="shared" si="302"/>
        <v>355501.3000000001</v>
      </c>
      <c r="AE465" s="552">
        <f t="shared" si="273"/>
        <v>0</v>
      </c>
      <c r="AF465" s="552">
        <f t="shared" si="274"/>
        <v>355501.3000000001</v>
      </c>
      <c r="AG465" s="552">
        <f t="shared" si="303"/>
        <v>0</v>
      </c>
      <c r="AH465" s="552">
        <f t="shared" si="304"/>
        <v>0</v>
      </c>
      <c r="AI465" s="552"/>
      <c r="AJ465" s="14">
        <f t="shared" si="282"/>
        <v>0</v>
      </c>
      <c r="AK465" s="14">
        <f t="shared" si="283"/>
        <v>0</v>
      </c>
      <c r="AL465" s="552">
        <f>IF(R465&lt;=0,0,+([1]Profit!$B$4+AM464)*$AL$1/12)</f>
        <v>0</v>
      </c>
      <c r="AM465" s="14">
        <f t="shared" si="305"/>
        <v>0</v>
      </c>
    </row>
    <row r="466" spans="1:39" x14ac:dyDescent="0.25">
      <c r="A466" s="542" t="str">
        <f t="shared" si="294"/>
        <v xml:space="preserve"> </v>
      </c>
      <c r="B466" s="298">
        <f t="shared" si="271"/>
        <v>0</v>
      </c>
      <c r="C466" s="14">
        <f t="shared" si="285"/>
        <v>0</v>
      </c>
      <c r="D466" s="14">
        <f t="shared" si="306"/>
        <v>0</v>
      </c>
      <c r="E466" s="14">
        <f t="shared" si="286"/>
        <v>0</v>
      </c>
      <c r="F466" s="298">
        <f t="shared" si="295"/>
        <v>83951.219999999987</v>
      </c>
      <c r="G466" s="298">
        <f t="shared" si="296"/>
        <v>73034.019999999931</v>
      </c>
      <c r="H466" s="298">
        <f t="shared" si="287"/>
        <v>0</v>
      </c>
      <c r="I466" s="451">
        <f t="shared" si="288"/>
        <v>33</v>
      </c>
      <c r="J466" s="298">
        <f t="shared" si="297"/>
        <v>0</v>
      </c>
      <c r="K466" s="298">
        <f t="shared" si="276"/>
        <v>0</v>
      </c>
      <c r="L466" s="298">
        <f t="shared" si="307"/>
        <v>0</v>
      </c>
      <c r="M466" s="298">
        <f t="shared" si="277"/>
        <v>0</v>
      </c>
      <c r="N466" s="298">
        <f t="shared" si="298"/>
        <v>377057.86000000016</v>
      </c>
      <c r="O466" s="298">
        <f t="shared" si="299"/>
        <v>595399.34000000032</v>
      </c>
      <c r="P466" s="298">
        <f t="shared" si="289"/>
        <v>0</v>
      </c>
      <c r="Q466" s="542" t="str">
        <f t="shared" si="290"/>
        <v xml:space="preserve"> </v>
      </c>
      <c r="R466" s="298">
        <f t="shared" si="275"/>
        <v>0</v>
      </c>
      <c r="S466" s="535">
        <f t="shared" si="300"/>
        <v>7.7499999999999999E-2</v>
      </c>
      <c r="T466" s="298">
        <f t="shared" si="291"/>
        <v>0</v>
      </c>
      <c r="U466" s="298">
        <f t="shared" si="278"/>
        <v>0</v>
      </c>
      <c r="V466" s="298">
        <f t="shared" si="292"/>
        <v>0</v>
      </c>
      <c r="W466" s="298">
        <f t="shared" si="284"/>
        <v>0</v>
      </c>
      <c r="X466" s="298">
        <f t="shared" si="284"/>
        <v>0</v>
      </c>
      <c r="Y466" s="298">
        <f t="shared" si="279"/>
        <v>0</v>
      </c>
      <c r="Z466" s="298">
        <f t="shared" si="280"/>
        <v>378976.30999999988</v>
      </c>
      <c r="AA466" s="298">
        <f t="shared" si="281"/>
        <v>237979.58999999985</v>
      </c>
      <c r="AB466" s="298">
        <f t="shared" si="293"/>
        <v>0</v>
      </c>
      <c r="AC466" s="451">
        <f t="shared" si="301"/>
        <v>406</v>
      </c>
      <c r="AD466" s="552">
        <f t="shared" si="302"/>
        <v>355501.3000000001</v>
      </c>
      <c r="AE466" s="552">
        <f t="shared" si="273"/>
        <v>0</v>
      </c>
      <c r="AF466" s="552">
        <f t="shared" si="274"/>
        <v>355501.3000000001</v>
      </c>
      <c r="AG466" s="552">
        <f t="shared" si="303"/>
        <v>0</v>
      </c>
      <c r="AH466" s="552">
        <f t="shared" si="304"/>
        <v>0</v>
      </c>
      <c r="AI466" s="552"/>
      <c r="AJ466" s="14">
        <f t="shared" si="282"/>
        <v>0</v>
      </c>
      <c r="AK466" s="14">
        <f t="shared" si="283"/>
        <v>0</v>
      </c>
      <c r="AL466" s="552">
        <f>IF(R466&lt;=0,0,+([1]Profit!$B$4+AM465)*$AL$1/12)</f>
        <v>0</v>
      </c>
      <c r="AM466" s="14">
        <f t="shared" si="305"/>
        <v>0</v>
      </c>
    </row>
    <row r="467" spans="1:39" x14ac:dyDescent="0.25">
      <c r="A467" s="542" t="str">
        <f t="shared" si="294"/>
        <v xml:space="preserve"> </v>
      </c>
      <c r="B467" s="298">
        <f t="shared" si="271"/>
        <v>0</v>
      </c>
      <c r="C467" s="14">
        <f t="shared" si="285"/>
        <v>0</v>
      </c>
      <c r="D467" s="14">
        <f t="shared" si="306"/>
        <v>0</v>
      </c>
      <c r="E467" s="14">
        <f t="shared" si="286"/>
        <v>0</v>
      </c>
      <c r="F467" s="298">
        <f t="shared" si="295"/>
        <v>83951.219999999987</v>
      </c>
      <c r="G467" s="298">
        <f t="shared" si="296"/>
        <v>73034.019999999931</v>
      </c>
      <c r="H467" s="298">
        <f t="shared" si="287"/>
        <v>0</v>
      </c>
      <c r="I467" s="451">
        <f t="shared" si="288"/>
        <v>33</v>
      </c>
      <c r="J467" s="298">
        <f t="shared" si="297"/>
        <v>0</v>
      </c>
      <c r="K467" s="298">
        <f t="shared" si="276"/>
        <v>0</v>
      </c>
      <c r="L467" s="298">
        <f t="shared" si="307"/>
        <v>0</v>
      </c>
      <c r="M467" s="298">
        <f t="shared" si="277"/>
        <v>0</v>
      </c>
      <c r="N467" s="298">
        <f t="shared" si="298"/>
        <v>377057.86000000016</v>
      </c>
      <c r="O467" s="298">
        <f t="shared" si="299"/>
        <v>595399.34000000032</v>
      </c>
      <c r="P467" s="298">
        <f t="shared" si="289"/>
        <v>0</v>
      </c>
      <c r="Q467" s="542" t="str">
        <f t="shared" si="290"/>
        <v xml:space="preserve"> </v>
      </c>
      <c r="R467" s="298">
        <f t="shared" si="275"/>
        <v>0</v>
      </c>
      <c r="S467" s="535">
        <f t="shared" si="300"/>
        <v>7.7499999999999999E-2</v>
      </c>
      <c r="T467" s="298">
        <f t="shared" si="291"/>
        <v>0</v>
      </c>
      <c r="U467" s="298">
        <f t="shared" si="278"/>
        <v>0</v>
      </c>
      <c r="V467" s="298">
        <f t="shared" si="292"/>
        <v>0</v>
      </c>
      <c r="W467" s="298">
        <f t="shared" si="284"/>
        <v>0</v>
      </c>
      <c r="X467" s="298">
        <f t="shared" si="284"/>
        <v>0</v>
      </c>
      <c r="Y467" s="298">
        <f t="shared" si="279"/>
        <v>0</v>
      </c>
      <c r="Z467" s="298">
        <f t="shared" si="280"/>
        <v>378976.30999999988</v>
      </c>
      <c r="AA467" s="298">
        <f t="shared" si="281"/>
        <v>237979.58999999985</v>
      </c>
      <c r="AB467" s="298">
        <f t="shared" si="293"/>
        <v>0</v>
      </c>
      <c r="AC467" s="451">
        <f t="shared" si="301"/>
        <v>407</v>
      </c>
      <c r="AD467" s="552">
        <f t="shared" si="302"/>
        <v>355501.3000000001</v>
      </c>
      <c r="AE467" s="552">
        <f t="shared" si="273"/>
        <v>0</v>
      </c>
      <c r="AF467" s="552">
        <f t="shared" si="274"/>
        <v>355501.3000000001</v>
      </c>
      <c r="AG467" s="552">
        <f t="shared" si="303"/>
        <v>0</v>
      </c>
      <c r="AH467" s="552">
        <f t="shared" si="304"/>
        <v>0</v>
      </c>
      <c r="AI467" s="552"/>
      <c r="AJ467" s="14">
        <f t="shared" si="282"/>
        <v>0</v>
      </c>
      <c r="AK467" s="14">
        <f t="shared" si="283"/>
        <v>0</v>
      </c>
      <c r="AL467" s="552">
        <f>IF(R467&lt;=0,0,+([1]Profit!$B$4+AM466)*$AL$1/12)</f>
        <v>0</v>
      </c>
      <c r="AM467" s="14">
        <f t="shared" si="305"/>
        <v>0</v>
      </c>
    </row>
    <row r="468" spans="1:39" x14ac:dyDescent="0.25">
      <c r="A468" s="542" t="str">
        <f t="shared" si="294"/>
        <v xml:space="preserve"> </v>
      </c>
      <c r="B468" s="298">
        <f t="shared" si="271"/>
        <v>0</v>
      </c>
      <c r="C468" s="14">
        <f t="shared" si="285"/>
        <v>0</v>
      </c>
      <c r="D468" s="14">
        <f t="shared" si="306"/>
        <v>0</v>
      </c>
      <c r="E468" s="14">
        <f t="shared" si="286"/>
        <v>0</v>
      </c>
      <c r="F468" s="298">
        <f t="shared" si="295"/>
        <v>83951.219999999987</v>
      </c>
      <c r="G468" s="298">
        <f t="shared" si="296"/>
        <v>73034.019999999931</v>
      </c>
      <c r="H468" s="298">
        <f t="shared" si="287"/>
        <v>0</v>
      </c>
      <c r="I468" s="451">
        <f t="shared" si="288"/>
        <v>34</v>
      </c>
      <c r="J468" s="298">
        <f t="shared" si="297"/>
        <v>0</v>
      </c>
      <c r="K468" s="298">
        <f t="shared" si="276"/>
        <v>0</v>
      </c>
      <c r="L468" s="298">
        <f t="shared" si="307"/>
        <v>0</v>
      </c>
      <c r="M468" s="298">
        <f t="shared" si="277"/>
        <v>0</v>
      </c>
      <c r="N468" s="298">
        <f t="shared" si="298"/>
        <v>377057.86000000016</v>
      </c>
      <c r="O468" s="298">
        <f t="shared" si="299"/>
        <v>595399.34000000032</v>
      </c>
      <c r="P468" s="298">
        <f t="shared" si="289"/>
        <v>0</v>
      </c>
      <c r="Q468" s="542" t="str">
        <f t="shared" si="290"/>
        <v xml:space="preserve"> </v>
      </c>
      <c r="R468" s="298">
        <f t="shared" si="275"/>
        <v>0</v>
      </c>
      <c r="S468" s="535">
        <f t="shared" si="300"/>
        <v>7.7499999999999999E-2</v>
      </c>
      <c r="T468" s="298">
        <f t="shared" si="291"/>
        <v>0</v>
      </c>
      <c r="U468" s="298">
        <f t="shared" si="278"/>
        <v>0</v>
      </c>
      <c r="V468" s="298">
        <f t="shared" si="292"/>
        <v>0</v>
      </c>
      <c r="W468" s="298">
        <f t="shared" si="284"/>
        <v>0</v>
      </c>
      <c r="X468" s="298">
        <f t="shared" si="284"/>
        <v>0</v>
      </c>
      <c r="Y468" s="298">
        <f t="shared" si="279"/>
        <v>0</v>
      </c>
      <c r="Z468" s="298">
        <f t="shared" si="280"/>
        <v>378976.30999999988</v>
      </c>
      <c r="AA468" s="298">
        <f t="shared" si="281"/>
        <v>237979.58999999985</v>
      </c>
      <c r="AB468" s="298">
        <f t="shared" si="293"/>
        <v>0</v>
      </c>
      <c r="AC468" s="451">
        <f t="shared" si="301"/>
        <v>408</v>
      </c>
      <c r="AD468" s="552">
        <f t="shared" si="302"/>
        <v>355501.3000000001</v>
      </c>
      <c r="AE468" s="552">
        <f t="shared" si="273"/>
        <v>0</v>
      </c>
      <c r="AF468" s="552">
        <f t="shared" si="274"/>
        <v>355501.3000000001</v>
      </c>
      <c r="AG468" s="552">
        <f t="shared" si="303"/>
        <v>0</v>
      </c>
      <c r="AH468" s="552">
        <f t="shared" si="304"/>
        <v>0</v>
      </c>
      <c r="AI468" s="552"/>
      <c r="AJ468" s="14">
        <f t="shared" si="282"/>
        <v>0</v>
      </c>
      <c r="AK468" s="14">
        <f t="shared" si="283"/>
        <v>0</v>
      </c>
      <c r="AL468" s="552">
        <f>IF(R468&lt;=0,0,+([1]Profit!$B$4+AM467)*$AL$1/12)</f>
        <v>0</v>
      </c>
      <c r="AM468" s="14">
        <f t="shared" si="305"/>
        <v>0</v>
      </c>
    </row>
    <row r="469" spans="1:39" x14ac:dyDescent="0.25">
      <c r="A469" s="542" t="str">
        <f t="shared" si="294"/>
        <v xml:space="preserve"> </v>
      </c>
      <c r="B469" s="298">
        <f t="shared" si="271"/>
        <v>0</v>
      </c>
      <c r="C469" s="14">
        <f t="shared" si="285"/>
        <v>0</v>
      </c>
      <c r="D469" s="14">
        <f t="shared" si="306"/>
        <v>0</v>
      </c>
      <c r="E469" s="14">
        <f t="shared" si="286"/>
        <v>0</v>
      </c>
      <c r="F469" s="298">
        <f t="shared" si="295"/>
        <v>83951.219999999987</v>
      </c>
      <c r="G469" s="298">
        <f t="shared" si="296"/>
        <v>73034.019999999931</v>
      </c>
      <c r="H469" s="298">
        <f t="shared" si="287"/>
        <v>0</v>
      </c>
      <c r="I469" s="451">
        <f t="shared" si="288"/>
        <v>34</v>
      </c>
      <c r="J469" s="298">
        <f t="shared" si="297"/>
        <v>0</v>
      </c>
      <c r="K469" s="298">
        <f t="shared" si="276"/>
        <v>0</v>
      </c>
      <c r="L469" s="298">
        <f t="shared" si="307"/>
        <v>0</v>
      </c>
      <c r="M469" s="298">
        <f t="shared" si="277"/>
        <v>0</v>
      </c>
      <c r="N469" s="298">
        <f t="shared" si="298"/>
        <v>377057.86000000016</v>
      </c>
      <c r="O469" s="298">
        <f t="shared" si="299"/>
        <v>595399.34000000032</v>
      </c>
      <c r="P469" s="298">
        <f t="shared" si="289"/>
        <v>0</v>
      </c>
      <c r="Q469" s="542" t="str">
        <f t="shared" si="290"/>
        <v xml:space="preserve"> </v>
      </c>
      <c r="R469" s="298">
        <f t="shared" si="275"/>
        <v>0</v>
      </c>
      <c r="S469" s="535">
        <f t="shared" si="300"/>
        <v>7.7499999999999999E-2</v>
      </c>
      <c r="T469" s="298">
        <f t="shared" si="291"/>
        <v>0</v>
      </c>
      <c r="U469" s="298">
        <f t="shared" si="278"/>
        <v>0</v>
      </c>
      <c r="V469" s="298">
        <f t="shared" si="292"/>
        <v>0</v>
      </c>
      <c r="W469" s="298">
        <f t="shared" si="284"/>
        <v>0</v>
      </c>
      <c r="X469" s="298">
        <f t="shared" si="284"/>
        <v>0</v>
      </c>
      <c r="Y469" s="298">
        <f t="shared" si="279"/>
        <v>0</v>
      </c>
      <c r="Z469" s="298">
        <f t="shared" si="280"/>
        <v>378976.30999999988</v>
      </c>
      <c r="AA469" s="298">
        <f t="shared" si="281"/>
        <v>237979.58999999985</v>
      </c>
      <c r="AB469" s="298">
        <f t="shared" si="293"/>
        <v>0</v>
      </c>
      <c r="AC469" s="451">
        <f t="shared" si="301"/>
        <v>409</v>
      </c>
      <c r="AD469" s="552">
        <f t="shared" si="302"/>
        <v>355501.3000000001</v>
      </c>
      <c r="AE469" s="552">
        <f t="shared" si="273"/>
        <v>0</v>
      </c>
      <c r="AF469" s="552">
        <f t="shared" si="274"/>
        <v>355501.3000000001</v>
      </c>
      <c r="AG469" s="552">
        <f t="shared" si="303"/>
        <v>0</v>
      </c>
      <c r="AH469" s="552">
        <f t="shared" si="304"/>
        <v>0</v>
      </c>
      <c r="AI469" s="552"/>
      <c r="AJ469" s="14">
        <f t="shared" si="282"/>
        <v>0</v>
      </c>
      <c r="AK469" s="14">
        <f t="shared" si="283"/>
        <v>0</v>
      </c>
      <c r="AL469" s="552">
        <f>IF(R469&lt;=0,0,+([1]Profit!$B$4+AM468)*$AL$1/12)</f>
        <v>0</v>
      </c>
      <c r="AM469" s="14">
        <f t="shared" si="305"/>
        <v>0</v>
      </c>
    </row>
    <row r="470" spans="1:39" ht="15.75" thickBot="1" x14ac:dyDescent="0.3">
      <c r="A470" s="545" t="str">
        <f t="shared" si="294"/>
        <v xml:space="preserve"> </v>
      </c>
      <c r="B470" s="371">
        <f t="shared" si="271"/>
        <v>0</v>
      </c>
      <c r="C470" s="21">
        <f t="shared" si="285"/>
        <v>0</v>
      </c>
      <c r="D470" s="21">
        <f t="shared" si="306"/>
        <v>0</v>
      </c>
      <c r="E470" s="21">
        <f t="shared" si="286"/>
        <v>0</v>
      </c>
      <c r="F470" s="371">
        <f t="shared" si="295"/>
        <v>83951.219999999987</v>
      </c>
      <c r="G470" s="371">
        <f t="shared" si="296"/>
        <v>73034.019999999931</v>
      </c>
      <c r="H470" s="371">
        <f t="shared" si="287"/>
        <v>0</v>
      </c>
      <c r="I470" s="452">
        <f t="shared" si="288"/>
        <v>34</v>
      </c>
      <c r="J470" s="371">
        <f t="shared" si="297"/>
        <v>0</v>
      </c>
      <c r="K470" s="371">
        <f t="shared" si="276"/>
        <v>0</v>
      </c>
      <c r="L470" s="371">
        <f t="shared" si="307"/>
        <v>0</v>
      </c>
      <c r="M470" s="371">
        <f t="shared" si="277"/>
        <v>0</v>
      </c>
      <c r="N470" s="371">
        <f t="shared" si="298"/>
        <v>377057.86000000016</v>
      </c>
      <c r="O470" s="371">
        <f t="shared" si="299"/>
        <v>595399.34000000032</v>
      </c>
      <c r="P470" s="371">
        <f t="shared" si="289"/>
        <v>0</v>
      </c>
      <c r="Q470" s="545" t="str">
        <f t="shared" si="290"/>
        <v xml:space="preserve"> </v>
      </c>
      <c r="R470" s="371">
        <f t="shared" si="275"/>
        <v>0</v>
      </c>
      <c r="S470" s="536">
        <f t="shared" si="300"/>
        <v>7.7499999999999999E-2</v>
      </c>
      <c r="T470" s="371">
        <f t="shared" si="291"/>
        <v>0</v>
      </c>
      <c r="U470" s="371">
        <f t="shared" si="278"/>
        <v>0</v>
      </c>
      <c r="V470" s="371">
        <f t="shared" si="292"/>
        <v>0</v>
      </c>
      <c r="W470" s="371">
        <f t="shared" si="284"/>
        <v>0</v>
      </c>
      <c r="X470" s="371">
        <f t="shared" si="284"/>
        <v>0</v>
      </c>
      <c r="Y470" s="371">
        <f t="shared" si="279"/>
        <v>0</v>
      </c>
      <c r="Z470" s="371">
        <f t="shared" si="280"/>
        <v>378976.30999999988</v>
      </c>
      <c r="AA470" s="371">
        <f t="shared" si="281"/>
        <v>237979.58999999985</v>
      </c>
      <c r="AB470" s="371">
        <f t="shared" si="293"/>
        <v>0</v>
      </c>
      <c r="AC470" s="452">
        <f t="shared" si="301"/>
        <v>410</v>
      </c>
      <c r="AD470" s="553">
        <f t="shared" si="302"/>
        <v>355501.3000000001</v>
      </c>
      <c r="AE470" s="553">
        <f t="shared" si="273"/>
        <v>0</v>
      </c>
      <c r="AF470" s="553">
        <f t="shared" si="274"/>
        <v>355501.3000000001</v>
      </c>
      <c r="AG470" s="553">
        <f t="shared" si="303"/>
        <v>0</v>
      </c>
      <c r="AH470" s="553">
        <f t="shared" si="304"/>
        <v>0</v>
      </c>
      <c r="AI470" s="553"/>
      <c r="AJ470" s="21">
        <f t="shared" si="282"/>
        <v>0</v>
      </c>
      <c r="AK470" s="21">
        <f t="shared" si="283"/>
        <v>0</v>
      </c>
      <c r="AL470" s="553">
        <f>IF(R470&lt;=0,0,+([1]Profit!$B$4+AM469)*$AL$1/12)</f>
        <v>0</v>
      </c>
      <c r="AM470" s="21">
        <f t="shared" si="305"/>
        <v>0</v>
      </c>
    </row>
    <row r="471" spans="1:39" x14ac:dyDescent="0.25">
      <c r="A471" s="542" t="str">
        <f t="shared" si="294"/>
        <v xml:space="preserve"> </v>
      </c>
      <c r="B471" s="298">
        <f t="shared" si="271"/>
        <v>0</v>
      </c>
      <c r="C471" s="14">
        <f t="shared" si="285"/>
        <v>0</v>
      </c>
      <c r="D471" s="14">
        <f t="shared" si="306"/>
        <v>0</v>
      </c>
      <c r="E471" s="14">
        <f t="shared" si="286"/>
        <v>0</v>
      </c>
      <c r="F471" s="298">
        <f t="shared" si="295"/>
        <v>83951.219999999987</v>
      </c>
      <c r="G471" s="298">
        <f t="shared" si="296"/>
        <v>73034.019999999931</v>
      </c>
      <c r="H471" s="298">
        <f t="shared" si="287"/>
        <v>0</v>
      </c>
      <c r="I471" s="451">
        <f t="shared" si="288"/>
        <v>34</v>
      </c>
      <c r="J471" s="298">
        <f t="shared" si="297"/>
        <v>0</v>
      </c>
      <c r="K471" s="298">
        <f t="shared" si="276"/>
        <v>0</v>
      </c>
      <c r="L471" s="298">
        <f t="shared" si="307"/>
        <v>0</v>
      </c>
      <c r="M471" s="298">
        <f t="shared" si="277"/>
        <v>0</v>
      </c>
      <c r="N471" s="298">
        <f t="shared" si="298"/>
        <v>377057.86000000016</v>
      </c>
      <c r="O471" s="298">
        <f t="shared" si="299"/>
        <v>595399.34000000032</v>
      </c>
      <c r="P471" s="298">
        <f t="shared" si="289"/>
        <v>0</v>
      </c>
      <c r="Q471" s="542" t="str">
        <f t="shared" si="290"/>
        <v xml:space="preserve"> </v>
      </c>
      <c r="R471" s="298">
        <f t="shared" si="275"/>
        <v>0</v>
      </c>
      <c r="S471" s="535">
        <f t="shared" si="300"/>
        <v>7.7499999999999999E-2</v>
      </c>
      <c r="T471" s="298">
        <f t="shared" si="291"/>
        <v>0</v>
      </c>
      <c r="U471" s="298">
        <f t="shared" si="278"/>
        <v>0</v>
      </c>
      <c r="V471" s="298">
        <f t="shared" si="292"/>
        <v>0</v>
      </c>
      <c r="W471" s="298">
        <f t="shared" si="284"/>
        <v>0</v>
      </c>
      <c r="X471" s="298">
        <f t="shared" si="284"/>
        <v>0</v>
      </c>
      <c r="Y471" s="298">
        <f t="shared" si="279"/>
        <v>0</v>
      </c>
      <c r="Z471" s="298">
        <f t="shared" si="280"/>
        <v>378976.30999999988</v>
      </c>
      <c r="AA471" s="298">
        <f t="shared" si="281"/>
        <v>237979.58999999985</v>
      </c>
      <c r="AB471" s="298">
        <f t="shared" si="293"/>
        <v>0</v>
      </c>
      <c r="AC471" s="451">
        <f t="shared" si="301"/>
        <v>411</v>
      </c>
      <c r="AD471" s="552">
        <f t="shared" si="302"/>
        <v>355501.3000000001</v>
      </c>
      <c r="AE471" s="552">
        <f t="shared" si="273"/>
        <v>0</v>
      </c>
      <c r="AF471" s="552">
        <f t="shared" si="274"/>
        <v>355501.3000000001</v>
      </c>
      <c r="AG471" s="552">
        <f t="shared" si="303"/>
        <v>0</v>
      </c>
      <c r="AH471" s="552">
        <f t="shared" si="304"/>
        <v>0</v>
      </c>
      <c r="AI471" s="552"/>
      <c r="AJ471" s="14">
        <f t="shared" si="282"/>
        <v>0</v>
      </c>
      <c r="AK471" s="14">
        <f t="shared" si="283"/>
        <v>0</v>
      </c>
      <c r="AL471" s="552">
        <f>IF(R471&lt;=0,0,+([1]Profit!$B$4+AM470)*$AL$1/12)</f>
        <v>0</v>
      </c>
      <c r="AM471" s="14">
        <f t="shared" si="305"/>
        <v>0</v>
      </c>
    </row>
    <row r="472" spans="1:39" x14ac:dyDescent="0.25">
      <c r="A472" s="542" t="str">
        <f t="shared" si="294"/>
        <v xml:space="preserve"> </v>
      </c>
      <c r="B472" s="298">
        <f t="shared" si="271"/>
        <v>0</v>
      </c>
      <c r="C472" s="14">
        <f t="shared" si="285"/>
        <v>0</v>
      </c>
      <c r="D472" s="14">
        <f t="shared" si="306"/>
        <v>0</v>
      </c>
      <c r="E472" s="14">
        <f t="shared" si="286"/>
        <v>0</v>
      </c>
      <c r="F472" s="298">
        <f t="shared" si="295"/>
        <v>83951.219999999987</v>
      </c>
      <c r="G472" s="298">
        <f t="shared" si="296"/>
        <v>73034.019999999931</v>
      </c>
      <c r="H472" s="298">
        <f t="shared" si="287"/>
        <v>0</v>
      </c>
      <c r="I472" s="451">
        <f t="shared" si="288"/>
        <v>34</v>
      </c>
      <c r="J472" s="298">
        <f t="shared" si="297"/>
        <v>0</v>
      </c>
      <c r="K472" s="298">
        <f t="shared" si="276"/>
        <v>0</v>
      </c>
      <c r="L472" s="298">
        <f t="shared" si="307"/>
        <v>0</v>
      </c>
      <c r="M472" s="298">
        <f t="shared" si="277"/>
        <v>0</v>
      </c>
      <c r="N472" s="298">
        <f t="shared" si="298"/>
        <v>377057.86000000016</v>
      </c>
      <c r="O472" s="298">
        <f t="shared" si="299"/>
        <v>595399.34000000032</v>
      </c>
      <c r="P472" s="298">
        <f t="shared" si="289"/>
        <v>0</v>
      </c>
      <c r="Q472" s="542" t="str">
        <f t="shared" si="290"/>
        <v xml:space="preserve"> </v>
      </c>
      <c r="R472" s="298">
        <f t="shared" si="275"/>
        <v>0</v>
      </c>
      <c r="S472" s="535">
        <f t="shared" si="300"/>
        <v>7.7499999999999999E-2</v>
      </c>
      <c r="T472" s="298">
        <f t="shared" si="291"/>
        <v>0</v>
      </c>
      <c r="U472" s="298">
        <f t="shared" si="278"/>
        <v>0</v>
      </c>
      <c r="V472" s="298">
        <f t="shared" si="292"/>
        <v>0</v>
      </c>
      <c r="W472" s="298">
        <f t="shared" si="284"/>
        <v>0</v>
      </c>
      <c r="X472" s="298">
        <f t="shared" si="284"/>
        <v>0</v>
      </c>
      <c r="Y472" s="298">
        <f t="shared" si="279"/>
        <v>0</v>
      </c>
      <c r="Z472" s="298">
        <f t="shared" si="280"/>
        <v>378976.30999999988</v>
      </c>
      <c r="AA472" s="298">
        <f t="shared" si="281"/>
        <v>237979.58999999985</v>
      </c>
      <c r="AB472" s="298">
        <f t="shared" si="293"/>
        <v>0</v>
      </c>
      <c r="AC472" s="451">
        <f t="shared" si="301"/>
        <v>412</v>
      </c>
      <c r="AD472" s="552">
        <f t="shared" si="302"/>
        <v>355501.3000000001</v>
      </c>
      <c r="AE472" s="552">
        <f t="shared" si="273"/>
        <v>0</v>
      </c>
      <c r="AF472" s="552">
        <f t="shared" si="274"/>
        <v>355501.3000000001</v>
      </c>
      <c r="AG472" s="552">
        <f t="shared" si="303"/>
        <v>0</v>
      </c>
      <c r="AH472" s="552">
        <f t="shared" si="304"/>
        <v>0</v>
      </c>
      <c r="AI472" s="552"/>
      <c r="AJ472" s="14">
        <f t="shared" si="282"/>
        <v>0</v>
      </c>
      <c r="AK472" s="14">
        <f t="shared" si="283"/>
        <v>0</v>
      </c>
      <c r="AL472" s="552">
        <f>IF(R472&lt;=0,0,+([1]Profit!$B$4+AM471)*$AL$1/12)</f>
        <v>0</v>
      </c>
      <c r="AM472" s="14">
        <f t="shared" si="305"/>
        <v>0</v>
      </c>
    </row>
    <row r="473" spans="1:39" x14ac:dyDescent="0.25">
      <c r="A473" s="542" t="str">
        <f t="shared" si="294"/>
        <v xml:space="preserve"> </v>
      </c>
      <c r="B473" s="298">
        <f t="shared" si="271"/>
        <v>0</v>
      </c>
      <c r="C473" s="14">
        <f t="shared" si="285"/>
        <v>0</v>
      </c>
      <c r="D473" s="14">
        <f t="shared" si="306"/>
        <v>0</v>
      </c>
      <c r="E473" s="14">
        <f t="shared" si="286"/>
        <v>0</v>
      </c>
      <c r="F473" s="298">
        <f t="shared" si="295"/>
        <v>83951.219999999987</v>
      </c>
      <c r="G473" s="298">
        <f t="shared" si="296"/>
        <v>73034.019999999931</v>
      </c>
      <c r="H473" s="298">
        <f t="shared" si="287"/>
        <v>0</v>
      </c>
      <c r="I473" s="451">
        <f t="shared" si="288"/>
        <v>34</v>
      </c>
      <c r="J473" s="298">
        <f t="shared" si="297"/>
        <v>0</v>
      </c>
      <c r="K473" s="298">
        <f t="shared" si="276"/>
        <v>0</v>
      </c>
      <c r="L473" s="298">
        <f t="shared" si="307"/>
        <v>0</v>
      </c>
      <c r="M473" s="298">
        <f t="shared" si="277"/>
        <v>0</v>
      </c>
      <c r="N473" s="298">
        <f t="shared" si="298"/>
        <v>377057.86000000016</v>
      </c>
      <c r="O473" s="298">
        <f t="shared" si="299"/>
        <v>595399.34000000032</v>
      </c>
      <c r="P473" s="298">
        <f t="shared" si="289"/>
        <v>0</v>
      </c>
      <c r="Q473" s="542" t="str">
        <f t="shared" si="290"/>
        <v xml:space="preserve"> </v>
      </c>
      <c r="R473" s="298">
        <f t="shared" si="275"/>
        <v>0</v>
      </c>
      <c r="S473" s="535">
        <f t="shared" si="300"/>
        <v>7.7499999999999999E-2</v>
      </c>
      <c r="T473" s="298">
        <f t="shared" si="291"/>
        <v>0</v>
      </c>
      <c r="U473" s="298">
        <f t="shared" si="278"/>
        <v>0</v>
      </c>
      <c r="V473" s="298">
        <f t="shared" si="292"/>
        <v>0</v>
      </c>
      <c r="W473" s="298">
        <f t="shared" si="284"/>
        <v>0</v>
      </c>
      <c r="X473" s="298">
        <f t="shared" si="284"/>
        <v>0</v>
      </c>
      <c r="Y473" s="298">
        <f t="shared" si="279"/>
        <v>0</v>
      </c>
      <c r="Z473" s="298">
        <f t="shared" si="280"/>
        <v>378976.30999999988</v>
      </c>
      <c r="AA473" s="298">
        <f t="shared" si="281"/>
        <v>237979.58999999985</v>
      </c>
      <c r="AB473" s="298">
        <f t="shared" si="293"/>
        <v>0</v>
      </c>
      <c r="AC473" s="451">
        <f t="shared" si="301"/>
        <v>413</v>
      </c>
      <c r="AD473" s="552">
        <f t="shared" si="302"/>
        <v>355501.3000000001</v>
      </c>
      <c r="AE473" s="552">
        <f t="shared" si="273"/>
        <v>0</v>
      </c>
      <c r="AF473" s="552">
        <f t="shared" si="274"/>
        <v>355501.3000000001</v>
      </c>
      <c r="AG473" s="552">
        <f t="shared" si="303"/>
        <v>0</v>
      </c>
      <c r="AH473" s="552">
        <f t="shared" si="304"/>
        <v>0</v>
      </c>
      <c r="AI473" s="552"/>
      <c r="AJ473" s="14">
        <f t="shared" si="282"/>
        <v>0</v>
      </c>
      <c r="AK473" s="14">
        <f t="shared" si="283"/>
        <v>0</v>
      </c>
      <c r="AL473" s="552">
        <f>IF(R473&lt;=0,0,+([1]Profit!$B$4+AM472)*$AL$1/12)</f>
        <v>0</v>
      </c>
      <c r="AM473" s="14">
        <f t="shared" si="305"/>
        <v>0</v>
      </c>
    </row>
    <row r="474" spans="1:39" x14ac:dyDescent="0.25">
      <c r="A474" s="542" t="str">
        <f t="shared" si="294"/>
        <v xml:space="preserve"> </v>
      </c>
      <c r="B474" s="298">
        <f t="shared" si="271"/>
        <v>0</v>
      </c>
      <c r="C474" s="14">
        <f t="shared" si="285"/>
        <v>0</v>
      </c>
      <c r="D474" s="14">
        <f t="shared" si="306"/>
        <v>0</v>
      </c>
      <c r="E474" s="14">
        <f t="shared" si="286"/>
        <v>0</v>
      </c>
      <c r="F474" s="298">
        <f t="shared" si="295"/>
        <v>83951.219999999987</v>
      </c>
      <c r="G474" s="298">
        <f t="shared" si="296"/>
        <v>73034.019999999931</v>
      </c>
      <c r="H474" s="298">
        <f t="shared" si="287"/>
        <v>0</v>
      </c>
      <c r="I474" s="451">
        <f t="shared" si="288"/>
        <v>34</v>
      </c>
      <c r="J474" s="298">
        <f t="shared" si="297"/>
        <v>0</v>
      </c>
      <c r="K474" s="298">
        <f t="shared" si="276"/>
        <v>0</v>
      </c>
      <c r="L474" s="298">
        <f t="shared" si="307"/>
        <v>0</v>
      </c>
      <c r="M474" s="298">
        <f t="shared" si="277"/>
        <v>0</v>
      </c>
      <c r="N474" s="298">
        <f t="shared" si="298"/>
        <v>377057.86000000016</v>
      </c>
      <c r="O474" s="298">
        <f t="shared" si="299"/>
        <v>595399.34000000032</v>
      </c>
      <c r="P474" s="298">
        <f t="shared" si="289"/>
        <v>0</v>
      </c>
      <c r="Q474" s="542" t="str">
        <f t="shared" si="290"/>
        <v xml:space="preserve"> </v>
      </c>
      <c r="R474" s="298">
        <f t="shared" si="275"/>
        <v>0</v>
      </c>
      <c r="S474" s="535">
        <f t="shared" si="300"/>
        <v>7.7499999999999999E-2</v>
      </c>
      <c r="T474" s="298">
        <f t="shared" si="291"/>
        <v>0</v>
      </c>
      <c r="U474" s="298">
        <f t="shared" si="278"/>
        <v>0</v>
      </c>
      <c r="V474" s="298">
        <f t="shared" si="292"/>
        <v>0</v>
      </c>
      <c r="W474" s="298">
        <f t="shared" si="284"/>
        <v>0</v>
      </c>
      <c r="X474" s="298">
        <f t="shared" si="284"/>
        <v>0</v>
      </c>
      <c r="Y474" s="298">
        <f t="shared" si="279"/>
        <v>0</v>
      </c>
      <c r="Z474" s="298">
        <f t="shared" si="280"/>
        <v>378976.30999999988</v>
      </c>
      <c r="AA474" s="298">
        <f t="shared" si="281"/>
        <v>237979.58999999985</v>
      </c>
      <c r="AB474" s="298">
        <f t="shared" si="293"/>
        <v>0</v>
      </c>
      <c r="AC474" s="451">
        <f t="shared" si="301"/>
        <v>414</v>
      </c>
      <c r="AD474" s="552">
        <f t="shared" si="302"/>
        <v>355501.3000000001</v>
      </c>
      <c r="AE474" s="552">
        <f t="shared" si="273"/>
        <v>0</v>
      </c>
      <c r="AF474" s="552">
        <f t="shared" si="274"/>
        <v>355501.3000000001</v>
      </c>
      <c r="AG474" s="552">
        <f t="shared" si="303"/>
        <v>0</v>
      </c>
      <c r="AH474" s="552">
        <f t="shared" si="304"/>
        <v>0</v>
      </c>
      <c r="AI474" s="552"/>
      <c r="AJ474" s="14">
        <f t="shared" si="282"/>
        <v>0</v>
      </c>
      <c r="AK474" s="14">
        <f t="shared" si="283"/>
        <v>0</v>
      </c>
      <c r="AL474" s="552">
        <f>IF(R474&lt;=0,0,+([1]Profit!$B$4+AM473)*$AL$1/12)</f>
        <v>0</v>
      </c>
      <c r="AM474" s="14">
        <f t="shared" si="305"/>
        <v>0</v>
      </c>
    </row>
    <row r="475" spans="1:39" x14ac:dyDescent="0.25">
      <c r="A475" s="542" t="str">
        <f t="shared" si="294"/>
        <v xml:space="preserve"> </v>
      </c>
      <c r="B475" s="298">
        <f t="shared" si="271"/>
        <v>0</v>
      </c>
      <c r="C475" s="14">
        <f t="shared" si="285"/>
        <v>0</v>
      </c>
      <c r="D475" s="14">
        <f t="shared" si="306"/>
        <v>0</v>
      </c>
      <c r="E475" s="14">
        <f t="shared" si="286"/>
        <v>0</v>
      </c>
      <c r="F475" s="298">
        <f t="shared" si="295"/>
        <v>83951.219999999987</v>
      </c>
      <c r="G475" s="298">
        <f t="shared" si="296"/>
        <v>73034.019999999931</v>
      </c>
      <c r="H475" s="298">
        <f t="shared" si="287"/>
        <v>0</v>
      </c>
      <c r="I475" s="451">
        <f t="shared" si="288"/>
        <v>34</v>
      </c>
      <c r="J475" s="298">
        <f t="shared" si="297"/>
        <v>0</v>
      </c>
      <c r="K475" s="298">
        <f t="shared" si="276"/>
        <v>0</v>
      </c>
      <c r="L475" s="298">
        <f t="shared" si="307"/>
        <v>0</v>
      </c>
      <c r="M475" s="298">
        <f t="shared" si="277"/>
        <v>0</v>
      </c>
      <c r="N475" s="298">
        <f t="shared" si="298"/>
        <v>377057.86000000016</v>
      </c>
      <c r="O475" s="298">
        <f t="shared" si="299"/>
        <v>595399.34000000032</v>
      </c>
      <c r="P475" s="298">
        <f t="shared" si="289"/>
        <v>0</v>
      </c>
      <c r="Q475" s="542" t="str">
        <f t="shared" si="290"/>
        <v xml:space="preserve"> </v>
      </c>
      <c r="R475" s="298">
        <f t="shared" si="275"/>
        <v>0</v>
      </c>
      <c r="S475" s="535">
        <f t="shared" si="300"/>
        <v>7.7499999999999999E-2</v>
      </c>
      <c r="T475" s="298">
        <f t="shared" si="291"/>
        <v>0</v>
      </c>
      <c r="U475" s="298">
        <f t="shared" si="278"/>
        <v>0</v>
      </c>
      <c r="V475" s="298">
        <f t="shared" si="292"/>
        <v>0</v>
      </c>
      <c r="W475" s="298">
        <f t="shared" si="284"/>
        <v>0</v>
      </c>
      <c r="X475" s="298">
        <f t="shared" si="284"/>
        <v>0</v>
      </c>
      <c r="Y475" s="298">
        <f t="shared" si="279"/>
        <v>0</v>
      </c>
      <c r="Z475" s="298">
        <f t="shared" si="280"/>
        <v>378976.30999999988</v>
      </c>
      <c r="AA475" s="298">
        <f t="shared" si="281"/>
        <v>237979.58999999985</v>
      </c>
      <c r="AB475" s="298">
        <f t="shared" si="293"/>
        <v>0</v>
      </c>
      <c r="AC475" s="451">
        <f t="shared" si="301"/>
        <v>415</v>
      </c>
      <c r="AD475" s="552">
        <f t="shared" si="302"/>
        <v>355501.3000000001</v>
      </c>
      <c r="AE475" s="552">
        <f t="shared" si="273"/>
        <v>0</v>
      </c>
      <c r="AF475" s="552">
        <f t="shared" si="274"/>
        <v>355501.3000000001</v>
      </c>
      <c r="AG475" s="552">
        <f t="shared" si="303"/>
        <v>0</v>
      </c>
      <c r="AH475" s="552">
        <f t="shared" si="304"/>
        <v>0</v>
      </c>
      <c r="AI475" s="552"/>
      <c r="AJ475" s="14">
        <f t="shared" si="282"/>
        <v>0</v>
      </c>
      <c r="AK475" s="14">
        <f t="shared" si="283"/>
        <v>0</v>
      </c>
      <c r="AL475" s="552">
        <f>IF(R475&lt;=0,0,+([1]Profit!$B$4+AM474)*$AL$1/12)</f>
        <v>0</v>
      </c>
      <c r="AM475" s="14">
        <f t="shared" si="305"/>
        <v>0</v>
      </c>
    </row>
    <row r="476" spans="1:39" x14ac:dyDescent="0.25">
      <c r="A476" s="542" t="str">
        <f t="shared" si="294"/>
        <v xml:space="preserve"> </v>
      </c>
      <c r="B476" s="298">
        <f t="shared" si="271"/>
        <v>0</v>
      </c>
      <c r="C476" s="14">
        <f t="shared" si="285"/>
        <v>0</v>
      </c>
      <c r="D476" s="14">
        <f t="shared" si="306"/>
        <v>0</v>
      </c>
      <c r="E476" s="14">
        <f t="shared" si="286"/>
        <v>0</v>
      </c>
      <c r="F476" s="298">
        <f t="shared" si="295"/>
        <v>83951.219999999987</v>
      </c>
      <c r="G476" s="298">
        <f t="shared" si="296"/>
        <v>73034.019999999931</v>
      </c>
      <c r="H476" s="298">
        <f t="shared" si="287"/>
        <v>0</v>
      </c>
      <c r="I476" s="451">
        <f t="shared" si="288"/>
        <v>34</v>
      </c>
      <c r="J476" s="298">
        <f t="shared" si="297"/>
        <v>0</v>
      </c>
      <c r="K476" s="298">
        <f t="shared" si="276"/>
        <v>0</v>
      </c>
      <c r="L476" s="298">
        <f t="shared" si="307"/>
        <v>0</v>
      </c>
      <c r="M476" s="298">
        <f t="shared" si="277"/>
        <v>0</v>
      </c>
      <c r="N476" s="298">
        <f t="shared" si="298"/>
        <v>377057.86000000016</v>
      </c>
      <c r="O476" s="298">
        <f t="shared" si="299"/>
        <v>595399.34000000032</v>
      </c>
      <c r="P476" s="298">
        <f t="shared" si="289"/>
        <v>0</v>
      </c>
      <c r="Q476" s="542" t="str">
        <f t="shared" si="290"/>
        <v xml:space="preserve"> </v>
      </c>
      <c r="R476" s="298">
        <f t="shared" si="275"/>
        <v>0</v>
      </c>
      <c r="S476" s="535">
        <f t="shared" si="300"/>
        <v>7.7499999999999999E-2</v>
      </c>
      <c r="T476" s="298">
        <f t="shared" si="291"/>
        <v>0</v>
      </c>
      <c r="U476" s="298">
        <f t="shared" si="278"/>
        <v>0</v>
      </c>
      <c r="V476" s="298">
        <f t="shared" si="292"/>
        <v>0</v>
      </c>
      <c r="W476" s="298">
        <f t="shared" ref="W476:X491" si="308">+W475</f>
        <v>0</v>
      </c>
      <c r="X476" s="298">
        <f t="shared" si="308"/>
        <v>0</v>
      </c>
      <c r="Y476" s="298">
        <f t="shared" si="279"/>
        <v>0</v>
      </c>
      <c r="Z476" s="298">
        <f t="shared" si="280"/>
        <v>378976.30999999988</v>
      </c>
      <c r="AA476" s="298">
        <f t="shared" si="281"/>
        <v>237979.58999999985</v>
      </c>
      <c r="AB476" s="298">
        <f t="shared" si="293"/>
        <v>0</v>
      </c>
      <c r="AC476" s="451">
        <f t="shared" si="301"/>
        <v>416</v>
      </c>
      <c r="AD476" s="552">
        <f t="shared" si="302"/>
        <v>355501.3000000001</v>
      </c>
      <c r="AE476" s="552">
        <f t="shared" si="273"/>
        <v>0</v>
      </c>
      <c r="AF476" s="552">
        <f t="shared" si="274"/>
        <v>355501.3000000001</v>
      </c>
      <c r="AG476" s="552">
        <f t="shared" si="303"/>
        <v>0</v>
      </c>
      <c r="AH476" s="552">
        <f t="shared" si="304"/>
        <v>0</v>
      </c>
      <c r="AI476" s="552"/>
      <c r="AJ476" s="14">
        <f t="shared" si="282"/>
        <v>0</v>
      </c>
      <c r="AK476" s="14">
        <f t="shared" si="283"/>
        <v>0</v>
      </c>
      <c r="AL476" s="552">
        <f>IF(R476&lt;=0,0,+([1]Profit!$B$4+AM475)*$AL$1/12)</f>
        <v>0</v>
      </c>
      <c r="AM476" s="14">
        <f t="shared" si="305"/>
        <v>0</v>
      </c>
    </row>
    <row r="477" spans="1:39" x14ac:dyDescent="0.25">
      <c r="A477" s="542" t="str">
        <f t="shared" si="294"/>
        <v xml:space="preserve"> </v>
      </c>
      <c r="B477" s="298">
        <f t="shared" si="271"/>
        <v>0</v>
      </c>
      <c r="C477" s="14">
        <f t="shared" si="285"/>
        <v>0</v>
      </c>
      <c r="D477" s="14">
        <f t="shared" si="306"/>
        <v>0</v>
      </c>
      <c r="E477" s="14">
        <f t="shared" si="286"/>
        <v>0</v>
      </c>
      <c r="F477" s="298">
        <f t="shared" si="295"/>
        <v>83951.219999999987</v>
      </c>
      <c r="G477" s="298">
        <f t="shared" si="296"/>
        <v>73034.019999999931</v>
      </c>
      <c r="H477" s="298">
        <f t="shared" si="287"/>
        <v>0</v>
      </c>
      <c r="I477" s="451">
        <f t="shared" si="288"/>
        <v>34</v>
      </c>
      <c r="J477" s="298">
        <f t="shared" si="297"/>
        <v>0</v>
      </c>
      <c r="K477" s="298">
        <f t="shared" si="276"/>
        <v>0</v>
      </c>
      <c r="L477" s="298">
        <f t="shared" si="307"/>
        <v>0</v>
      </c>
      <c r="M477" s="298">
        <f t="shared" si="277"/>
        <v>0</v>
      </c>
      <c r="N477" s="298">
        <f t="shared" si="298"/>
        <v>377057.86000000016</v>
      </c>
      <c r="O477" s="298">
        <f t="shared" si="299"/>
        <v>595399.34000000032</v>
      </c>
      <c r="P477" s="298">
        <f t="shared" si="289"/>
        <v>0</v>
      </c>
      <c r="Q477" s="542" t="str">
        <f t="shared" si="290"/>
        <v xml:space="preserve"> </v>
      </c>
      <c r="R477" s="298">
        <f t="shared" si="275"/>
        <v>0</v>
      </c>
      <c r="S477" s="535">
        <f t="shared" si="300"/>
        <v>7.7499999999999999E-2</v>
      </c>
      <c r="T477" s="298">
        <f t="shared" si="291"/>
        <v>0</v>
      </c>
      <c r="U477" s="298">
        <f t="shared" si="278"/>
        <v>0</v>
      </c>
      <c r="V477" s="298">
        <f t="shared" si="292"/>
        <v>0</v>
      </c>
      <c r="W477" s="298">
        <f t="shared" si="308"/>
        <v>0</v>
      </c>
      <c r="X477" s="298">
        <f t="shared" si="308"/>
        <v>0</v>
      </c>
      <c r="Y477" s="298">
        <f t="shared" si="279"/>
        <v>0</v>
      </c>
      <c r="Z477" s="298">
        <f t="shared" si="280"/>
        <v>378976.30999999988</v>
      </c>
      <c r="AA477" s="298">
        <f t="shared" si="281"/>
        <v>237979.58999999985</v>
      </c>
      <c r="AB477" s="298">
        <f t="shared" si="293"/>
        <v>0</v>
      </c>
      <c r="AC477" s="451">
        <f t="shared" si="301"/>
        <v>417</v>
      </c>
      <c r="AD477" s="552">
        <f t="shared" si="302"/>
        <v>355501.3000000001</v>
      </c>
      <c r="AE477" s="552">
        <f t="shared" si="273"/>
        <v>0</v>
      </c>
      <c r="AF477" s="552">
        <f t="shared" si="274"/>
        <v>355501.3000000001</v>
      </c>
      <c r="AG477" s="552">
        <f t="shared" si="303"/>
        <v>0</v>
      </c>
      <c r="AH477" s="552">
        <f t="shared" si="304"/>
        <v>0</v>
      </c>
      <c r="AI477" s="552"/>
      <c r="AJ477" s="14">
        <f t="shared" si="282"/>
        <v>0</v>
      </c>
      <c r="AK477" s="14">
        <f t="shared" si="283"/>
        <v>0</v>
      </c>
      <c r="AL477" s="552">
        <f>IF(R477&lt;=0,0,+([1]Profit!$B$4+AM476)*$AL$1/12)</f>
        <v>0</v>
      </c>
      <c r="AM477" s="14">
        <f t="shared" si="305"/>
        <v>0</v>
      </c>
    </row>
    <row r="478" spans="1:39" x14ac:dyDescent="0.25">
      <c r="A478" s="542" t="str">
        <f t="shared" si="294"/>
        <v xml:space="preserve"> </v>
      </c>
      <c r="B478" s="298">
        <f t="shared" si="271"/>
        <v>0</v>
      </c>
      <c r="C478" s="14">
        <f t="shared" si="285"/>
        <v>0</v>
      </c>
      <c r="D478" s="14">
        <f t="shared" si="306"/>
        <v>0</v>
      </c>
      <c r="E478" s="14">
        <f t="shared" si="286"/>
        <v>0</v>
      </c>
      <c r="F478" s="298">
        <f t="shared" si="295"/>
        <v>83951.219999999987</v>
      </c>
      <c r="G478" s="298">
        <f t="shared" si="296"/>
        <v>73034.019999999931</v>
      </c>
      <c r="H478" s="298">
        <f t="shared" si="287"/>
        <v>0</v>
      </c>
      <c r="I478" s="451">
        <f t="shared" si="288"/>
        <v>34</v>
      </c>
      <c r="J478" s="298">
        <f t="shared" si="297"/>
        <v>0</v>
      </c>
      <c r="K478" s="298">
        <f t="shared" si="276"/>
        <v>0</v>
      </c>
      <c r="L478" s="298">
        <f t="shared" si="307"/>
        <v>0</v>
      </c>
      <c r="M478" s="298">
        <f t="shared" si="277"/>
        <v>0</v>
      </c>
      <c r="N478" s="298">
        <f t="shared" si="298"/>
        <v>377057.86000000016</v>
      </c>
      <c r="O478" s="298">
        <f t="shared" si="299"/>
        <v>595399.34000000032</v>
      </c>
      <c r="P478" s="298">
        <f t="shared" si="289"/>
        <v>0</v>
      </c>
      <c r="Q478" s="542" t="str">
        <f t="shared" si="290"/>
        <v xml:space="preserve"> </v>
      </c>
      <c r="R478" s="298">
        <f t="shared" si="275"/>
        <v>0</v>
      </c>
      <c r="S478" s="535">
        <f t="shared" si="300"/>
        <v>7.7499999999999999E-2</v>
      </c>
      <c r="T478" s="298">
        <f t="shared" si="291"/>
        <v>0</v>
      </c>
      <c r="U478" s="298">
        <f t="shared" si="278"/>
        <v>0</v>
      </c>
      <c r="V478" s="298">
        <f t="shared" si="292"/>
        <v>0</v>
      </c>
      <c r="W478" s="298">
        <f t="shared" si="308"/>
        <v>0</v>
      </c>
      <c r="X478" s="298">
        <f t="shared" si="308"/>
        <v>0</v>
      </c>
      <c r="Y478" s="298">
        <f t="shared" si="279"/>
        <v>0</v>
      </c>
      <c r="Z478" s="298">
        <f t="shared" si="280"/>
        <v>378976.30999999988</v>
      </c>
      <c r="AA478" s="298">
        <f t="shared" si="281"/>
        <v>237979.58999999985</v>
      </c>
      <c r="AB478" s="298">
        <f t="shared" si="293"/>
        <v>0</v>
      </c>
      <c r="AC478" s="451">
        <f t="shared" si="301"/>
        <v>418</v>
      </c>
      <c r="AD478" s="552">
        <f t="shared" si="302"/>
        <v>355501.3000000001</v>
      </c>
      <c r="AE478" s="552">
        <f t="shared" si="273"/>
        <v>0</v>
      </c>
      <c r="AF478" s="552">
        <f t="shared" si="274"/>
        <v>355501.3000000001</v>
      </c>
      <c r="AG478" s="552">
        <f t="shared" si="303"/>
        <v>0</v>
      </c>
      <c r="AH478" s="552">
        <f t="shared" si="304"/>
        <v>0</v>
      </c>
      <c r="AI478" s="552"/>
      <c r="AJ478" s="14">
        <f t="shared" si="282"/>
        <v>0</v>
      </c>
      <c r="AK478" s="14">
        <f t="shared" si="283"/>
        <v>0</v>
      </c>
      <c r="AL478" s="552">
        <f>IF(R478&lt;=0,0,+([1]Profit!$B$4+AM477)*$AL$1/12)</f>
        <v>0</v>
      </c>
      <c r="AM478" s="14">
        <f t="shared" si="305"/>
        <v>0</v>
      </c>
    </row>
    <row r="479" spans="1:39" x14ac:dyDescent="0.25">
      <c r="A479" s="542" t="str">
        <f t="shared" si="294"/>
        <v xml:space="preserve"> </v>
      </c>
      <c r="B479" s="298">
        <f t="shared" si="271"/>
        <v>0</v>
      </c>
      <c r="C479" s="14">
        <f t="shared" si="285"/>
        <v>0</v>
      </c>
      <c r="D479" s="14">
        <f t="shared" si="306"/>
        <v>0</v>
      </c>
      <c r="E479" s="14">
        <f t="shared" si="286"/>
        <v>0</v>
      </c>
      <c r="F479" s="298">
        <f t="shared" si="295"/>
        <v>83951.219999999987</v>
      </c>
      <c r="G479" s="298">
        <f t="shared" si="296"/>
        <v>73034.019999999931</v>
      </c>
      <c r="H479" s="298">
        <f t="shared" si="287"/>
        <v>0</v>
      </c>
      <c r="I479" s="451">
        <f t="shared" si="288"/>
        <v>34</v>
      </c>
      <c r="J479" s="298">
        <f t="shared" si="297"/>
        <v>0</v>
      </c>
      <c r="K479" s="298">
        <f t="shared" si="276"/>
        <v>0</v>
      </c>
      <c r="L479" s="298">
        <f t="shared" si="307"/>
        <v>0</v>
      </c>
      <c r="M479" s="298">
        <f t="shared" si="277"/>
        <v>0</v>
      </c>
      <c r="N479" s="298">
        <f t="shared" si="298"/>
        <v>377057.86000000016</v>
      </c>
      <c r="O479" s="298">
        <f t="shared" si="299"/>
        <v>595399.34000000032</v>
      </c>
      <c r="P479" s="298">
        <f t="shared" si="289"/>
        <v>0</v>
      </c>
      <c r="Q479" s="542" t="str">
        <f t="shared" si="290"/>
        <v xml:space="preserve"> </v>
      </c>
      <c r="R479" s="298">
        <f t="shared" si="275"/>
        <v>0</v>
      </c>
      <c r="S479" s="535">
        <f t="shared" si="300"/>
        <v>7.7499999999999999E-2</v>
      </c>
      <c r="T479" s="298">
        <f t="shared" si="291"/>
        <v>0</v>
      </c>
      <c r="U479" s="298">
        <f t="shared" si="278"/>
        <v>0</v>
      </c>
      <c r="V479" s="298">
        <f t="shared" si="292"/>
        <v>0</v>
      </c>
      <c r="W479" s="298">
        <f t="shared" si="308"/>
        <v>0</v>
      </c>
      <c r="X479" s="298">
        <f t="shared" si="308"/>
        <v>0</v>
      </c>
      <c r="Y479" s="298">
        <f t="shared" si="279"/>
        <v>0</v>
      </c>
      <c r="Z479" s="298">
        <f t="shared" si="280"/>
        <v>378976.30999999988</v>
      </c>
      <c r="AA479" s="298">
        <f t="shared" si="281"/>
        <v>237979.58999999985</v>
      </c>
      <c r="AB479" s="298">
        <f t="shared" si="293"/>
        <v>0</v>
      </c>
      <c r="AC479" s="451">
        <f t="shared" si="301"/>
        <v>419</v>
      </c>
      <c r="AD479" s="552">
        <f t="shared" si="302"/>
        <v>355501.3000000001</v>
      </c>
      <c r="AE479" s="552">
        <f t="shared" si="273"/>
        <v>0</v>
      </c>
      <c r="AF479" s="552">
        <f t="shared" si="274"/>
        <v>355501.3000000001</v>
      </c>
      <c r="AG479" s="552">
        <f t="shared" si="303"/>
        <v>0</v>
      </c>
      <c r="AH479" s="552">
        <f t="shared" si="304"/>
        <v>0</v>
      </c>
      <c r="AI479" s="552"/>
      <c r="AJ479" s="14">
        <f t="shared" si="282"/>
        <v>0</v>
      </c>
      <c r="AK479" s="14">
        <f t="shared" si="283"/>
        <v>0</v>
      </c>
      <c r="AL479" s="552">
        <f>IF(R479&lt;=0,0,+([1]Profit!$B$4+AM478)*$AL$1/12)</f>
        <v>0</v>
      </c>
      <c r="AM479" s="14">
        <f t="shared" si="305"/>
        <v>0</v>
      </c>
    </row>
    <row r="480" spans="1:39" x14ac:dyDescent="0.25">
      <c r="A480" s="542" t="str">
        <f t="shared" si="294"/>
        <v xml:space="preserve"> </v>
      </c>
      <c r="B480" s="298">
        <f t="shared" si="271"/>
        <v>0</v>
      </c>
      <c r="C480" s="14">
        <f t="shared" si="285"/>
        <v>0</v>
      </c>
      <c r="D480" s="14">
        <f t="shared" si="306"/>
        <v>0</v>
      </c>
      <c r="E480" s="14">
        <f t="shared" si="286"/>
        <v>0</v>
      </c>
      <c r="F480" s="298">
        <f t="shared" si="295"/>
        <v>83951.219999999987</v>
      </c>
      <c r="G480" s="298">
        <f t="shared" si="296"/>
        <v>73034.019999999931</v>
      </c>
      <c r="H480" s="298">
        <f t="shared" si="287"/>
        <v>0</v>
      </c>
      <c r="I480" s="451">
        <f t="shared" si="288"/>
        <v>35</v>
      </c>
      <c r="J480" s="298">
        <f t="shared" si="297"/>
        <v>0</v>
      </c>
      <c r="K480" s="298">
        <f t="shared" si="276"/>
        <v>0</v>
      </c>
      <c r="L480" s="298">
        <f t="shared" si="307"/>
        <v>0</v>
      </c>
      <c r="M480" s="298">
        <f t="shared" si="277"/>
        <v>0</v>
      </c>
      <c r="N480" s="298">
        <f t="shared" si="298"/>
        <v>377057.86000000016</v>
      </c>
      <c r="O480" s="298">
        <f t="shared" si="299"/>
        <v>595399.34000000032</v>
      </c>
      <c r="P480" s="298">
        <f t="shared" si="289"/>
        <v>0</v>
      </c>
      <c r="Q480" s="542" t="str">
        <f t="shared" si="290"/>
        <v xml:space="preserve"> </v>
      </c>
      <c r="R480" s="298">
        <f t="shared" si="275"/>
        <v>0</v>
      </c>
      <c r="S480" s="535">
        <f t="shared" si="300"/>
        <v>7.7499999999999999E-2</v>
      </c>
      <c r="T480" s="298">
        <f t="shared" si="291"/>
        <v>0</v>
      </c>
      <c r="U480" s="298">
        <f t="shared" si="278"/>
        <v>0</v>
      </c>
      <c r="V480" s="298">
        <f t="shared" si="292"/>
        <v>0</v>
      </c>
      <c r="W480" s="298">
        <f t="shared" si="308"/>
        <v>0</v>
      </c>
      <c r="X480" s="298">
        <f t="shared" si="308"/>
        <v>0</v>
      </c>
      <c r="Y480" s="298">
        <f t="shared" si="279"/>
        <v>0</v>
      </c>
      <c r="Z480" s="298">
        <f t="shared" si="280"/>
        <v>378976.30999999988</v>
      </c>
      <c r="AA480" s="298">
        <f t="shared" si="281"/>
        <v>237979.58999999985</v>
      </c>
      <c r="AB480" s="298">
        <f t="shared" si="293"/>
        <v>0</v>
      </c>
      <c r="AC480" s="451">
        <f t="shared" si="301"/>
        <v>420</v>
      </c>
      <c r="AD480" s="552">
        <f t="shared" si="302"/>
        <v>355501.3000000001</v>
      </c>
      <c r="AE480" s="552">
        <f t="shared" si="273"/>
        <v>0</v>
      </c>
      <c r="AF480" s="552">
        <f t="shared" si="274"/>
        <v>355501.3000000001</v>
      </c>
      <c r="AG480" s="552">
        <f t="shared" si="303"/>
        <v>0</v>
      </c>
      <c r="AH480" s="552">
        <f t="shared" si="304"/>
        <v>0</v>
      </c>
      <c r="AI480" s="552"/>
      <c r="AJ480" s="14">
        <f t="shared" si="282"/>
        <v>0</v>
      </c>
      <c r="AK480" s="14">
        <f t="shared" si="283"/>
        <v>0</v>
      </c>
      <c r="AL480" s="552">
        <f>IF(R480&lt;=0,0,+([1]Profit!$B$4+AM479)*$AL$1/12)</f>
        <v>0</v>
      </c>
      <c r="AM480" s="14">
        <f t="shared" si="305"/>
        <v>0</v>
      </c>
    </row>
    <row r="481" spans="1:40" x14ac:dyDescent="0.25">
      <c r="A481" s="542" t="str">
        <f t="shared" si="294"/>
        <v xml:space="preserve"> </v>
      </c>
      <c r="B481" s="298">
        <f t="shared" si="271"/>
        <v>0</v>
      </c>
      <c r="C481" s="14">
        <f t="shared" si="285"/>
        <v>0</v>
      </c>
      <c r="D481" s="14">
        <f t="shared" si="306"/>
        <v>0</v>
      </c>
      <c r="E481" s="14">
        <f t="shared" si="286"/>
        <v>0</v>
      </c>
      <c r="F481" s="298">
        <f t="shared" si="295"/>
        <v>83951.219999999987</v>
      </c>
      <c r="G481" s="298">
        <f t="shared" si="296"/>
        <v>73034.019999999931</v>
      </c>
      <c r="H481" s="298">
        <f t="shared" si="287"/>
        <v>0</v>
      </c>
      <c r="I481" s="451">
        <f t="shared" si="288"/>
        <v>35</v>
      </c>
      <c r="J481" s="298">
        <f t="shared" si="297"/>
        <v>0</v>
      </c>
      <c r="K481" s="298">
        <f t="shared" si="276"/>
        <v>0</v>
      </c>
      <c r="L481" s="298">
        <f t="shared" si="307"/>
        <v>0</v>
      </c>
      <c r="M481" s="298">
        <f t="shared" si="277"/>
        <v>0</v>
      </c>
      <c r="N481" s="298">
        <f t="shared" si="298"/>
        <v>377057.86000000016</v>
      </c>
      <c r="O481" s="298">
        <f t="shared" si="299"/>
        <v>595399.34000000032</v>
      </c>
      <c r="P481" s="298">
        <f t="shared" si="289"/>
        <v>0</v>
      </c>
      <c r="Q481" s="542" t="str">
        <f t="shared" si="290"/>
        <v xml:space="preserve"> </v>
      </c>
      <c r="R481" s="298">
        <f t="shared" si="275"/>
        <v>0</v>
      </c>
      <c r="S481" s="535">
        <f t="shared" si="300"/>
        <v>7.7499999999999999E-2</v>
      </c>
      <c r="T481" s="298">
        <f t="shared" si="291"/>
        <v>0</v>
      </c>
      <c r="U481" s="298">
        <f t="shared" si="278"/>
        <v>0</v>
      </c>
      <c r="V481" s="298">
        <f t="shared" si="292"/>
        <v>0</v>
      </c>
      <c r="W481" s="298">
        <f t="shared" si="308"/>
        <v>0</v>
      </c>
      <c r="X481" s="298">
        <f t="shared" si="308"/>
        <v>0</v>
      </c>
      <c r="Y481" s="298">
        <f t="shared" si="279"/>
        <v>0</v>
      </c>
      <c r="Z481" s="298">
        <f t="shared" si="280"/>
        <v>378976.30999999988</v>
      </c>
      <c r="AA481" s="298">
        <f t="shared" si="281"/>
        <v>237979.58999999985</v>
      </c>
      <c r="AB481" s="298">
        <f t="shared" si="293"/>
        <v>0</v>
      </c>
      <c r="AC481" s="451">
        <f t="shared" si="301"/>
        <v>421</v>
      </c>
      <c r="AD481" s="552">
        <f t="shared" si="302"/>
        <v>355501.3000000001</v>
      </c>
      <c r="AE481" s="552">
        <f t="shared" si="273"/>
        <v>0</v>
      </c>
      <c r="AF481" s="552">
        <f t="shared" si="274"/>
        <v>355501.3000000001</v>
      </c>
      <c r="AG481" s="552">
        <f t="shared" si="303"/>
        <v>0</v>
      </c>
      <c r="AH481" s="552">
        <f t="shared" si="304"/>
        <v>0</v>
      </c>
      <c r="AI481" s="552"/>
      <c r="AJ481" s="14">
        <f t="shared" si="282"/>
        <v>0</v>
      </c>
      <c r="AK481" s="14">
        <f t="shared" si="283"/>
        <v>0</v>
      </c>
      <c r="AL481" s="552">
        <f>IF(R481&lt;=0,0,+([1]Profit!$B$4+AM480)*$AL$1/12)</f>
        <v>0</v>
      </c>
      <c r="AM481" s="14">
        <f t="shared" si="305"/>
        <v>0</v>
      </c>
    </row>
    <row r="482" spans="1:40" ht="15.75" thickBot="1" x14ac:dyDescent="0.3">
      <c r="A482" s="545" t="str">
        <f t="shared" si="294"/>
        <v xml:space="preserve"> </v>
      </c>
      <c r="B482" s="371">
        <f t="shared" si="271"/>
        <v>0</v>
      </c>
      <c r="C482" s="21">
        <f t="shared" si="285"/>
        <v>0</v>
      </c>
      <c r="D482" s="21">
        <f t="shared" si="306"/>
        <v>0</v>
      </c>
      <c r="E482" s="21">
        <f t="shared" si="286"/>
        <v>0</v>
      </c>
      <c r="F482" s="371">
        <f t="shared" si="295"/>
        <v>83951.219999999987</v>
      </c>
      <c r="G482" s="371">
        <f t="shared" si="296"/>
        <v>73034.019999999931</v>
      </c>
      <c r="H482" s="371">
        <f t="shared" si="287"/>
        <v>0</v>
      </c>
      <c r="I482" s="452">
        <f t="shared" si="288"/>
        <v>35</v>
      </c>
      <c r="J482" s="371">
        <f t="shared" si="297"/>
        <v>0</v>
      </c>
      <c r="K482" s="371">
        <f t="shared" si="276"/>
        <v>0</v>
      </c>
      <c r="L482" s="371">
        <f t="shared" si="307"/>
        <v>0</v>
      </c>
      <c r="M482" s="371">
        <f t="shared" si="277"/>
        <v>0</v>
      </c>
      <c r="N482" s="371">
        <f t="shared" si="298"/>
        <v>377057.86000000016</v>
      </c>
      <c r="O482" s="371">
        <f t="shared" si="299"/>
        <v>595399.34000000032</v>
      </c>
      <c r="P482" s="371">
        <f t="shared" si="289"/>
        <v>0</v>
      </c>
      <c r="Q482" s="545" t="str">
        <f t="shared" si="290"/>
        <v xml:space="preserve"> </v>
      </c>
      <c r="R482" s="371">
        <f t="shared" si="275"/>
        <v>0</v>
      </c>
      <c r="S482" s="536">
        <f t="shared" si="300"/>
        <v>7.7499999999999999E-2</v>
      </c>
      <c r="T482" s="371">
        <f t="shared" si="291"/>
        <v>0</v>
      </c>
      <c r="U482" s="371">
        <f t="shared" si="278"/>
        <v>0</v>
      </c>
      <c r="V482" s="371">
        <f t="shared" si="292"/>
        <v>0</v>
      </c>
      <c r="W482" s="371">
        <f t="shared" si="308"/>
        <v>0</v>
      </c>
      <c r="X482" s="371">
        <f t="shared" si="308"/>
        <v>0</v>
      </c>
      <c r="Y482" s="371">
        <f t="shared" si="279"/>
        <v>0</v>
      </c>
      <c r="Z482" s="371">
        <f t="shared" si="280"/>
        <v>378976.30999999988</v>
      </c>
      <c r="AA482" s="371">
        <f t="shared" si="281"/>
        <v>237979.58999999985</v>
      </c>
      <c r="AB482" s="371">
        <f t="shared" si="293"/>
        <v>0</v>
      </c>
      <c r="AC482" s="452">
        <f t="shared" si="301"/>
        <v>422</v>
      </c>
      <c r="AD482" s="553">
        <f t="shared" si="302"/>
        <v>355501.3000000001</v>
      </c>
      <c r="AE482" s="553">
        <f t="shared" si="273"/>
        <v>0</v>
      </c>
      <c r="AF482" s="553">
        <f t="shared" si="274"/>
        <v>355501.3000000001</v>
      </c>
      <c r="AG482" s="553">
        <f t="shared" si="303"/>
        <v>0</v>
      </c>
      <c r="AH482" s="553">
        <f t="shared" si="304"/>
        <v>0</v>
      </c>
      <c r="AI482" s="553"/>
      <c r="AJ482" s="21">
        <f t="shared" si="282"/>
        <v>0</v>
      </c>
      <c r="AK482" s="21">
        <f t="shared" si="283"/>
        <v>0</v>
      </c>
      <c r="AL482" s="553">
        <f>IF(R482&lt;=0,0,+([1]Profit!$B$4+AM481)*$AL$1/12)</f>
        <v>0</v>
      </c>
      <c r="AM482" s="21">
        <f t="shared" si="305"/>
        <v>0</v>
      </c>
    </row>
    <row r="483" spans="1:40" x14ac:dyDescent="0.25">
      <c r="A483" s="542" t="str">
        <f t="shared" si="294"/>
        <v xml:space="preserve"> </v>
      </c>
      <c r="B483" s="298">
        <f t="shared" si="271"/>
        <v>0</v>
      </c>
      <c r="C483" s="14">
        <f t="shared" si="285"/>
        <v>0</v>
      </c>
      <c r="D483" s="14">
        <f t="shared" si="306"/>
        <v>0</v>
      </c>
      <c r="E483" s="14">
        <f t="shared" si="286"/>
        <v>0</v>
      </c>
      <c r="F483" s="298">
        <f t="shared" si="295"/>
        <v>83951.219999999987</v>
      </c>
      <c r="G483" s="298">
        <f t="shared" si="296"/>
        <v>73034.019999999931</v>
      </c>
      <c r="H483" s="298">
        <f t="shared" si="287"/>
        <v>0</v>
      </c>
      <c r="I483" s="451">
        <f t="shared" si="288"/>
        <v>35</v>
      </c>
      <c r="J483" s="298">
        <f t="shared" si="297"/>
        <v>0</v>
      </c>
      <c r="K483" s="14">
        <f t="shared" si="276"/>
        <v>0</v>
      </c>
      <c r="L483" s="298">
        <f t="shared" si="307"/>
        <v>0</v>
      </c>
      <c r="M483" s="298">
        <f t="shared" si="277"/>
        <v>0</v>
      </c>
      <c r="N483" s="298">
        <f t="shared" si="298"/>
        <v>377057.86000000016</v>
      </c>
      <c r="O483" s="298">
        <f t="shared" si="299"/>
        <v>595399.34000000032</v>
      </c>
      <c r="P483" s="298">
        <f t="shared" si="289"/>
        <v>0</v>
      </c>
      <c r="Q483" s="542" t="str">
        <f t="shared" si="290"/>
        <v xml:space="preserve"> </v>
      </c>
      <c r="R483" s="298">
        <f t="shared" si="275"/>
        <v>0</v>
      </c>
      <c r="S483" s="535">
        <f t="shared" si="300"/>
        <v>7.7499999999999999E-2</v>
      </c>
      <c r="T483" s="14">
        <f t="shared" si="291"/>
        <v>0</v>
      </c>
      <c r="U483" s="298">
        <f t="shared" si="278"/>
        <v>0</v>
      </c>
      <c r="V483" s="298">
        <f t="shared" si="292"/>
        <v>0</v>
      </c>
      <c r="W483" s="14">
        <f t="shared" si="308"/>
        <v>0</v>
      </c>
      <c r="X483" s="298">
        <f t="shared" si="308"/>
        <v>0</v>
      </c>
      <c r="Y483" s="298">
        <f t="shared" si="279"/>
        <v>0</v>
      </c>
      <c r="Z483" s="298">
        <f t="shared" si="280"/>
        <v>378976.30999999988</v>
      </c>
      <c r="AA483" s="298">
        <f t="shared" si="281"/>
        <v>237979.58999999985</v>
      </c>
      <c r="AB483" s="298">
        <f t="shared" si="293"/>
        <v>0</v>
      </c>
      <c r="AC483" s="451">
        <f t="shared" si="301"/>
        <v>423</v>
      </c>
      <c r="AD483" s="552">
        <f t="shared" si="302"/>
        <v>355501.3000000001</v>
      </c>
      <c r="AE483" s="552">
        <f t="shared" si="273"/>
        <v>0</v>
      </c>
      <c r="AF483" s="552">
        <f t="shared" si="274"/>
        <v>355501.3000000001</v>
      </c>
      <c r="AG483" s="552">
        <f t="shared" si="303"/>
        <v>0</v>
      </c>
      <c r="AH483" s="552">
        <f t="shared" si="304"/>
        <v>0</v>
      </c>
      <c r="AI483" s="552"/>
      <c r="AJ483" s="14">
        <f t="shared" si="282"/>
        <v>0</v>
      </c>
      <c r="AK483" s="14">
        <f t="shared" si="283"/>
        <v>0</v>
      </c>
      <c r="AL483" s="552">
        <f>IF(R483&lt;=0,0,+([1]Profit!$B$4+AM482)*$AL$1/12)</f>
        <v>0</v>
      </c>
      <c r="AM483" s="14">
        <f t="shared" si="305"/>
        <v>0</v>
      </c>
    </row>
    <row r="484" spans="1:40" x14ac:dyDescent="0.25">
      <c r="A484" s="542" t="str">
        <f t="shared" si="294"/>
        <v xml:space="preserve"> </v>
      </c>
      <c r="B484" s="298">
        <f t="shared" si="271"/>
        <v>0</v>
      </c>
      <c r="C484" s="14">
        <f t="shared" si="285"/>
        <v>0</v>
      </c>
      <c r="D484" s="14">
        <f t="shared" si="306"/>
        <v>0</v>
      </c>
      <c r="E484" s="14">
        <f t="shared" si="286"/>
        <v>0</v>
      </c>
      <c r="F484" s="298">
        <f t="shared" si="295"/>
        <v>83951.219999999987</v>
      </c>
      <c r="G484" s="298">
        <f t="shared" si="296"/>
        <v>73034.019999999931</v>
      </c>
      <c r="H484" s="298">
        <f t="shared" si="287"/>
        <v>0</v>
      </c>
      <c r="I484" s="451">
        <f t="shared" si="288"/>
        <v>35</v>
      </c>
      <c r="J484" s="298">
        <f t="shared" si="297"/>
        <v>0</v>
      </c>
      <c r="K484" s="14">
        <f t="shared" si="276"/>
        <v>0</v>
      </c>
      <c r="L484" s="298">
        <f t="shared" si="307"/>
        <v>0</v>
      </c>
      <c r="M484" s="298">
        <f t="shared" si="277"/>
        <v>0</v>
      </c>
      <c r="N484" s="298">
        <f t="shared" si="298"/>
        <v>377057.86000000016</v>
      </c>
      <c r="O484" s="298">
        <f t="shared" si="299"/>
        <v>595399.34000000032</v>
      </c>
      <c r="P484" s="298">
        <f t="shared" si="289"/>
        <v>0</v>
      </c>
      <c r="Q484" s="542" t="str">
        <f t="shared" si="290"/>
        <v xml:space="preserve"> </v>
      </c>
      <c r="R484" s="298">
        <f t="shared" si="275"/>
        <v>0</v>
      </c>
      <c r="S484" s="535">
        <f t="shared" si="300"/>
        <v>7.7499999999999999E-2</v>
      </c>
      <c r="T484" s="14">
        <f t="shared" si="291"/>
        <v>0</v>
      </c>
      <c r="U484" s="298">
        <f t="shared" si="278"/>
        <v>0</v>
      </c>
      <c r="V484" s="298">
        <f t="shared" si="292"/>
        <v>0</v>
      </c>
      <c r="W484" s="14">
        <f t="shared" si="308"/>
        <v>0</v>
      </c>
      <c r="X484" s="298">
        <f t="shared" si="308"/>
        <v>0</v>
      </c>
      <c r="Y484" s="298">
        <f t="shared" si="279"/>
        <v>0</v>
      </c>
      <c r="Z484" s="298">
        <f t="shared" si="280"/>
        <v>378976.30999999988</v>
      </c>
      <c r="AA484" s="298">
        <f t="shared" si="281"/>
        <v>237979.58999999985</v>
      </c>
      <c r="AB484" s="298">
        <f t="shared" si="293"/>
        <v>0</v>
      </c>
      <c r="AC484" s="451">
        <f t="shared" si="301"/>
        <v>424</v>
      </c>
      <c r="AD484" s="552">
        <f t="shared" si="302"/>
        <v>355501.3000000001</v>
      </c>
      <c r="AE484" s="552">
        <f t="shared" si="273"/>
        <v>0</v>
      </c>
      <c r="AF484" s="552">
        <f t="shared" si="274"/>
        <v>355501.3000000001</v>
      </c>
      <c r="AG484" s="552">
        <f t="shared" si="303"/>
        <v>0</v>
      </c>
      <c r="AH484" s="552">
        <f t="shared" si="304"/>
        <v>0</v>
      </c>
      <c r="AI484" s="552"/>
      <c r="AJ484" s="14">
        <f t="shared" si="282"/>
        <v>0</v>
      </c>
      <c r="AK484" s="14">
        <f t="shared" si="283"/>
        <v>0</v>
      </c>
      <c r="AL484" s="552">
        <f>IF(R484&lt;=0,0,+([1]Profit!$B$4+AM483)*$AL$1/12)</f>
        <v>0</v>
      </c>
      <c r="AM484" s="14">
        <f t="shared" si="305"/>
        <v>0</v>
      </c>
    </row>
    <row r="485" spans="1:40" x14ac:dyDescent="0.25">
      <c r="A485" s="542" t="str">
        <f t="shared" si="294"/>
        <v xml:space="preserve"> </v>
      </c>
      <c r="B485" s="298">
        <f t="shared" si="271"/>
        <v>0</v>
      </c>
      <c r="C485" s="14">
        <f t="shared" si="285"/>
        <v>0</v>
      </c>
      <c r="D485" s="14">
        <f t="shared" si="306"/>
        <v>0</v>
      </c>
      <c r="E485" s="14">
        <f t="shared" si="286"/>
        <v>0</v>
      </c>
      <c r="F485" s="298">
        <f t="shared" si="295"/>
        <v>83951.219999999987</v>
      </c>
      <c r="G485" s="298">
        <f t="shared" si="296"/>
        <v>73034.019999999931</v>
      </c>
      <c r="H485" s="298">
        <f t="shared" si="287"/>
        <v>0</v>
      </c>
      <c r="I485" s="451">
        <f t="shared" si="288"/>
        <v>35</v>
      </c>
      <c r="J485" s="298">
        <f t="shared" si="297"/>
        <v>0</v>
      </c>
      <c r="K485" s="14">
        <f t="shared" si="276"/>
        <v>0</v>
      </c>
      <c r="L485" s="298">
        <f t="shared" si="307"/>
        <v>0</v>
      </c>
      <c r="M485" s="298">
        <f t="shared" si="277"/>
        <v>0</v>
      </c>
      <c r="N485" s="298">
        <f t="shared" si="298"/>
        <v>377057.86000000016</v>
      </c>
      <c r="O485" s="298">
        <f t="shared" si="299"/>
        <v>595399.34000000032</v>
      </c>
      <c r="P485" s="298">
        <f t="shared" si="289"/>
        <v>0</v>
      </c>
      <c r="Q485" s="542" t="str">
        <f t="shared" si="290"/>
        <v xml:space="preserve"> </v>
      </c>
      <c r="R485" s="298">
        <f t="shared" si="275"/>
        <v>0</v>
      </c>
      <c r="S485" s="535">
        <f t="shared" si="300"/>
        <v>7.7499999999999999E-2</v>
      </c>
      <c r="T485" s="14">
        <f t="shared" si="291"/>
        <v>0</v>
      </c>
      <c r="U485" s="298">
        <f t="shared" si="278"/>
        <v>0</v>
      </c>
      <c r="V485" s="298">
        <f t="shared" si="292"/>
        <v>0</v>
      </c>
      <c r="W485" s="14">
        <f t="shared" si="308"/>
        <v>0</v>
      </c>
      <c r="X485" s="298">
        <f t="shared" si="308"/>
        <v>0</v>
      </c>
      <c r="Y485" s="298">
        <f t="shared" si="279"/>
        <v>0</v>
      </c>
      <c r="Z485" s="298">
        <f t="shared" si="280"/>
        <v>378976.30999999988</v>
      </c>
      <c r="AA485" s="298">
        <f t="shared" si="281"/>
        <v>237979.58999999985</v>
      </c>
      <c r="AB485" s="298">
        <f t="shared" si="293"/>
        <v>0</v>
      </c>
      <c r="AC485" s="451">
        <f t="shared" si="301"/>
        <v>425</v>
      </c>
      <c r="AD485" s="552">
        <f t="shared" si="302"/>
        <v>355501.3000000001</v>
      </c>
      <c r="AE485" s="552">
        <f t="shared" si="273"/>
        <v>0</v>
      </c>
      <c r="AF485" s="552">
        <f t="shared" si="274"/>
        <v>355501.3000000001</v>
      </c>
      <c r="AG485" s="552">
        <f t="shared" si="303"/>
        <v>0</v>
      </c>
      <c r="AH485" s="552">
        <f t="shared" si="304"/>
        <v>0</v>
      </c>
      <c r="AI485" s="552"/>
      <c r="AJ485" s="14">
        <f t="shared" si="282"/>
        <v>0</v>
      </c>
      <c r="AK485" s="14">
        <f t="shared" si="283"/>
        <v>0</v>
      </c>
      <c r="AL485" s="552">
        <f>IF(R485&lt;=0,0,+([1]Profit!$B$4+AM484)*$AL$1/12)</f>
        <v>0</v>
      </c>
      <c r="AM485" s="14">
        <f t="shared" si="305"/>
        <v>0</v>
      </c>
    </row>
    <row r="486" spans="1:40" x14ac:dyDescent="0.25">
      <c r="A486" s="542" t="str">
        <f t="shared" si="294"/>
        <v xml:space="preserve"> </v>
      </c>
      <c r="B486" s="298">
        <f t="shared" si="271"/>
        <v>0</v>
      </c>
      <c r="C486" s="14">
        <f t="shared" si="285"/>
        <v>0</v>
      </c>
      <c r="D486" s="14">
        <f t="shared" si="306"/>
        <v>0</v>
      </c>
      <c r="E486" s="14">
        <f t="shared" si="286"/>
        <v>0</v>
      </c>
      <c r="F486" s="298">
        <f t="shared" si="295"/>
        <v>83951.219999999987</v>
      </c>
      <c r="G486" s="298">
        <f t="shared" si="296"/>
        <v>73034.019999999931</v>
      </c>
      <c r="H486" s="298">
        <f t="shared" si="287"/>
        <v>0</v>
      </c>
      <c r="I486" s="451">
        <f t="shared" si="288"/>
        <v>35</v>
      </c>
      <c r="J486" s="298">
        <f t="shared" si="297"/>
        <v>0</v>
      </c>
      <c r="K486" s="14">
        <f t="shared" si="276"/>
        <v>0</v>
      </c>
      <c r="L486" s="298">
        <f t="shared" si="307"/>
        <v>0</v>
      </c>
      <c r="M486" s="298">
        <f t="shared" si="277"/>
        <v>0</v>
      </c>
      <c r="N486" s="298">
        <f t="shared" si="298"/>
        <v>377057.86000000016</v>
      </c>
      <c r="O486" s="298">
        <f t="shared" si="299"/>
        <v>595399.34000000032</v>
      </c>
      <c r="P486" s="298">
        <f t="shared" si="289"/>
        <v>0</v>
      </c>
      <c r="Q486" s="542" t="str">
        <f t="shared" si="290"/>
        <v xml:space="preserve"> </v>
      </c>
      <c r="R486" s="298">
        <f t="shared" si="275"/>
        <v>0</v>
      </c>
      <c r="S486" s="535">
        <f t="shared" si="300"/>
        <v>7.7499999999999999E-2</v>
      </c>
      <c r="T486" s="14">
        <f t="shared" si="291"/>
        <v>0</v>
      </c>
      <c r="U486" s="298">
        <f t="shared" si="278"/>
        <v>0</v>
      </c>
      <c r="V486" s="298">
        <f t="shared" si="292"/>
        <v>0</v>
      </c>
      <c r="W486" s="14">
        <f t="shared" si="308"/>
        <v>0</v>
      </c>
      <c r="X486" s="298">
        <f t="shared" si="308"/>
        <v>0</v>
      </c>
      <c r="Y486" s="298">
        <f t="shared" si="279"/>
        <v>0</v>
      </c>
      <c r="Z486" s="298">
        <f t="shared" si="280"/>
        <v>378976.30999999988</v>
      </c>
      <c r="AA486" s="298">
        <f t="shared" si="281"/>
        <v>237979.58999999985</v>
      </c>
      <c r="AB486" s="298">
        <f t="shared" si="293"/>
        <v>0</v>
      </c>
      <c r="AC486" s="451">
        <f t="shared" si="301"/>
        <v>426</v>
      </c>
      <c r="AD486" s="552">
        <f t="shared" si="302"/>
        <v>355501.3000000001</v>
      </c>
      <c r="AE486" s="552">
        <f t="shared" si="273"/>
        <v>0</v>
      </c>
      <c r="AF486" s="552">
        <f t="shared" si="274"/>
        <v>355501.3000000001</v>
      </c>
      <c r="AG486" s="552">
        <f t="shared" si="303"/>
        <v>0</v>
      </c>
      <c r="AH486" s="552">
        <f t="shared" si="304"/>
        <v>0</v>
      </c>
      <c r="AI486" s="552"/>
      <c r="AJ486" s="14">
        <f t="shared" si="282"/>
        <v>0</v>
      </c>
      <c r="AK486" s="14">
        <f t="shared" si="283"/>
        <v>0</v>
      </c>
      <c r="AL486" s="552">
        <f>IF(R486&lt;=0,0,+([1]Profit!$B$4+AM485)*$AL$1/12)</f>
        <v>0</v>
      </c>
      <c r="AM486" s="14">
        <f t="shared" si="305"/>
        <v>0</v>
      </c>
    </row>
    <row r="487" spans="1:40" x14ac:dyDescent="0.25">
      <c r="A487" s="542" t="str">
        <f t="shared" si="294"/>
        <v xml:space="preserve"> </v>
      </c>
      <c r="B487" s="298">
        <f t="shared" si="271"/>
        <v>0</v>
      </c>
      <c r="C487" s="14">
        <f t="shared" si="285"/>
        <v>0</v>
      </c>
      <c r="D487" s="14">
        <f t="shared" si="306"/>
        <v>0</v>
      </c>
      <c r="E487" s="14">
        <f t="shared" si="286"/>
        <v>0</v>
      </c>
      <c r="F487" s="298">
        <f t="shared" si="295"/>
        <v>83951.219999999987</v>
      </c>
      <c r="G487" s="298">
        <f t="shared" si="296"/>
        <v>73034.019999999931</v>
      </c>
      <c r="H487" s="298">
        <f t="shared" si="287"/>
        <v>0</v>
      </c>
      <c r="I487" s="451">
        <f t="shared" si="288"/>
        <v>35</v>
      </c>
      <c r="J487" s="298">
        <f t="shared" si="297"/>
        <v>0</v>
      </c>
      <c r="K487" s="14">
        <f t="shared" si="276"/>
        <v>0</v>
      </c>
      <c r="L487" s="298">
        <f t="shared" si="307"/>
        <v>0</v>
      </c>
      <c r="M487" s="298">
        <f t="shared" si="277"/>
        <v>0</v>
      </c>
      <c r="N487" s="298">
        <f t="shared" si="298"/>
        <v>377057.86000000016</v>
      </c>
      <c r="O487" s="298">
        <f t="shared" si="299"/>
        <v>595399.34000000032</v>
      </c>
      <c r="P487" s="298">
        <f t="shared" si="289"/>
        <v>0</v>
      </c>
      <c r="Q487" s="542" t="str">
        <f t="shared" si="290"/>
        <v xml:space="preserve"> </v>
      </c>
      <c r="R487" s="298">
        <f t="shared" si="275"/>
        <v>0</v>
      </c>
      <c r="S487" s="535">
        <f t="shared" si="300"/>
        <v>7.7499999999999999E-2</v>
      </c>
      <c r="T487" s="14">
        <f t="shared" si="291"/>
        <v>0</v>
      </c>
      <c r="U487" s="298">
        <f t="shared" si="278"/>
        <v>0</v>
      </c>
      <c r="V487" s="298">
        <f t="shared" si="292"/>
        <v>0</v>
      </c>
      <c r="W487" s="14">
        <f t="shared" si="308"/>
        <v>0</v>
      </c>
      <c r="X487" s="298">
        <f t="shared" si="308"/>
        <v>0</v>
      </c>
      <c r="Y487" s="298">
        <f t="shared" si="279"/>
        <v>0</v>
      </c>
      <c r="Z487" s="298">
        <f t="shared" si="280"/>
        <v>378976.30999999988</v>
      </c>
      <c r="AA487" s="298">
        <f t="shared" si="281"/>
        <v>237979.58999999985</v>
      </c>
      <c r="AB487" s="298">
        <f t="shared" si="293"/>
        <v>0</v>
      </c>
      <c r="AC487" s="451">
        <f t="shared" si="301"/>
        <v>427</v>
      </c>
      <c r="AD487" s="552">
        <f t="shared" si="302"/>
        <v>355501.3000000001</v>
      </c>
      <c r="AE487" s="552">
        <f t="shared" si="273"/>
        <v>0</v>
      </c>
      <c r="AF487" s="552">
        <f t="shared" si="274"/>
        <v>355501.3000000001</v>
      </c>
      <c r="AG487" s="552">
        <f t="shared" si="303"/>
        <v>0</v>
      </c>
      <c r="AH487" s="552">
        <f t="shared" si="304"/>
        <v>0</v>
      </c>
      <c r="AI487" s="552"/>
      <c r="AJ487" s="14">
        <f t="shared" si="282"/>
        <v>0</v>
      </c>
      <c r="AK487" s="14">
        <f t="shared" si="283"/>
        <v>0</v>
      </c>
      <c r="AL487" s="552">
        <f>IF(R487&lt;=0,0,+([1]Profit!$B$4+AM486)*$AL$1/12)</f>
        <v>0</v>
      </c>
      <c r="AM487" s="14">
        <f t="shared" si="305"/>
        <v>0</v>
      </c>
    </row>
    <row r="488" spans="1:40" x14ac:dyDescent="0.25">
      <c r="A488" s="542" t="str">
        <f t="shared" si="294"/>
        <v xml:space="preserve"> </v>
      </c>
      <c r="B488" s="298">
        <f t="shared" si="271"/>
        <v>0</v>
      </c>
      <c r="C488" s="14">
        <f t="shared" si="285"/>
        <v>0</v>
      </c>
      <c r="D488" s="14">
        <f t="shared" si="306"/>
        <v>0</v>
      </c>
      <c r="E488" s="14">
        <f t="shared" si="286"/>
        <v>0</v>
      </c>
      <c r="F488" s="298">
        <f t="shared" si="295"/>
        <v>83951.219999999987</v>
      </c>
      <c r="G488" s="298">
        <f t="shared" si="296"/>
        <v>73034.019999999931</v>
      </c>
      <c r="H488" s="298">
        <f t="shared" si="287"/>
        <v>0</v>
      </c>
      <c r="I488" s="451">
        <f t="shared" si="288"/>
        <v>35</v>
      </c>
      <c r="J488" s="298">
        <f t="shared" si="297"/>
        <v>0</v>
      </c>
      <c r="K488" s="14">
        <f t="shared" si="276"/>
        <v>0</v>
      </c>
      <c r="L488" s="298">
        <f t="shared" si="307"/>
        <v>0</v>
      </c>
      <c r="M488" s="298">
        <f t="shared" si="277"/>
        <v>0</v>
      </c>
      <c r="N488" s="298">
        <f t="shared" si="298"/>
        <v>377057.86000000016</v>
      </c>
      <c r="O488" s="298">
        <f t="shared" si="299"/>
        <v>595399.34000000032</v>
      </c>
      <c r="P488" s="298">
        <f t="shared" si="289"/>
        <v>0</v>
      </c>
      <c r="Q488" s="542" t="str">
        <f t="shared" si="290"/>
        <v xml:space="preserve"> </v>
      </c>
      <c r="R488" s="298">
        <f t="shared" si="275"/>
        <v>0</v>
      </c>
      <c r="S488" s="535">
        <f t="shared" si="300"/>
        <v>7.7499999999999999E-2</v>
      </c>
      <c r="T488" s="14">
        <f t="shared" si="291"/>
        <v>0</v>
      </c>
      <c r="U488" s="298">
        <f t="shared" si="278"/>
        <v>0</v>
      </c>
      <c r="V488" s="298">
        <f t="shared" si="292"/>
        <v>0</v>
      </c>
      <c r="W488" s="14">
        <f t="shared" si="308"/>
        <v>0</v>
      </c>
      <c r="X488" s="298">
        <f t="shared" si="308"/>
        <v>0</v>
      </c>
      <c r="Y488" s="298">
        <f t="shared" si="279"/>
        <v>0</v>
      </c>
      <c r="Z488" s="298">
        <f t="shared" si="280"/>
        <v>378976.30999999988</v>
      </c>
      <c r="AA488" s="298">
        <f t="shared" si="281"/>
        <v>237979.58999999985</v>
      </c>
      <c r="AB488" s="298">
        <f t="shared" si="293"/>
        <v>0</v>
      </c>
      <c r="AC488" s="451">
        <f t="shared" si="301"/>
        <v>428</v>
      </c>
      <c r="AD488" s="552">
        <f t="shared" si="302"/>
        <v>355501.3000000001</v>
      </c>
      <c r="AE488" s="552">
        <f t="shared" si="273"/>
        <v>0</v>
      </c>
      <c r="AF488" s="552">
        <f t="shared" si="274"/>
        <v>355501.3000000001</v>
      </c>
      <c r="AG488" s="552">
        <f t="shared" si="303"/>
        <v>0</v>
      </c>
      <c r="AH488" s="552">
        <f t="shared" si="304"/>
        <v>0</v>
      </c>
      <c r="AI488" s="552"/>
      <c r="AJ488" s="14">
        <f t="shared" si="282"/>
        <v>0</v>
      </c>
      <c r="AK488" s="14">
        <f t="shared" si="283"/>
        <v>0</v>
      </c>
      <c r="AL488" s="552">
        <f>IF(R488&lt;=0,0,+([1]Profit!$B$4+AM487)*$AL$1/12)</f>
        <v>0</v>
      </c>
      <c r="AM488" s="14">
        <f t="shared" si="305"/>
        <v>0</v>
      </c>
    </row>
    <row r="489" spans="1:40" x14ac:dyDescent="0.25">
      <c r="A489" s="542" t="str">
        <f t="shared" si="294"/>
        <v xml:space="preserve"> </v>
      </c>
      <c r="B489" s="298">
        <f t="shared" si="271"/>
        <v>0</v>
      </c>
      <c r="C489" s="14">
        <f t="shared" si="285"/>
        <v>0</v>
      </c>
      <c r="D489" s="14">
        <f t="shared" si="306"/>
        <v>0</v>
      </c>
      <c r="E489" s="14">
        <f t="shared" si="286"/>
        <v>0</v>
      </c>
      <c r="F489" s="298">
        <f t="shared" si="295"/>
        <v>83951.219999999987</v>
      </c>
      <c r="G489" s="298">
        <f t="shared" si="296"/>
        <v>73034.019999999931</v>
      </c>
      <c r="H489" s="298">
        <f t="shared" si="287"/>
        <v>0</v>
      </c>
      <c r="I489" s="451">
        <f t="shared" si="288"/>
        <v>35</v>
      </c>
      <c r="J489" s="298">
        <f t="shared" si="297"/>
        <v>0</v>
      </c>
      <c r="K489" s="14">
        <f t="shared" si="276"/>
        <v>0</v>
      </c>
      <c r="L489" s="298">
        <f t="shared" si="307"/>
        <v>0</v>
      </c>
      <c r="M489" s="298">
        <f t="shared" si="277"/>
        <v>0</v>
      </c>
      <c r="N489" s="298">
        <f t="shared" si="298"/>
        <v>377057.86000000016</v>
      </c>
      <c r="O489" s="298">
        <f t="shared" si="299"/>
        <v>595399.34000000032</v>
      </c>
      <c r="P489" s="298">
        <f t="shared" si="289"/>
        <v>0</v>
      </c>
      <c r="Q489" s="542" t="str">
        <f t="shared" si="290"/>
        <v xml:space="preserve"> </v>
      </c>
      <c r="R489" s="298">
        <f t="shared" si="275"/>
        <v>0</v>
      </c>
      <c r="S489" s="535">
        <f t="shared" si="300"/>
        <v>7.7499999999999999E-2</v>
      </c>
      <c r="T489" s="14">
        <f t="shared" si="291"/>
        <v>0</v>
      </c>
      <c r="U489" s="298">
        <f t="shared" si="278"/>
        <v>0</v>
      </c>
      <c r="V489" s="298">
        <f t="shared" si="292"/>
        <v>0</v>
      </c>
      <c r="W489" s="14">
        <f t="shared" si="308"/>
        <v>0</v>
      </c>
      <c r="X489" s="298">
        <f t="shared" si="308"/>
        <v>0</v>
      </c>
      <c r="Y489" s="298">
        <f t="shared" si="279"/>
        <v>0</v>
      </c>
      <c r="Z489" s="298">
        <f t="shared" si="280"/>
        <v>378976.30999999988</v>
      </c>
      <c r="AA489" s="298">
        <f t="shared" si="281"/>
        <v>237979.58999999985</v>
      </c>
      <c r="AB489" s="298">
        <f t="shared" si="293"/>
        <v>0</v>
      </c>
      <c r="AC489" s="451">
        <f t="shared" si="301"/>
        <v>429</v>
      </c>
      <c r="AD489" s="552">
        <f t="shared" si="302"/>
        <v>355501.3000000001</v>
      </c>
      <c r="AE489" s="552">
        <f t="shared" si="273"/>
        <v>0</v>
      </c>
      <c r="AF489" s="552">
        <f t="shared" si="274"/>
        <v>355501.3000000001</v>
      </c>
      <c r="AG489" s="552">
        <f t="shared" si="303"/>
        <v>0</v>
      </c>
      <c r="AH489" s="552">
        <f t="shared" si="304"/>
        <v>0</v>
      </c>
      <c r="AI489" s="552"/>
      <c r="AJ489" s="14">
        <f t="shared" si="282"/>
        <v>0</v>
      </c>
      <c r="AK489" s="14">
        <f t="shared" si="283"/>
        <v>0</v>
      </c>
      <c r="AL489" s="552">
        <f>IF(R489&lt;=0,0,+([1]Profit!$B$4+AM488)*$AL$1/12)</f>
        <v>0</v>
      </c>
      <c r="AM489" s="14">
        <f t="shared" si="305"/>
        <v>0</v>
      </c>
    </row>
    <row r="490" spans="1:40" x14ac:dyDescent="0.25">
      <c r="A490" s="542" t="str">
        <f t="shared" si="294"/>
        <v xml:space="preserve"> </v>
      </c>
      <c r="B490" s="298">
        <f t="shared" si="271"/>
        <v>0</v>
      </c>
      <c r="C490" s="14">
        <f t="shared" si="285"/>
        <v>0</v>
      </c>
      <c r="D490" s="14">
        <f t="shared" si="306"/>
        <v>0</v>
      </c>
      <c r="E490" s="14">
        <f t="shared" si="286"/>
        <v>0</v>
      </c>
      <c r="F490" s="298">
        <f t="shared" si="295"/>
        <v>83951.219999999987</v>
      </c>
      <c r="G490" s="298">
        <f t="shared" si="296"/>
        <v>73034.019999999931</v>
      </c>
      <c r="H490" s="298">
        <f t="shared" si="287"/>
        <v>0</v>
      </c>
      <c r="I490" s="451">
        <f t="shared" si="288"/>
        <v>35</v>
      </c>
      <c r="J490" s="298">
        <f t="shared" si="297"/>
        <v>0</v>
      </c>
      <c r="K490" s="14">
        <f t="shared" si="276"/>
        <v>0</v>
      </c>
      <c r="L490" s="298">
        <f t="shared" si="307"/>
        <v>0</v>
      </c>
      <c r="M490" s="298">
        <f t="shared" si="277"/>
        <v>0</v>
      </c>
      <c r="N490" s="298">
        <f t="shared" si="298"/>
        <v>377057.86000000016</v>
      </c>
      <c r="O490" s="298">
        <f t="shared" si="299"/>
        <v>595399.34000000032</v>
      </c>
      <c r="P490" s="298">
        <f t="shared" si="289"/>
        <v>0</v>
      </c>
      <c r="Q490" s="542" t="str">
        <f t="shared" si="290"/>
        <v xml:space="preserve"> </v>
      </c>
      <c r="R490" s="298">
        <f t="shared" si="275"/>
        <v>0</v>
      </c>
      <c r="S490" s="535">
        <f t="shared" si="300"/>
        <v>7.7499999999999999E-2</v>
      </c>
      <c r="T490" s="14">
        <f t="shared" si="291"/>
        <v>0</v>
      </c>
      <c r="U490" s="298">
        <f t="shared" si="278"/>
        <v>0</v>
      </c>
      <c r="V490" s="298">
        <f t="shared" si="292"/>
        <v>0</v>
      </c>
      <c r="W490" s="14">
        <f t="shared" si="308"/>
        <v>0</v>
      </c>
      <c r="X490" s="298">
        <f t="shared" si="308"/>
        <v>0</v>
      </c>
      <c r="Y490" s="298">
        <f t="shared" si="279"/>
        <v>0</v>
      </c>
      <c r="Z490" s="298">
        <f t="shared" si="280"/>
        <v>378976.30999999988</v>
      </c>
      <c r="AA490" s="298">
        <f t="shared" si="281"/>
        <v>237979.58999999985</v>
      </c>
      <c r="AB490" s="298">
        <f t="shared" si="293"/>
        <v>0</v>
      </c>
      <c r="AC490" s="451">
        <f t="shared" si="301"/>
        <v>430</v>
      </c>
      <c r="AD490" s="552">
        <f t="shared" si="302"/>
        <v>355501.3000000001</v>
      </c>
      <c r="AE490" s="552">
        <f t="shared" si="273"/>
        <v>0</v>
      </c>
      <c r="AF490" s="552">
        <f t="shared" si="274"/>
        <v>355501.3000000001</v>
      </c>
      <c r="AG490" s="552">
        <f t="shared" si="303"/>
        <v>0</v>
      </c>
      <c r="AH490" s="552">
        <f t="shared" si="304"/>
        <v>0</v>
      </c>
      <c r="AI490" s="552"/>
      <c r="AJ490" s="14">
        <f t="shared" si="282"/>
        <v>0</v>
      </c>
      <c r="AK490" s="14">
        <f t="shared" si="283"/>
        <v>0</v>
      </c>
      <c r="AL490" s="552">
        <f>IF(R490&lt;=0,0,+([1]Profit!$B$4+AM489)*$AL$1/12)</f>
        <v>0</v>
      </c>
      <c r="AM490" s="14">
        <f t="shared" si="305"/>
        <v>0</v>
      </c>
    </row>
    <row r="491" spans="1:40" x14ac:dyDescent="0.25">
      <c r="A491" s="542"/>
      <c r="I491" s="451">
        <f t="shared" ref="I491:I554" si="309">IF(MOD(AC491,12)=0,AC491/12,I490)</f>
        <v>0</v>
      </c>
      <c r="L491" s="298"/>
      <c r="M491" s="298"/>
      <c r="Q491" s="542">
        <f t="shared" si="290"/>
        <v>0</v>
      </c>
      <c r="R491" s="14">
        <f t="shared" si="275"/>
        <v>0</v>
      </c>
      <c r="S491" s="535">
        <f t="shared" si="300"/>
        <v>4.7500000000000001E-2</v>
      </c>
      <c r="T491" s="14">
        <f t="shared" si="291"/>
        <v>0</v>
      </c>
      <c r="U491" s="298">
        <f t="shared" si="278"/>
        <v>0</v>
      </c>
      <c r="V491" s="298">
        <f t="shared" si="292"/>
        <v>0</v>
      </c>
      <c r="W491" s="14">
        <f t="shared" si="308"/>
        <v>0</v>
      </c>
      <c r="X491" s="298">
        <f t="shared" si="308"/>
        <v>0</v>
      </c>
      <c r="Y491" s="298">
        <f t="shared" si="279"/>
        <v>0</v>
      </c>
      <c r="Z491" s="298">
        <f t="shared" si="280"/>
        <v>378976.30999999988</v>
      </c>
      <c r="AA491" s="298">
        <f t="shared" si="281"/>
        <v>237979.58999999985</v>
      </c>
      <c r="AB491" s="298">
        <f t="shared" si="293"/>
        <v>377055</v>
      </c>
      <c r="AC491" s="451">
        <f t="shared" ref="AC491:AC554" si="310">IF(J491&lt;&gt;"",IF(J491=$J$6,0,+AC490+1),0)</f>
        <v>0</v>
      </c>
      <c r="AD491" s="552">
        <f t="shared" si="302"/>
        <v>355501.3000000001</v>
      </c>
      <c r="AE491" s="552">
        <f t="shared" si="273"/>
        <v>377055</v>
      </c>
      <c r="AF491" s="552">
        <f t="shared" si="274"/>
        <v>732556.3</v>
      </c>
      <c r="AG491" s="552"/>
      <c r="AH491" s="552"/>
      <c r="AI491" s="552"/>
      <c r="AL491" s="552"/>
    </row>
    <row r="492" spans="1:40" x14ac:dyDescent="0.25">
      <c r="A492" s="542"/>
      <c r="I492" s="451">
        <f t="shared" si="309"/>
        <v>0</v>
      </c>
      <c r="L492" s="298"/>
      <c r="M492" s="298"/>
      <c r="Q492" s="542">
        <f t="shared" si="290"/>
        <v>0</v>
      </c>
      <c r="R492" s="14">
        <f t="shared" si="275"/>
        <v>0</v>
      </c>
      <c r="S492" s="535">
        <f t="shared" si="300"/>
        <v>4.7500000000000001E-2</v>
      </c>
      <c r="T492" s="14">
        <f t="shared" si="291"/>
        <v>0</v>
      </c>
      <c r="U492" s="298">
        <f t="shared" si="278"/>
        <v>0</v>
      </c>
      <c r="V492" s="298">
        <f t="shared" si="292"/>
        <v>0</v>
      </c>
      <c r="W492" s="14">
        <f t="shared" ref="W492:X507" si="311">+W491</f>
        <v>0</v>
      </c>
      <c r="X492" s="298">
        <f t="shared" si="311"/>
        <v>0</v>
      </c>
      <c r="Y492" s="298">
        <f t="shared" si="279"/>
        <v>0</v>
      </c>
      <c r="Z492" s="298">
        <f t="shared" si="280"/>
        <v>378976.30999999988</v>
      </c>
      <c r="AA492" s="298">
        <f t="shared" si="281"/>
        <v>237979.58999999985</v>
      </c>
      <c r="AB492" s="298">
        <f t="shared" si="293"/>
        <v>377055</v>
      </c>
      <c r="AC492" s="451">
        <f t="shared" si="310"/>
        <v>0</v>
      </c>
      <c r="AD492" s="552">
        <f t="shared" si="302"/>
        <v>355501.3000000001</v>
      </c>
      <c r="AE492" s="552">
        <f t="shared" si="273"/>
        <v>377055</v>
      </c>
      <c r="AF492" s="552">
        <f t="shared" si="274"/>
        <v>732556.3</v>
      </c>
      <c r="AG492" s="552"/>
      <c r="AH492" s="552"/>
      <c r="AI492" s="552"/>
      <c r="AL492" s="552"/>
    </row>
    <row r="493" spans="1:40" x14ac:dyDescent="0.25">
      <c r="A493" s="542"/>
      <c r="I493" s="451">
        <f t="shared" si="309"/>
        <v>0</v>
      </c>
      <c r="L493" s="298"/>
      <c r="M493" s="298"/>
      <c r="Q493" s="542">
        <f t="shared" si="290"/>
        <v>0</v>
      </c>
      <c r="R493" s="14">
        <f t="shared" si="275"/>
        <v>0</v>
      </c>
      <c r="S493" s="535">
        <f t="shared" si="300"/>
        <v>4.7500000000000001E-2</v>
      </c>
      <c r="T493" s="14">
        <f t="shared" si="291"/>
        <v>0</v>
      </c>
      <c r="U493" s="298">
        <f t="shared" si="278"/>
        <v>0</v>
      </c>
      <c r="V493" s="298">
        <f t="shared" si="292"/>
        <v>0</v>
      </c>
      <c r="W493" s="14">
        <f t="shared" si="311"/>
        <v>0</v>
      </c>
      <c r="X493" s="298">
        <f t="shared" si="311"/>
        <v>0</v>
      </c>
      <c r="Y493" s="298">
        <f t="shared" si="279"/>
        <v>0</v>
      </c>
      <c r="Z493" s="298">
        <f t="shared" si="280"/>
        <v>378976.30999999988</v>
      </c>
      <c r="AA493" s="298">
        <f t="shared" si="281"/>
        <v>237979.58999999985</v>
      </c>
      <c r="AB493" s="298">
        <f t="shared" si="293"/>
        <v>377055</v>
      </c>
      <c r="AC493" s="451">
        <f t="shared" si="310"/>
        <v>0</v>
      </c>
      <c r="AD493" s="552">
        <f t="shared" si="302"/>
        <v>355501.3000000001</v>
      </c>
      <c r="AE493" s="552">
        <f t="shared" si="273"/>
        <v>377055</v>
      </c>
      <c r="AF493" s="552">
        <f t="shared" si="274"/>
        <v>732556.3</v>
      </c>
      <c r="AG493" s="552"/>
      <c r="AH493" s="552"/>
      <c r="AI493" s="552"/>
      <c r="AL493" s="552"/>
    </row>
    <row r="494" spans="1:40" ht="15.75" thickBot="1" x14ac:dyDescent="0.3">
      <c r="A494" s="545"/>
      <c r="B494" s="371"/>
      <c r="C494" s="21"/>
      <c r="D494" s="21"/>
      <c r="E494" s="21"/>
      <c r="F494" s="371"/>
      <c r="G494" s="371"/>
      <c r="H494" s="371"/>
      <c r="I494" s="451">
        <f t="shared" si="309"/>
        <v>0</v>
      </c>
      <c r="J494" s="371"/>
      <c r="K494" s="21"/>
      <c r="L494" s="371"/>
      <c r="M494" s="371"/>
      <c r="N494" s="371"/>
      <c r="O494" s="371"/>
      <c r="P494" s="371"/>
      <c r="Q494" s="545">
        <f t="shared" si="290"/>
        <v>0</v>
      </c>
      <c r="R494" s="14">
        <f t="shared" si="275"/>
        <v>0</v>
      </c>
      <c r="S494" s="535">
        <f t="shared" si="300"/>
        <v>4.7500000000000001E-2</v>
      </c>
      <c r="T494" s="21">
        <f t="shared" si="291"/>
        <v>0</v>
      </c>
      <c r="U494" s="371">
        <f t="shared" si="278"/>
        <v>0</v>
      </c>
      <c r="V494" s="371">
        <f t="shared" si="292"/>
        <v>0</v>
      </c>
      <c r="W494" s="21">
        <f t="shared" si="311"/>
        <v>0</v>
      </c>
      <c r="X494" s="371">
        <f t="shared" si="311"/>
        <v>0</v>
      </c>
      <c r="Y494" s="371">
        <f t="shared" si="279"/>
        <v>0</v>
      </c>
      <c r="Z494" s="371">
        <f t="shared" si="280"/>
        <v>378976.30999999988</v>
      </c>
      <c r="AA494" s="371">
        <f t="shared" si="281"/>
        <v>237979.58999999985</v>
      </c>
      <c r="AB494" s="371">
        <f t="shared" si="293"/>
        <v>377055</v>
      </c>
      <c r="AC494" s="451">
        <f t="shared" si="310"/>
        <v>0</v>
      </c>
      <c r="AD494" s="552">
        <f t="shared" si="302"/>
        <v>355501.3000000001</v>
      </c>
      <c r="AE494" s="552">
        <f t="shared" si="273"/>
        <v>377055</v>
      </c>
      <c r="AF494" s="552">
        <f t="shared" si="274"/>
        <v>732556.3</v>
      </c>
      <c r="AG494" s="552"/>
      <c r="AH494" s="552"/>
      <c r="AI494" s="552"/>
      <c r="AJ494" s="21"/>
      <c r="AK494" s="21"/>
      <c r="AL494" s="552"/>
      <c r="AM494" s="371"/>
      <c r="AN494" s="21"/>
    </row>
    <row r="495" spans="1:40" x14ac:dyDescent="0.25">
      <c r="A495" s="542"/>
      <c r="I495" s="451">
        <f t="shared" si="309"/>
        <v>0</v>
      </c>
      <c r="L495" s="298"/>
      <c r="M495" s="298"/>
      <c r="Q495" s="542">
        <f t="shared" si="290"/>
        <v>0</v>
      </c>
      <c r="R495" s="14">
        <f t="shared" si="275"/>
        <v>0</v>
      </c>
      <c r="S495" s="535">
        <f t="shared" si="300"/>
        <v>4.7500000000000001E-2</v>
      </c>
      <c r="T495" s="14">
        <f t="shared" si="291"/>
        <v>0</v>
      </c>
      <c r="U495" s="298">
        <f t="shared" si="278"/>
        <v>0</v>
      </c>
      <c r="V495" s="298">
        <f t="shared" si="292"/>
        <v>0</v>
      </c>
      <c r="W495" s="14">
        <f t="shared" si="311"/>
        <v>0</v>
      </c>
      <c r="X495" s="298">
        <f t="shared" si="311"/>
        <v>0</v>
      </c>
      <c r="Y495" s="298">
        <f t="shared" si="279"/>
        <v>0</v>
      </c>
      <c r="Z495" s="298">
        <f t="shared" si="280"/>
        <v>378976.30999999988</v>
      </c>
      <c r="AA495" s="298">
        <f t="shared" si="281"/>
        <v>237979.58999999985</v>
      </c>
      <c r="AB495" s="298">
        <f t="shared" si="293"/>
        <v>377055</v>
      </c>
      <c r="AC495" s="451">
        <f t="shared" si="310"/>
        <v>0</v>
      </c>
      <c r="AD495" s="552">
        <f t="shared" si="302"/>
        <v>355501.3000000001</v>
      </c>
      <c r="AE495" s="552">
        <f t="shared" si="273"/>
        <v>377055</v>
      </c>
      <c r="AF495" s="552">
        <f t="shared" si="274"/>
        <v>732556.3</v>
      </c>
      <c r="AG495" s="552"/>
      <c r="AH495" s="552"/>
      <c r="AI495" s="552"/>
      <c r="AL495" s="552"/>
    </row>
    <row r="496" spans="1:40" x14ac:dyDescent="0.25">
      <c r="A496" s="542"/>
      <c r="I496" s="451">
        <f t="shared" si="309"/>
        <v>0</v>
      </c>
      <c r="L496" s="298"/>
      <c r="M496" s="298"/>
      <c r="Q496" s="542">
        <f t="shared" si="290"/>
        <v>0</v>
      </c>
      <c r="R496" s="14">
        <f t="shared" si="275"/>
        <v>0</v>
      </c>
      <c r="S496" s="535">
        <f t="shared" si="300"/>
        <v>4.7500000000000001E-2</v>
      </c>
      <c r="T496" s="14">
        <f t="shared" si="291"/>
        <v>0</v>
      </c>
      <c r="U496" s="298">
        <f t="shared" si="278"/>
        <v>0</v>
      </c>
      <c r="V496" s="298">
        <f t="shared" si="292"/>
        <v>0</v>
      </c>
      <c r="W496" s="14">
        <f t="shared" si="311"/>
        <v>0</v>
      </c>
      <c r="X496" s="298">
        <f t="shared" si="311"/>
        <v>0</v>
      </c>
      <c r="Y496" s="298">
        <f t="shared" si="279"/>
        <v>0</v>
      </c>
      <c r="Z496" s="298">
        <f t="shared" si="280"/>
        <v>378976.30999999988</v>
      </c>
      <c r="AA496" s="298">
        <f t="shared" si="281"/>
        <v>237979.58999999985</v>
      </c>
      <c r="AB496" s="298">
        <f t="shared" si="293"/>
        <v>377055</v>
      </c>
      <c r="AC496" s="451">
        <f t="shared" si="310"/>
        <v>0</v>
      </c>
      <c r="AD496" s="552">
        <f t="shared" si="302"/>
        <v>355501.3000000001</v>
      </c>
      <c r="AE496" s="552">
        <f t="shared" si="273"/>
        <v>377055</v>
      </c>
      <c r="AF496" s="552">
        <f t="shared" si="274"/>
        <v>732556.3</v>
      </c>
      <c r="AG496" s="552"/>
      <c r="AH496" s="552"/>
      <c r="AI496" s="552"/>
      <c r="AL496" s="552"/>
    </row>
    <row r="497" spans="1:40" x14ac:dyDescent="0.25">
      <c r="A497" s="542"/>
      <c r="I497" s="451">
        <f t="shared" si="309"/>
        <v>0</v>
      </c>
      <c r="L497" s="298"/>
      <c r="M497" s="298"/>
      <c r="Q497" s="542">
        <f t="shared" si="290"/>
        <v>0</v>
      </c>
      <c r="R497" s="14">
        <f t="shared" si="275"/>
        <v>0</v>
      </c>
      <c r="S497" s="535">
        <f t="shared" si="300"/>
        <v>4.7500000000000001E-2</v>
      </c>
      <c r="T497" s="14">
        <f t="shared" si="291"/>
        <v>0</v>
      </c>
      <c r="U497" s="298">
        <f t="shared" si="278"/>
        <v>0</v>
      </c>
      <c r="V497" s="298">
        <f t="shared" si="292"/>
        <v>0</v>
      </c>
      <c r="W497" s="14">
        <f t="shared" si="311"/>
        <v>0</v>
      </c>
      <c r="X497" s="298">
        <f t="shared" si="311"/>
        <v>0</v>
      </c>
      <c r="Y497" s="298">
        <f t="shared" si="279"/>
        <v>0</v>
      </c>
      <c r="Z497" s="298">
        <f t="shared" si="280"/>
        <v>378976.30999999988</v>
      </c>
      <c r="AA497" s="298">
        <f t="shared" si="281"/>
        <v>237979.58999999985</v>
      </c>
      <c r="AB497" s="298">
        <f t="shared" si="293"/>
        <v>377055</v>
      </c>
      <c r="AC497" s="451">
        <f t="shared" si="310"/>
        <v>0</v>
      </c>
      <c r="AD497" s="552">
        <f t="shared" si="302"/>
        <v>355501.3000000001</v>
      </c>
      <c r="AE497" s="552">
        <f t="shared" si="273"/>
        <v>377055</v>
      </c>
      <c r="AF497" s="552">
        <f t="shared" si="274"/>
        <v>732556.3</v>
      </c>
      <c r="AG497" s="552"/>
      <c r="AH497" s="552"/>
      <c r="AI497" s="552"/>
      <c r="AL497" s="552"/>
    </row>
    <row r="498" spans="1:40" x14ac:dyDescent="0.25">
      <c r="A498" s="542"/>
      <c r="I498" s="451">
        <f t="shared" si="309"/>
        <v>0</v>
      </c>
      <c r="L498" s="298"/>
      <c r="M498" s="298"/>
      <c r="Q498" s="542">
        <f t="shared" si="290"/>
        <v>0</v>
      </c>
      <c r="R498" s="14">
        <f t="shared" si="275"/>
        <v>0</v>
      </c>
      <c r="S498" s="535">
        <f t="shared" si="300"/>
        <v>4.7500000000000001E-2</v>
      </c>
      <c r="T498" s="14">
        <f t="shared" si="291"/>
        <v>0</v>
      </c>
      <c r="U498" s="298">
        <f t="shared" si="278"/>
        <v>0</v>
      </c>
      <c r="V498" s="298">
        <f t="shared" si="292"/>
        <v>0</v>
      </c>
      <c r="W498" s="14">
        <f t="shared" si="311"/>
        <v>0</v>
      </c>
      <c r="X498" s="298">
        <f t="shared" si="311"/>
        <v>0</v>
      </c>
      <c r="Y498" s="298">
        <f t="shared" si="279"/>
        <v>0</v>
      </c>
      <c r="Z498" s="298">
        <f t="shared" si="280"/>
        <v>378976.30999999988</v>
      </c>
      <c r="AA498" s="298">
        <f t="shared" si="281"/>
        <v>237979.58999999985</v>
      </c>
      <c r="AB498" s="298">
        <f t="shared" si="293"/>
        <v>377055</v>
      </c>
      <c r="AC498" s="451">
        <f t="shared" si="310"/>
        <v>0</v>
      </c>
      <c r="AD498" s="552">
        <f t="shared" si="302"/>
        <v>355501.3000000001</v>
      </c>
      <c r="AE498" s="552">
        <f t="shared" si="273"/>
        <v>377055</v>
      </c>
      <c r="AF498" s="552">
        <f t="shared" si="274"/>
        <v>732556.3</v>
      </c>
      <c r="AG498" s="552"/>
      <c r="AH498" s="552"/>
      <c r="AI498" s="552"/>
      <c r="AL498" s="552"/>
    </row>
    <row r="499" spans="1:40" x14ac:dyDescent="0.25">
      <c r="A499" s="542"/>
      <c r="I499" s="451">
        <f t="shared" si="309"/>
        <v>0</v>
      </c>
      <c r="L499" s="298"/>
      <c r="M499" s="298"/>
      <c r="Q499" s="542">
        <f t="shared" si="290"/>
        <v>0</v>
      </c>
      <c r="R499" s="14">
        <f t="shared" si="275"/>
        <v>0</v>
      </c>
      <c r="S499" s="535">
        <f t="shared" si="300"/>
        <v>4.7500000000000001E-2</v>
      </c>
      <c r="T499" s="14">
        <f t="shared" si="291"/>
        <v>0</v>
      </c>
      <c r="U499" s="298">
        <f t="shared" si="278"/>
        <v>0</v>
      </c>
      <c r="V499" s="298">
        <f t="shared" si="292"/>
        <v>0</v>
      </c>
      <c r="W499" s="14">
        <f t="shared" si="311"/>
        <v>0</v>
      </c>
      <c r="X499" s="298">
        <f t="shared" si="311"/>
        <v>0</v>
      </c>
      <c r="Y499" s="298">
        <f t="shared" si="279"/>
        <v>0</v>
      </c>
      <c r="Z499" s="298">
        <f t="shared" si="280"/>
        <v>378976.30999999988</v>
      </c>
      <c r="AA499" s="298">
        <f t="shared" si="281"/>
        <v>237979.58999999985</v>
      </c>
      <c r="AB499" s="298">
        <f t="shared" si="293"/>
        <v>377055</v>
      </c>
      <c r="AC499" s="451">
        <f t="shared" si="310"/>
        <v>0</v>
      </c>
      <c r="AD499" s="552">
        <f t="shared" si="302"/>
        <v>355501.3000000001</v>
      </c>
      <c r="AE499" s="552">
        <f t="shared" si="273"/>
        <v>377055</v>
      </c>
      <c r="AF499" s="552">
        <f t="shared" si="274"/>
        <v>732556.3</v>
      </c>
      <c r="AG499" s="552"/>
      <c r="AH499" s="552"/>
      <c r="AI499" s="552"/>
      <c r="AL499" s="552"/>
    </row>
    <row r="500" spans="1:40" x14ac:dyDescent="0.25">
      <c r="A500" s="542"/>
      <c r="I500" s="451">
        <f t="shared" si="309"/>
        <v>0</v>
      </c>
      <c r="L500" s="298"/>
      <c r="M500" s="298"/>
      <c r="Q500" s="542">
        <f t="shared" si="290"/>
        <v>0</v>
      </c>
      <c r="R500" s="14">
        <f t="shared" si="275"/>
        <v>0</v>
      </c>
      <c r="S500" s="535">
        <f t="shared" si="300"/>
        <v>4.7500000000000001E-2</v>
      </c>
      <c r="T500" s="14">
        <f t="shared" si="291"/>
        <v>0</v>
      </c>
      <c r="U500" s="298">
        <f t="shared" si="278"/>
        <v>0</v>
      </c>
      <c r="V500" s="298">
        <f t="shared" si="292"/>
        <v>0</v>
      </c>
      <c r="W500" s="14">
        <f t="shared" si="311"/>
        <v>0</v>
      </c>
      <c r="X500" s="298">
        <f t="shared" si="311"/>
        <v>0</v>
      </c>
      <c r="Y500" s="298">
        <f t="shared" si="279"/>
        <v>0</v>
      </c>
      <c r="Z500" s="298">
        <f t="shared" si="280"/>
        <v>378976.30999999988</v>
      </c>
      <c r="AA500" s="298">
        <f t="shared" si="281"/>
        <v>237979.58999999985</v>
      </c>
      <c r="AB500" s="298">
        <f t="shared" si="293"/>
        <v>377055</v>
      </c>
      <c r="AC500" s="451">
        <f t="shared" si="310"/>
        <v>0</v>
      </c>
      <c r="AD500" s="552">
        <f t="shared" si="302"/>
        <v>355501.3000000001</v>
      </c>
      <c r="AE500" s="552">
        <f t="shared" si="273"/>
        <v>377055</v>
      </c>
      <c r="AF500" s="552">
        <f t="shared" si="274"/>
        <v>732556.3</v>
      </c>
      <c r="AG500" s="552"/>
      <c r="AH500" s="552"/>
      <c r="AI500" s="552"/>
      <c r="AL500" s="552"/>
    </row>
    <row r="501" spans="1:40" x14ac:dyDescent="0.25">
      <c r="A501" s="542"/>
      <c r="I501" s="451">
        <f t="shared" si="309"/>
        <v>0</v>
      </c>
      <c r="L501" s="298"/>
      <c r="M501" s="298"/>
      <c r="Q501" s="542">
        <f t="shared" si="290"/>
        <v>0</v>
      </c>
      <c r="R501" s="14">
        <f t="shared" si="275"/>
        <v>0</v>
      </c>
      <c r="S501" s="535">
        <f t="shared" si="300"/>
        <v>4.7500000000000001E-2</v>
      </c>
      <c r="T501" s="14">
        <f t="shared" si="291"/>
        <v>0</v>
      </c>
      <c r="U501" s="298">
        <f t="shared" si="278"/>
        <v>0</v>
      </c>
      <c r="V501" s="298">
        <f t="shared" si="292"/>
        <v>0</v>
      </c>
      <c r="W501" s="14">
        <f t="shared" si="311"/>
        <v>0</v>
      </c>
      <c r="X501" s="298">
        <f t="shared" si="311"/>
        <v>0</v>
      </c>
      <c r="Y501" s="298">
        <f t="shared" si="279"/>
        <v>0</v>
      </c>
      <c r="Z501" s="298">
        <f t="shared" si="280"/>
        <v>378976.30999999988</v>
      </c>
      <c r="AA501" s="298">
        <f t="shared" si="281"/>
        <v>237979.58999999985</v>
      </c>
      <c r="AB501" s="298">
        <f t="shared" si="293"/>
        <v>377055</v>
      </c>
      <c r="AC501" s="451">
        <f t="shared" si="310"/>
        <v>0</v>
      </c>
      <c r="AD501" s="552">
        <f t="shared" si="302"/>
        <v>355501.3000000001</v>
      </c>
      <c r="AE501" s="552">
        <f t="shared" si="273"/>
        <v>377055</v>
      </c>
      <c r="AF501" s="552">
        <f t="shared" si="274"/>
        <v>732556.3</v>
      </c>
      <c r="AG501" s="552"/>
      <c r="AH501" s="552"/>
      <c r="AI501" s="552"/>
      <c r="AL501" s="552"/>
    </row>
    <row r="502" spans="1:40" x14ac:dyDescent="0.25">
      <c r="A502" s="542"/>
      <c r="I502" s="451">
        <f t="shared" si="309"/>
        <v>0</v>
      </c>
      <c r="L502" s="298"/>
      <c r="M502" s="298"/>
      <c r="Q502" s="542">
        <f t="shared" si="290"/>
        <v>0</v>
      </c>
      <c r="R502" s="14">
        <f t="shared" si="275"/>
        <v>0</v>
      </c>
      <c r="S502" s="535">
        <f t="shared" si="300"/>
        <v>4.7500000000000001E-2</v>
      </c>
      <c r="T502" s="14">
        <f t="shared" si="291"/>
        <v>0</v>
      </c>
      <c r="U502" s="298">
        <f t="shared" si="278"/>
        <v>0</v>
      </c>
      <c r="V502" s="298">
        <f t="shared" si="292"/>
        <v>0</v>
      </c>
      <c r="W502" s="14">
        <f t="shared" si="311"/>
        <v>0</v>
      </c>
      <c r="X502" s="298">
        <f t="shared" si="311"/>
        <v>0</v>
      </c>
      <c r="Y502" s="298">
        <f t="shared" si="279"/>
        <v>0</v>
      </c>
      <c r="Z502" s="298">
        <f t="shared" si="280"/>
        <v>378976.30999999988</v>
      </c>
      <c r="AA502" s="298">
        <f t="shared" si="281"/>
        <v>237979.58999999985</v>
      </c>
      <c r="AB502" s="298">
        <f t="shared" si="293"/>
        <v>377055</v>
      </c>
      <c r="AC502" s="451">
        <f t="shared" si="310"/>
        <v>0</v>
      </c>
      <c r="AD502" s="552">
        <f t="shared" si="302"/>
        <v>355501.3000000001</v>
      </c>
      <c r="AE502" s="552">
        <f t="shared" si="273"/>
        <v>377055</v>
      </c>
      <c r="AF502" s="552">
        <f t="shared" si="274"/>
        <v>732556.3</v>
      </c>
      <c r="AG502" s="552"/>
      <c r="AH502" s="552"/>
      <c r="AI502" s="552"/>
      <c r="AL502" s="552"/>
    </row>
    <row r="503" spans="1:40" x14ac:dyDescent="0.25">
      <c r="A503" s="542"/>
      <c r="I503" s="451">
        <f t="shared" si="309"/>
        <v>0</v>
      </c>
      <c r="L503" s="298"/>
      <c r="M503" s="298"/>
      <c r="Q503" s="542">
        <f t="shared" si="290"/>
        <v>0</v>
      </c>
      <c r="R503" s="14">
        <f t="shared" si="275"/>
        <v>0</v>
      </c>
      <c r="S503" s="535">
        <f t="shared" si="300"/>
        <v>4.7500000000000001E-2</v>
      </c>
      <c r="T503" s="14">
        <f t="shared" si="291"/>
        <v>0</v>
      </c>
      <c r="U503" s="298">
        <f t="shared" si="278"/>
        <v>0</v>
      </c>
      <c r="V503" s="298">
        <f t="shared" si="292"/>
        <v>0</v>
      </c>
      <c r="W503" s="14">
        <f t="shared" si="311"/>
        <v>0</v>
      </c>
      <c r="X503" s="298">
        <f t="shared" si="311"/>
        <v>0</v>
      </c>
      <c r="Y503" s="298">
        <f t="shared" si="279"/>
        <v>0</v>
      </c>
      <c r="Z503" s="298">
        <f t="shared" si="280"/>
        <v>378976.30999999988</v>
      </c>
      <c r="AA503" s="298">
        <f t="shared" si="281"/>
        <v>237979.58999999985</v>
      </c>
      <c r="AB503" s="298">
        <f t="shared" si="293"/>
        <v>377055</v>
      </c>
      <c r="AC503" s="451">
        <f t="shared" si="310"/>
        <v>0</v>
      </c>
      <c r="AD503" s="552">
        <f t="shared" si="302"/>
        <v>355501.3000000001</v>
      </c>
      <c r="AE503" s="552">
        <f t="shared" si="273"/>
        <v>377055</v>
      </c>
      <c r="AF503" s="552">
        <f t="shared" si="274"/>
        <v>732556.3</v>
      </c>
      <c r="AG503" s="552"/>
      <c r="AH503" s="552"/>
      <c r="AI503" s="552"/>
      <c r="AL503" s="552"/>
    </row>
    <row r="504" spans="1:40" x14ac:dyDescent="0.25">
      <c r="A504" s="542"/>
      <c r="I504" s="451">
        <f t="shared" si="309"/>
        <v>0</v>
      </c>
      <c r="L504" s="298"/>
      <c r="M504" s="298"/>
      <c r="Q504" s="542">
        <f t="shared" si="290"/>
        <v>0</v>
      </c>
      <c r="R504" s="14">
        <f t="shared" si="275"/>
        <v>0</v>
      </c>
      <c r="S504" s="535">
        <f t="shared" si="300"/>
        <v>4.7500000000000001E-2</v>
      </c>
      <c r="T504" s="14">
        <f t="shared" si="291"/>
        <v>0</v>
      </c>
      <c r="U504" s="298">
        <f t="shared" si="278"/>
        <v>0</v>
      </c>
      <c r="V504" s="298">
        <f t="shared" si="292"/>
        <v>0</v>
      </c>
      <c r="W504" s="14">
        <f t="shared" si="311"/>
        <v>0</v>
      </c>
      <c r="X504" s="298">
        <f t="shared" si="311"/>
        <v>0</v>
      </c>
      <c r="Y504" s="298">
        <f t="shared" si="279"/>
        <v>0</v>
      </c>
      <c r="Z504" s="298">
        <f t="shared" si="280"/>
        <v>378976.30999999988</v>
      </c>
      <c r="AA504" s="298">
        <f t="shared" si="281"/>
        <v>237979.58999999985</v>
      </c>
      <c r="AB504" s="298">
        <f t="shared" si="293"/>
        <v>377055</v>
      </c>
      <c r="AC504" s="451">
        <f t="shared" si="310"/>
        <v>0</v>
      </c>
      <c r="AD504" s="552">
        <f t="shared" si="302"/>
        <v>355501.3000000001</v>
      </c>
      <c r="AE504" s="552">
        <f t="shared" si="273"/>
        <v>377055</v>
      </c>
      <c r="AF504" s="552">
        <f t="shared" si="274"/>
        <v>732556.3</v>
      </c>
      <c r="AG504" s="552"/>
      <c r="AH504" s="552"/>
      <c r="AI504" s="552"/>
      <c r="AL504" s="552"/>
    </row>
    <row r="505" spans="1:40" x14ac:dyDescent="0.25">
      <c r="A505" s="542"/>
      <c r="I505" s="451">
        <f t="shared" si="309"/>
        <v>0</v>
      </c>
      <c r="L505" s="298"/>
      <c r="M505" s="298"/>
      <c r="Q505" s="542">
        <f t="shared" si="290"/>
        <v>0</v>
      </c>
      <c r="R505" s="14">
        <f t="shared" si="275"/>
        <v>0</v>
      </c>
      <c r="S505" s="535">
        <f t="shared" si="300"/>
        <v>4.7500000000000001E-2</v>
      </c>
      <c r="T505" s="14">
        <f t="shared" si="291"/>
        <v>0</v>
      </c>
      <c r="U505" s="298">
        <f t="shared" si="278"/>
        <v>0</v>
      </c>
      <c r="V505" s="298">
        <f t="shared" si="292"/>
        <v>0</v>
      </c>
      <c r="W505" s="14">
        <f t="shared" si="311"/>
        <v>0</v>
      </c>
      <c r="X505" s="298">
        <f t="shared" si="311"/>
        <v>0</v>
      </c>
      <c r="Y505" s="298">
        <f t="shared" si="279"/>
        <v>0</v>
      </c>
      <c r="Z505" s="298">
        <f t="shared" si="280"/>
        <v>378976.30999999988</v>
      </c>
      <c r="AA505" s="298">
        <f t="shared" si="281"/>
        <v>237979.58999999985</v>
      </c>
      <c r="AB505" s="298">
        <f t="shared" si="293"/>
        <v>377055</v>
      </c>
      <c r="AC505" s="451">
        <f t="shared" si="310"/>
        <v>0</v>
      </c>
      <c r="AD505" s="552">
        <f t="shared" si="302"/>
        <v>355501.3000000001</v>
      </c>
      <c r="AE505" s="552">
        <f t="shared" si="273"/>
        <v>377055</v>
      </c>
      <c r="AF505" s="552">
        <f t="shared" si="274"/>
        <v>732556.3</v>
      </c>
      <c r="AG505" s="552"/>
      <c r="AH505" s="552"/>
      <c r="AI505" s="552"/>
      <c r="AL505" s="552"/>
    </row>
    <row r="506" spans="1:40" ht="15.75" thickBot="1" x14ac:dyDescent="0.3">
      <c r="A506" s="545"/>
      <c r="B506" s="371"/>
      <c r="C506" s="21"/>
      <c r="D506" s="21"/>
      <c r="E506" s="21"/>
      <c r="F506" s="371"/>
      <c r="G506" s="371"/>
      <c r="H506" s="371"/>
      <c r="I506" s="451">
        <f t="shared" si="309"/>
        <v>0</v>
      </c>
      <c r="J506" s="371"/>
      <c r="K506" s="21"/>
      <c r="L506" s="371"/>
      <c r="M506" s="371"/>
      <c r="N506" s="371"/>
      <c r="O506" s="371"/>
      <c r="P506" s="371"/>
      <c r="Q506" s="545">
        <f t="shared" si="290"/>
        <v>0</v>
      </c>
      <c r="R506" s="14">
        <f t="shared" si="275"/>
        <v>0</v>
      </c>
      <c r="S506" s="535">
        <f t="shared" si="300"/>
        <v>4.7500000000000001E-2</v>
      </c>
      <c r="T506" s="21">
        <f t="shared" si="291"/>
        <v>0</v>
      </c>
      <c r="U506" s="371">
        <f t="shared" si="278"/>
        <v>0</v>
      </c>
      <c r="V506" s="371">
        <f t="shared" si="292"/>
        <v>0</v>
      </c>
      <c r="W506" s="21">
        <f t="shared" si="311"/>
        <v>0</v>
      </c>
      <c r="X506" s="371">
        <f t="shared" si="311"/>
        <v>0</v>
      </c>
      <c r="Y506" s="371">
        <f t="shared" si="279"/>
        <v>0</v>
      </c>
      <c r="Z506" s="371">
        <f t="shared" si="280"/>
        <v>378976.30999999988</v>
      </c>
      <c r="AA506" s="371">
        <f t="shared" si="281"/>
        <v>237979.58999999985</v>
      </c>
      <c r="AB506" s="371">
        <f t="shared" si="293"/>
        <v>377055</v>
      </c>
      <c r="AC506" s="451">
        <f t="shared" si="310"/>
        <v>0</v>
      </c>
      <c r="AD506" s="552">
        <f t="shared" si="302"/>
        <v>355501.3000000001</v>
      </c>
      <c r="AE506" s="552">
        <f t="shared" si="273"/>
        <v>377055</v>
      </c>
      <c r="AF506" s="552">
        <f t="shared" si="274"/>
        <v>732556.3</v>
      </c>
      <c r="AG506" s="552"/>
      <c r="AH506" s="552"/>
      <c r="AI506" s="552"/>
      <c r="AJ506" s="21"/>
      <c r="AK506" s="21"/>
      <c r="AL506" s="552"/>
      <c r="AM506" s="371"/>
      <c r="AN506" s="21"/>
    </row>
    <row r="507" spans="1:40" x14ac:dyDescent="0.25">
      <c r="A507" s="542"/>
      <c r="I507" s="451">
        <f t="shared" si="309"/>
        <v>0</v>
      </c>
      <c r="L507" s="298"/>
      <c r="M507" s="298"/>
      <c r="Q507" s="542">
        <f t="shared" si="290"/>
        <v>0</v>
      </c>
      <c r="R507" s="14">
        <f t="shared" si="275"/>
        <v>0</v>
      </c>
      <c r="S507" s="535">
        <f t="shared" si="300"/>
        <v>4.7500000000000001E-2</v>
      </c>
      <c r="T507" s="14">
        <f t="shared" si="291"/>
        <v>0</v>
      </c>
      <c r="U507" s="298">
        <f t="shared" si="278"/>
        <v>0</v>
      </c>
      <c r="V507" s="298">
        <f t="shared" si="292"/>
        <v>0</v>
      </c>
      <c r="W507" s="14">
        <f t="shared" si="311"/>
        <v>0</v>
      </c>
      <c r="X507" s="298">
        <f t="shared" si="311"/>
        <v>0</v>
      </c>
      <c r="Y507" s="298">
        <f t="shared" si="279"/>
        <v>0</v>
      </c>
      <c r="Z507" s="298">
        <f t="shared" si="280"/>
        <v>378976.30999999988</v>
      </c>
      <c r="AA507" s="298">
        <f t="shared" si="281"/>
        <v>237979.58999999985</v>
      </c>
      <c r="AB507" s="298">
        <f t="shared" si="293"/>
        <v>377055</v>
      </c>
      <c r="AC507" s="451">
        <f t="shared" si="310"/>
        <v>0</v>
      </c>
      <c r="AD507" s="552">
        <f t="shared" si="302"/>
        <v>355501.3000000001</v>
      </c>
      <c r="AE507" s="552">
        <f t="shared" si="273"/>
        <v>377055</v>
      </c>
      <c r="AF507" s="552">
        <f t="shared" si="274"/>
        <v>732556.3</v>
      </c>
      <c r="AG507" s="552"/>
      <c r="AH507" s="552"/>
      <c r="AI507" s="552"/>
      <c r="AL507" s="552"/>
    </row>
    <row r="508" spans="1:40" x14ac:dyDescent="0.25">
      <c r="A508" s="542"/>
      <c r="I508" s="451">
        <f t="shared" si="309"/>
        <v>0</v>
      </c>
      <c r="L508" s="298"/>
      <c r="M508" s="298"/>
      <c r="Q508" s="542">
        <f t="shared" si="290"/>
        <v>0</v>
      </c>
      <c r="R508" s="14">
        <f t="shared" si="275"/>
        <v>0</v>
      </c>
      <c r="S508" s="535">
        <f t="shared" si="300"/>
        <v>4.7500000000000001E-2</v>
      </c>
      <c r="T508" s="14">
        <f t="shared" si="291"/>
        <v>0</v>
      </c>
      <c r="U508" s="298">
        <f t="shared" si="278"/>
        <v>0</v>
      </c>
      <c r="V508" s="298">
        <f t="shared" si="292"/>
        <v>0</v>
      </c>
      <c r="W508" s="14">
        <f t="shared" ref="W508:X523" si="312">+W507</f>
        <v>0</v>
      </c>
      <c r="X508" s="298">
        <f t="shared" si="312"/>
        <v>0</v>
      </c>
      <c r="Y508" s="298">
        <f t="shared" si="279"/>
        <v>0</v>
      </c>
      <c r="Z508" s="298">
        <f t="shared" si="280"/>
        <v>378976.30999999988</v>
      </c>
      <c r="AA508" s="298">
        <f t="shared" si="281"/>
        <v>237979.58999999985</v>
      </c>
      <c r="AB508" s="298">
        <f t="shared" si="293"/>
        <v>377055</v>
      </c>
      <c r="AC508" s="451">
        <f t="shared" si="310"/>
        <v>0</v>
      </c>
      <c r="AD508" s="552">
        <f t="shared" si="302"/>
        <v>355501.3000000001</v>
      </c>
      <c r="AE508" s="552">
        <f t="shared" ref="AE508:AE543" si="313">AB508-H508</f>
        <v>377055</v>
      </c>
      <c r="AF508" s="552">
        <f t="shared" ref="AF508:AF543" si="314">SUM(AD508:AE508)</f>
        <v>732556.3</v>
      </c>
      <c r="AG508" s="552"/>
      <c r="AH508" s="552"/>
      <c r="AI508" s="552"/>
      <c r="AL508" s="552"/>
    </row>
    <row r="509" spans="1:40" x14ac:dyDescent="0.25">
      <c r="A509" s="542"/>
      <c r="I509" s="451">
        <f t="shared" si="309"/>
        <v>0</v>
      </c>
      <c r="L509" s="298"/>
      <c r="M509" s="298"/>
      <c r="Q509" s="542">
        <f t="shared" si="290"/>
        <v>0</v>
      </c>
      <c r="R509" s="14">
        <f t="shared" ref="R509:R543" si="315">IF(Q509&gt;$J$10,IF(+AB508&lt;0,0,+AB508),0)</f>
        <v>0</v>
      </c>
      <c r="S509" s="535">
        <f t="shared" si="300"/>
        <v>4.7500000000000001E-2</v>
      </c>
      <c r="T509" s="14">
        <f t="shared" si="291"/>
        <v>0</v>
      </c>
      <c r="U509" s="298">
        <f t="shared" si="278"/>
        <v>0</v>
      </c>
      <c r="V509" s="298">
        <f t="shared" si="292"/>
        <v>0</v>
      </c>
      <c r="W509" s="14">
        <f t="shared" si="312"/>
        <v>0</v>
      </c>
      <c r="X509" s="298">
        <f t="shared" si="312"/>
        <v>0</v>
      </c>
      <c r="Y509" s="298">
        <f t="shared" si="279"/>
        <v>0</v>
      </c>
      <c r="Z509" s="298">
        <f t="shared" si="280"/>
        <v>378976.30999999988</v>
      </c>
      <c r="AA509" s="298">
        <f t="shared" si="281"/>
        <v>237979.58999999985</v>
      </c>
      <c r="AB509" s="298">
        <f t="shared" si="293"/>
        <v>377055</v>
      </c>
      <c r="AC509" s="451">
        <f t="shared" si="310"/>
        <v>0</v>
      </c>
      <c r="AD509" s="552">
        <f t="shared" si="302"/>
        <v>355501.3000000001</v>
      </c>
      <c r="AE509" s="552">
        <f t="shared" si="313"/>
        <v>377055</v>
      </c>
      <c r="AF509" s="552">
        <f t="shared" si="314"/>
        <v>732556.3</v>
      </c>
      <c r="AG509" s="552"/>
      <c r="AH509" s="552"/>
      <c r="AI509" s="552"/>
      <c r="AL509" s="552"/>
    </row>
    <row r="510" spans="1:40" x14ac:dyDescent="0.25">
      <c r="A510" s="542"/>
      <c r="I510" s="451">
        <f t="shared" si="309"/>
        <v>0</v>
      </c>
      <c r="L510" s="298"/>
      <c r="M510" s="298"/>
      <c r="Q510" s="542">
        <f t="shared" si="290"/>
        <v>0</v>
      </c>
      <c r="R510" s="14">
        <f t="shared" si="315"/>
        <v>0</v>
      </c>
      <c r="S510" s="535">
        <f t="shared" si="300"/>
        <v>4.7500000000000001E-2</v>
      </c>
      <c r="T510" s="14">
        <f t="shared" si="291"/>
        <v>0</v>
      </c>
      <c r="U510" s="298">
        <f t="shared" ref="U510:U543" si="316">+T510-V510</f>
        <v>0</v>
      </c>
      <c r="V510" s="298">
        <f t="shared" si="292"/>
        <v>0</v>
      </c>
      <c r="W510" s="14">
        <f t="shared" si="312"/>
        <v>0</v>
      </c>
      <c r="X510" s="298">
        <f t="shared" si="312"/>
        <v>0</v>
      </c>
      <c r="Y510" s="298">
        <f t="shared" ref="Y510:Y543" si="317">SUM(U510:X510)</f>
        <v>0</v>
      </c>
      <c r="Z510" s="298">
        <f t="shared" ref="Z510:Z543" si="318">+U510+Z509</f>
        <v>378976.30999999988</v>
      </c>
      <c r="AA510" s="298">
        <f t="shared" ref="AA510:AA543" si="319">+AA509+V510</f>
        <v>237979.58999999985</v>
      </c>
      <c r="AB510" s="298">
        <f t="shared" si="293"/>
        <v>377055</v>
      </c>
      <c r="AC510" s="451">
        <f t="shared" si="310"/>
        <v>0</v>
      </c>
      <c r="AD510" s="552">
        <f t="shared" si="302"/>
        <v>355501.3000000001</v>
      </c>
      <c r="AE510" s="552">
        <f t="shared" si="313"/>
        <v>377055</v>
      </c>
      <c r="AF510" s="552">
        <f t="shared" si="314"/>
        <v>732556.3</v>
      </c>
      <c r="AG510" s="552"/>
      <c r="AH510" s="552"/>
      <c r="AI510" s="552"/>
      <c r="AL510" s="552"/>
    </row>
    <row r="511" spans="1:40" x14ac:dyDescent="0.25">
      <c r="A511" s="542"/>
      <c r="I511" s="451">
        <f t="shared" si="309"/>
        <v>0</v>
      </c>
      <c r="L511" s="298"/>
      <c r="M511" s="298"/>
      <c r="Q511" s="542">
        <f t="shared" si="290"/>
        <v>0</v>
      </c>
      <c r="R511" s="14">
        <f t="shared" si="315"/>
        <v>0</v>
      </c>
      <c r="S511" s="535">
        <f t="shared" si="300"/>
        <v>4.7500000000000001E-2</v>
      </c>
      <c r="T511" s="14">
        <f t="shared" si="291"/>
        <v>0</v>
      </c>
      <c r="U511" s="298">
        <f t="shared" si="316"/>
        <v>0</v>
      </c>
      <c r="V511" s="298">
        <f t="shared" si="292"/>
        <v>0</v>
      </c>
      <c r="W511" s="14">
        <f t="shared" si="312"/>
        <v>0</v>
      </c>
      <c r="X511" s="298">
        <f t="shared" si="312"/>
        <v>0</v>
      </c>
      <c r="Y511" s="298">
        <f t="shared" si="317"/>
        <v>0</v>
      </c>
      <c r="Z511" s="298">
        <f t="shared" si="318"/>
        <v>378976.30999999988</v>
      </c>
      <c r="AA511" s="298">
        <f t="shared" si="319"/>
        <v>237979.58999999985</v>
      </c>
      <c r="AB511" s="298">
        <f t="shared" si="293"/>
        <v>377055</v>
      </c>
      <c r="AC511" s="451">
        <f t="shared" si="310"/>
        <v>0</v>
      </c>
      <c r="AD511" s="552">
        <f t="shared" si="302"/>
        <v>355501.3000000001</v>
      </c>
      <c r="AE511" s="552">
        <f t="shared" si="313"/>
        <v>377055</v>
      </c>
      <c r="AF511" s="552">
        <f t="shared" si="314"/>
        <v>732556.3</v>
      </c>
      <c r="AG511" s="552"/>
      <c r="AH511" s="552"/>
      <c r="AI511" s="552"/>
      <c r="AL511" s="552"/>
    </row>
    <row r="512" spans="1:40" x14ac:dyDescent="0.25">
      <c r="A512" s="542"/>
      <c r="I512" s="451">
        <f t="shared" si="309"/>
        <v>0</v>
      </c>
      <c r="L512" s="298"/>
      <c r="M512" s="298"/>
      <c r="Q512" s="542">
        <f t="shared" si="290"/>
        <v>0</v>
      </c>
      <c r="R512" s="14">
        <f t="shared" si="315"/>
        <v>0</v>
      </c>
      <c r="S512" s="535">
        <f t="shared" si="300"/>
        <v>4.7500000000000001E-2</v>
      </c>
      <c r="T512" s="14">
        <f t="shared" si="291"/>
        <v>0</v>
      </c>
      <c r="U512" s="298">
        <f t="shared" si="316"/>
        <v>0</v>
      </c>
      <c r="V512" s="298">
        <f t="shared" si="292"/>
        <v>0</v>
      </c>
      <c r="W512" s="14">
        <f t="shared" si="312"/>
        <v>0</v>
      </c>
      <c r="X512" s="298">
        <f t="shared" si="312"/>
        <v>0</v>
      </c>
      <c r="Y512" s="298">
        <f t="shared" si="317"/>
        <v>0</v>
      </c>
      <c r="Z512" s="298">
        <f t="shared" si="318"/>
        <v>378976.30999999988</v>
      </c>
      <c r="AA512" s="298">
        <f t="shared" si="319"/>
        <v>237979.58999999985</v>
      </c>
      <c r="AB512" s="298">
        <f t="shared" si="293"/>
        <v>377055</v>
      </c>
      <c r="AC512" s="451">
        <f t="shared" si="310"/>
        <v>0</v>
      </c>
      <c r="AD512" s="552">
        <f t="shared" si="302"/>
        <v>355501.3000000001</v>
      </c>
      <c r="AE512" s="552">
        <f t="shared" si="313"/>
        <v>377055</v>
      </c>
      <c r="AF512" s="552">
        <f t="shared" si="314"/>
        <v>732556.3</v>
      </c>
      <c r="AG512" s="552"/>
      <c r="AH512" s="552"/>
      <c r="AI512" s="552"/>
      <c r="AL512" s="552"/>
    </row>
    <row r="513" spans="1:40" x14ac:dyDescent="0.25">
      <c r="A513" s="542"/>
      <c r="I513" s="451">
        <f t="shared" si="309"/>
        <v>0</v>
      </c>
      <c r="L513" s="298"/>
      <c r="M513" s="298"/>
      <c r="Q513" s="542">
        <f t="shared" si="290"/>
        <v>0</v>
      </c>
      <c r="R513" s="14">
        <f t="shared" si="315"/>
        <v>0</v>
      </c>
      <c r="S513" s="535">
        <f t="shared" si="300"/>
        <v>4.7500000000000001E-2</v>
      </c>
      <c r="T513" s="14">
        <f t="shared" si="291"/>
        <v>0</v>
      </c>
      <c r="U513" s="298">
        <f t="shared" si="316"/>
        <v>0</v>
      </c>
      <c r="V513" s="298">
        <f t="shared" si="292"/>
        <v>0</v>
      </c>
      <c r="W513" s="14">
        <f t="shared" si="312"/>
        <v>0</v>
      </c>
      <c r="X513" s="298">
        <f t="shared" si="312"/>
        <v>0</v>
      </c>
      <c r="Y513" s="298">
        <f t="shared" si="317"/>
        <v>0</v>
      </c>
      <c r="Z513" s="298">
        <f t="shared" si="318"/>
        <v>378976.30999999988</v>
      </c>
      <c r="AA513" s="298">
        <f t="shared" si="319"/>
        <v>237979.58999999985</v>
      </c>
      <c r="AB513" s="298">
        <f t="shared" si="293"/>
        <v>377055</v>
      </c>
      <c r="AC513" s="451">
        <f t="shared" si="310"/>
        <v>0</v>
      </c>
      <c r="AD513" s="552">
        <f t="shared" si="302"/>
        <v>355501.3000000001</v>
      </c>
      <c r="AE513" s="552">
        <f t="shared" si="313"/>
        <v>377055</v>
      </c>
      <c r="AF513" s="552">
        <f t="shared" si="314"/>
        <v>732556.3</v>
      </c>
      <c r="AG513" s="552"/>
      <c r="AH513" s="552"/>
      <c r="AI513" s="552"/>
      <c r="AL513" s="552"/>
    </row>
    <row r="514" spans="1:40" x14ac:dyDescent="0.25">
      <c r="A514" s="542"/>
      <c r="I514" s="451">
        <f t="shared" si="309"/>
        <v>0</v>
      </c>
      <c r="L514" s="298"/>
      <c r="M514" s="298"/>
      <c r="Q514" s="542">
        <f t="shared" si="290"/>
        <v>0</v>
      </c>
      <c r="R514" s="14">
        <f t="shared" si="315"/>
        <v>0</v>
      </c>
      <c r="S514" s="535">
        <f t="shared" si="300"/>
        <v>4.7500000000000001E-2</v>
      </c>
      <c r="T514" s="14">
        <f t="shared" si="291"/>
        <v>0</v>
      </c>
      <c r="U514" s="298">
        <f t="shared" si="316"/>
        <v>0</v>
      </c>
      <c r="V514" s="298">
        <f t="shared" si="292"/>
        <v>0</v>
      </c>
      <c r="W514" s="14">
        <f t="shared" si="312"/>
        <v>0</v>
      </c>
      <c r="X514" s="298">
        <f t="shared" si="312"/>
        <v>0</v>
      </c>
      <c r="Y514" s="298">
        <f t="shared" si="317"/>
        <v>0</v>
      </c>
      <c r="Z514" s="298">
        <f t="shared" si="318"/>
        <v>378976.30999999988</v>
      </c>
      <c r="AA514" s="298">
        <f t="shared" si="319"/>
        <v>237979.58999999985</v>
      </c>
      <c r="AB514" s="298">
        <f t="shared" si="293"/>
        <v>377055</v>
      </c>
      <c r="AC514" s="451">
        <f t="shared" si="310"/>
        <v>0</v>
      </c>
      <c r="AD514" s="552">
        <f t="shared" si="302"/>
        <v>355501.3000000001</v>
      </c>
      <c r="AE514" s="552">
        <f t="shared" si="313"/>
        <v>377055</v>
      </c>
      <c r="AF514" s="552">
        <f t="shared" si="314"/>
        <v>732556.3</v>
      </c>
      <c r="AG514" s="552"/>
      <c r="AH514" s="552"/>
      <c r="AI514" s="552"/>
      <c r="AL514" s="552"/>
    </row>
    <row r="515" spans="1:40" x14ac:dyDescent="0.25">
      <c r="A515" s="542"/>
      <c r="I515" s="451">
        <f t="shared" si="309"/>
        <v>0</v>
      </c>
      <c r="L515" s="298"/>
      <c r="M515" s="298"/>
      <c r="Q515" s="542">
        <f t="shared" si="290"/>
        <v>0</v>
      </c>
      <c r="R515" s="14">
        <f t="shared" si="315"/>
        <v>0</v>
      </c>
      <c r="S515" s="535">
        <f t="shared" si="300"/>
        <v>4.7500000000000001E-2</v>
      </c>
      <c r="T515" s="14">
        <f t="shared" si="291"/>
        <v>0</v>
      </c>
      <c r="U515" s="298">
        <f t="shared" si="316"/>
        <v>0</v>
      </c>
      <c r="V515" s="298">
        <f t="shared" si="292"/>
        <v>0</v>
      </c>
      <c r="W515" s="14">
        <f t="shared" si="312"/>
        <v>0</v>
      </c>
      <c r="X515" s="298">
        <f t="shared" si="312"/>
        <v>0</v>
      </c>
      <c r="Y515" s="298">
        <f t="shared" si="317"/>
        <v>0</v>
      </c>
      <c r="Z515" s="298">
        <f t="shared" si="318"/>
        <v>378976.30999999988</v>
      </c>
      <c r="AA515" s="298">
        <f t="shared" si="319"/>
        <v>237979.58999999985</v>
      </c>
      <c r="AB515" s="298">
        <f t="shared" si="293"/>
        <v>377055</v>
      </c>
      <c r="AC515" s="451">
        <f t="shared" si="310"/>
        <v>0</v>
      </c>
      <c r="AD515" s="552">
        <f t="shared" si="302"/>
        <v>355501.3000000001</v>
      </c>
      <c r="AE515" s="552">
        <f t="shared" si="313"/>
        <v>377055</v>
      </c>
      <c r="AF515" s="552">
        <f t="shared" si="314"/>
        <v>732556.3</v>
      </c>
      <c r="AG515" s="552"/>
      <c r="AH515" s="552"/>
      <c r="AI515" s="552"/>
      <c r="AL515" s="552"/>
    </row>
    <row r="516" spans="1:40" x14ac:dyDescent="0.25">
      <c r="A516" s="542"/>
      <c r="I516" s="451">
        <f t="shared" si="309"/>
        <v>0</v>
      </c>
      <c r="L516" s="298"/>
      <c r="M516" s="298"/>
      <c r="Q516" s="542">
        <f t="shared" si="290"/>
        <v>0</v>
      </c>
      <c r="R516" s="14">
        <f t="shared" si="315"/>
        <v>0</v>
      </c>
      <c r="S516" s="535">
        <f t="shared" si="300"/>
        <v>4.7500000000000001E-2</v>
      </c>
      <c r="T516" s="14">
        <f t="shared" si="291"/>
        <v>0</v>
      </c>
      <c r="U516" s="298">
        <f t="shared" si="316"/>
        <v>0</v>
      </c>
      <c r="V516" s="298">
        <f t="shared" si="292"/>
        <v>0</v>
      </c>
      <c r="W516" s="14">
        <f t="shared" si="312"/>
        <v>0</v>
      </c>
      <c r="X516" s="298">
        <f t="shared" si="312"/>
        <v>0</v>
      </c>
      <c r="Y516" s="298">
        <f t="shared" si="317"/>
        <v>0</v>
      </c>
      <c r="Z516" s="298">
        <f t="shared" si="318"/>
        <v>378976.30999999988</v>
      </c>
      <c r="AA516" s="298">
        <f t="shared" si="319"/>
        <v>237979.58999999985</v>
      </c>
      <c r="AB516" s="298">
        <f t="shared" si="293"/>
        <v>377055</v>
      </c>
      <c r="AC516" s="451">
        <f t="shared" si="310"/>
        <v>0</v>
      </c>
      <c r="AD516" s="552">
        <f t="shared" si="302"/>
        <v>355501.3000000001</v>
      </c>
      <c r="AE516" s="552">
        <f t="shared" si="313"/>
        <v>377055</v>
      </c>
      <c r="AF516" s="552">
        <f t="shared" si="314"/>
        <v>732556.3</v>
      </c>
      <c r="AG516" s="552"/>
      <c r="AH516" s="552"/>
      <c r="AI516" s="552"/>
      <c r="AL516" s="552"/>
    </row>
    <row r="517" spans="1:40" x14ac:dyDescent="0.25">
      <c r="A517" s="542"/>
      <c r="I517" s="451">
        <f t="shared" si="309"/>
        <v>0</v>
      </c>
      <c r="L517" s="298"/>
      <c r="M517" s="298"/>
      <c r="Q517" s="542">
        <f t="shared" si="290"/>
        <v>0</v>
      </c>
      <c r="R517" s="14">
        <f t="shared" si="315"/>
        <v>0</v>
      </c>
      <c r="S517" s="535">
        <f t="shared" si="300"/>
        <v>4.7500000000000001E-2</v>
      </c>
      <c r="T517" s="14">
        <f t="shared" si="291"/>
        <v>0</v>
      </c>
      <c r="U517" s="298">
        <f t="shared" si="316"/>
        <v>0</v>
      </c>
      <c r="V517" s="298">
        <f t="shared" si="292"/>
        <v>0</v>
      </c>
      <c r="W517" s="14">
        <f t="shared" si="312"/>
        <v>0</v>
      </c>
      <c r="X517" s="298">
        <f t="shared" si="312"/>
        <v>0</v>
      </c>
      <c r="Y517" s="298">
        <f t="shared" si="317"/>
        <v>0</v>
      </c>
      <c r="Z517" s="298">
        <f t="shared" si="318"/>
        <v>378976.30999999988</v>
      </c>
      <c r="AA517" s="298">
        <f t="shared" si="319"/>
        <v>237979.58999999985</v>
      </c>
      <c r="AB517" s="298">
        <f t="shared" si="293"/>
        <v>377055</v>
      </c>
      <c r="AC517" s="451">
        <f t="shared" si="310"/>
        <v>0</v>
      </c>
      <c r="AD517" s="552">
        <f t="shared" si="302"/>
        <v>355501.3000000001</v>
      </c>
      <c r="AE517" s="552">
        <f t="shared" si="313"/>
        <v>377055</v>
      </c>
      <c r="AF517" s="552">
        <f t="shared" si="314"/>
        <v>732556.3</v>
      </c>
      <c r="AG517" s="552"/>
      <c r="AH517" s="552"/>
      <c r="AI517" s="552"/>
      <c r="AL517" s="552"/>
    </row>
    <row r="518" spans="1:40" ht="15.75" thickBot="1" x14ac:dyDescent="0.3">
      <c r="A518" s="545"/>
      <c r="B518" s="371"/>
      <c r="C518" s="21"/>
      <c r="D518" s="21"/>
      <c r="E518" s="21"/>
      <c r="F518" s="371"/>
      <c r="G518" s="371"/>
      <c r="H518" s="371"/>
      <c r="I518" s="451">
        <f t="shared" si="309"/>
        <v>0</v>
      </c>
      <c r="J518" s="371"/>
      <c r="K518" s="21"/>
      <c r="L518" s="371"/>
      <c r="M518" s="371"/>
      <c r="N518" s="371"/>
      <c r="O518" s="371"/>
      <c r="P518" s="371"/>
      <c r="Q518" s="545">
        <f t="shared" si="290"/>
        <v>0</v>
      </c>
      <c r="R518" s="14">
        <f t="shared" si="315"/>
        <v>0</v>
      </c>
      <c r="S518" s="535">
        <f t="shared" si="300"/>
        <v>4.7500000000000001E-2</v>
      </c>
      <c r="T518" s="21">
        <f t="shared" si="291"/>
        <v>0</v>
      </c>
      <c r="U518" s="371">
        <f t="shared" si="316"/>
        <v>0</v>
      </c>
      <c r="V518" s="371">
        <f t="shared" si="292"/>
        <v>0</v>
      </c>
      <c r="W518" s="21">
        <f t="shared" si="312"/>
        <v>0</v>
      </c>
      <c r="X518" s="371">
        <f t="shared" si="312"/>
        <v>0</v>
      </c>
      <c r="Y518" s="371">
        <f t="shared" si="317"/>
        <v>0</v>
      </c>
      <c r="Z518" s="371">
        <f t="shared" si="318"/>
        <v>378976.30999999988</v>
      </c>
      <c r="AA518" s="371">
        <f t="shared" si="319"/>
        <v>237979.58999999985</v>
      </c>
      <c r="AB518" s="371">
        <f t="shared" si="293"/>
        <v>377055</v>
      </c>
      <c r="AC518" s="451">
        <f t="shared" si="310"/>
        <v>0</v>
      </c>
      <c r="AD518" s="552">
        <f t="shared" si="302"/>
        <v>355501.3000000001</v>
      </c>
      <c r="AE518" s="552">
        <f t="shared" si="313"/>
        <v>377055</v>
      </c>
      <c r="AF518" s="552">
        <f t="shared" si="314"/>
        <v>732556.3</v>
      </c>
      <c r="AG518" s="552"/>
      <c r="AH518" s="552"/>
      <c r="AI518" s="552"/>
      <c r="AJ518" s="21"/>
      <c r="AK518" s="21"/>
      <c r="AL518" s="552"/>
      <c r="AM518" s="371"/>
      <c r="AN518" s="21"/>
    </row>
    <row r="519" spans="1:40" x14ac:dyDescent="0.25">
      <c r="A519" s="542"/>
      <c r="I519" s="451">
        <f t="shared" si="309"/>
        <v>0</v>
      </c>
      <c r="L519" s="298"/>
      <c r="M519" s="298"/>
      <c r="Q519" s="542">
        <f t="shared" si="290"/>
        <v>0</v>
      </c>
      <c r="R519" s="14">
        <f t="shared" si="315"/>
        <v>0</v>
      </c>
      <c r="S519" s="535">
        <f t="shared" si="300"/>
        <v>4.7500000000000001E-2</v>
      </c>
      <c r="T519" s="14">
        <f t="shared" si="291"/>
        <v>0</v>
      </c>
      <c r="U519" s="298">
        <f t="shared" si="316"/>
        <v>0</v>
      </c>
      <c r="V519" s="298">
        <f t="shared" si="292"/>
        <v>0</v>
      </c>
      <c r="W519" s="14">
        <f t="shared" si="312"/>
        <v>0</v>
      </c>
      <c r="X519" s="298">
        <f t="shared" si="312"/>
        <v>0</v>
      </c>
      <c r="Y519" s="298">
        <f t="shared" si="317"/>
        <v>0</v>
      </c>
      <c r="Z519" s="298">
        <f t="shared" si="318"/>
        <v>378976.30999999988</v>
      </c>
      <c r="AA519" s="298">
        <f t="shared" si="319"/>
        <v>237979.58999999985</v>
      </c>
      <c r="AB519" s="298">
        <f t="shared" si="293"/>
        <v>377055</v>
      </c>
      <c r="AC519" s="451">
        <f t="shared" si="310"/>
        <v>0</v>
      </c>
      <c r="AD519" s="552">
        <f t="shared" si="302"/>
        <v>355501.3000000001</v>
      </c>
      <c r="AE519" s="552">
        <f t="shared" si="313"/>
        <v>377055</v>
      </c>
      <c r="AF519" s="552">
        <f t="shared" si="314"/>
        <v>732556.3</v>
      </c>
      <c r="AG519" s="552"/>
      <c r="AH519" s="552"/>
      <c r="AI519" s="552"/>
      <c r="AL519" s="552"/>
    </row>
    <row r="520" spans="1:40" x14ac:dyDescent="0.25">
      <c r="A520" s="542"/>
      <c r="I520" s="451">
        <f t="shared" si="309"/>
        <v>0</v>
      </c>
      <c r="L520" s="298"/>
      <c r="M520" s="298"/>
      <c r="Q520" s="542">
        <f t="shared" si="290"/>
        <v>0</v>
      </c>
      <c r="R520" s="14">
        <f t="shared" si="315"/>
        <v>0</v>
      </c>
      <c r="S520" s="535">
        <f t="shared" si="300"/>
        <v>4.7500000000000001E-2</v>
      </c>
      <c r="T520" s="14">
        <f t="shared" si="291"/>
        <v>0</v>
      </c>
      <c r="U520" s="298">
        <f t="shared" si="316"/>
        <v>0</v>
      </c>
      <c r="V520" s="298">
        <f t="shared" si="292"/>
        <v>0</v>
      </c>
      <c r="W520" s="14">
        <f t="shared" si="312"/>
        <v>0</v>
      </c>
      <c r="X520" s="298">
        <f t="shared" si="312"/>
        <v>0</v>
      </c>
      <c r="Y520" s="298">
        <f t="shared" si="317"/>
        <v>0</v>
      </c>
      <c r="Z520" s="298">
        <f t="shared" si="318"/>
        <v>378976.30999999988</v>
      </c>
      <c r="AA520" s="298">
        <f t="shared" si="319"/>
        <v>237979.58999999985</v>
      </c>
      <c r="AB520" s="298">
        <f t="shared" si="293"/>
        <v>377055</v>
      </c>
      <c r="AC520" s="451">
        <f t="shared" si="310"/>
        <v>0</v>
      </c>
      <c r="AD520" s="552">
        <f t="shared" si="302"/>
        <v>355501.3000000001</v>
      </c>
      <c r="AE520" s="552">
        <f t="shared" si="313"/>
        <v>377055</v>
      </c>
      <c r="AF520" s="552">
        <f t="shared" si="314"/>
        <v>732556.3</v>
      </c>
      <c r="AG520" s="552"/>
      <c r="AH520" s="552"/>
      <c r="AI520" s="552"/>
      <c r="AL520" s="552"/>
    </row>
    <row r="521" spans="1:40" x14ac:dyDescent="0.25">
      <c r="A521" s="542"/>
      <c r="I521" s="451">
        <f t="shared" si="309"/>
        <v>0</v>
      </c>
      <c r="L521" s="298"/>
      <c r="M521" s="298"/>
      <c r="Q521" s="542">
        <f t="shared" si="290"/>
        <v>0</v>
      </c>
      <c r="R521" s="14">
        <f t="shared" si="315"/>
        <v>0</v>
      </c>
      <c r="S521" s="535">
        <f t="shared" si="300"/>
        <v>4.7500000000000001E-2</v>
      </c>
      <c r="T521" s="14">
        <f t="shared" si="291"/>
        <v>0</v>
      </c>
      <c r="U521" s="298">
        <f t="shared" si="316"/>
        <v>0</v>
      </c>
      <c r="V521" s="298">
        <f t="shared" si="292"/>
        <v>0</v>
      </c>
      <c r="W521" s="14">
        <f t="shared" si="312"/>
        <v>0</v>
      </c>
      <c r="X521" s="298">
        <f t="shared" si="312"/>
        <v>0</v>
      </c>
      <c r="Y521" s="298">
        <f t="shared" si="317"/>
        <v>0</v>
      </c>
      <c r="Z521" s="298">
        <f t="shared" si="318"/>
        <v>378976.30999999988</v>
      </c>
      <c r="AA521" s="298">
        <f t="shared" si="319"/>
        <v>237979.58999999985</v>
      </c>
      <c r="AB521" s="298">
        <f t="shared" si="293"/>
        <v>377055</v>
      </c>
      <c r="AC521" s="451">
        <f t="shared" si="310"/>
        <v>0</v>
      </c>
      <c r="AD521" s="552">
        <f t="shared" si="302"/>
        <v>355501.3000000001</v>
      </c>
      <c r="AE521" s="552">
        <f t="shared" si="313"/>
        <v>377055</v>
      </c>
      <c r="AF521" s="552">
        <f t="shared" si="314"/>
        <v>732556.3</v>
      </c>
      <c r="AG521" s="552"/>
      <c r="AH521" s="552"/>
      <c r="AI521" s="552"/>
      <c r="AL521" s="552"/>
    </row>
    <row r="522" spans="1:40" x14ac:dyDescent="0.25">
      <c r="A522" s="542"/>
      <c r="I522" s="451">
        <f t="shared" si="309"/>
        <v>0</v>
      </c>
      <c r="L522" s="298"/>
      <c r="M522" s="298"/>
      <c r="Q522" s="542">
        <f t="shared" si="290"/>
        <v>0</v>
      </c>
      <c r="R522" s="14">
        <f t="shared" si="315"/>
        <v>0</v>
      </c>
      <c r="S522" s="535">
        <f t="shared" si="300"/>
        <v>4.7500000000000001E-2</v>
      </c>
      <c r="T522" s="14">
        <f t="shared" si="291"/>
        <v>0</v>
      </c>
      <c r="U522" s="298">
        <f t="shared" si="316"/>
        <v>0</v>
      </c>
      <c r="V522" s="298">
        <f t="shared" si="292"/>
        <v>0</v>
      </c>
      <c r="W522" s="14">
        <f t="shared" si="312"/>
        <v>0</v>
      </c>
      <c r="X522" s="298">
        <f t="shared" si="312"/>
        <v>0</v>
      </c>
      <c r="Y522" s="298">
        <f t="shared" si="317"/>
        <v>0</v>
      </c>
      <c r="Z522" s="298">
        <f t="shared" si="318"/>
        <v>378976.30999999988</v>
      </c>
      <c r="AA522" s="298">
        <f t="shared" si="319"/>
        <v>237979.58999999985</v>
      </c>
      <c r="AB522" s="298">
        <f t="shared" si="293"/>
        <v>377055</v>
      </c>
      <c r="AC522" s="451">
        <f t="shared" si="310"/>
        <v>0</v>
      </c>
      <c r="AD522" s="552">
        <f t="shared" si="302"/>
        <v>355501.3000000001</v>
      </c>
      <c r="AE522" s="552">
        <f t="shared" si="313"/>
        <v>377055</v>
      </c>
      <c r="AF522" s="552">
        <f t="shared" si="314"/>
        <v>732556.3</v>
      </c>
      <c r="AG522" s="552"/>
      <c r="AH522" s="552"/>
      <c r="AI522" s="552"/>
      <c r="AL522" s="552"/>
    </row>
    <row r="523" spans="1:40" x14ac:dyDescent="0.25">
      <c r="A523" s="542"/>
      <c r="I523" s="451">
        <f t="shared" si="309"/>
        <v>0</v>
      </c>
      <c r="L523" s="298"/>
      <c r="M523" s="298"/>
      <c r="Q523" s="542">
        <f t="shared" si="290"/>
        <v>0</v>
      </c>
      <c r="R523" s="14">
        <f t="shared" si="315"/>
        <v>0</v>
      </c>
      <c r="S523" s="535">
        <f t="shared" si="300"/>
        <v>4.7500000000000001E-2</v>
      </c>
      <c r="T523" s="14">
        <f t="shared" si="291"/>
        <v>0</v>
      </c>
      <c r="U523" s="298">
        <f t="shared" si="316"/>
        <v>0</v>
      </c>
      <c r="V523" s="298">
        <f t="shared" si="292"/>
        <v>0</v>
      </c>
      <c r="W523" s="14">
        <f t="shared" si="312"/>
        <v>0</v>
      </c>
      <c r="X523" s="298">
        <f t="shared" si="312"/>
        <v>0</v>
      </c>
      <c r="Y523" s="298">
        <f t="shared" si="317"/>
        <v>0</v>
      </c>
      <c r="Z523" s="298">
        <f t="shared" si="318"/>
        <v>378976.30999999988</v>
      </c>
      <c r="AA523" s="298">
        <f t="shared" si="319"/>
        <v>237979.58999999985</v>
      </c>
      <c r="AB523" s="298">
        <f t="shared" si="293"/>
        <v>377055</v>
      </c>
      <c r="AC523" s="451">
        <f t="shared" si="310"/>
        <v>0</v>
      </c>
      <c r="AD523" s="552">
        <f t="shared" si="302"/>
        <v>355501.3000000001</v>
      </c>
      <c r="AE523" s="552">
        <f t="shared" si="313"/>
        <v>377055</v>
      </c>
      <c r="AF523" s="552">
        <f t="shared" si="314"/>
        <v>732556.3</v>
      </c>
      <c r="AG523" s="552"/>
      <c r="AH523" s="552"/>
      <c r="AI523" s="552"/>
      <c r="AL523" s="552"/>
    </row>
    <row r="524" spans="1:40" x14ac:dyDescent="0.25">
      <c r="A524" s="542"/>
      <c r="I524" s="451">
        <f t="shared" si="309"/>
        <v>0</v>
      </c>
      <c r="L524" s="298"/>
      <c r="M524" s="298"/>
      <c r="Q524" s="542">
        <f t="shared" si="290"/>
        <v>0</v>
      </c>
      <c r="R524" s="14">
        <f t="shared" si="315"/>
        <v>0</v>
      </c>
      <c r="S524" s="535">
        <f t="shared" si="300"/>
        <v>4.7500000000000001E-2</v>
      </c>
      <c r="T524" s="14">
        <f t="shared" si="291"/>
        <v>0</v>
      </c>
      <c r="U524" s="298">
        <f t="shared" si="316"/>
        <v>0</v>
      </c>
      <c r="V524" s="298">
        <f t="shared" si="292"/>
        <v>0</v>
      </c>
      <c r="W524" s="14">
        <f t="shared" ref="W524:X539" si="320">+W523</f>
        <v>0</v>
      </c>
      <c r="X524" s="298">
        <f t="shared" si="320"/>
        <v>0</v>
      </c>
      <c r="Y524" s="298">
        <f t="shared" si="317"/>
        <v>0</v>
      </c>
      <c r="Z524" s="298">
        <f t="shared" si="318"/>
        <v>378976.30999999988</v>
      </c>
      <c r="AA524" s="298">
        <f t="shared" si="319"/>
        <v>237979.58999999985</v>
      </c>
      <c r="AB524" s="298">
        <f t="shared" si="293"/>
        <v>377055</v>
      </c>
      <c r="AC524" s="451">
        <f t="shared" si="310"/>
        <v>0</v>
      </c>
      <c r="AD524" s="552">
        <f t="shared" si="302"/>
        <v>355501.3000000001</v>
      </c>
      <c r="AE524" s="552">
        <f t="shared" si="313"/>
        <v>377055</v>
      </c>
      <c r="AF524" s="552">
        <f t="shared" si="314"/>
        <v>732556.3</v>
      </c>
      <c r="AG524" s="552"/>
      <c r="AH524" s="552"/>
      <c r="AI524" s="552"/>
      <c r="AL524" s="552"/>
    </row>
    <row r="525" spans="1:40" x14ac:dyDescent="0.25">
      <c r="A525" s="542"/>
      <c r="I525" s="451">
        <f t="shared" si="309"/>
        <v>0</v>
      </c>
      <c r="L525" s="298"/>
      <c r="M525" s="298"/>
      <c r="Q525" s="542">
        <f t="shared" si="290"/>
        <v>0</v>
      </c>
      <c r="R525" s="14">
        <f t="shared" si="315"/>
        <v>0</v>
      </c>
      <c r="S525" s="535">
        <f t="shared" si="300"/>
        <v>4.7500000000000001E-2</v>
      </c>
      <c r="T525" s="14">
        <f t="shared" si="291"/>
        <v>0</v>
      </c>
      <c r="U525" s="298">
        <f t="shared" si="316"/>
        <v>0</v>
      </c>
      <c r="V525" s="298">
        <f t="shared" si="292"/>
        <v>0</v>
      </c>
      <c r="W525" s="14">
        <f t="shared" si="320"/>
        <v>0</v>
      </c>
      <c r="X525" s="298">
        <f t="shared" si="320"/>
        <v>0</v>
      </c>
      <c r="Y525" s="298">
        <f t="shared" si="317"/>
        <v>0</v>
      </c>
      <c r="Z525" s="298">
        <f t="shared" si="318"/>
        <v>378976.30999999988</v>
      </c>
      <c r="AA525" s="298">
        <f t="shared" si="319"/>
        <v>237979.58999999985</v>
      </c>
      <c r="AB525" s="298">
        <f t="shared" si="293"/>
        <v>377055</v>
      </c>
      <c r="AC525" s="451">
        <f t="shared" si="310"/>
        <v>0</v>
      </c>
      <c r="AD525" s="552">
        <f t="shared" si="302"/>
        <v>355501.3000000001</v>
      </c>
      <c r="AE525" s="552">
        <f t="shared" si="313"/>
        <v>377055</v>
      </c>
      <c r="AF525" s="552">
        <f t="shared" si="314"/>
        <v>732556.3</v>
      </c>
      <c r="AG525" s="552"/>
      <c r="AH525" s="552"/>
      <c r="AI525" s="552"/>
      <c r="AL525" s="552"/>
    </row>
    <row r="526" spans="1:40" x14ac:dyDescent="0.25">
      <c r="A526" s="542"/>
      <c r="I526" s="451">
        <f t="shared" si="309"/>
        <v>0</v>
      </c>
      <c r="L526" s="298"/>
      <c r="M526" s="298"/>
      <c r="Q526" s="542">
        <f t="shared" si="290"/>
        <v>0</v>
      </c>
      <c r="R526" s="14">
        <f t="shared" si="315"/>
        <v>0</v>
      </c>
      <c r="S526" s="535">
        <f t="shared" si="300"/>
        <v>4.7500000000000001E-2</v>
      </c>
      <c r="T526" s="14">
        <f t="shared" si="291"/>
        <v>0</v>
      </c>
      <c r="U526" s="298">
        <f t="shared" si="316"/>
        <v>0</v>
      </c>
      <c r="V526" s="298">
        <f t="shared" si="292"/>
        <v>0</v>
      </c>
      <c r="W526" s="14">
        <f t="shared" si="320"/>
        <v>0</v>
      </c>
      <c r="X526" s="298">
        <f t="shared" si="320"/>
        <v>0</v>
      </c>
      <c r="Y526" s="298">
        <f t="shared" si="317"/>
        <v>0</v>
      </c>
      <c r="Z526" s="298">
        <f t="shared" si="318"/>
        <v>378976.30999999988</v>
      </c>
      <c r="AA526" s="298">
        <f t="shared" si="319"/>
        <v>237979.58999999985</v>
      </c>
      <c r="AB526" s="298">
        <f t="shared" si="293"/>
        <v>377055</v>
      </c>
      <c r="AC526" s="451">
        <f t="shared" si="310"/>
        <v>0</v>
      </c>
      <c r="AD526" s="552">
        <f t="shared" si="302"/>
        <v>355501.3000000001</v>
      </c>
      <c r="AE526" s="552">
        <f t="shared" si="313"/>
        <v>377055</v>
      </c>
      <c r="AF526" s="552">
        <f t="shared" si="314"/>
        <v>732556.3</v>
      </c>
      <c r="AG526" s="552"/>
      <c r="AH526" s="552"/>
      <c r="AI526" s="552"/>
      <c r="AL526" s="552"/>
    </row>
    <row r="527" spans="1:40" x14ac:dyDescent="0.25">
      <c r="A527" s="542"/>
      <c r="I527" s="451">
        <f t="shared" si="309"/>
        <v>0</v>
      </c>
      <c r="L527" s="298"/>
      <c r="M527" s="298"/>
      <c r="Q527" s="542">
        <f t="shared" ref="Q527:Q590" si="321">+A527</f>
        <v>0</v>
      </c>
      <c r="R527" s="14">
        <f t="shared" si="315"/>
        <v>0</v>
      </c>
      <c r="S527" s="535">
        <f t="shared" si="300"/>
        <v>4.7500000000000001E-2</v>
      </c>
      <c r="T527" s="14">
        <f t="shared" ref="T527:T543" si="322">IF($J$10&lt;=$A527,IF(+AB526&lt;=0,0,IF(S527=$T$9,$S$9,$S$10)),0)</f>
        <v>0</v>
      </c>
      <c r="U527" s="298">
        <f t="shared" si="316"/>
        <v>0</v>
      </c>
      <c r="V527" s="298">
        <f t="shared" ref="V527:V543" si="323">IF($J$10&lt;=$A527,ROUND(R527*(S527/12),2),0)</f>
        <v>0</v>
      </c>
      <c r="W527" s="14">
        <f t="shared" si="320"/>
        <v>0</v>
      </c>
      <c r="X527" s="298">
        <f t="shared" si="320"/>
        <v>0</v>
      </c>
      <c r="Y527" s="298">
        <f t="shared" si="317"/>
        <v>0</v>
      </c>
      <c r="Z527" s="298">
        <f t="shared" si="318"/>
        <v>378976.30999999988</v>
      </c>
      <c r="AA527" s="298">
        <f t="shared" si="319"/>
        <v>237979.58999999985</v>
      </c>
      <c r="AB527" s="298">
        <f t="shared" ref="AB527:AB543" si="324">IF(Q527&lt;$J$10,$J$6,+R527-U527)</f>
        <v>377055</v>
      </c>
      <c r="AC527" s="451">
        <f t="shared" si="310"/>
        <v>0</v>
      </c>
      <c r="AD527" s="552">
        <f t="shared" si="302"/>
        <v>355501.3000000001</v>
      </c>
      <c r="AE527" s="552">
        <f t="shared" si="313"/>
        <v>377055</v>
      </c>
      <c r="AF527" s="552">
        <f t="shared" si="314"/>
        <v>732556.3</v>
      </c>
      <c r="AG527" s="552"/>
      <c r="AH527" s="552"/>
      <c r="AI527" s="552"/>
      <c r="AL527" s="552"/>
    </row>
    <row r="528" spans="1:40" x14ac:dyDescent="0.25">
      <c r="A528" s="542"/>
      <c r="I528" s="451">
        <f t="shared" si="309"/>
        <v>0</v>
      </c>
      <c r="L528" s="298"/>
      <c r="M528" s="298"/>
      <c r="Q528" s="542">
        <f t="shared" si="321"/>
        <v>0</v>
      </c>
      <c r="R528" s="14">
        <f t="shared" si="315"/>
        <v>0</v>
      </c>
      <c r="S528" s="535">
        <f t="shared" ref="S528:S543" si="325">IF(AC528&gt;60,$T$10,$T$9)</f>
        <v>4.7500000000000001E-2</v>
      </c>
      <c r="T528" s="14">
        <f t="shared" si="322"/>
        <v>0</v>
      </c>
      <c r="U528" s="298">
        <f t="shared" si="316"/>
        <v>0</v>
      </c>
      <c r="V528" s="298">
        <f t="shared" si="323"/>
        <v>0</v>
      </c>
      <c r="W528" s="14">
        <f t="shared" si="320"/>
        <v>0</v>
      </c>
      <c r="X528" s="298">
        <f t="shared" si="320"/>
        <v>0</v>
      </c>
      <c r="Y528" s="298">
        <f t="shared" si="317"/>
        <v>0</v>
      </c>
      <c r="Z528" s="298">
        <f t="shared" si="318"/>
        <v>378976.30999999988</v>
      </c>
      <c r="AA528" s="298">
        <f t="shared" si="319"/>
        <v>237979.58999999985</v>
      </c>
      <c r="AB528" s="298">
        <f t="shared" si="324"/>
        <v>377055</v>
      </c>
      <c r="AC528" s="451">
        <f t="shared" si="310"/>
        <v>0</v>
      </c>
      <c r="AD528" s="552">
        <f t="shared" ref="AD528:AD543" si="326">K528-T528+AD527</f>
        <v>355501.3000000001</v>
      </c>
      <c r="AE528" s="552">
        <f t="shared" si="313"/>
        <v>377055</v>
      </c>
      <c r="AF528" s="552">
        <f t="shared" si="314"/>
        <v>732556.3</v>
      </c>
      <c r="AG528" s="552"/>
      <c r="AH528" s="552"/>
      <c r="AI528" s="552"/>
      <c r="AL528" s="552"/>
    </row>
    <row r="529" spans="1:40" x14ac:dyDescent="0.25">
      <c r="A529" s="542"/>
      <c r="I529" s="451">
        <f t="shared" si="309"/>
        <v>0</v>
      </c>
      <c r="L529" s="298"/>
      <c r="M529" s="298"/>
      <c r="Q529" s="542">
        <f t="shared" si="321"/>
        <v>0</v>
      </c>
      <c r="R529" s="14">
        <f t="shared" si="315"/>
        <v>0</v>
      </c>
      <c r="S529" s="535">
        <f t="shared" si="325"/>
        <v>4.7500000000000001E-2</v>
      </c>
      <c r="T529" s="14">
        <f t="shared" si="322"/>
        <v>0</v>
      </c>
      <c r="U529" s="298">
        <f t="shared" si="316"/>
        <v>0</v>
      </c>
      <c r="V529" s="298">
        <f t="shared" si="323"/>
        <v>0</v>
      </c>
      <c r="W529" s="14">
        <f t="shared" si="320"/>
        <v>0</v>
      </c>
      <c r="X529" s="298">
        <f t="shared" si="320"/>
        <v>0</v>
      </c>
      <c r="Y529" s="298">
        <f t="shared" si="317"/>
        <v>0</v>
      </c>
      <c r="Z529" s="298">
        <f t="shared" si="318"/>
        <v>378976.30999999988</v>
      </c>
      <c r="AA529" s="298">
        <f t="shared" si="319"/>
        <v>237979.58999999985</v>
      </c>
      <c r="AB529" s="298">
        <f t="shared" si="324"/>
        <v>377055</v>
      </c>
      <c r="AC529" s="451">
        <f t="shared" si="310"/>
        <v>0</v>
      </c>
      <c r="AD529" s="552">
        <f t="shared" si="326"/>
        <v>355501.3000000001</v>
      </c>
      <c r="AE529" s="552">
        <f t="shared" si="313"/>
        <v>377055</v>
      </c>
      <c r="AF529" s="552">
        <f t="shared" si="314"/>
        <v>732556.3</v>
      </c>
      <c r="AG529" s="552"/>
      <c r="AH529" s="552"/>
      <c r="AI529" s="552"/>
      <c r="AL529" s="552"/>
    </row>
    <row r="530" spans="1:40" ht="15.75" thickBot="1" x14ac:dyDescent="0.3">
      <c r="A530" s="545"/>
      <c r="B530" s="371"/>
      <c r="C530" s="21"/>
      <c r="D530" s="21"/>
      <c r="E530" s="21"/>
      <c r="F530" s="371"/>
      <c r="G530" s="371"/>
      <c r="H530" s="371"/>
      <c r="I530" s="451">
        <f t="shared" si="309"/>
        <v>0</v>
      </c>
      <c r="J530" s="371"/>
      <c r="K530" s="21"/>
      <c r="L530" s="371"/>
      <c r="M530" s="371"/>
      <c r="N530" s="371"/>
      <c r="O530" s="371"/>
      <c r="P530" s="371"/>
      <c r="Q530" s="545">
        <f t="shared" si="321"/>
        <v>0</v>
      </c>
      <c r="R530" s="14">
        <f t="shared" si="315"/>
        <v>0</v>
      </c>
      <c r="S530" s="535">
        <f t="shared" si="325"/>
        <v>4.7500000000000001E-2</v>
      </c>
      <c r="T530" s="21">
        <f t="shared" si="322"/>
        <v>0</v>
      </c>
      <c r="U530" s="371">
        <f t="shared" si="316"/>
        <v>0</v>
      </c>
      <c r="V530" s="371">
        <f t="shared" si="323"/>
        <v>0</v>
      </c>
      <c r="W530" s="21">
        <f t="shared" si="320"/>
        <v>0</v>
      </c>
      <c r="X530" s="371">
        <f t="shared" si="320"/>
        <v>0</v>
      </c>
      <c r="Y530" s="371">
        <f t="shared" si="317"/>
        <v>0</v>
      </c>
      <c r="Z530" s="371">
        <f t="shared" si="318"/>
        <v>378976.30999999988</v>
      </c>
      <c r="AA530" s="371">
        <f t="shared" si="319"/>
        <v>237979.58999999985</v>
      </c>
      <c r="AB530" s="371">
        <f t="shared" si="324"/>
        <v>377055</v>
      </c>
      <c r="AC530" s="451">
        <f t="shared" si="310"/>
        <v>0</v>
      </c>
      <c r="AD530" s="552">
        <f t="shared" si="326"/>
        <v>355501.3000000001</v>
      </c>
      <c r="AE530" s="552">
        <f t="shared" si="313"/>
        <v>377055</v>
      </c>
      <c r="AF530" s="552">
        <f t="shared" si="314"/>
        <v>732556.3</v>
      </c>
      <c r="AG530" s="552"/>
      <c r="AH530" s="552"/>
      <c r="AI530" s="552"/>
      <c r="AJ530" s="21"/>
      <c r="AK530" s="21"/>
      <c r="AL530" s="552"/>
      <c r="AM530" s="371"/>
      <c r="AN530" s="21"/>
    </row>
    <row r="531" spans="1:40" x14ac:dyDescent="0.25">
      <c r="A531" s="542"/>
      <c r="I531" s="451">
        <f t="shared" si="309"/>
        <v>0</v>
      </c>
      <c r="L531" s="298"/>
      <c r="M531" s="298"/>
      <c r="Q531" s="542">
        <f t="shared" si="321"/>
        <v>0</v>
      </c>
      <c r="R531" s="14">
        <f t="shared" si="315"/>
        <v>0</v>
      </c>
      <c r="S531" s="535">
        <f t="shared" si="325"/>
        <v>4.7500000000000001E-2</v>
      </c>
      <c r="T531" s="14">
        <f t="shared" si="322"/>
        <v>0</v>
      </c>
      <c r="U531" s="298">
        <f t="shared" si="316"/>
        <v>0</v>
      </c>
      <c r="V531" s="298">
        <f t="shared" si="323"/>
        <v>0</v>
      </c>
      <c r="W531" s="14">
        <f t="shared" si="320"/>
        <v>0</v>
      </c>
      <c r="X531" s="298">
        <f t="shared" si="320"/>
        <v>0</v>
      </c>
      <c r="Y531" s="298">
        <f t="shared" si="317"/>
        <v>0</v>
      </c>
      <c r="Z531" s="298">
        <f t="shared" si="318"/>
        <v>378976.30999999988</v>
      </c>
      <c r="AA531" s="298">
        <f t="shared" si="319"/>
        <v>237979.58999999985</v>
      </c>
      <c r="AB531" s="298">
        <f t="shared" si="324"/>
        <v>377055</v>
      </c>
      <c r="AC531" s="451">
        <f t="shared" si="310"/>
        <v>0</v>
      </c>
      <c r="AD531" s="552">
        <f t="shared" si="326"/>
        <v>355501.3000000001</v>
      </c>
      <c r="AE531" s="552">
        <f t="shared" si="313"/>
        <v>377055</v>
      </c>
      <c r="AF531" s="552">
        <f t="shared" si="314"/>
        <v>732556.3</v>
      </c>
      <c r="AG531" s="552"/>
      <c r="AH531" s="552"/>
      <c r="AI531" s="552"/>
      <c r="AL531" s="552"/>
    </row>
    <row r="532" spans="1:40" x14ac:dyDescent="0.25">
      <c r="A532" s="542"/>
      <c r="I532" s="451">
        <f t="shared" si="309"/>
        <v>0</v>
      </c>
      <c r="L532" s="298"/>
      <c r="M532" s="298"/>
      <c r="Q532" s="542">
        <f t="shared" si="321"/>
        <v>0</v>
      </c>
      <c r="R532" s="14">
        <f t="shared" si="315"/>
        <v>0</v>
      </c>
      <c r="S532" s="535">
        <f t="shared" si="325"/>
        <v>4.7500000000000001E-2</v>
      </c>
      <c r="T532" s="14">
        <f t="shared" si="322"/>
        <v>0</v>
      </c>
      <c r="U532" s="298">
        <f t="shared" si="316"/>
        <v>0</v>
      </c>
      <c r="V532" s="298">
        <f t="shared" si="323"/>
        <v>0</v>
      </c>
      <c r="W532" s="14">
        <f t="shared" si="320"/>
        <v>0</v>
      </c>
      <c r="X532" s="298">
        <f t="shared" si="320"/>
        <v>0</v>
      </c>
      <c r="Y532" s="298">
        <f t="shared" si="317"/>
        <v>0</v>
      </c>
      <c r="Z532" s="298">
        <f t="shared" si="318"/>
        <v>378976.30999999988</v>
      </c>
      <c r="AA532" s="298">
        <f t="shared" si="319"/>
        <v>237979.58999999985</v>
      </c>
      <c r="AB532" s="298">
        <f t="shared" si="324"/>
        <v>377055</v>
      </c>
      <c r="AC532" s="451">
        <f t="shared" si="310"/>
        <v>0</v>
      </c>
      <c r="AD532" s="552">
        <f t="shared" si="326"/>
        <v>355501.3000000001</v>
      </c>
      <c r="AE532" s="552">
        <f t="shared" si="313"/>
        <v>377055</v>
      </c>
      <c r="AF532" s="552">
        <f t="shared" si="314"/>
        <v>732556.3</v>
      </c>
      <c r="AG532" s="552"/>
      <c r="AH532" s="552"/>
      <c r="AI532" s="552"/>
      <c r="AL532" s="552"/>
    </row>
    <row r="533" spans="1:40" x14ac:dyDescent="0.25">
      <c r="A533" s="542"/>
      <c r="I533" s="451">
        <f t="shared" si="309"/>
        <v>0</v>
      </c>
      <c r="L533" s="298"/>
      <c r="M533" s="298"/>
      <c r="Q533" s="542">
        <f t="shared" si="321"/>
        <v>0</v>
      </c>
      <c r="R533" s="14">
        <f t="shared" si="315"/>
        <v>0</v>
      </c>
      <c r="S533" s="535">
        <f t="shared" si="325"/>
        <v>4.7500000000000001E-2</v>
      </c>
      <c r="T533" s="14">
        <f t="shared" si="322"/>
        <v>0</v>
      </c>
      <c r="U533" s="298">
        <f t="shared" si="316"/>
        <v>0</v>
      </c>
      <c r="V533" s="298">
        <f t="shared" si="323"/>
        <v>0</v>
      </c>
      <c r="W533" s="14">
        <f t="shared" si="320"/>
        <v>0</v>
      </c>
      <c r="X533" s="298">
        <f t="shared" si="320"/>
        <v>0</v>
      </c>
      <c r="Y533" s="298">
        <f t="shared" si="317"/>
        <v>0</v>
      </c>
      <c r="Z533" s="298">
        <f t="shared" si="318"/>
        <v>378976.30999999988</v>
      </c>
      <c r="AA533" s="298">
        <f t="shared" si="319"/>
        <v>237979.58999999985</v>
      </c>
      <c r="AB533" s="298">
        <f t="shared" si="324"/>
        <v>377055</v>
      </c>
      <c r="AC533" s="451">
        <f t="shared" si="310"/>
        <v>0</v>
      </c>
      <c r="AD533" s="552">
        <f t="shared" si="326"/>
        <v>355501.3000000001</v>
      </c>
      <c r="AE533" s="552">
        <f t="shared" si="313"/>
        <v>377055</v>
      </c>
      <c r="AF533" s="552">
        <f t="shared" si="314"/>
        <v>732556.3</v>
      </c>
      <c r="AG533" s="552"/>
      <c r="AH533" s="552"/>
      <c r="AI533" s="552"/>
      <c r="AL533" s="552"/>
    </row>
    <row r="534" spans="1:40" x14ac:dyDescent="0.25">
      <c r="A534" s="542"/>
      <c r="I534" s="451">
        <f t="shared" si="309"/>
        <v>0</v>
      </c>
      <c r="L534" s="298"/>
      <c r="M534" s="298"/>
      <c r="Q534" s="542">
        <f t="shared" si="321"/>
        <v>0</v>
      </c>
      <c r="R534" s="14">
        <f t="shared" si="315"/>
        <v>0</v>
      </c>
      <c r="S534" s="535">
        <f t="shared" si="325"/>
        <v>4.7500000000000001E-2</v>
      </c>
      <c r="T534" s="14">
        <f t="shared" si="322"/>
        <v>0</v>
      </c>
      <c r="U534" s="298">
        <f t="shared" si="316"/>
        <v>0</v>
      </c>
      <c r="V534" s="298">
        <f t="shared" si="323"/>
        <v>0</v>
      </c>
      <c r="W534" s="14">
        <f t="shared" si="320"/>
        <v>0</v>
      </c>
      <c r="X534" s="298">
        <f t="shared" si="320"/>
        <v>0</v>
      </c>
      <c r="Y534" s="298">
        <f t="shared" si="317"/>
        <v>0</v>
      </c>
      <c r="Z534" s="298">
        <f t="shared" si="318"/>
        <v>378976.30999999988</v>
      </c>
      <c r="AA534" s="298">
        <f t="shared" si="319"/>
        <v>237979.58999999985</v>
      </c>
      <c r="AB534" s="298">
        <f t="shared" si="324"/>
        <v>377055</v>
      </c>
      <c r="AC534" s="451">
        <f t="shared" si="310"/>
        <v>0</v>
      </c>
      <c r="AD534" s="552">
        <f t="shared" si="326"/>
        <v>355501.3000000001</v>
      </c>
      <c r="AE534" s="552">
        <f t="shared" si="313"/>
        <v>377055</v>
      </c>
      <c r="AF534" s="552">
        <f t="shared" si="314"/>
        <v>732556.3</v>
      </c>
      <c r="AG534" s="552"/>
      <c r="AH534" s="552"/>
      <c r="AI534" s="552"/>
      <c r="AL534" s="552"/>
    </row>
    <row r="535" spans="1:40" x14ac:dyDescent="0.25">
      <c r="A535" s="542"/>
      <c r="I535" s="451">
        <f t="shared" si="309"/>
        <v>0</v>
      </c>
      <c r="L535" s="298"/>
      <c r="M535" s="298"/>
      <c r="Q535" s="542">
        <f t="shared" si="321"/>
        <v>0</v>
      </c>
      <c r="R535" s="14">
        <f t="shared" si="315"/>
        <v>0</v>
      </c>
      <c r="S535" s="535">
        <f t="shared" si="325"/>
        <v>4.7500000000000001E-2</v>
      </c>
      <c r="T535" s="14">
        <f t="shared" si="322"/>
        <v>0</v>
      </c>
      <c r="U535" s="298">
        <f t="shared" si="316"/>
        <v>0</v>
      </c>
      <c r="V535" s="298">
        <f t="shared" si="323"/>
        <v>0</v>
      </c>
      <c r="W535" s="14">
        <f t="shared" si="320"/>
        <v>0</v>
      </c>
      <c r="X535" s="298">
        <f t="shared" si="320"/>
        <v>0</v>
      </c>
      <c r="Y535" s="298">
        <f t="shared" si="317"/>
        <v>0</v>
      </c>
      <c r="Z535" s="298">
        <f t="shared" si="318"/>
        <v>378976.30999999988</v>
      </c>
      <c r="AA535" s="298">
        <f t="shared" si="319"/>
        <v>237979.58999999985</v>
      </c>
      <c r="AB535" s="298">
        <f t="shared" si="324"/>
        <v>377055</v>
      </c>
      <c r="AC535" s="451">
        <f t="shared" si="310"/>
        <v>0</v>
      </c>
      <c r="AD535" s="552">
        <f t="shared" si="326"/>
        <v>355501.3000000001</v>
      </c>
      <c r="AE535" s="552">
        <f t="shared" si="313"/>
        <v>377055</v>
      </c>
      <c r="AF535" s="552">
        <f t="shared" si="314"/>
        <v>732556.3</v>
      </c>
      <c r="AG535" s="552"/>
      <c r="AH535" s="552"/>
      <c r="AI535" s="552"/>
      <c r="AL535" s="552"/>
    </row>
    <row r="536" spans="1:40" x14ac:dyDescent="0.25">
      <c r="A536" s="542"/>
      <c r="I536" s="451">
        <f t="shared" si="309"/>
        <v>0</v>
      </c>
      <c r="L536" s="298"/>
      <c r="M536" s="298"/>
      <c r="Q536" s="542">
        <f t="shared" si="321"/>
        <v>0</v>
      </c>
      <c r="R536" s="14">
        <f t="shared" si="315"/>
        <v>0</v>
      </c>
      <c r="S536" s="535">
        <f t="shared" si="325"/>
        <v>4.7500000000000001E-2</v>
      </c>
      <c r="T536" s="14">
        <f t="shared" si="322"/>
        <v>0</v>
      </c>
      <c r="U536" s="298">
        <f t="shared" si="316"/>
        <v>0</v>
      </c>
      <c r="V536" s="298">
        <f t="shared" si="323"/>
        <v>0</v>
      </c>
      <c r="W536" s="14">
        <f t="shared" si="320"/>
        <v>0</v>
      </c>
      <c r="X536" s="298">
        <f t="shared" si="320"/>
        <v>0</v>
      </c>
      <c r="Y536" s="298">
        <f t="shared" si="317"/>
        <v>0</v>
      </c>
      <c r="Z536" s="298">
        <f t="shared" si="318"/>
        <v>378976.30999999988</v>
      </c>
      <c r="AA536" s="298">
        <f t="shared" si="319"/>
        <v>237979.58999999985</v>
      </c>
      <c r="AB536" s="298">
        <f t="shared" si="324"/>
        <v>377055</v>
      </c>
      <c r="AC536" s="451">
        <f t="shared" si="310"/>
        <v>0</v>
      </c>
      <c r="AD536" s="552">
        <f t="shared" si="326"/>
        <v>355501.3000000001</v>
      </c>
      <c r="AE536" s="552">
        <f t="shared" si="313"/>
        <v>377055</v>
      </c>
      <c r="AF536" s="552">
        <f t="shared" si="314"/>
        <v>732556.3</v>
      </c>
      <c r="AG536" s="552"/>
      <c r="AH536" s="552"/>
      <c r="AI536" s="552"/>
      <c r="AL536" s="552"/>
    </row>
    <row r="537" spans="1:40" x14ac:dyDescent="0.25">
      <c r="A537" s="542"/>
      <c r="I537" s="451">
        <f t="shared" si="309"/>
        <v>0</v>
      </c>
      <c r="L537" s="298"/>
      <c r="M537" s="298"/>
      <c r="Q537" s="542">
        <f t="shared" si="321"/>
        <v>0</v>
      </c>
      <c r="R537" s="14">
        <f t="shared" si="315"/>
        <v>0</v>
      </c>
      <c r="S537" s="535">
        <f t="shared" si="325"/>
        <v>4.7500000000000001E-2</v>
      </c>
      <c r="T537" s="14">
        <f t="shared" si="322"/>
        <v>0</v>
      </c>
      <c r="U537" s="298">
        <f t="shared" si="316"/>
        <v>0</v>
      </c>
      <c r="V537" s="298">
        <f t="shared" si="323"/>
        <v>0</v>
      </c>
      <c r="W537" s="14">
        <f t="shared" si="320"/>
        <v>0</v>
      </c>
      <c r="X537" s="298">
        <f t="shared" si="320"/>
        <v>0</v>
      </c>
      <c r="Y537" s="298">
        <f t="shared" si="317"/>
        <v>0</v>
      </c>
      <c r="Z537" s="298">
        <f t="shared" si="318"/>
        <v>378976.30999999988</v>
      </c>
      <c r="AA537" s="298">
        <f t="shared" si="319"/>
        <v>237979.58999999985</v>
      </c>
      <c r="AB537" s="298">
        <f t="shared" si="324"/>
        <v>377055</v>
      </c>
      <c r="AC537" s="451">
        <f t="shared" si="310"/>
        <v>0</v>
      </c>
      <c r="AD537" s="552">
        <f t="shared" si="326"/>
        <v>355501.3000000001</v>
      </c>
      <c r="AE537" s="552">
        <f t="shared" si="313"/>
        <v>377055</v>
      </c>
      <c r="AF537" s="552">
        <f t="shared" si="314"/>
        <v>732556.3</v>
      </c>
      <c r="AG537" s="552"/>
      <c r="AH537" s="552"/>
      <c r="AI537" s="552"/>
      <c r="AL537" s="552"/>
    </row>
    <row r="538" spans="1:40" x14ac:dyDescent="0.25">
      <c r="A538" s="542"/>
      <c r="I538" s="451">
        <f t="shared" si="309"/>
        <v>0</v>
      </c>
      <c r="L538" s="298"/>
      <c r="M538" s="298"/>
      <c r="Q538" s="542">
        <f t="shared" si="321"/>
        <v>0</v>
      </c>
      <c r="R538" s="14">
        <f t="shared" si="315"/>
        <v>0</v>
      </c>
      <c r="S538" s="535">
        <f t="shared" si="325"/>
        <v>4.7500000000000001E-2</v>
      </c>
      <c r="T538" s="14">
        <f t="shared" si="322"/>
        <v>0</v>
      </c>
      <c r="U538" s="298">
        <f t="shared" si="316"/>
        <v>0</v>
      </c>
      <c r="V538" s="298">
        <f t="shared" si="323"/>
        <v>0</v>
      </c>
      <c r="W538" s="14">
        <f t="shared" si="320"/>
        <v>0</v>
      </c>
      <c r="X538" s="298">
        <f t="shared" si="320"/>
        <v>0</v>
      </c>
      <c r="Y538" s="298">
        <f t="shared" si="317"/>
        <v>0</v>
      </c>
      <c r="Z538" s="298">
        <f t="shared" si="318"/>
        <v>378976.30999999988</v>
      </c>
      <c r="AA538" s="298">
        <f t="shared" si="319"/>
        <v>237979.58999999985</v>
      </c>
      <c r="AB538" s="298">
        <f t="shared" si="324"/>
        <v>377055</v>
      </c>
      <c r="AC538" s="451">
        <f t="shared" si="310"/>
        <v>0</v>
      </c>
      <c r="AD538" s="552">
        <f t="shared" si="326"/>
        <v>355501.3000000001</v>
      </c>
      <c r="AE538" s="552">
        <f t="shared" si="313"/>
        <v>377055</v>
      </c>
      <c r="AF538" s="552">
        <f t="shared" si="314"/>
        <v>732556.3</v>
      </c>
      <c r="AG538" s="552"/>
      <c r="AH538" s="552"/>
      <c r="AI538" s="552"/>
      <c r="AL538" s="552"/>
    </row>
    <row r="539" spans="1:40" x14ac:dyDescent="0.25">
      <c r="A539" s="542"/>
      <c r="I539" s="451">
        <f t="shared" si="309"/>
        <v>0</v>
      </c>
      <c r="L539" s="298"/>
      <c r="M539" s="298"/>
      <c r="Q539" s="542">
        <f t="shared" si="321"/>
        <v>0</v>
      </c>
      <c r="R539" s="14">
        <f t="shared" si="315"/>
        <v>0</v>
      </c>
      <c r="S539" s="535">
        <f t="shared" si="325"/>
        <v>4.7500000000000001E-2</v>
      </c>
      <c r="T539" s="14">
        <f t="shared" si="322"/>
        <v>0</v>
      </c>
      <c r="U539" s="298">
        <f t="shared" si="316"/>
        <v>0</v>
      </c>
      <c r="V539" s="298">
        <f t="shared" si="323"/>
        <v>0</v>
      </c>
      <c r="W539" s="14">
        <f t="shared" si="320"/>
        <v>0</v>
      </c>
      <c r="X539" s="298">
        <f t="shared" si="320"/>
        <v>0</v>
      </c>
      <c r="Y539" s="298">
        <f t="shared" si="317"/>
        <v>0</v>
      </c>
      <c r="Z539" s="298">
        <f t="shared" si="318"/>
        <v>378976.30999999988</v>
      </c>
      <c r="AA539" s="298">
        <f t="shared" si="319"/>
        <v>237979.58999999985</v>
      </c>
      <c r="AB539" s="298">
        <f t="shared" si="324"/>
        <v>377055</v>
      </c>
      <c r="AC539" s="451">
        <f t="shared" si="310"/>
        <v>0</v>
      </c>
      <c r="AD539" s="552">
        <f t="shared" si="326"/>
        <v>355501.3000000001</v>
      </c>
      <c r="AE539" s="552">
        <f t="shared" si="313"/>
        <v>377055</v>
      </c>
      <c r="AF539" s="552">
        <f t="shared" si="314"/>
        <v>732556.3</v>
      </c>
      <c r="AG539" s="552"/>
      <c r="AH539" s="552"/>
      <c r="AI539" s="552"/>
      <c r="AL539" s="552"/>
    </row>
    <row r="540" spans="1:40" x14ac:dyDescent="0.25">
      <c r="A540" s="542"/>
      <c r="I540" s="451">
        <f t="shared" si="309"/>
        <v>0</v>
      </c>
      <c r="L540" s="298"/>
      <c r="M540" s="298"/>
      <c r="Q540" s="542">
        <f t="shared" si="321"/>
        <v>0</v>
      </c>
      <c r="R540" s="14">
        <f t="shared" si="315"/>
        <v>0</v>
      </c>
      <c r="S540" s="535">
        <f t="shared" si="325"/>
        <v>4.7500000000000001E-2</v>
      </c>
      <c r="T540" s="14">
        <f t="shared" si="322"/>
        <v>0</v>
      </c>
      <c r="U540" s="298">
        <f t="shared" si="316"/>
        <v>0</v>
      </c>
      <c r="V540" s="298">
        <f t="shared" si="323"/>
        <v>0</v>
      </c>
      <c r="W540" s="14">
        <f t="shared" ref="W540:X543" si="327">+W539</f>
        <v>0</v>
      </c>
      <c r="X540" s="298">
        <f t="shared" si="327"/>
        <v>0</v>
      </c>
      <c r="Y540" s="298">
        <f t="shared" si="317"/>
        <v>0</v>
      </c>
      <c r="Z540" s="298">
        <f t="shared" si="318"/>
        <v>378976.30999999988</v>
      </c>
      <c r="AA540" s="298">
        <f t="shared" si="319"/>
        <v>237979.58999999985</v>
      </c>
      <c r="AB540" s="298">
        <f t="shared" si="324"/>
        <v>377055</v>
      </c>
      <c r="AC540" s="451">
        <f t="shared" si="310"/>
        <v>0</v>
      </c>
      <c r="AD540" s="552">
        <f t="shared" si="326"/>
        <v>355501.3000000001</v>
      </c>
      <c r="AE540" s="552">
        <f t="shared" si="313"/>
        <v>377055</v>
      </c>
      <c r="AF540" s="552">
        <f t="shared" si="314"/>
        <v>732556.3</v>
      </c>
      <c r="AG540" s="552"/>
      <c r="AH540" s="552"/>
      <c r="AI540" s="552"/>
      <c r="AL540" s="552"/>
    </row>
    <row r="541" spans="1:40" x14ac:dyDescent="0.25">
      <c r="A541" s="542"/>
      <c r="I541" s="451">
        <f t="shared" si="309"/>
        <v>0</v>
      </c>
      <c r="L541" s="298"/>
      <c r="M541" s="298"/>
      <c r="Q541" s="542">
        <f t="shared" si="321"/>
        <v>0</v>
      </c>
      <c r="R541" s="14">
        <f t="shared" si="315"/>
        <v>0</v>
      </c>
      <c r="S541" s="535">
        <f t="shared" si="325"/>
        <v>4.7500000000000001E-2</v>
      </c>
      <c r="T541" s="14">
        <f t="shared" si="322"/>
        <v>0</v>
      </c>
      <c r="U541" s="298">
        <f t="shared" si="316"/>
        <v>0</v>
      </c>
      <c r="V541" s="298">
        <f t="shared" si="323"/>
        <v>0</v>
      </c>
      <c r="W541" s="14">
        <f t="shared" si="327"/>
        <v>0</v>
      </c>
      <c r="X541" s="298">
        <f t="shared" si="327"/>
        <v>0</v>
      </c>
      <c r="Y541" s="298">
        <f t="shared" si="317"/>
        <v>0</v>
      </c>
      <c r="Z541" s="298">
        <f t="shared" si="318"/>
        <v>378976.30999999988</v>
      </c>
      <c r="AA541" s="298">
        <f t="shared" si="319"/>
        <v>237979.58999999985</v>
      </c>
      <c r="AB541" s="298">
        <f t="shared" si="324"/>
        <v>377055</v>
      </c>
      <c r="AC541" s="451">
        <f t="shared" si="310"/>
        <v>0</v>
      </c>
      <c r="AD541" s="552">
        <f t="shared" si="326"/>
        <v>355501.3000000001</v>
      </c>
      <c r="AE541" s="552">
        <f t="shared" si="313"/>
        <v>377055</v>
      </c>
      <c r="AF541" s="552">
        <f t="shared" si="314"/>
        <v>732556.3</v>
      </c>
      <c r="AG541" s="552"/>
      <c r="AH541" s="552"/>
      <c r="AI541" s="552"/>
      <c r="AL541" s="552"/>
    </row>
    <row r="542" spans="1:40" ht="15.75" thickBot="1" x14ac:dyDescent="0.3">
      <c r="A542" s="545"/>
      <c r="B542" s="371"/>
      <c r="C542" s="21"/>
      <c r="D542" s="21"/>
      <c r="E542" s="21"/>
      <c r="F542" s="371"/>
      <c r="G542" s="371"/>
      <c r="H542" s="371"/>
      <c r="I542" s="451">
        <f t="shared" si="309"/>
        <v>0</v>
      </c>
      <c r="J542" s="371"/>
      <c r="K542" s="21"/>
      <c r="L542" s="371"/>
      <c r="M542" s="371"/>
      <c r="N542" s="371"/>
      <c r="O542" s="371"/>
      <c r="P542" s="371"/>
      <c r="Q542" s="545">
        <f t="shared" si="321"/>
        <v>0</v>
      </c>
      <c r="R542" s="14">
        <f t="shared" si="315"/>
        <v>0</v>
      </c>
      <c r="S542" s="535">
        <f t="shared" si="325"/>
        <v>4.7500000000000001E-2</v>
      </c>
      <c r="T542" s="21">
        <f t="shared" si="322"/>
        <v>0</v>
      </c>
      <c r="U542" s="371">
        <f t="shared" si="316"/>
        <v>0</v>
      </c>
      <c r="V542" s="371">
        <f t="shared" si="323"/>
        <v>0</v>
      </c>
      <c r="W542" s="21">
        <f t="shared" si="327"/>
        <v>0</v>
      </c>
      <c r="X542" s="371">
        <f t="shared" si="327"/>
        <v>0</v>
      </c>
      <c r="Y542" s="371">
        <f t="shared" si="317"/>
        <v>0</v>
      </c>
      <c r="Z542" s="371">
        <f t="shared" si="318"/>
        <v>378976.30999999988</v>
      </c>
      <c r="AA542" s="371">
        <f t="shared" si="319"/>
        <v>237979.58999999985</v>
      </c>
      <c r="AB542" s="371">
        <f t="shared" si="324"/>
        <v>377055</v>
      </c>
      <c r="AC542" s="451">
        <f t="shared" si="310"/>
        <v>0</v>
      </c>
      <c r="AD542" s="552">
        <f t="shared" si="326"/>
        <v>355501.3000000001</v>
      </c>
      <c r="AE542" s="552">
        <f t="shared" si="313"/>
        <v>377055</v>
      </c>
      <c r="AF542" s="552">
        <f t="shared" si="314"/>
        <v>732556.3</v>
      </c>
      <c r="AG542" s="552"/>
      <c r="AH542" s="552"/>
      <c r="AI542" s="552"/>
      <c r="AJ542" s="21"/>
      <c r="AK542" s="21"/>
      <c r="AL542" s="552"/>
      <c r="AM542" s="371"/>
      <c r="AN542" s="21"/>
    </row>
    <row r="543" spans="1:40" x14ac:dyDescent="0.25">
      <c r="A543" s="542"/>
      <c r="I543" s="451">
        <f t="shared" si="309"/>
        <v>0</v>
      </c>
      <c r="L543" s="298"/>
      <c r="M543" s="298"/>
      <c r="Q543" s="542">
        <f t="shared" si="321"/>
        <v>0</v>
      </c>
      <c r="R543" s="14">
        <f t="shared" si="315"/>
        <v>0</v>
      </c>
      <c r="S543" s="535">
        <f t="shared" si="325"/>
        <v>4.7500000000000001E-2</v>
      </c>
      <c r="T543" s="14">
        <f t="shared" si="322"/>
        <v>0</v>
      </c>
      <c r="U543" s="298">
        <f t="shared" si="316"/>
        <v>0</v>
      </c>
      <c r="V543" s="298">
        <f t="shared" si="323"/>
        <v>0</v>
      </c>
      <c r="W543" s="14">
        <f t="shared" si="327"/>
        <v>0</v>
      </c>
      <c r="X543" s="298">
        <f t="shared" si="327"/>
        <v>0</v>
      </c>
      <c r="Y543" s="298">
        <f t="shared" si="317"/>
        <v>0</v>
      </c>
      <c r="Z543" s="298">
        <f t="shared" si="318"/>
        <v>378976.30999999988</v>
      </c>
      <c r="AA543" s="298">
        <f t="shared" si="319"/>
        <v>237979.58999999985</v>
      </c>
      <c r="AB543" s="298">
        <f t="shared" si="324"/>
        <v>377055</v>
      </c>
      <c r="AC543" s="451">
        <f t="shared" si="310"/>
        <v>0</v>
      </c>
      <c r="AD543" s="552">
        <f t="shared" si="326"/>
        <v>355501.3000000001</v>
      </c>
      <c r="AE543" s="552">
        <f t="shared" si="313"/>
        <v>377055</v>
      </c>
      <c r="AF543" s="552">
        <f t="shared" si="314"/>
        <v>732556.3</v>
      </c>
      <c r="AG543" s="552"/>
      <c r="AH543" s="552"/>
      <c r="AI543" s="552"/>
      <c r="AL543" s="552"/>
    </row>
    <row r="544" spans="1:40" x14ac:dyDescent="0.25">
      <c r="A544" s="542"/>
      <c r="I544" s="451">
        <f t="shared" si="309"/>
        <v>0</v>
      </c>
      <c r="L544" s="298"/>
      <c r="M544" s="298"/>
      <c r="Q544" s="542">
        <f t="shared" si="321"/>
        <v>0</v>
      </c>
      <c r="U544" s="298"/>
      <c r="V544" s="298"/>
      <c r="X544" s="298"/>
      <c r="Y544" s="298"/>
      <c r="AC544" s="451">
        <f t="shared" si="310"/>
        <v>0</v>
      </c>
    </row>
    <row r="545" spans="1:40" x14ac:dyDescent="0.25">
      <c r="A545" s="542"/>
      <c r="I545" s="451">
        <f t="shared" si="309"/>
        <v>0</v>
      </c>
      <c r="L545" s="298"/>
      <c r="M545" s="298"/>
      <c r="Q545" s="542">
        <f t="shared" si="321"/>
        <v>0</v>
      </c>
      <c r="U545" s="298"/>
      <c r="V545" s="298"/>
      <c r="X545" s="298"/>
      <c r="Y545" s="298"/>
      <c r="AC545" s="451">
        <f t="shared" si="310"/>
        <v>0</v>
      </c>
    </row>
    <row r="546" spans="1:40" x14ac:dyDescent="0.25">
      <c r="A546" s="542"/>
      <c r="I546" s="451">
        <f t="shared" si="309"/>
        <v>0</v>
      </c>
      <c r="L546" s="298"/>
      <c r="M546" s="298"/>
      <c r="Q546" s="542">
        <f t="shared" si="321"/>
        <v>0</v>
      </c>
      <c r="U546" s="298"/>
      <c r="V546" s="298"/>
      <c r="X546" s="298"/>
      <c r="Y546" s="298"/>
      <c r="AC546" s="451">
        <f t="shared" si="310"/>
        <v>0</v>
      </c>
    </row>
    <row r="547" spans="1:40" x14ac:dyDescent="0.25">
      <c r="A547" s="542"/>
      <c r="I547" s="451">
        <f t="shared" si="309"/>
        <v>0</v>
      </c>
      <c r="L547" s="298"/>
      <c r="M547" s="298"/>
      <c r="Q547" s="542">
        <f t="shared" si="321"/>
        <v>0</v>
      </c>
      <c r="U547" s="298"/>
      <c r="V547" s="298"/>
      <c r="X547" s="298"/>
      <c r="Y547" s="298"/>
      <c r="AC547" s="451">
        <f t="shared" si="310"/>
        <v>0</v>
      </c>
    </row>
    <row r="548" spans="1:40" x14ac:dyDescent="0.25">
      <c r="A548" s="542"/>
      <c r="I548" s="451">
        <f t="shared" si="309"/>
        <v>0</v>
      </c>
      <c r="L548" s="298"/>
      <c r="M548" s="298"/>
      <c r="Q548" s="542">
        <f t="shared" si="321"/>
        <v>0</v>
      </c>
      <c r="U548" s="298"/>
      <c r="V548" s="298"/>
      <c r="X548" s="298"/>
      <c r="Y548" s="298"/>
      <c r="AC548" s="451">
        <f t="shared" si="310"/>
        <v>0</v>
      </c>
    </row>
    <row r="549" spans="1:40" x14ac:dyDescent="0.25">
      <c r="A549" s="542"/>
      <c r="I549" s="451">
        <f t="shared" si="309"/>
        <v>0</v>
      </c>
      <c r="L549" s="298"/>
      <c r="M549" s="298"/>
      <c r="Q549" s="542">
        <f t="shared" si="321"/>
        <v>0</v>
      </c>
      <c r="U549" s="298"/>
      <c r="V549" s="298"/>
      <c r="X549" s="298"/>
      <c r="Y549" s="298"/>
      <c r="AC549" s="451">
        <f t="shared" si="310"/>
        <v>0</v>
      </c>
    </row>
    <row r="550" spans="1:40" x14ac:dyDescent="0.25">
      <c r="A550" s="542"/>
      <c r="I550" s="451">
        <f t="shared" si="309"/>
        <v>0</v>
      </c>
      <c r="L550" s="298"/>
      <c r="M550" s="298"/>
      <c r="Q550" s="542">
        <f t="shared" si="321"/>
        <v>0</v>
      </c>
      <c r="U550" s="298"/>
      <c r="V550" s="298"/>
      <c r="X550" s="298"/>
      <c r="Y550" s="298"/>
      <c r="AC550" s="451">
        <f t="shared" si="310"/>
        <v>0</v>
      </c>
    </row>
    <row r="551" spans="1:40" x14ac:dyDescent="0.25">
      <c r="A551" s="542"/>
      <c r="I551" s="451">
        <f t="shared" si="309"/>
        <v>0</v>
      </c>
      <c r="L551" s="298"/>
      <c r="M551" s="298"/>
      <c r="Q551" s="542">
        <f t="shared" si="321"/>
        <v>0</v>
      </c>
      <c r="U551" s="298"/>
      <c r="V551" s="298"/>
      <c r="X551" s="298"/>
      <c r="Y551" s="298"/>
      <c r="AC551" s="451">
        <f t="shared" si="310"/>
        <v>0</v>
      </c>
    </row>
    <row r="552" spans="1:40" x14ac:dyDescent="0.25">
      <c r="A552" s="542"/>
      <c r="I552" s="451">
        <f t="shared" si="309"/>
        <v>0</v>
      </c>
      <c r="L552" s="298"/>
      <c r="M552" s="298"/>
      <c r="Q552" s="542">
        <f t="shared" si="321"/>
        <v>0</v>
      </c>
      <c r="U552" s="298"/>
      <c r="V552" s="298"/>
      <c r="X552" s="298"/>
      <c r="Y552" s="298"/>
      <c r="AC552" s="451">
        <f t="shared" si="310"/>
        <v>0</v>
      </c>
    </row>
    <row r="553" spans="1:40" x14ac:dyDescent="0.25">
      <c r="A553" s="542"/>
      <c r="I553" s="451">
        <f t="shared" si="309"/>
        <v>0</v>
      </c>
      <c r="L553" s="298"/>
      <c r="M553" s="298"/>
      <c r="Q553" s="542">
        <f t="shared" si="321"/>
        <v>0</v>
      </c>
      <c r="U553" s="298"/>
      <c r="V553" s="298"/>
      <c r="X553" s="298"/>
      <c r="Y553" s="298"/>
      <c r="AC553" s="451">
        <f t="shared" si="310"/>
        <v>0</v>
      </c>
    </row>
    <row r="554" spans="1:40" ht="15.75" thickBot="1" x14ac:dyDescent="0.3">
      <c r="A554" s="545"/>
      <c r="B554" s="371"/>
      <c r="C554" s="21"/>
      <c r="D554" s="21"/>
      <c r="E554" s="21"/>
      <c r="F554" s="371"/>
      <c r="G554" s="371"/>
      <c r="H554" s="371"/>
      <c r="I554" s="451">
        <f t="shared" si="309"/>
        <v>0</v>
      </c>
      <c r="J554" s="371"/>
      <c r="K554" s="21"/>
      <c r="L554" s="371"/>
      <c r="M554" s="371"/>
      <c r="N554" s="371"/>
      <c r="O554" s="371"/>
      <c r="P554" s="371"/>
      <c r="Q554" s="545">
        <f t="shared" si="321"/>
        <v>0</v>
      </c>
      <c r="R554" s="371"/>
      <c r="S554" s="536"/>
      <c r="T554" s="21"/>
      <c r="U554" s="371"/>
      <c r="V554" s="371"/>
      <c r="W554" s="21"/>
      <c r="X554" s="371"/>
      <c r="Y554" s="371"/>
      <c r="Z554" s="371"/>
      <c r="AA554" s="371"/>
      <c r="AB554" s="371"/>
      <c r="AC554" s="451">
        <f t="shared" si="310"/>
        <v>0</v>
      </c>
      <c r="AD554" s="371"/>
      <c r="AE554" s="371"/>
      <c r="AF554" s="371"/>
      <c r="AG554" s="21"/>
      <c r="AH554" s="21"/>
      <c r="AI554" s="23"/>
      <c r="AJ554" s="21"/>
      <c r="AK554" s="21"/>
      <c r="AL554" s="371"/>
      <c r="AM554" s="371"/>
      <c r="AN554" s="21"/>
    </row>
    <row r="555" spans="1:40" x14ac:dyDescent="0.25">
      <c r="A555" s="542"/>
      <c r="I555" s="451">
        <f t="shared" ref="I555:I618" si="328">IF(MOD(AC555,12)=0,AC555/12,I554)</f>
        <v>0</v>
      </c>
      <c r="L555" s="298"/>
      <c r="M555" s="298"/>
      <c r="Q555" s="542">
        <f t="shared" si="321"/>
        <v>0</v>
      </c>
      <c r="U555" s="298"/>
      <c r="V555" s="298"/>
      <c r="X555" s="298"/>
      <c r="Y555" s="298"/>
      <c r="AC555" s="451">
        <f t="shared" ref="AC555:AC618" si="329">IF(J555&lt;&gt;"",IF(J555=$J$6,0,+AC554+1),0)</f>
        <v>0</v>
      </c>
    </row>
    <row r="556" spans="1:40" x14ac:dyDescent="0.25">
      <c r="A556" s="542"/>
      <c r="I556" s="451">
        <f t="shared" si="328"/>
        <v>0</v>
      </c>
      <c r="L556" s="298"/>
      <c r="M556" s="298"/>
      <c r="Q556" s="542">
        <f t="shared" si="321"/>
        <v>0</v>
      </c>
      <c r="U556" s="298"/>
      <c r="V556" s="298"/>
      <c r="X556" s="298"/>
      <c r="Y556" s="298"/>
      <c r="AC556" s="451">
        <f t="shared" si="329"/>
        <v>0</v>
      </c>
    </row>
    <row r="557" spans="1:40" x14ac:dyDescent="0.25">
      <c r="A557" s="542"/>
      <c r="I557" s="451">
        <f t="shared" si="328"/>
        <v>0</v>
      </c>
      <c r="L557" s="298"/>
      <c r="M557" s="298"/>
      <c r="Q557" s="542">
        <f t="shared" si="321"/>
        <v>0</v>
      </c>
      <c r="U557" s="298"/>
      <c r="V557" s="298"/>
      <c r="X557" s="298"/>
      <c r="Y557" s="298"/>
      <c r="AC557" s="451">
        <f t="shared" si="329"/>
        <v>0</v>
      </c>
    </row>
    <row r="558" spans="1:40" x14ac:dyDescent="0.25">
      <c r="A558" s="542"/>
      <c r="I558" s="451">
        <f t="shared" si="328"/>
        <v>0</v>
      </c>
      <c r="L558" s="298"/>
      <c r="M558" s="298"/>
      <c r="Q558" s="542">
        <f t="shared" si="321"/>
        <v>0</v>
      </c>
      <c r="U558" s="298"/>
      <c r="V558" s="298"/>
      <c r="X558" s="298"/>
      <c r="Y558" s="298"/>
      <c r="AC558" s="451">
        <f t="shared" si="329"/>
        <v>0</v>
      </c>
    </row>
    <row r="559" spans="1:40" x14ac:dyDescent="0.25">
      <c r="A559" s="542"/>
      <c r="I559" s="451">
        <f t="shared" si="328"/>
        <v>0</v>
      </c>
      <c r="L559" s="298"/>
      <c r="M559" s="298"/>
      <c r="Q559" s="542">
        <f t="shared" si="321"/>
        <v>0</v>
      </c>
      <c r="U559" s="298"/>
      <c r="V559" s="298"/>
      <c r="X559" s="298"/>
      <c r="Y559" s="298"/>
      <c r="AC559" s="451">
        <f t="shared" si="329"/>
        <v>0</v>
      </c>
    </row>
    <row r="560" spans="1:40" x14ac:dyDescent="0.25">
      <c r="A560" s="542"/>
      <c r="I560" s="451">
        <f t="shared" si="328"/>
        <v>0</v>
      </c>
      <c r="L560" s="298"/>
      <c r="M560" s="298"/>
      <c r="Q560" s="542">
        <f t="shared" si="321"/>
        <v>0</v>
      </c>
      <c r="U560" s="298"/>
      <c r="V560" s="298"/>
      <c r="X560" s="298"/>
      <c r="Y560" s="298"/>
      <c r="AC560" s="451">
        <f t="shared" si="329"/>
        <v>0</v>
      </c>
    </row>
    <row r="561" spans="1:40" x14ac:dyDescent="0.25">
      <c r="A561" s="542"/>
      <c r="I561" s="451">
        <f t="shared" si="328"/>
        <v>0</v>
      </c>
      <c r="L561" s="298"/>
      <c r="M561" s="298"/>
      <c r="Q561" s="542">
        <f t="shared" si="321"/>
        <v>0</v>
      </c>
      <c r="U561" s="298"/>
      <c r="V561" s="298"/>
      <c r="X561" s="298"/>
      <c r="Y561" s="298"/>
      <c r="AC561" s="451">
        <f t="shared" si="329"/>
        <v>0</v>
      </c>
    </row>
    <row r="562" spans="1:40" x14ac:dyDescent="0.25">
      <c r="A562" s="542"/>
      <c r="I562" s="451">
        <f t="shared" si="328"/>
        <v>0</v>
      </c>
      <c r="L562" s="298"/>
      <c r="M562" s="298"/>
      <c r="Q562" s="542">
        <f t="shared" si="321"/>
        <v>0</v>
      </c>
      <c r="U562" s="298"/>
      <c r="V562" s="298"/>
      <c r="X562" s="298"/>
      <c r="Y562" s="298"/>
      <c r="AC562" s="451">
        <f t="shared" si="329"/>
        <v>0</v>
      </c>
    </row>
    <row r="563" spans="1:40" x14ac:dyDescent="0.25">
      <c r="A563" s="542"/>
      <c r="I563" s="451">
        <f t="shared" si="328"/>
        <v>0</v>
      </c>
      <c r="L563" s="298"/>
      <c r="M563" s="298"/>
      <c r="Q563" s="542">
        <f t="shared" si="321"/>
        <v>0</v>
      </c>
      <c r="U563" s="298"/>
      <c r="V563" s="298"/>
      <c r="X563" s="298"/>
      <c r="Y563" s="298"/>
      <c r="AC563" s="451">
        <f t="shared" si="329"/>
        <v>0</v>
      </c>
    </row>
    <row r="564" spans="1:40" x14ac:dyDescent="0.25">
      <c r="A564" s="542"/>
      <c r="I564" s="451">
        <f t="shared" si="328"/>
        <v>0</v>
      </c>
      <c r="L564" s="298"/>
      <c r="M564" s="298"/>
      <c r="Q564" s="542">
        <f t="shared" si="321"/>
        <v>0</v>
      </c>
      <c r="U564" s="298"/>
      <c r="V564" s="298"/>
      <c r="X564" s="298"/>
      <c r="Y564" s="298"/>
      <c r="AC564" s="451">
        <f t="shared" si="329"/>
        <v>0</v>
      </c>
    </row>
    <row r="565" spans="1:40" x14ac:dyDescent="0.25">
      <c r="A565" s="542"/>
      <c r="I565" s="451">
        <f t="shared" si="328"/>
        <v>0</v>
      </c>
      <c r="L565" s="298"/>
      <c r="M565" s="298"/>
      <c r="Q565" s="542">
        <f t="shared" si="321"/>
        <v>0</v>
      </c>
      <c r="U565" s="298"/>
      <c r="V565" s="298"/>
      <c r="X565" s="298"/>
      <c r="Y565" s="298"/>
      <c r="AC565" s="451">
        <f t="shared" si="329"/>
        <v>0</v>
      </c>
    </row>
    <row r="566" spans="1:40" ht="15.75" thickBot="1" x14ac:dyDescent="0.3">
      <c r="A566" s="545"/>
      <c r="B566" s="371"/>
      <c r="C566" s="21"/>
      <c r="D566" s="21"/>
      <c r="E566" s="21"/>
      <c r="F566" s="371"/>
      <c r="G566" s="371"/>
      <c r="H566" s="371"/>
      <c r="I566" s="451">
        <f t="shared" si="328"/>
        <v>0</v>
      </c>
      <c r="J566" s="371"/>
      <c r="K566" s="21"/>
      <c r="L566" s="371"/>
      <c r="M566" s="371"/>
      <c r="N566" s="371"/>
      <c r="O566" s="371"/>
      <c r="P566" s="371"/>
      <c r="Q566" s="545">
        <f t="shared" si="321"/>
        <v>0</v>
      </c>
      <c r="R566" s="371"/>
      <c r="S566" s="536"/>
      <c r="T566" s="21"/>
      <c r="U566" s="371"/>
      <c r="V566" s="371"/>
      <c r="W566" s="21"/>
      <c r="X566" s="371"/>
      <c r="Y566" s="371"/>
      <c r="Z566" s="371"/>
      <c r="AA566" s="371"/>
      <c r="AB566" s="371"/>
      <c r="AC566" s="451">
        <f t="shared" si="329"/>
        <v>0</v>
      </c>
      <c r="AD566" s="371"/>
      <c r="AE566" s="371"/>
      <c r="AF566" s="371"/>
      <c r="AG566" s="21"/>
      <c r="AH566" s="21"/>
      <c r="AI566" s="23"/>
      <c r="AJ566" s="21"/>
      <c r="AK566" s="21"/>
      <c r="AL566" s="371"/>
      <c r="AM566" s="371"/>
      <c r="AN566" s="21"/>
    </row>
    <row r="567" spans="1:40" x14ac:dyDescent="0.25">
      <c r="A567" s="542"/>
      <c r="I567" s="451">
        <f t="shared" si="328"/>
        <v>0</v>
      </c>
      <c r="L567" s="298"/>
      <c r="M567" s="298"/>
      <c r="Q567" s="542">
        <f t="shared" si="321"/>
        <v>0</v>
      </c>
      <c r="U567" s="298"/>
      <c r="V567" s="298"/>
      <c r="X567" s="298"/>
      <c r="Y567" s="298"/>
      <c r="AC567" s="451">
        <f t="shared" si="329"/>
        <v>0</v>
      </c>
    </row>
    <row r="568" spans="1:40" x14ac:dyDescent="0.25">
      <c r="A568" s="542"/>
      <c r="I568" s="451">
        <f t="shared" si="328"/>
        <v>0</v>
      </c>
      <c r="L568" s="298"/>
      <c r="M568" s="298"/>
      <c r="Q568" s="542">
        <f t="shared" si="321"/>
        <v>0</v>
      </c>
      <c r="U568" s="298"/>
      <c r="V568" s="298"/>
      <c r="X568" s="298"/>
      <c r="Y568" s="298"/>
      <c r="AC568" s="451">
        <f t="shared" si="329"/>
        <v>0</v>
      </c>
    </row>
    <row r="569" spans="1:40" x14ac:dyDescent="0.25">
      <c r="A569" s="542"/>
      <c r="I569" s="451">
        <f t="shared" si="328"/>
        <v>0</v>
      </c>
      <c r="L569" s="298"/>
      <c r="M569" s="298"/>
      <c r="Q569" s="542">
        <f t="shared" si="321"/>
        <v>0</v>
      </c>
      <c r="U569" s="298"/>
      <c r="V569" s="298"/>
      <c r="X569" s="298"/>
      <c r="Y569" s="298"/>
      <c r="AC569" s="451">
        <f t="shared" si="329"/>
        <v>0</v>
      </c>
    </row>
    <row r="570" spans="1:40" x14ac:dyDescent="0.25">
      <c r="A570" s="542"/>
      <c r="I570" s="451">
        <f t="shared" si="328"/>
        <v>0</v>
      </c>
      <c r="L570" s="298"/>
      <c r="M570" s="298"/>
      <c r="Q570" s="542">
        <f t="shared" si="321"/>
        <v>0</v>
      </c>
      <c r="U570" s="298"/>
      <c r="V570" s="298"/>
      <c r="X570" s="298"/>
      <c r="Y570" s="298"/>
      <c r="AC570" s="451">
        <f t="shared" si="329"/>
        <v>0</v>
      </c>
    </row>
    <row r="571" spans="1:40" x14ac:dyDescent="0.25">
      <c r="A571" s="542"/>
      <c r="I571" s="451">
        <f t="shared" si="328"/>
        <v>0</v>
      </c>
      <c r="L571" s="298"/>
      <c r="M571" s="298"/>
      <c r="Q571" s="542">
        <f t="shared" si="321"/>
        <v>0</v>
      </c>
      <c r="U571" s="298"/>
      <c r="V571" s="298"/>
      <c r="X571" s="298"/>
      <c r="Y571" s="298"/>
      <c r="AC571" s="451">
        <f t="shared" si="329"/>
        <v>0</v>
      </c>
    </row>
    <row r="572" spans="1:40" x14ac:dyDescent="0.25">
      <c r="A572" s="542"/>
      <c r="I572" s="451">
        <f t="shared" si="328"/>
        <v>0</v>
      </c>
      <c r="L572" s="298"/>
      <c r="M572" s="298"/>
      <c r="Q572" s="542">
        <f t="shared" si="321"/>
        <v>0</v>
      </c>
      <c r="U572" s="298"/>
      <c r="V572" s="298"/>
      <c r="X572" s="298"/>
      <c r="Y572" s="298"/>
      <c r="AC572" s="451">
        <f t="shared" si="329"/>
        <v>0</v>
      </c>
    </row>
    <row r="573" spans="1:40" x14ac:dyDescent="0.25">
      <c r="A573" s="542"/>
      <c r="I573" s="451">
        <f t="shared" si="328"/>
        <v>0</v>
      </c>
      <c r="L573" s="298"/>
      <c r="M573" s="298"/>
      <c r="Q573" s="542">
        <f t="shared" si="321"/>
        <v>0</v>
      </c>
      <c r="U573" s="298"/>
      <c r="V573" s="298"/>
      <c r="X573" s="298"/>
      <c r="Y573" s="298"/>
      <c r="AC573" s="451">
        <f t="shared" si="329"/>
        <v>0</v>
      </c>
    </row>
    <row r="574" spans="1:40" x14ac:dyDescent="0.25">
      <c r="A574" s="542"/>
      <c r="I574" s="451">
        <f t="shared" si="328"/>
        <v>0</v>
      </c>
      <c r="L574" s="298"/>
      <c r="M574" s="298"/>
      <c r="Q574" s="542">
        <f t="shared" si="321"/>
        <v>0</v>
      </c>
      <c r="U574" s="298"/>
      <c r="V574" s="298"/>
      <c r="X574" s="298"/>
      <c r="Y574" s="298"/>
      <c r="AC574" s="451">
        <f t="shared" si="329"/>
        <v>0</v>
      </c>
    </row>
    <row r="575" spans="1:40" x14ac:dyDescent="0.25">
      <c r="A575" s="542"/>
      <c r="I575" s="451">
        <f t="shared" si="328"/>
        <v>0</v>
      </c>
      <c r="L575" s="298"/>
      <c r="M575" s="298"/>
      <c r="Q575" s="542">
        <f t="shared" si="321"/>
        <v>0</v>
      </c>
      <c r="U575" s="298"/>
      <c r="V575" s="298"/>
      <c r="X575" s="298"/>
      <c r="Y575" s="298"/>
      <c r="AC575" s="451">
        <f t="shared" si="329"/>
        <v>0</v>
      </c>
    </row>
    <row r="576" spans="1:40" x14ac:dyDescent="0.25">
      <c r="A576" s="542"/>
      <c r="I576" s="451">
        <f t="shared" si="328"/>
        <v>0</v>
      </c>
      <c r="L576" s="298"/>
      <c r="M576" s="298"/>
      <c r="Q576" s="542">
        <f t="shared" si="321"/>
        <v>0</v>
      </c>
      <c r="U576" s="298"/>
      <c r="V576" s="298"/>
      <c r="X576" s="298"/>
      <c r="Y576" s="298"/>
      <c r="AC576" s="451">
        <f t="shared" si="329"/>
        <v>0</v>
      </c>
    </row>
    <row r="577" spans="1:40" x14ac:dyDescent="0.25">
      <c r="A577" s="542"/>
      <c r="I577" s="451">
        <f t="shared" si="328"/>
        <v>0</v>
      </c>
      <c r="L577" s="298"/>
      <c r="M577" s="298"/>
      <c r="Q577" s="542">
        <f t="shared" si="321"/>
        <v>0</v>
      </c>
      <c r="U577" s="298"/>
      <c r="V577" s="298"/>
      <c r="X577" s="298"/>
      <c r="Y577" s="298"/>
      <c r="AC577" s="451">
        <f t="shared" si="329"/>
        <v>0</v>
      </c>
    </row>
    <row r="578" spans="1:40" ht="15.75" thickBot="1" x14ac:dyDescent="0.3">
      <c r="A578" s="545"/>
      <c r="B578" s="371"/>
      <c r="C578" s="21"/>
      <c r="D578" s="21"/>
      <c r="E578" s="21"/>
      <c r="F578" s="371"/>
      <c r="G578" s="371"/>
      <c r="H578" s="371"/>
      <c r="I578" s="451">
        <f t="shared" si="328"/>
        <v>0</v>
      </c>
      <c r="J578" s="371"/>
      <c r="K578" s="21"/>
      <c r="L578" s="371"/>
      <c r="M578" s="371"/>
      <c r="N578" s="371"/>
      <c r="O578" s="371"/>
      <c r="P578" s="371"/>
      <c r="Q578" s="545">
        <f t="shared" si="321"/>
        <v>0</v>
      </c>
      <c r="R578" s="371"/>
      <c r="S578" s="536"/>
      <c r="T578" s="21"/>
      <c r="U578" s="371"/>
      <c r="V578" s="371"/>
      <c r="W578" s="21"/>
      <c r="X578" s="371"/>
      <c r="Y578" s="371"/>
      <c r="Z578" s="371"/>
      <c r="AA578" s="371"/>
      <c r="AB578" s="371"/>
      <c r="AC578" s="451">
        <f t="shared" si="329"/>
        <v>0</v>
      </c>
      <c r="AD578" s="371"/>
      <c r="AE578" s="371"/>
      <c r="AF578" s="371"/>
      <c r="AG578" s="21"/>
      <c r="AH578" s="21"/>
      <c r="AI578" s="23"/>
      <c r="AJ578" s="21"/>
      <c r="AK578" s="21"/>
      <c r="AL578" s="371"/>
      <c r="AM578" s="371"/>
      <c r="AN578" s="21"/>
    </row>
    <row r="579" spans="1:40" x14ac:dyDescent="0.25">
      <c r="A579" s="542"/>
      <c r="I579" s="451">
        <f t="shared" si="328"/>
        <v>0</v>
      </c>
      <c r="L579" s="298"/>
      <c r="M579" s="298"/>
      <c r="Q579" s="542">
        <f t="shared" si="321"/>
        <v>0</v>
      </c>
      <c r="U579" s="298"/>
      <c r="V579" s="298"/>
      <c r="X579" s="298"/>
      <c r="Y579" s="298"/>
      <c r="AC579" s="451">
        <f t="shared" si="329"/>
        <v>0</v>
      </c>
    </row>
    <row r="580" spans="1:40" x14ac:dyDescent="0.25">
      <c r="A580" s="542"/>
      <c r="I580" s="451">
        <f t="shared" si="328"/>
        <v>0</v>
      </c>
      <c r="L580" s="298"/>
      <c r="M580" s="298"/>
      <c r="Q580" s="542">
        <f t="shared" si="321"/>
        <v>0</v>
      </c>
      <c r="U580" s="298"/>
      <c r="V580" s="298"/>
      <c r="X580" s="298"/>
      <c r="Y580" s="298"/>
      <c r="AC580" s="451">
        <f t="shared" si="329"/>
        <v>0</v>
      </c>
    </row>
    <row r="581" spans="1:40" x14ac:dyDescent="0.25">
      <c r="A581" s="542"/>
      <c r="I581" s="451">
        <f t="shared" si="328"/>
        <v>0</v>
      </c>
      <c r="L581" s="298"/>
      <c r="M581" s="298"/>
      <c r="Q581" s="542">
        <f t="shared" si="321"/>
        <v>0</v>
      </c>
      <c r="U581" s="298"/>
      <c r="V581" s="298"/>
      <c r="X581" s="298"/>
      <c r="Y581" s="298"/>
      <c r="AC581" s="451">
        <f t="shared" si="329"/>
        <v>0</v>
      </c>
    </row>
    <row r="582" spans="1:40" x14ac:dyDescent="0.25">
      <c r="A582" s="542"/>
      <c r="I582" s="451">
        <f t="shared" si="328"/>
        <v>0</v>
      </c>
      <c r="L582" s="298"/>
      <c r="M582" s="298"/>
      <c r="Q582" s="542">
        <f t="shared" si="321"/>
        <v>0</v>
      </c>
      <c r="U582" s="298"/>
      <c r="V582" s="298"/>
      <c r="X582" s="298"/>
      <c r="Y582" s="298"/>
      <c r="AC582" s="451">
        <f t="shared" si="329"/>
        <v>0</v>
      </c>
    </row>
    <row r="583" spans="1:40" x14ac:dyDescent="0.25">
      <c r="A583" s="542"/>
      <c r="I583" s="451">
        <f t="shared" si="328"/>
        <v>0</v>
      </c>
      <c r="L583" s="298"/>
      <c r="M583" s="298"/>
      <c r="Q583" s="542">
        <f t="shared" si="321"/>
        <v>0</v>
      </c>
      <c r="U583" s="298"/>
      <c r="V583" s="298"/>
      <c r="X583" s="298"/>
      <c r="Y583" s="298"/>
      <c r="AC583" s="451">
        <f t="shared" si="329"/>
        <v>0</v>
      </c>
    </row>
    <row r="584" spans="1:40" x14ac:dyDescent="0.25">
      <c r="A584" s="542"/>
      <c r="I584" s="451">
        <f t="shared" si="328"/>
        <v>0</v>
      </c>
      <c r="L584" s="298"/>
      <c r="M584" s="298"/>
      <c r="Q584" s="542">
        <f t="shared" si="321"/>
        <v>0</v>
      </c>
      <c r="U584" s="298"/>
      <c r="V584" s="298"/>
      <c r="X584" s="298"/>
      <c r="Y584" s="298"/>
      <c r="AC584" s="451">
        <f t="shared" si="329"/>
        <v>0</v>
      </c>
    </row>
    <row r="585" spans="1:40" x14ac:dyDescent="0.25">
      <c r="A585" s="542"/>
      <c r="I585" s="451">
        <f t="shared" si="328"/>
        <v>0</v>
      </c>
      <c r="L585" s="298"/>
      <c r="M585" s="298"/>
      <c r="Q585" s="542">
        <f t="shared" si="321"/>
        <v>0</v>
      </c>
      <c r="U585" s="298"/>
      <c r="V585" s="298"/>
      <c r="X585" s="298"/>
      <c r="Y585" s="298"/>
      <c r="AC585" s="451">
        <f t="shared" si="329"/>
        <v>0</v>
      </c>
    </row>
    <row r="586" spans="1:40" x14ac:dyDescent="0.25">
      <c r="A586" s="542"/>
      <c r="I586" s="451">
        <f t="shared" si="328"/>
        <v>0</v>
      </c>
      <c r="L586" s="298"/>
      <c r="M586" s="298"/>
      <c r="Q586" s="542">
        <f t="shared" si="321"/>
        <v>0</v>
      </c>
      <c r="U586" s="298"/>
      <c r="V586" s="298"/>
      <c r="X586" s="298"/>
      <c r="Y586" s="298"/>
      <c r="AC586" s="451">
        <f t="shared" si="329"/>
        <v>0</v>
      </c>
    </row>
    <row r="587" spans="1:40" x14ac:dyDescent="0.25">
      <c r="A587" s="542"/>
      <c r="I587" s="451">
        <f t="shared" si="328"/>
        <v>0</v>
      </c>
      <c r="L587" s="298"/>
      <c r="M587" s="298"/>
      <c r="Q587" s="542">
        <f t="shared" si="321"/>
        <v>0</v>
      </c>
      <c r="U587" s="298"/>
      <c r="V587" s="298"/>
      <c r="X587" s="298"/>
      <c r="Y587" s="298"/>
      <c r="AC587" s="451">
        <f t="shared" si="329"/>
        <v>0</v>
      </c>
    </row>
    <row r="588" spans="1:40" x14ac:dyDescent="0.25">
      <c r="A588" s="542"/>
      <c r="I588" s="451">
        <f t="shared" si="328"/>
        <v>0</v>
      </c>
      <c r="L588" s="298"/>
      <c r="M588" s="298"/>
      <c r="Q588" s="542">
        <f t="shared" si="321"/>
        <v>0</v>
      </c>
      <c r="U588" s="298"/>
      <c r="V588" s="298"/>
      <c r="X588" s="298"/>
      <c r="Y588" s="298"/>
      <c r="AC588" s="451">
        <f t="shared" si="329"/>
        <v>0</v>
      </c>
    </row>
    <row r="589" spans="1:40" x14ac:dyDescent="0.25">
      <c r="A589" s="542"/>
      <c r="I589" s="451">
        <f t="shared" si="328"/>
        <v>0</v>
      </c>
      <c r="L589" s="298"/>
      <c r="M589" s="298"/>
      <c r="Q589" s="542">
        <f t="shared" si="321"/>
        <v>0</v>
      </c>
      <c r="U589" s="298"/>
      <c r="V589" s="298"/>
      <c r="X589" s="298"/>
      <c r="Y589" s="298"/>
      <c r="AC589" s="451">
        <f t="shared" si="329"/>
        <v>0</v>
      </c>
    </row>
    <row r="590" spans="1:40" ht="15.75" thickBot="1" x14ac:dyDescent="0.3">
      <c r="A590" s="545"/>
      <c r="B590" s="371"/>
      <c r="C590" s="21"/>
      <c r="D590" s="21"/>
      <c r="E590" s="21"/>
      <c r="F590" s="371"/>
      <c r="G590" s="371"/>
      <c r="H590" s="371"/>
      <c r="I590" s="451">
        <f t="shared" si="328"/>
        <v>0</v>
      </c>
      <c r="J590" s="371"/>
      <c r="K590" s="21"/>
      <c r="L590" s="371"/>
      <c r="M590" s="371"/>
      <c r="N590" s="371"/>
      <c r="O590" s="371"/>
      <c r="P590" s="371"/>
      <c r="Q590" s="545">
        <f t="shared" si="321"/>
        <v>0</v>
      </c>
      <c r="R590" s="371"/>
      <c r="S590" s="536"/>
      <c r="T590" s="21"/>
      <c r="U590" s="371"/>
      <c r="V590" s="371"/>
      <c r="W590" s="21"/>
      <c r="X590" s="371"/>
      <c r="Y590" s="371"/>
      <c r="Z590" s="371"/>
      <c r="AA590" s="371"/>
      <c r="AB590" s="371"/>
      <c r="AC590" s="451">
        <f t="shared" si="329"/>
        <v>0</v>
      </c>
      <c r="AD590" s="371"/>
      <c r="AE590" s="371"/>
      <c r="AF590" s="371"/>
      <c r="AG590" s="21"/>
      <c r="AH590" s="21"/>
      <c r="AI590" s="23"/>
      <c r="AJ590" s="21"/>
      <c r="AK590" s="21"/>
      <c r="AL590" s="371"/>
      <c r="AM590" s="371"/>
      <c r="AN590" s="21"/>
    </row>
    <row r="591" spans="1:40" x14ac:dyDescent="0.25">
      <c r="A591" s="542"/>
      <c r="I591" s="451">
        <f t="shared" si="328"/>
        <v>0</v>
      </c>
      <c r="L591" s="298"/>
      <c r="M591" s="298"/>
      <c r="Q591" s="542">
        <f t="shared" ref="Q591:Q654" si="330">+A591</f>
        <v>0</v>
      </c>
      <c r="U591" s="298"/>
      <c r="V591" s="298"/>
      <c r="X591" s="298"/>
      <c r="Y591" s="298"/>
      <c r="AC591" s="451">
        <f t="shared" si="329"/>
        <v>0</v>
      </c>
    </row>
    <row r="592" spans="1:40" x14ac:dyDescent="0.25">
      <c r="A592" s="542"/>
      <c r="I592" s="451">
        <f t="shared" si="328"/>
        <v>0</v>
      </c>
      <c r="L592" s="298"/>
      <c r="M592" s="298"/>
      <c r="Q592" s="542">
        <f t="shared" si="330"/>
        <v>0</v>
      </c>
      <c r="U592" s="298"/>
      <c r="V592" s="298"/>
      <c r="X592" s="298"/>
      <c r="Y592" s="298"/>
      <c r="AC592" s="451">
        <f t="shared" si="329"/>
        <v>0</v>
      </c>
    </row>
    <row r="593" spans="1:40" x14ac:dyDescent="0.25">
      <c r="A593" s="542"/>
      <c r="I593" s="451">
        <f t="shared" si="328"/>
        <v>0</v>
      </c>
      <c r="L593" s="298"/>
      <c r="M593" s="298"/>
      <c r="Q593" s="542">
        <f t="shared" si="330"/>
        <v>0</v>
      </c>
      <c r="U593" s="298"/>
      <c r="V593" s="298"/>
      <c r="X593" s="298"/>
      <c r="Y593" s="298"/>
      <c r="AC593" s="451">
        <f t="shared" si="329"/>
        <v>0</v>
      </c>
    </row>
    <row r="594" spans="1:40" x14ac:dyDescent="0.25">
      <c r="A594" s="542"/>
      <c r="I594" s="451">
        <f t="shared" si="328"/>
        <v>0</v>
      </c>
      <c r="L594" s="298"/>
      <c r="M594" s="298"/>
      <c r="Q594" s="542">
        <f t="shared" si="330"/>
        <v>0</v>
      </c>
      <c r="U594" s="298"/>
      <c r="V594" s="298"/>
      <c r="X594" s="298"/>
      <c r="Y594" s="298"/>
      <c r="AC594" s="451">
        <f t="shared" si="329"/>
        <v>0</v>
      </c>
    </row>
    <row r="595" spans="1:40" x14ac:dyDescent="0.25">
      <c r="A595" s="542"/>
      <c r="I595" s="451">
        <f t="shared" si="328"/>
        <v>0</v>
      </c>
      <c r="L595" s="298"/>
      <c r="M595" s="298"/>
      <c r="Q595" s="542">
        <f t="shared" si="330"/>
        <v>0</v>
      </c>
      <c r="U595" s="298"/>
      <c r="V595" s="298"/>
      <c r="X595" s="298"/>
      <c r="Y595" s="298"/>
      <c r="AC595" s="451">
        <f t="shared" si="329"/>
        <v>0</v>
      </c>
    </row>
    <row r="596" spans="1:40" x14ac:dyDescent="0.25">
      <c r="A596" s="542"/>
      <c r="I596" s="451">
        <f t="shared" si="328"/>
        <v>0</v>
      </c>
      <c r="L596" s="298"/>
      <c r="M596" s="298"/>
      <c r="Q596" s="542">
        <f t="shared" si="330"/>
        <v>0</v>
      </c>
      <c r="U596" s="298"/>
      <c r="V596" s="298"/>
      <c r="X596" s="298"/>
      <c r="Y596" s="298"/>
      <c r="AC596" s="451">
        <f t="shared" si="329"/>
        <v>0</v>
      </c>
    </row>
    <row r="597" spans="1:40" x14ac:dyDescent="0.25">
      <c r="A597" s="542"/>
      <c r="I597" s="451">
        <f t="shared" si="328"/>
        <v>0</v>
      </c>
      <c r="L597" s="298"/>
      <c r="M597" s="298"/>
      <c r="Q597" s="542">
        <f t="shared" si="330"/>
        <v>0</v>
      </c>
      <c r="U597" s="298"/>
      <c r="V597" s="298"/>
      <c r="X597" s="298"/>
      <c r="Y597" s="298"/>
      <c r="AC597" s="451">
        <f t="shared" si="329"/>
        <v>0</v>
      </c>
    </row>
    <row r="598" spans="1:40" x14ac:dyDescent="0.25">
      <c r="A598" s="542"/>
      <c r="I598" s="451">
        <f t="shared" si="328"/>
        <v>0</v>
      </c>
      <c r="L598" s="298"/>
      <c r="M598" s="298"/>
      <c r="Q598" s="542">
        <f t="shared" si="330"/>
        <v>0</v>
      </c>
      <c r="U598" s="298"/>
      <c r="V598" s="298"/>
      <c r="X598" s="298"/>
      <c r="Y598" s="298"/>
      <c r="AC598" s="451">
        <f t="shared" si="329"/>
        <v>0</v>
      </c>
    </row>
    <row r="599" spans="1:40" x14ac:dyDescent="0.25">
      <c r="A599" s="542"/>
      <c r="I599" s="451">
        <f t="shared" si="328"/>
        <v>0</v>
      </c>
      <c r="L599" s="298"/>
      <c r="M599" s="298"/>
      <c r="Q599" s="542">
        <f t="shared" si="330"/>
        <v>0</v>
      </c>
      <c r="U599" s="298"/>
      <c r="V599" s="298"/>
      <c r="X599" s="298"/>
      <c r="Y599" s="298"/>
      <c r="AC599" s="451">
        <f t="shared" si="329"/>
        <v>0</v>
      </c>
    </row>
    <row r="600" spans="1:40" x14ac:dyDescent="0.25">
      <c r="A600" s="542"/>
      <c r="I600" s="451">
        <f t="shared" si="328"/>
        <v>0</v>
      </c>
      <c r="L600" s="298"/>
      <c r="M600" s="298"/>
      <c r="Q600" s="542">
        <f t="shared" si="330"/>
        <v>0</v>
      </c>
      <c r="U600" s="298"/>
      <c r="V600" s="298"/>
      <c r="X600" s="298"/>
      <c r="Y600" s="298"/>
      <c r="AC600" s="451">
        <f t="shared" si="329"/>
        <v>0</v>
      </c>
    </row>
    <row r="601" spans="1:40" x14ac:dyDescent="0.25">
      <c r="A601" s="542"/>
      <c r="I601" s="451">
        <f t="shared" si="328"/>
        <v>0</v>
      </c>
      <c r="L601" s="298"/>
      <c r="M601" s="298"/>
      <c r="Q601" s="542">
        <f t="shared" si="330"/>
        <v>0</v>
      </c>
      <c r="U601" s="298"/>
      <c r="V601" s="298"/>
      <c r="X601" s="298"/>
      <c r="Y601" s="298"/>
      <c r="AC601" s="451">
        <f t="shared" si="329"/>
        <v>0</v>
      </c>
    </row>
    <row r="602" spans="1:40" ht="15.75" thickBot="1" x14ac:dyDescent="0.3">
      <c r="A602" s="545"/>
      <c r="B602" s="371"/>
      <c r="C602" s="21"/>
      <c r="D602" s="21"/>
      <c r="E602" s="21"/>
      <c r="F602" s="371"/>
      <c r="G602" s="371"/>
      <c r="H602" s="371"/>
      <c r="I602" s="451">
        <f t="shared" si="328"/>
        <v>0</v>
      </c>
      <c r="J602" s="371"/>
      <c r="K602" s="21"/>
      <c r="L602" s="371"/>
      <c r="M602" s="371"/>
      <c r="N602" s="371"/>
      <c r="O602" s="371"/>
      <c r="P602" s="371"/>
      <c r="Q602" s="545">
        <f t="shared" si="330"/>
        <v>0</v>
      </c>
      <c r="R602" s="371"/>
      <c r="S602" s="536"/>
      <c r="T602" s="21"/>
      <c r="U602" s="371"/>
      <c r="V602" s="371"/>
      <c r="W602" s="21"/>
      <c r="X602" s="371"/>
      <c r="Y602" s="371"/>
      <c r="Z602" s="371"/>
      <c r="AA602" s="371"/>
      <c r="AB602" s="371"/>
      <c r="AC602" s="451">
        <f t="shared" si="329"/>
        <v>0</v>
      </c>
      <c r="AD602" s="371"/>
      <c r="AE602" s="371"/>
      <c r="AF602" s="371"/>
      <c r="AG602" s="21"/>
      <c r="AH602" s="21"/>
      <c r="AI602" s="23"/>
      <c r="AJ602" s="21"/>
      <c r="AK602" s="21"/>
      <c r="AL602" s="371"/>
      <c r="AM602" s="371"/>
      <c r="AN602" s="21"/>
    </row>
    <row r="603" spans="1:40" x14ac:dyDescent="0.25">
      <c r="A603" s="542"/>
      <c r="I603" s="451">
        <f t="shared" si="328"/>
        <v>0</v>
      </c>
      <c r="L603" s="298"/>
      <c r="M603" s="298"/>
      <c r="Q603" s="542">
        <f t="shared" si="330"/>
        <v>0</v>
      </c>
      <c r="U603" s="298"/>
      <c r="V603" s="298"/>
      <c r="X603" s="298"/>
      <c r="Y603" s="298"/>
      <c r="AC603" s="451">
        <f t="shared" si="329"/>
        <v>0</v>
      </c>
    </row>
    <row r="604" spans="1:40" x14ac:dyDescent="0.25">
      <c r="A604" s="542"/>
      <c r="I604" s="451">
        <f t="shared" si="328"/>
        <v>0</v>
      </c>
      <c r="L604" s="298"/>
      <c r="M604" s="298"/>
      <c r="Q604" s="542">
        <f t="shared" si="330"/>
        <v>0</v>
      </c>
      <c r="U604" s="298"/>
      <c r="V604" s="298"/>
      <c r="X604" s="298"/>
      <c r="Y604" s="298"/>
      <c r="AC604" s="451">
        <f t="shared" si="329"/>
        <v>0</v>
      </c>
    </row>
    <row r="605" spans="1:40" x14ac:dyDescent="0.25">
      <c r="A605" s="542"/>
      <c r="I605" s="451">
        <f t="shared" si="328"/>
        <v>0</v>
      </c>
      <c r="L605" s="298"/>
      <c r="M605" s="298"/>
      <c r="Q605" s="542">
        <f t="shared" si="330"/>
        <v>0</v>
      </c>
      <c r="U605" s="298"/>
      <c r="V605" s="298"/>
      <c r="X605" s="298"/>
      <c r="Y605" s="298"/>
      <c r="AC605" s="451">
        <f t="shared" si="329"/>
        <v>0</v>
      </c>
    </row>
    <row r="606" spans="1:40" x14ac:dyDescent="0.25">
      <c r="A606" s="542"/>
      <c r="I606" s="451">
        <f t="shared" si="328"/>
        <v>0</v>
      </c>
      <c r="L606" s="298"/>
      <c r="M606" s="298"/>
      <c r="Q606" s="542">
        <f t="shared" si="330"/>
        <v>0</v>
      </c>
      <c r="U606" s="298"/>
      <c r="V606" s="298"/>
      <c r="X606" s="298"/>
      <c r="Y606" s="298"/>
      <c r="AC606" s="451">
        <f t="shared" si="329"/>
        <v>0</v>
      </c>
    </row>
    <row r="607" spans="1:40" x14ac:dyDescent="0.25">
      <c r="A607" s="542"/>
      <c r="I607" s="451">
        <f t="shared" si="328"/>
        <v>0</v>
      </c>
      <c r="L607" s="298"/>
      <c r="M607" s="298"/>
      <c r="Q607" s="542">
        <f t="shared" si="330"/>
        <v>0</v>
      </c>
      <c r="U607" s="298"/>
      <c r="V607" s="298"/>
      <c r="X607" s="298"/>
      <c r="Y607" s="298"/>
      <c r="AC607" s="451">
        <f t="shared" si="329"/>
        <v>0</v>
      </c>
    </row>
    <row r="608" spans="1:40" x14ac:dyDescent="0.25">
      <c r="A608" s="542"/>
      <c r="I608" s="451">
        <f t="shared" si="328"/>
        <v>0</v>
      </c>
      <c r="L608" s="298"/>
      <c r="M608" s="298"/>
      <c r="Q608" s="542">
        <f t="shared" si="330"/>
        <v>0</v>
      </c>
      <c r="U608" s="298"/>
      <c r="V608" s="298"/>
      <c r="X608" s="298"/>
      <c r="Y608" s="298"/>
      <c r="AC608" s="451">
        <f t="shared" si="329"/>
        <v>0</v>
      </c>
    </row>
    <row r="609" spans="1:40" x14ac:dyDescent="0.25">
      <c r="A609" s="542"/>
      <c r="I609" s="451">
        <f t="shared" si="328"/>
        <v>0</v>
      </c>
      <c r="L609" s="298"/>
      <c r="M609" s="298"/>
      <c r="Q609" s="542">
        <f t="shared" si="330"/>
        <v>0</v>
      </c>
      <c r="U609" s="298"/>
      <c r="V609" s="298"/>
      <c r="X609" s="298"/>
      <c r="Y609" s="298"/>
      <c r="AC609" s="451">
        <f t="shared" si="329"/>
        <v>0</v>
      </c>
    </row>
    <row r="610" spans="1:40" x14ac:dyDescent="0.25">
      <c r="A610" s="542"/>
      <c r="I610" s="451">
        <f t="shared" si="328"/>
        <v>0</v>
      </c>
      <c r="L610" s="298"/>
      <c r="M610" s="298"/>
      <c r="Q610" s="542">
        <f t="shared" si="330"/>
        <v>0</v>
      </c>
      <c r="U610" s="298"/>
      <c r="V610" s="298"/>
      <c r="X610" s="298"/>
      <c r="Y610" s="298"/>
      <c r="AC610" s="451">
        <f t="shared" si="329"/>
        <v>0</v>
      </c>
    </row>
    <row r="611" spans="1:40" x14ac:dyDescent="0.25">
      <c r="A611" s="542"/>
      <c r="I611" s="451">
        <f t="shared" si="328"/>
        <v>0</v>
      </c>
      <c r="L611" s="298"/>
      <c r="M611" s="298"/>
      <c r="Q611" s="542">
        <f t="shared" si="330"/>
        <v>0</v>
      </c>
      <c r="U611" s="298"/>
      <c r="V611" s="298"/>
      <c r="X611" s="298"/>
      <c r="Y611" s="298"/>
      <c r="AC611" s="451">
        <f t="shared" si="329"/>
        <v>0</v>
      </c>
    </row>
    <row r="612" spans="1:40" x14ac:dyDescent="0.25">
      <c r="A612" s="542"/>
      <c r="I612" s="451">
        <f t="shared" si="328"/>
        <v>0</v>
      </c>
      <c r="L612" s="298"/>
      <c r="M612" s="298"/>
      <c r="Q612" s="542">
        <f t="shared" si="330"/>
        <v>0</v>
      </c>
      <c r="U612" s="298"/>
      <c r="V612" s="298"/>
      <c r="X612" s="298"/>
      <c r="Y612" s="298"/>
      <c r="AC612" s="451">
        <f t="shared" si="329"/>
        <v>0</v>
      </c>
    </row>
    <row r="613" spans="1:40" x14ac:dyDescent="0.25">
      <c r="A613" s="542"/>
      <c r="I613" s="451">
        <f t="shared" si="328"/>
        <v>0</v>
      </c>
      <c r="L613" s="298"/>
      <c r="M613" s="298"/>
      <c r="Q613" s="542">
        <f t="shared" si="330"/>
        <v>0</v>
      </c>
      <c r="U613" s="298"/>
      <c r="V613" s="298"/>
      <c r="X613" s="298"/>
      <c r="Y613" s="298"/>
      <c r="AC613" s="451">
        <f t="shared" si="329"/>
        <v>0</v>
      </c>
    </row>
    <row r="614" spans="1:40" ht="15.75" thickBot="1" x14ac:dyDescent="0.3">
      <c r="A614" s="545"/>
      <c r="B614" s="371"/>
      <c r="C614" s="21"/>
      <c r="D614" s="21"/>
      <c r="E614" s="21"/>
      <c r="F614" s="371"/>
      <c r="G614" s="371"/>
      <c r="H614" s="371"/>
      <c r="I614" s="451">
        <f t="shared" si="328"/>
        <v>0</v>
      </c>
      <c r="J614" s="371"/>
      <c r="K614" s="21"/>
      <c r="L614" s="371"/>
      <c r="M614" s="371"/>
      <c r="N614" s="371"/>
      <c r="O614" s="371"/>
      <c r="P614" s="371"/>
      <c r="Q614" s="545">
        <f t="shared" si="330"/>
        <v>0</v>
      </c>
      <c r="R614" s="371"/>
      <c r="S614" s="536"/>
      <c r="T614" s="21"/>
      <c r="U614" s="371"/>
      <c r="V614" s="371"/>
      <c r="W614" s="21"/>
      <c r="X614" s="371"/>
      <c r="Y614" s="371"/>
      <c r="Z614" s="371"/>
      <c r="AA614" s="371"/>
      <c r="AB614" s="371"/>
      <c r="AC614" s="451">
        <f t="shared" si="329"/>
        <v>0</v>
      </c>
      <c r="AD614" s="371"/>
      <c r="AE614" s="371"/>
      <c r="AF614" s="371"/>
      <c r="AG614" s="21"/>
      <c r="AH614" s="21"/>
      <c r="AI614" s="23"/>
      <c r="AJ614" s="21"/>
      <c r="AK614" s="21"/>
      <c r="AL614" s="371"/>
      <c r="AM614" s="371"/>
      <c r="AN614" s="21"/>
    </row>
    <row r="615" spans="1:40" x14ac:dyDescent="0.25">
      <c r="A615" s="542"/>
      <c r="I615" s="451">
        <f t="shared" si="328"/>
        <v>0</v>
      </c>
      <c r="L615" s="298"/>
      <c r="M615" s="298"/>
      <c r="Q615" s="542">
        <f t="shared" si="330"/>
        <v>0</v>
      </c>
      <c r="U615" s="298"/>
      <c r="V615" s="298"/>
      <c r="X615" s="298"/>
      <c r="Y615" s="298"/>
      <c r="AC615" s="451">
        <f t="shared" si="329"/>
        <v>0</v>
      </c>
    </row>
    <row r="616" spans="1:40" x14ac:dyDescent="0.25">
      <c r="A616" s="542"/>
      <c r="I616" s="451">
        <f t="shared" si="328"/>
        <v>0</v>
      </c>
      <c r="L616" s="298"/>
      <c r="M616" s="298"/>
      <c r="Q616" s="542">
        <f t="shared" si="330"/>
        <v>0</v>
      </c>
      <c r="U616" s="298"/>
      <c r="V616" s="298"/>
      <c r="X616" s="298"/>
      <c r="Y616" s="298"/>
      <c r="AC616" s="451">
        <f t="shared" si="329"/>
        <v>0</v>
      </c>
    </row>
    <row r="617" spans="1:40" x14ac:dyDescent="0.25">
      <c r="A617" s="542"/>
      <c r="I617" s="451">
        <f t="shared" si="328"/>
        <v>0</v>
      </c>
      <c r="L617" s="298"/>
      <c r="M617" s="298"/>
      <c r="Q617" s="542">
        <f t="shared" si="330"/>
        <v>0</v>
      </c>
      <c r="U617" s="298"/>
      <c r="V617" s="298"/>
      <c r="X617" s="298"/>
      <c r="Y617" s="298"/>
      <c r="AC617" s="451">
        <f t="shared" si="329"/>
        <v>0</v>
      </c>
    </row>
    <row r="618" spans="1:40" x14ac:dyDescent="0.25">
      <c r="A618" s="542"/>
      <c r="I618" s="451">
        <f t="shared" si="328"/>
        <v>0</v>
      </c>
      <c r="L618" s="298"/>
      <c r="M618" s="298"/>
      <c r="Q618" s="542">
        <f t="shared" si="330"/>
        <v>0</v>
      </c>
      <c r="U618" s="298"/>
      <c r="V618" s="298"/>
      <c r="X618" s="298"/>
      <c r="Y618" s="298"/>
      <c r="AC618" s="451">
        <f t="shared" si="329"/>
        <v>0</v>
      </c>
    </row>
    <row r="619" spans="1:40" x14ac:dyDescent="0.25">
      <c r="A619" s="542"/>
      <c r="I619" s="451">
        <f t="shared" ref="I619:I682" si="331">IF(MOD(AC619,12)=0,AC619/12,I618)</f>
        <v>0</v>
      </c>
      <c r="L619" s="298"/>
      <c r="M619" s="298"/>
      <c r="Q619" s="542">
        <f t="shared" si="330"/>
        <v>0</v>
      </c>
      <c r="U619" s="298"/>
      <c r="V619" s="298"/>
      <c r="X619" s="298"/>
      <c r="Y619" s="298"/>
      <c r="AC619" s="451">
        <f t="shared" ref="AC619:AC682" si="332">IF(J619&lt;&gt;"",IF(J619=$J$6,0,+AC618+1),0)</f>
        <v>0</v>
      </c>
    </row>
    <row r="620" spans="1:40" x14ac:dyDescent="0.25">
      <c r="A620" s="542"/>
      <c r="I620" s="451">
        <f t="shared" si="331"/>
        <v>0</v>
      </c>
      <c r="L620" s="298"/>
      <c r="M620" s="298"/>
      <c r="Q620" s="542">
        <f t="shared" si="330"/>
        <v>0</v>
      </c>
      <c r="U620" s="298"/>
      <c r="V620" s="298"/>
      <c r="X620" s="298"/>
      <c r="Y620" s="298"/>
      <c r="AC620" s="451">
        <f t="shared" si="332"/>
        <v>0</v>
      </c>
    </row>
    <row r="621" spans="1:40" x14ac:dyDescent="0.25">
      <c r="A621" s="542"/>
      <c r="I621" s="451">
        <f t="shared" si="331"/>
        <v>0</v>
      </c>
      <c r="L621" s="298"/>
      <c r="M621" s="298"/>
      <c r="Q621" s="542">
        <f t="shared" si="330"/>
        <v>0</v>
      </c>
      <c r="U621" s="298"/>
      <c r="V621" s="298"/>
      <c r="X621" s="298"/>
      <c r="Y621" s="298"/>
      <c r="AC621" s="451">
        <f t="shared" si="332"/>
        <v>0</v>
      </c>
    </row>
    <row r="622" spans="1:40" x14ac:dyDescent="0.25">
      <c r="A622" s="542"/>
      <c r="I622" s="451">
        <f t="shared" si="331"/>
        <v>0</v>
      </c>
      <c r="L622" s="298"/>
      <c r="M622" s="298"/>
      <c r="Q622" s="542">
        <f t="shared" si="330"/>
        <v>0</v>
      </c>
      <c r="U622" s="298"/>
      <c r="V622" s="298"/>
      <c r="X622" s="298"/>
      <c r="Y622" s="298"/>
      <c r="AC622" s="451">
        <f t="shared" si="332"/>
        <v>0</v>
      </c>
    </row>
    <row r="623" spans="1:40" x14ac:dyDescent="0.25">
      <c r="A623" s="542"/>
      <c r="I623" s="451">
        <f t="shared" si="331"/>
        <v>0</v>
      </c>
      <c r="L623" s="298"/>
      <c r="M623" s="298"/>
      <c r="Q623" s="542">
        <f t="shared" si="330"/>
        <v>0</v>
      </c>
      <c r="U623" s="298"/>
      <c r="V623" s="298"/>
      <c r="X623" s="298"/>
      <c r="Y623" s="298"/>
      <c r="AC623" s="451">
        <f t="shared" si="332"/>
        <v>0</v>
      </c>
    </row>
    <row r="624" spans="1:40" x14ac:dyDescent="0.25">
      <c r="A624" s="542"/>
      <c r="I624" s="451">
        <f t="shared" si="331"/>
        <v>0</v>
      </c>
      <c r="L624" s="298"/>
      <c r="M624" s="298"/>
      <c r="Q624" s="542">
        <f t="shared" si="330"/>
        <v>0</v>
      </c>
      <c r="U624" s="298"/>
      <c r="V624" s="298"/>
      <c r="X624" s="298"/>
      <c r="Y624" s="298"/>
      <c r="AC624" s="451">
        <f t="shared" si="332"/>
        <v>0</v>
      </c>
    </row>
    <row r="625" spans="1:40" x14ac:dyDescent="0.25">
      <c r="A625" s="542"/>
      <c r="I625" s="451">
        <f t="shared" si="331"/>
        <v>0</v>
      </c>
      <c r="L625" s="298"/>
      <c r="M625" s="298"/>
      <c r="Q625" s="542">
        <f t="shared" si="330"/>
        <v>0</v>
      </c>
      <c r="U625" s="298"/>
      <c r="V625" s="298"/>
      <c r="X625" s="298"/>
      <c r="Y625" s="298"/>
      <c r="AC625" s="451">
        <f t="shared" si="332"/>
        <v>0</v>
      </c>
    </row>
    <row r="626" spans="1:40" ht="15.75" thickBot="1" x14ac:dyDescent="0.3">
      <c r="A626" s="545"/>
      <c r="B626" s="371"/>
      <c r="C626" s="21"/>
      <c r="D626" s="21"/>
      <c r="E626" s="21"/>
      <c r="F626" s="371"/>
      <c r="G626" s="371"/>
      <c r="H626" s="371"/>
      <c r="I626" s="451">
        <f t="shared" si="331"/>
        <v>0</v>
      </c>
      <c r="J626" s="371"/>
      <c r="K626" s="21"/>
      <c r="L626" s="371"/>
      <c r="M626" s="371"/>
      <c r="N626" s="371"/>
      <c r="O626" s="371"/>
      <c r="P626" s="371"/>
      <c r="Q626" s="545">
        <f t="shared" si="330"/>
        <v>0</v>
      </c>
      <c r="R626" s="371"/>
      <c r="S626" s="536"/>
      <c r="T626" s="21"/>
      <c r="U626" s="371"/>
      <c r="V626" s="371"/>
      <c r="W626" s="21"/>
      <c r="X626" s="371"/>
      <c r="Y626" s="371"/>
      <c r="Z626" s="371"/>
      <c r="AA626" s="371"/>
      <c r="AB626" s="371"/>
      <c r="AC626" s="451">
        <f t="shared" si="332"/>
        <v>0</v>
      </c>
      <c r="AD626" s="371"/>
      <c r="AE626" s="371"/>
      <c r="AF626" s="371"/>
      <c r="AG626" s="21"/>
      <c r="AH626" s="21"/>
      <c r="AI626" s="23"/>
      <c r="AJ626" s="21"/>
      <c r="AK626" s="21"/>
      <c r="AL626" s="371"/>
      <c r="AM626" s="371"/>
      <c r="AN626" s="21"/>
    </row>
    <row r="627" spans="1:40" x14ac:dyDescent="0.25">
      <c r="A627" s="542"/>
      <c r="I627" s="451">
        <f t="shared" si="331"/>
        <v>0</v>
      </c>
      <c r="L627" s="298"/>
      <c r="M627" s="298"/>
      <c r="Q627" s="542">
        <f t="shared" si="330"/>
        <v>0</v>
      </c>
      <c r="U627" s="298"/>
      <c r="V627" s="298"/>
      <c r="X627" s="298"/>
      <c r="Y627" s="298"/>
      <c r="AC627" s="451">
        <f t="shared" si="332"/>
        <v>0</v>
      </c>
    </row>
    <row r="628" spans="1:40" x14ac:dyDescent="0.25">
      <c r="A628" s="542"/>
      <c r="I628" s="451">
        <f t="shared" si="331"/>
        <v>0</v>
      </c>
      <c r="L628" s="298"/>
      <c r="M628" s="298"/>
      <c r="Q628" s="542">
        <f t="shared" si="330"/>
        <v>0</v>
      </c>
      <c r="U628" s="298"/>
      <c r="V628" s="298"/>
      <c r="X628" s="298"/>
      <c r="Y628" s="298"/>
      <c r="AC628" s="451">
        <f t="shared" si="332"/>
        <v>0</v>
      </c>
    </row>
    <row r="629" spans="1:40" x14ac:dyDescent="0.25">
      <c r="A629" s="542"/>
      <c r="I629" s="451">
        <f t="shared" si="331"/>
        <v>0</v>
      </c>
      <c r="L629" s="298"/>
      <c r="M629" s="298"/>
      <c r="Q629" s="542">
        <f t="shared" si="330"/>
        <v>0</v>
      </c>
      <c r="U629" s="298"/>
      <c r="V629" s="298"/>
      <c r="X629" s="298"/>
      <c r="Y629" s="298"/>
      <c r="AC629" s="451">
        <f t="shared" si="332"/>
        <v>0</v>
      </c>
    </row>
    <row r="630" spans="1:40" x14ac:dyDescent="0.25">
      <c r="A630" s="542"/>
      <c r="I630" s="451">
        <f t="shared" si="331"/>
        <v>0</v>
      </c>
      <c r="L630" s="298"/>
      <c r="M630" s="298"/>
      <c r="Q630" s="542">
        <f t="shared" si="330"/>
        <v>0</v>
      </c>
      <c r="U630" s="298"/>
      <c r="V630" s="298"/>
      <c r="X630" s="298"/>
      <c r="Y630" s="298"/>
      <c r="AC630" s="451">
        <f t="shared" si="332"/>
        <v>0</v>
      </c>
    </row>
    <row r="631" spans="1:40" x14ac:dyDescent="0.25">
      <c r="A631" s="542"/>
      <c r="I631" s="451">
        <f t="shared" si="331"/>
        <v>0</v>
      </c>
      <c r="L631" s="298"/>
      <c r="M631" s="298"/>
      <c r="Q631" s="542">
        <f t="shared" si="330"/>
        <v>0</v>
      </c>
      <c r="U631" s="298"/>
      <c r="V631" s="298"/>
      <c r="X631" s="298"/>
      <c r="Y631" s="298"/>
      <c r="AC631" s="451">
        <f t="shared" si="332"/>
        <v>0</v>
      </c>
    </row>
    <row r="632" spans="1:40" x14ac:dyDescent="0.25">
      <c r="A632" s="542"/>
      <c r="I632" s="451">
        <f t="shared" si="331"/>
        <v>0</v>
      </c>
      <c r="L632" s="298"/>
      <c r="M632" s="298"/>
      <c r="Q632" s="542">
        <f t="shared" si="330"/>
        <v>0</v>
      </c>
      <c r="U632" s="298"/>
      <c r="V632" s="298"/>
      <c r="X632" s="298"/>
      <c r="Y632" s="298"/>
      <c r="AC632" s="451">
        <f t="shared" si="332"/>
        <v>0</v>
      </c>
    </row>
    <row r="633" spans="1:40" x14ac:dyDescent="0.25">
      <c r="A633" s="542"/>
      <c r="I633" s="451">
        <f t="shared" si="331"/>
        <v>0</v>
      </c>
      <c r="L633" s="298"/>
      <c r="M633" s="298"/>
      <c r="Q633" s="542">
        <f t="shared" si="330"/>
        <v>0</v>
      </c>
      <c r="U633" s="298"/>
      <c r="V633" s="298"/>
      <c r="X633" s="298"/>
      <c r="Y633" s="298"/>
      <c r="AC633" s="451">
        <f t="shared" si="332"/>
        <v>0</v>
      </c>
    </row>
    <row r="634" spans="1:40" x14ac:dyDescent="0.25">
      <c r="A634" s="542"/>
      <c r="I634" s="451">
        <f t="shared" si="331"/>
        <v>0</v>
      </c>
      <c r="L634" s="298"/>
      <c r="M634" s="298"/>
      <c r="Q634" s="542">
        <f t="shared" si="330"/>
        <v>0</v>
      </c>
      <c r="U634" s="298"/>
      <c r="V634" s="298"/>
      <c r="X634" s="298"/>
      <c r="Y634" s="298"/>
      <c r="AC634" s="451">
        <f t="shared" si="332"/>
        <v>0</v>
      </c>
    </row>
    <row r="635" spans="1:40" x14ac:dyDescent="0.25">
      <c r="A635" s="542"/>
      <c r="I635" s="451">
        <f t="shared" si="331"/>
        <v>0</v>
      </c>
      <c r="L635" s="298"/>
      <c r="M635" s="298"/>
      <c r="Q635" s="542">
        <f t="shared" si="330"/>
        <v>0</v>
      </c>
      <c r="U635" s="298"/>
      <c r="V635" s="298"/>
      <c r="X635" s="298"/>
      <c r="Y635" s="298"/>
      <c r="AC635" s="451">
        <f t="shared" si="332"/>
        <v>0</v>
      </c>
    </row>
    <row r="636" spans="1:40" x14ac:dyDescent="0.25">
      <c r="A636" s="542"/>
      <c r="I636" s="451">
        <f t="shared" si="331"/>
        <v>0</v>
      </c>
      <c r="L636" s="298"/>
      <c r="M636" s="298"/>
      <c r="Q636" s="542">
        <f t="shared" si="330"/>
        <v>0</v>
      </c>
      <c r="U636" s="298"/>
      <c r="V636" s="298"/>
      <c r="X636" s="298"/>
      <c r="Y636" s="298"/>
      <c r="AC636" s="451">
        <f t="shared" si="332"/>
        <v>0</v>
      </c>
    </row>
    <row r="637" spans="1:40" x14ac:dyDescent="0.25">
      <c r="A637" s="542"/>
      <c r="I637" s="451">
        <f t="shared" si="331"/>
        <v>0</v>
      </c>
      <c r="L637" s="298"/>
      <c r="M637" s="298"/>
      <c r="Q637" s="542">
        <f t="shared" si="330"/>
        <v>0</v>
      </c>
      <c r="U637" s="298"/>
      <c r="V637" s="298"/>
      <c r="X637" s="298"/>
      <c r="Y637" s="298"/>
      <c r="AC637" s="451">
        <f t="shared" si="332"/>
        <v>0</v>
      </c>
    </row>
    <row r="638" spans="1:40" ht="15.75" thickBot="1" x14ac:dyDescent="0.3">
      <c r="A638" s="545"/>
      <c r="B638" s="371"/>
      <c r="C638" s="21"/>
      <c r="D638" s="21"/>
      <c r="E638" s="21"/>
      <c r="F638" s="371"/>
      <c r="G638" s="371"/>
      <c r="H638" s="371"/>
      <c r="I638" s="451">
        <f t="shared" si="331"/>
        <v>0</v>
      </c>
      <c r="J638" s="371"/>
      <c r="K638" s="21"/>
      <c r="L638" s="371"/>
      <c r="M638" s="371"/>
      <c r="N638" s="371"/>
      <c r="O638" s="371"/>
      <c r="P638" s="371"/>
      <c r="Q638" s="545">
        <f t="shared" si="330"/>
        <v>0</v>
      </c>
      <c r="R638" s="371"/>
      <c r="S638" s="536"/>
      <c r="T638" s="21"/>
      <c r="U638" s="371"/>
      <c r="V638" s="371"/>
      <c r="W638" s="21"/>
      <c r="X638" s="371"/>
      <c r="Y638" s="371"/>
      <c r="Z638" s="371"/>
      <c r="AA638" s="371"/>
      <c r="AB638" s="371"/>
      <c r="AC638" s="451">
        <f t="shared" si="332"/>
        <v>0</v>
      </c>
      <c r="AD638" s="371"/>
      <c r="AE638" s="371"/>
      <c r="AF638" s="371"/>
      <c r="AG638" s="21"/>
      <c r="AH638" s="21"/>
      <c r="AI638" s="23"/>
      <c r="AJ638" s="21"/>
      <c r="AK638" s="21"/>
      <c r="AL638" s="371"/>
      <c r="AM638" s="371"/>
      <c r="AN638" s="21"/>
    </row>
    <row r="639" spans="1:40" x14ac:dyDescent="0.25">
      <c r="A639" s="542"/>
      <c r="I639" s="451">
        <f t="shared" si="331"/>
        <v>0</v>
      </c>
      <c r="L639" s="298"/>
      <c r="M639" s="298"/>
      <c r="Q639" s="542">
        <f t="shared" si="330"/>
        <v>0</v>
      </c>
      <c r="U639" s="298"/>
      <c r="V639" s="298"/>
      <c r="X639" s="298"/>
      <c r="Y639" s="298"/>
      <c r="AC639" s="451">
        <f t="shared" si="332"/>
        <v>0</v>
      </c>
    </row>
    <row r="640" spans="1:40" x14ac:dyDescent="0.25">
      <c r="A640" s="542"/>
      <c r="I640" s="451">
        <f t="shared" si="331"/>
        <v>0</v>
      </c>
      <c r="L640" s="298"/>
      <c r="M640" s="298"/>
      <c r="Q640" s="542">
        <f t="shared" si="330"/>
        <v>0</v>
      </c>
      <c r="U640" s="298"/>
      <c r="V640" s="298"/>
      <c r="X640" s="298"/>
      <c r="Y640" s="298"/>
      <c r="AC640" s="451">
        <f t="shared" si="332"/>
        <v>0</v>
      </c>
    </row>
    <row r="641" spans="1:40" x14ac:dyDescent="0.25">
      <c r="A641" s="542"/>
      <c r="I641" s="451">
        <f t="shared" si="331"/>
        <v>0</v>
      </c>
      <c r="L641" s="298"/>
      <c r="M641" s="298"/>
      <c r="Q641" s="542">
        <f t="shared" si="330"/>
        <v>0</v>
      </c>
      <c r="U641" s="298"/>
      <c r="V641" s="298"/>
      <c r="X641" s="298"/>
      <c r="Y641" s="298"/>
      <c r="AC641" s="451">
        <f t="shared" si="332"/>
        <v>0</v>
      </c>
    </row>
    <row r="642" spans="1:40" x14ac:dyDescent="0.25">
      <c r="A642" s="542"/>
      <c r="I642" s="451">
        <f t="shared" si="331"/>
        <v>0</v>
      </c>
      <c r="L642" s="298"/>
      <c r="M642" s="298"/>
      <c r="Q642" s="542">
        <f t="shared" si="330"/>
        <v>0</v>
      </c>
      <c r="U642" s="298"/>
      <c r="V642" s="298"/>
      <c r="X642" s="298"/>
      <c r="Y642" s="298"/>
      <c r="AC642" s="451">
        <f t="shared" si="332"/>
        <v>0</v>
      </c>
    </row>
    <row r="643" spans="1:40" x14ac:dyDescent="0.25">
      <c r="A643" s="542"/>
      <c r="I643" s="451">
        <f t="shared" si="331"/>
        <v>0</v>
      </c>
      <c r="L643" s="298"/>
      <c r="M643" s="298"/>
      <c r="Q643" s="542">
        <f t="shared" si="330"/>
        <v>0</v>
      </c>
      <c r="U643" s="298"/>
      <c r="V643" s="298"/>
      <c r="X643" s="298"/>
      <c r="Y643" s="298"/>
      <c r="AC643" s="451">
        <f t="shared" si="332"/>
        <v>0</v>
      </c>
    </row>
    <row r="644" spans="1:40" x14ac:dyDescent="0.25">
      <c r="A644" s="542"/>
      <c r="I644" s="451">
        <f t="shared" si="331"/>
        <v>0</v>
      </c>
      <c r="L644" s="298"/>
      <c r="M644" s="298"/>
      <c r="Q644" s="542">
        <f t="shared" si="330"/>
        <v>0</v>
      </c>
      <c r="U644" s="298"/>
      <c r="V644" s="298"/>
      <c r="X644" s="298"/>
      <c r="Y644" s="298"/>
      <c r="AC644" s="451">
        <f t="shared" si="332"/>
        <v>0</v>
      </c>
    </row>
    <row r="645" spans="1:40" x14ac:dyDescent="0.25">
      <c r="A645" s="542"/>
      <c r="I645" s="451">
        <f t="shared" si="331"/>
        <v>0</v>
      </c>
      <c r="L645" s="298"/>
      <c r="M645" s="298"/>
      <c r="Q645" s="542">
        <f t="shared" si="330"/>
        <v>0</v>
      </c>
      <c r="U645" s="298"/>
      <c r="V645" s="298"/>
      <c r="X645" s="298"/>
      <c r="Y645" s="298"/>
      <c r="AC645" s="451">
        <f t="shared" si="332"/>
        <v>0</v>
      </c>
    </row>
    <row r="646" spans="1:40" x14ac:dyDescent="0.25">
      <c r="A646" s="542"/>
      <c r="I646" s="451">
        <f t="shared" si="331"/>
        <v>0</v>
      </c>
      <c r="L646" s="298"/>
      <c r="M646" s="298"/>
      <c r="Q646" s="542">
        <f t="shared" si="330"/>
        <v>0</v>
      </c>
      <c r="U646" s="298"/>
      <c r="V646" s="298"/>
      <c r="X646" s="298"/>
      <c r="Y646" s="298"/>
      <c r="AC646" s="451">
        <f t="shared" si="332"/>
        <v>0</v>
      </c>
    </row>
    <row r="647" spans="1:40" x14ac:dyDescent="0.25">
      <c r="A647" s="542"/>
      <c r="I647" s="451">
        <f t="shared" si="331"/>
        <v>0</v>
      </c>
      <c r="L647" s="298"/>
      <c r="M647" s="298"/>
      <c r="Q647" s="542">
        <f t="shared" si="330"/>
        <v>0</v>
      </c>
      <c r="U647" s="298"/>
      <c r="V647" s="298"/>
      <c r="X647" s="298"/>
      <c r="Y647" s="298"/>
      <c r="AC647" s="451">
        <f t="shared" si="332"/>
        <v>0</v>
      </c>
    </row>
    <row r="648" spans="1:40" x14ac:dyDescent="0.25">
      <c r="A648" s="542"/>
      <c r="I648" s="451">
        <f t="shared" si="331"/>
        <v>0</v>
      </c>
      <c r="L648" s="298"/>
      <c r="M648" s="298"/>
      <c r="Q648" s="542">
        <f t="shared" si="330"/>
        <v>0</v>
      </c>
      <c r="U648" s="298"/>
      <c r="V648" s="298"/>
      <c r="X648" s="298"/>
      <c r="Y648" s="298"/>
      <c r="AC648" s="451">
        <f t="shared" si="332"/>
        <v>0</v>
      </c>
    </row>
    <row r="649" spans="1:40" x14ac:dyDescent="0.25">
      <c r="A649" s="542"/>
      <c r="I649" s="451">
        <f t="shared" si="331"/>
        <v>0</v>
      </c>
      <c r="L649" s="298"/>
      <c r="M649" s="298"/>
      <c r="Q649" s="542">
        <f t="shared" si="330"/>
        <v>0</v>
      </c>
      <c r="U649" s="298"/>
      <c r="V649" s="298"/>
      <c r="X649" s="298"/>
      <c r="Y649" s="298"/>
      <c r="AC649" s="451">
        <f t="shared" si="332"/>
        <v>0</v>
      </c>
    </row>
    <row r="650" spans="1:40" ht="15.75" thickBot="1" x14ac:dyDescent="0.3">
      <c r="A650" s="545"/>
      <c r="B650" s="371"/>
      <c r="C650" s="21"/>
      <c r="D650" s="21"/>
      <c r="E650" s="21"/>
      <c r="F650" s="371"/>
      <c r="G650" s="371"/>
      <c r="H650" s="371"/>
      <c r="I650" s="451">
        <f t="shared" si="331"/>
        <v>0</v>
      </c>
      <c r="J650" s="371"/>
      <c r="K650" s="21"/>
      <c r="L650" s="371"/>
      <c r="M650" s="371"/>
      <c r="N650" s="371"/>
      <c r="O650" s="371"/>
      <c r="P650" s="371"/>
      <c r="Q650" s="545">
        <f t="shared" si="330"/>
        <v>0</v>
      </c>
      <c r="R650" s="371"/>
      <c r="S650" s="536"/>
      <c r="T650" s="21"/>
      <c r="U650" s="371"/>
      <c r="V650" s="371"/>
      <c r="W650" s="21"/>
      <c r="X650" s="371"/>
      <c r="Y650" s="371"/>
      <c r="Z650" s="371"/>
      <c r="AA650" s="371"/>
      <c r="AB650" s="371"/>
      <c r="AC650" s="451">
        <f t="shared" si="332"/>
        <v>0</v>
      </c>
      <c r="AD650" s="371"/>
      <c r="AE650" s="371"/>
      <c r="AF650" s="371"/>
      <c r="AG650" s="21"/>
      <c r="AH650" s="21"/>
      <c r="AI650" s="23"/>
      <c r="AJ650" s="21"/>
      <c r="AK650" s="21"/>
      <c r="AL650" s="371"/>
      <c r="AM650" s="371"/>
      <c r="AN650" s="21"/>
    </row>
    <row r="651" spans="1:40" x14ac:dyDescent="0.25">
      <c r="A651" s="542"/>
      <c r="I651" s="451">
        <f t="shared" si="331"/>
        <v>0</v>
      </c>
      <c r="L651" s="298"/>
      <c r="M651" s="298"/>
      <c r="Q651" s="542">
        <f t="shared" si="330"/>
        <v>0</v>
      </c>
      <c r="U651" s="298"/>
      <c r="V651" s="298"/>
      <c r="X651" s="298"/>
      <c r="Y651" s="298"/>
      <c r="AC651" s="451">
        <f t="shared" si="332"/>
        <v>0</v>
      </c>
    </row>
    <row r="652" spans="1:40" x14ac:dyDescent="0.25">
      <c r="A652" s="542"/>
      <c r="I652" s="451">
        <f t="shared" si="331"/>
        <v>0</v>
      </c>
      <c r="L652" s="298"/>
      <c r="M652" s="298"/>
      <c r="Q652" s="542">
        <f t="shared" si="330"/>
        <v>0</v>
      </c>
      <c r="U652" s="298"/>
      <c r="V652" s="298"/>
      <c r="X652" s="298"/>
      <c r="Y652" s="298"/>
      <c r="AC652" s="451">
        <f t="shared" si="332"/>
        <v>0</v>
      </c>
    </row>
    <row r="653" spans="1:40" x14ac:dyDescent="0.25">
      <c r="A653" s="542"/>
      <c r="I653" s="451">
        <f t="shared" si="331"/>
        <v>0</v>
      </c>
      <c r="L653" s="298"/>
      <c r="M653" s="298"/>
      <c r="Q653" s="542">
        <f t="shared" si="330"/>
        <v>0</v>
      </c>
      <c r="U653" s="298"/>
      <c r="V653" s="298"/>
      <c r="X653" s="298"/>
      <c r="Y653" s="298"/>
      <c r="AC653" s="451">
        <f t="shared" si="332"/>
        <v>0</v>
      </c>
    </row>
    <row r="654" spans="1:40" x14ac:dyDescent="0.25">
      <c r="A654" s="542"/>
      <c r="I654" s="451">
        <f t="shared" si="331"/>
        <v>0</v>
      </c>
      <c r="L654" s="298"/>
      <c r="M654" s="298"/>
      <c r="Q654" s="542">
        <f t="shared" si="330"/>
        <v>0</v>
      </c>
      <c r="U654" s="298"/>
      <c r="V654" s="298"/>
      <c r="X654" s="298"/>
      <c r="Y654" s="298"/>
      <c r="AC654" s="451">
        <f t="shared" si="332"/>
        <v>0</v>
      </c>
    </row>
    <row r="655" spans="1:40" x14ac:dyDescent="0.25">
      <c r="A655" s="542"/>
      <c r="I655" s="451">
        <f t="shared" si="331"/>
        <v>0</v>
      </c>
      <c r="L655" s="298"/>
      <c r="M655" s="298"/>
      <c r="Q655" s="542">
        <f t="shared" ref="Q655:Q718" si="333">+A655</f>
        <v>0</v>
      </c>
      <c r="U655" s="298"/>
      <c r="V655" s="298"/>
      <c r="X655" s="298"/>
      <c r="Y655" s="298"/>
      <c r="AC655" s="451">
        <f t="shared" si="332"/>
        <v>0</v>
      </c>
    </row>
    <row r="656" spans="1:40" x14ac:dyDescent="0.25">
      <c r="A656" s="542"/>
      <c r="I656" s="451">
        <f t="shared" si="331"/>
        <v>0</v>
      </c>
      <c r="L656" s="298"/>
      <c r="M656" s="298"/>
      <c r="Q656" s="542">
        <f t="shared" si="333"/>
        <v>0</v>
      </c>
      <c r="U656" s="298"/>
      <c r="V656" s="298"/>
      <c r="X656" s="298"/>
      <c r="Y656" s="298"/>
      <c r="AC656" s="451">
        <f t="shared" si="332"/>
        <v>0</v>
      </c>
    </row>
    <row r="657" spans="1:40" x14ac:dyDescent="0.25">
      <c r="A657" s="542"/>
      <c r="I657" s="451">
        <f t="shared" si="331"/>
        <v>0</v>
      </c>
      <c r="L657" s="298"/>
      <c r="M657" s="298"/>
      <c r="Q657" s="542">
        <f t="shared" si="333"/>
        <v>0</v>
      </c>
      <c r="U657" s="298"/>
      <c r="V657" s="298"/>
      <c r="X657" s="298"/>
      <c r="Y657" s="298"/>
      <c r="AC657" s="451">
        <f t="shared" si="332"/>
        <v>0</v>
      </c>
    </row>
    <row r="658" spans="1:40" x14ac:dyDescent="0.25">
      <c r="A658" s="542"/>
      <c r="I658" s="451">
        <f t="shared" si="331"/>
        <v>0</v>
      </c>
      <c r="L658" s="298"/>
      <c r="M658" s="298"/>
      <c r="Q658" s="542">
        <f t="shared" si="333"/>
        <v>0</v>
      </c>
      <c r="U658" s="298"/>
      <c r="V658" s="298"/>
      <c r="X658" s="298"/>
      <c r="Y658" s="298"/>
      <c r="AC658" s="451">
        <f t="shared" si="332"/>
        <v>0</v>
      </c>
    </row>
    <row r="659" spans="1:40" x14ac:dyDescent="0.25">
      <c r="A659" s="542"/>
      <c r="I659" s="451">
        <f t="shared" si="331"/>
        <v>0</v>
      </c>
      <c r="L659" s="298"/>
      <c r="M659" s="298"/>
      <c r="Q659" s="542">
        <f t="shared" si="333"/>
        <v>0</v>
      </c>
      <c r="U659" s="298"/>
      <c r="V659" s="298"/>
      <c r="X659" s="298"/>
      <c r="Y659" s="298"/>
      <c r="AC659" s="451">
        <f t="shared" si="332"/>
        <v>0</v>
      </c>
    </row>
    <row r="660" spans="1:40" x14ac:dyDescent="0.25">
      <c r="A660" s="542"/>
      <c r="I660" s="451">
        <f t="shared" si="331"/>
        <v>0</v>
      </c>
      <c r="L660" s="298"/>
      <c r="M660" s="298"/>
      <c r="Q660" s="542">
        <f t="shared" si="333"/>
        <v>0</v>
      </c>
      <c r="U660" s="298"/>
      <c r="V660" s="298"/>
      <c r="X660" s="298"/>
      <c r="Y660" s="298"/>
      <c r="AC660" s="451">
        <f t="shared" si="332"/>
        <v>0</v>
      </c>
    </row>
    <row r="661" spans="1:40" x14ac:dyDescent="0.25">
      <c r="A661" s="542"/>
      <c r="I661" s="451">
        <f t="shared" si="331"/>
        <v>0</v>
      </c>
      <c r="L661" s="298"/>
      <c r="M661" s="298"/>
      <c r="Q661" s="542">
        <f t="shared" si="333"/>
        <v>0</v>
      </c>
      <c r="U661" s="298"/>
      <c r="V661" s="298"/>
      <c r="X661" s="298"/>
      <c r="Y661" s="298"/>
      <c r="AC661" s="451">
        <f t="shared" si="332"/>
        <v>0</v>
      </c>
    </row>
    <row r="662" spans="1:40" ht="15.75" thickBot="1" x14ac:dyDescent="0.3">
      <c r="A662" s="545"/>
      <c r="B662" s="371"/>
      <c r="C662" s="21"/>
      <c r="D662" s="21"/>
      <c r="E662" s="21"/>
      <c r="F662" s="371"/>
      <c r="G662" s="371"/>
      <c r="H662" s="371"/>
      <c r="I662" s="451">
        <f t="shared" si="331"/>
        <v>0</v>
      </c>
      <c r="J662" s="371"/>
      <c r="K662" s="21"/>
      <c r="L662" s="371"/>
      <c r="M662" s="371"/>
      <c r="N662" s="371"/>
      <c r="O662" s="371"/>
      <c r="P662" s="371"/>
      <c r="Q662" s="545">
        <f t="shared" si="333"/>
        <v>0</v>
      </c>
      <c r="R662" s="371"/>
      <c r="S662" s="536"/>
      <c r="T662" s="21"/>
      <c r="U662" s="371"/>
      <c r="V662" s="371"/>
      <c r="W662" s="21"/>
      <c r="X662" s="371"/>
      <c r="Y662" s="371"/>
      <c r="Z662" s="371"/>
      <c r="AA662" s="371"/>
      <c r="AB662" s="371"/>
      <c r="AC662" s="451">
        <f t="shared" si="332"/>
        <v>0</v>
      </c>
      <c r="AD662" s="371"/>
      <c r="AE662" s="371"/>
      <c r="AF662" s="371"/>
      <c r="AG662" s="21"/>
      <c r="AH662" s="21"/>
      <c r="AI662" s="23"/>
      <c r="AJ662" s="21"/>
      <c r="AK662" s="21"/>
      <c r="AL662" s="371"/>
      <c r="AM662" s="371"/>
      <c r="AN662" s="21"/>
    </row>
    <row r="663" spans="1:40" x14ac:dyDescent="0.25">
      <c r="A663" s="542"/>
      <c r="I663" s="451">
        <f t="shared" si="331"/>
        <v>0</v>
      </c>
      <c r="L663" s="298"/>
      <c r="M663" s="298"/>
      <c r="Q663" s="542">
        <f t="shared" si="333"/>
        <v>0</v>
      </c>
      <c r="U663" s="298"/>
      <c r="V663" s="298"/>
      <c r="X663" s="298"/>
      <c r="Y663" s="298"/>
      <c r="AC663" s="451">
        <f t="shared" si="332"/>
        <v>0</v>
      </c>
    </row>
    <row r="664" spans="1:40" x14ac:dyDescent="0.25">
      <c r="A664" s="542"/>
      <c r="I664" s="451">
        <f t="shared" si="331"/>
        <v>0</v>
      </c>
      <c r="L664" s="298"/>
      <c r="M664" s="298"/>
      <c r="Q664" s="542">
        <f t="shared" si="333"/>
        <v>0</v>
      </c>
      <c r="U664" s="298"/>
      <c r="V664" s="298"/>
      <c r="X664" s="298"/>
      <c r="Y664" s="298"/>
      <c r="AC664" s="451">
        <f t="shared" si="332"/>
        <v>0</v>
      </c>
    </row>
    <row r="665" spans="1:40" x14ac:dyDescent="0.25">
      <c r="A665" s="542"/>
      <c r="I665" s="451">
        <f t="shared" si="331"/>
        <v>0</v>
      </c>
      <c r="L665" s="298"/>
      <c r="M665" s="298"/>
      <c r="Q665" s="542">
        <f t="shared" si="333"/>
        <v>0</v>
      </c>
      <c r="U665" s="298"/>
      <c r="V665" s="298"/>
      <c r="X665" s="298"/>
      <c r="Y665" s="298"/>
      <c r="AC665" s="451">
        <f t="shared" si="332"/>
        <v>0</v>
      </c>
    </row>
    <row r="666" spans="1:40" x14ac:dyDescent="0.25">
      <c r="A666" s="542"/>
      <c r="I666" s="451">
        <f t="shared" si="331"/>
        <v>0</v>
      </c>
      <c r="L666" s="298"/>
      <c r="M666" s="298"/>
      <c r="Q666" s="542">
        <f t="shared" si="333"/>
        <v>0</v>
      </c>
      <c r="U666" s="298"/>
      <c r="V666" s="298"/>
      <c r="X666" s="298"/>
      <c r="Y666" s="298"/>
      <c r="AC666" s="451">
        <f t="shared" si="332"/>
        <v>0</v>
      </c>
    </row>
    <row r="667" spans="1:40" x14ac:dyDescent="0.25">
      <c r="A667" s="542"/>
      <c r="I667" s="451">
        <f t="shared" si="331"/>
        <v>0</v>
      </c>
      <c r="L667" s="298"/>
      <c r="M667" s="298"/>
      <c r="Q667" s="542">
        <f t="shared" si="333"/>
        <v>0</v>
      </c>
      <c r="U667" s="298"/>
      <c r="V667" s="298"/>
      <c r="X667" s="298"/>
      <c r="Y667" s="298"/>
      <c r="AC667" s="451">
        <f t="shared" si="332"/>
        <v>0</v>
      </c>
    </row>
    <row r="668" spans="1:40" x14ac:dyDescent="0.25">
      <c r="A668" s="542"/>
      <c r="I668" s="451">
        <f t="shared" si="331"/>
        <v>0</v>
      </c>
      <c r="L668" s="298"/>
      <c r="M668" s="298"/>
      <c r="Q668" s="542">
        <f t="shared" si="333"/>
        <v>0</v>
      </c>
      <c r="U668" s="298"/>
      <c r="V668" s="298"/>
      <c r="X668" s="298"/>
      <c r="Y668" s="298"/>
      <c r="AC668" s="451">
        <f t="shared" si="332"/>
        <v>0</v>
      </c>
    </row>
    <row r="669" spans="1:40" x14ac:dyDescent="0.25">
      <c r="A669" s="542"/>
      <c r="I669" s="451">
        <f t="shared" si="331"/>
        <v>0</v>
      </c>
      <c r="L669" s="298"/>
      <c r="M669" s="298"/>
      <c r="Q669" s="542">
        <f t="shared" si="333"/>
        <v>0</v>
      </c>
      <c r="U669" s="298"/>
      <c r="V669" s="298"/>
      <c r="X669" s="298"/>
      <c r="Y669" s="298"/>
      <c r="AC669" s="451">
        <f t="shared" si="332"/>
        <v>0</v>
      </c>
    </row>
    <row r="670" spans="1:40" x14ac:dyDescent="0.25">
      <c r="A670" s="542"/>
      <c r="I670" s="451">
        <f t="shared" si="331"/>
        <v>0</v>
      </c>
      <c r="L670" s="298"/>
      <c r="M670" s="298"/>
      <c r="Q670" s="542">
        <f t="shared" si="333"/>
        <v>0</v>
      </c>
      <c r="U670" s="298"/>
      <c r="V670" s="298"/>
      <c r="X670" s="298"/>
      <c r="Y670" s="298"/>
      <c r="AC670" s="451">
        <f t="shared" si="332"/>
        <v>0</v>
      </c>
    </row>
    <row r="671" spans="1:40" x14ac:dyDescent="0.25">
      <c r="A671" s="542"/>
      <c r="I671" s="451">
        <f t="shared" si="331"/>
        <v>0</v>
      </c>
      <c r="L671" s="298"/>
      <c r="M671" s="298"/>
      <c r="Q671" s="542">
        <f t="shared" si="333"/>
        <v>0</v>
      </c>
      <c r="U671" s="298"/>
      <c r="V671" s="298"/>
      <c r="X671" s="298"/>
      <c r="Y671" s="298"/>
      <c r="AC671" s="451">
        <f t="shared" si="332"/>
        <v>0</v>
      </c>
    </row>
    <row r="672" spans="1:40" x14ac:dyDescent="0.25">
      <c r="A672" s="542"/>
      <c r="I672" s="451">
        <f t="shared" si="331"/>
        <v>0</v>
      </c>
      <c r="L672" s="298"/>
      <c r="M672" s="298"/>
      <c r="Q672" s="542">
        <f t="shared" si="333"/>
        <v>0</v>
      </c>
      <c r="U672" s="298"/>
      <c r="V672" s="298"/>
      <c r="X672" s="298"/>
      <c r="Y672" s="298"/>
      <c r="AC672" s="451">
        <f t="shared" si="332"/>
        <v>0</v>
      </c>
    </row>
    <row r="673" spans="1:40" x14ac:dyDescent="0.25">
      <c r="A673" s="542"/>
      <c r="I673" s="451">
        <f t="shared" si="331"/>
        <v>0</v>
      </c>
      <c r="L673" s="298"/>
      <c r="M673" s="298"/>
      <c r="Q673" s="542">
        <f t="shared" si="333"/>
        <v>0</v>
      </c>
      <c r="U673" s="298"/>
      <c r="V673" s="298"/>
      <c r="X673" s="298"/>
      <c r="Y673" s="298"/>
      <c r="AC673" s="451">
        <f t="shared" si="332"/>
        <v>0</v>
      </c>
    </row>
    <row r="674" spans="1:40" ht="15.75" thickBot="1" x14ac:dyDescent="0.3">
      <c r="A674" s="545"/>
      <c r="B674" s="371"/>
      <c r="C674" s="21"/>
      <c r="D674" s="21"/>
      <c r="E674" s="21"/>
      <c r="F674" s="371"/>
      <c r="G674" s="371"/>
      <c r="H674" s="371"/>
      <c r="I674" s="451">
        <f t="shared" si="331"/>
        <v>0</v>
      </c>
      <c r="J674" s="371"/>
      <c r="K674" s="21"/>
      <c r="L674" s="371"/>
      <c r="M674" s="371"/>
      <c r="N674" s="371"/>
      <c r="O674" s="371"/>
      <c r="P674" s="371"/>
      <c r="Q674" s="545">
        <f t="shared" si="333"/>
        <v>0</v>
      </c>
      <c r="R674" s="371"/>
      <c r="S674" s="536"/>
      <c r="T674" s="21"/>
      <c r="U674" s="371"/>
      <c r="V674" s="371"/>
      <c r="W674" s="21"/>
      <c r="X674" s="371"/>
      <c r="Y674" s="371"/>
      <c r="Z674" s="371"/>
      <c r="AA674" s="371"/>
      <c r="AB674" s="371"/>
      <c r="AC674" s="451">
        <f t="shared" si="332"/>
        <v>0</v>
      </c>
      <c r="AD674" s="371"/>
      <c r="AE674" s="371"/>
      <c r="AF674" s="371"/>
      <c r="AG674" s="21"/>
      <c r="AH674" s="21"/>
      <c r="AI674" s="23"/>
      <c r="AJ674" s="21"/>
      <c r="AK674" s="21"/>
      <c r="AL674" s="371"/>
      <c r="AM674" s="371"/>
      <c r="AN674" s="21"/>
    </row>
    <row r="675" spans="1:40" x14ac:dyDescent="0.25">
      <c r="A675" s="542"/>
      <c r="I675" s="451">
        <f t="shared" si="331"/>
        <v>0</v>
      </c>
      <c r="L675" s="298"/>
      <c r="M675" s="298"/>
      <c r="Q675" s="542">
        <f t="shared" si="333"/>
        <v>0</v>
      </c>
      <c r="U675" s="298"/>
      <c r="V675" s="298"/>
      <c r="X675" s="298"/>
      <c r="Y675" s="298"/>
      <c r="AC675" s="451">
        <f t="shared" si="332"/>
        <v>0</v>
      </c>
    </row>
    <row r="676" spans="1:40" x14ac:dyDescent="0.25">
      <c r="A676" s="542"/>
      <c r="I676" s="451">
        <f t="shared" si="331"/>
        <v>0</v>
      </c>
      <c r="L676" s="298"/>
      <c r="M676" s="298"/>
      <c r="Q676" s="542">
        <f t="shared" si="333"/>
        <v>0</v>
      </c>
      <c r="U676" s="298"/>
      <c r="V676" s="298"/>
      <c r="X676" s="298"/>
      <c r="Y676" s="298"/>
      <c r="AC676" s="451">
        <f t="shared" si="332"/>
        <v>0</v>
      </c>
    </row>
    <row r="677" spans="1:40" x14ac:dyDescent="0.25">
      <c r="A677" s="542"/>
      <c r="I677" s="451">
        <f t="shared" si="331"/>
        <v>0</v>
      </c>
      <c r="L677" s="298"/>
      <c r="M677" s="298"/>
      <c r="Q677" s="542">
        <f t="shared" si="333"/>
        <v>0</v>
      </c>
      <c r="U677" s="298"/>
      <c r="V677" s="298"/>
      <c r="X677" s="298"/>
      <c r="Y677" s="298"/>
      <c r="AC677" s="451">
        <f t="shared" si="332"/>
        <v>0</v>
      </c>
    </row>
    <row r="678" spans="1:40" x14ac:dyDescent="0.25">
      <c r="A678" s="542"/>
      <c r="I678" s="451">
        <f t="shared" si="331"/>
        <v>0</v>
      </c>
      <c r="L678" s="298"/>
      <c r="M678" s="298"/>
      <c r="Q678" s="542">
        <f t="shared" si="333"/>
        <v>0</v>
      </c>
      <c r="U678" s="298"/>
      <c r="V678" s="298"/>
      <c r="X678" s="298"/>
      <c r="Y678" s="298"/>
      <c r="AC678" s="451">
        <f t="shared" si="332"/>
        <v>0</v>
      </c>
    </row>
    <row r="679" spans="1:40" x14ac:dyDescent="0.25">
      <c r="A679" s="542"/>
      <c r="I679" s="451">
        <f t="shared" si="331"/>
        <v>0</v>
      </c>
      <c r="L679" s="298"/>
      <c r="M679" s="298"/>
      <c r="Q679" s="542">
        <f t="shared" si="333"/>
        <v>0</v>
      </c>
      <c r="U679" s="298"/>
      <c r="V679" s="298"/>
      <c r="X679" s="298"/>
      <c r="Y679" s="298"/>
      <c r="AC679" s="451">
        <f t="shared" si="332"/>
        <v>0</v>
      </c>
    </row>
    <row r="680" spans="1:40" x14ac:dyDescent="0.25">
      <c r="A680" s="542"/>
      <c r="I680" s="451">
        <f t="shared" si="331"/>
        <v>0</v>
      </c>
      <c r="L680" s="298"/>
      <c r="M680" s="298"/>
      <c r="Q680" s="542">
        <f t="shared" si="333"/>
        <v>0</v>
      </c>
      <c r="U680" s="298"/>
      <c r="V680" s="298"/>
      <c r="X680" s="298"/>
      <c r="Y680" s="298"/>
      <c r="AC680" s="451">
        <f t="shared" si="332"/>
        <v>0</v>
      </c>
    </row>
    <row r="681" spans="1:40" x14ac:dyDescent="0.25">
      <c r="A681" s="542"/>
      <c r="I681" s="451">
        <f t="shared" si="331"/>
        <v>0</v>
      </c>
      <c r="L681" s="298"/>
      <c r="M681" s="298"/>
      <c r="Q681" s="542">
        <f t="shared" si="333"/>
        <v>0</v>
      </c>
      <c r="U681" s="298"/>
      <c r="V681" s="298"/>
      <c r="X681" s="298"/>
      <c r="Y681" s="298"/>
      <c r="AC681" s="451">
        <f t="shared" si="332"/>
        <v>0</v>
      </c>
    </row>
    <row r="682" spans="1:40" x14ac:dyDescent="0.25">
      <c r="A682" s="542"/>
      <c r="I682" s="451">
        <f t="shared" si="331"/>
        <v>0</v>
      </c>
      <c r="L682" s="298"/>
      <c r="M682" s="298"/>
      <c r="Q682" s="542">
        <f t="shared" si="333"/>
        <v>0</v>
      </c>
      <c r="U682" s="298"/>
      <c r="V682" s="298"/>
      <c r="X682" s="298"/>
      <c r="Y682" s="298"/>
      <c r="AC682" s="451">
        <f t="shared" si="332"/>
        <v>0</v>
      </c>
    </row>
    <row r="683" spans="1:40" x14ac:dyDescent="0.25">
      <c r="A683" s="542"/>
      <c r="I683" s="451">
        <f t="shared" ref="I683:I746" si="334">IF(MOD(AC683,12)=0,AC683/12,I682)</f>
        <v>0</v>
      </c>
      <c r="L683" s="298"/>
      <c r="M683" s="298"/>
      <c r="Q683" s="542">
        <f t="shared" si="333"/>
        <v>0</v>
      </c>
      <c r="U683" s="298"/>
      <c r="V683" s="298"/>
      <c r="X683" s="298"/>
      <c r="Y683" s="298"/>
      <c r="AC683" s="451">
        <f t="shared" ref="AC683:AC723" si="335">IF(J683&lt;&gt;"",IF(J683=$J$6,0,+AC682+1),0)</f>
        <v>0</v>
      </c>
    </row>
    <row r="684" spans="1:40" x14ac:dyDescent="0.25">
      <c r="A684" s="542"/>
      <c r="I684" s="451">
        <f t="shared" si="334"/>
        <v>0</v>
      </c>
      <c r="L684" s="298"/>
      <c r="M684" s="298"/>
      <c r="Q684" s="542">
        <f t="shared" si="333"/>
        <v>0</v>
      </c>
      <c r="U684" s="298"/>
      <c r="V684" s="298"/>
      <c r="X684" s="298"/>
      <c r="Y684" s="298"/>
      <c r="AC684" s="451">
        <f t="shared" si="335"/>
        <v>0</v>
      </c>
    </row>
    <row r="685" spans="1:40" x14ac:dyDescent="0.25">
      <c r="A685" s="542"/>
      <c r="I685" s="451">
        <f t="shared" si="334"/>
        <v>0</v>
      </c>
      <c r="L685" s="298"/>
      <c r="M685" s="298"/>
      <c r="Q685" s="542">
        <f t="shared" si="333"/>
        <v>0</v>
      </c>
      <c r="U685" s="298"/>
      <c r="V685" s="298"/>
      <c r="X685" s="298"/>
      <c r="Y685" s="298"/>
      <c r="AC685" s="451">
        <f t="shared" si="335"/>
        <v>0</v>
      </c>
    </row>
    <row r="686" spans="1:40" ht="15.75" thickBot="1" x14ac:dyDescent="0.3">
      <c r="A686" s="545"/>
      <c r="B686" s="371"/>
      <c r="C686" s="21"/>
      <c r="D686" s="21"/>
      <c r="E686" s="21"/>
      <c r="F686" s="371"/>
      <c r="G686" s="371"/>
      <c r="H686" s="371"/>
      <c r="I686" s="451">
        <f t="shared" si="334"/>
        <v>0</v>
      </c>
      <c r="J686" s="371"/>
      <c r="K686" s="21"/>
      <c r="L686" s="371"/>
      <c r="M686" s="371"/>
      <c r="N686" s="371"/>
      <c r="O686" s="371"/>
      <c r="P686" s="371"/>
      <c r="Q686" s="545">
        <f t="shared" si="333"/>
        <v>0</v>
      </c>
      <c r="R686" s="371"/>
      <c r="S686" s="536"/>
      <c r="T686" s="21"/>
      <c r="U686" s="371"/>
      <c r="V686" s="371"/>
      <c r="W686" s="21"/>
      <c r="X686" s="371"/>
      <c r="Y686" s="371"/>
      <c r="Z686" s="371"/>
      <c r="AA686" s="371"/>
      <c r="AB686" s="371"/>
      <c r="AC686" s="451">
        <f t="shared" si="335"/>
        <v>0</v>
      </c>
      <c r="AD686" s="371"/>
      <c r="AE686" s="371"/>
      <c r="AF686" s="371"/>
      <c r="AG686" s="21"/>
      <c r="AH686" s="21"/>
      <c r="AI686" s="23"/>
      <c r="AJ686" s="21"/>
      <c r="AK686" s="21"/>
      <c r="AL686" s="371"/>
      <c r="AM686" s="371"/>
      <c r="AN686" s="21"/>
    </row>
    <row r="687" spans="1:40" x14ac:dyDescent="0.25">
      <c r="A687" s="542"/>
      <c r="I687" s="451">
        <f t="shared" si="334"/>
        <v>0</v>
      </c>
      <c r="L687" s="298"/>
      <c r="M687" s="298"/>
      <c r="Q687" s="542">
        <f t="shared" si="333"/>
        <v>0</v>
      </c>
      <c r="U687" s="298"/>
      <c r="V687" s="298"/>
      <c r="X687" s="298"/>
      <c r="Y687" s="298"/>
      <c r="AC687" s="451">
        <f t="shared" si="335"/>
        <v>0</v>
      </c>
    </row>
    <row r="688" spans="1:40" x14ac:dyDescent="0.25">
      <c r="A688" s="542"/>
      <c r="I688" s="451">
        <f t="shared" si="334"/>
        <v>0</v>
      </c>
      <c r="L688" s="298"/>
      <c r="M688" s="298"/>
      <c r="Q688" s="542">
        <f t="shared" si="333"/>
        <v>0</v>
      </c>
      <c r="U688" s="298"/>
      <c r="V688" s="298"/>
      <c r="X688" s="298"/>
      <c r="Y688" s="298"/>
      <c r="AC688" s="451">
        <f t="shared" si="335"/>
        <v>0</v>
      </c>
    </row>
    <row r="689" spans="1:40" x14ac:dyDescent="0.25">
      <c r="A689" s="542"/>
      <c r="I689" s="451">
        <f t="shared" si="334"/>
        <v>0</v>
      </c>
      <c r="L689" s="298"/>
      <c r="M689" s="298"/>
      <c r="Q689" s="542">
        <f t="shared" si="333"/>
        <v>0</v>
      </c>
      <c r="U689" s="298"/>
      <c r="V689" s="298"/>
      <c r="X689" s="298"/>
      <c r="Y689" s="298"/>
      <c r="AC689" s="451">
        <f t="shared" si="335"/>
        <v>0</v>
      </c>
    </row>
    <row r="690" spans="1:40" x14ac:dyDescent="0.25">
      <c r="A690" s="542"/>
      <c r="I690" s="451">
        <f t="shared" si="334"/>
        <v>0</v>
      </c>
      <c r="L690" s="298"/>
      <c r="M690" s="298"/>
      <c r="Q690" s="542">
        <f t="shared" si="333"/>
        <v>0</v>
      </c>
      <c r="U690" s="298"/>
      <c r="V690" s="298"/>
      <c r="X690" s="298"/>
      <c r="Y690" s="298"/>
      <c r="AC690" s="451">
        <f t="shared" si="335"/>
        <v>0</v>
      </c>
    </row>
    <row r="691" spans="1:40" x14ac:dyDescent="0.25">
      <c r="A691" s="542"/>
      <c r="I691" s="451">
        <f t="shared" si="334"/>
        <v>0</v>
      </c>
      <c r="L691" s="298"/>
      <c r="M691" s="298"/>
      <c r="Q691" s="542">
        <f t="shared" si="333"/>
        <v>0</v>
      </c>
      <c r="U691" s="298"/>
      <c r="V691" s="298"/>
      <c r="X691" s="298"/>
      <c r="Y691" s="298"/>
      <c r="AC691" s="451">
        <f t="shared" si="335"/>
        <v>0</v>
      </c>
    </row>
    <row r="692" spans="1:40" x14ac:dyDescent="0.25">
      <c r="A692" s="542"/>
      <c r="I692" s="451">
        <f t="shared" si="334"/>
        <v>0</v>
      </c>
      <c r="L692" s="298"/>
      <c r="M692" s="298"/>
      <c r="Q692" s="542">
        <f t="shared" si="333"/>
        <v>0</v>
      </c>
      <c r="U692" s="298"/>
      <c r="V692" s="298"/>
      <c r="X692" s="298"/>
      <c r="Y692" s="298"/>
      <c r="AC692" s="451">
        <f t="shared" si="335"/>
        <v>0</v>
      </c>
    </row>
    <row r="693" spans="1:40" x14ac:dyDescent="0.25">
      <c r="A693" s="542"/>
      <c r="I693" s="451">
        <f t="shared" si="334"/>
        <v>0</v>
      </c>
      <c r="L693" s="298"/>
      <c r="M693" s="298"/>
      <c r="Q693" s="542">
        <f t="shared" si="333"/>
        <v>0</v>
      </c>
      <c r="U693" s="298"/>
      <c r="V693" s="298"/>
      <c r="X693" s="298"/>
      <c r="Y693" s="298"/>
      <c r="AC693" s="451">
        <f t="shared" si="335"/>
        <v>0</v>
      </c>
    </row>
    <row r="694" spans="1:40" x14ac:dyDescent="0.25">
      <c r="A694" s="542"/>
      <c r="I694" s="451">
        <f t="shared" si="334"/>
        <v>0</v>
      </c>
      <c r="L694" s="298"/>
      <c r="M694" s="298"/>
      <c r="Q694" s="542">
        <f t="shared" si="333"/>
        <v>0</v>
      </c>
      <c r="U694" s="298"/>
      <c r="V694" s="298"/>
      <c r="X694" s="298"/>
      <c r="Y694" s="298"/>
      <c r="AC694" s="451">
        <f t="shared" si="335"/>
        <v>0</v>
      </c>
    </row>
    <row r="695" spans="1:40" x14ac:dyDescent="0.25">
      <c r="A695" s="542"/>
      <c r="I695" s="451">
        <f t="shared" si="334"/>
        <v>0</v>
      </c>
      <c r="L695" s="298"/>
      <c r="M695" s="298"/>
      <c r="Q695" s="542">
        <f t="shared" si="333"/>
        <v>0</v>
      </c>
      <c r="U695" s="298"/>
      <c r="V695" s="298"/>
      <c r="X695" s="298"/>
      <c r="Y695" s="298"/>
      <c r="AC695" s="451">
        <f t="shared" si="335"/>
        <v>0</v>
      </c>
    </row>
    <row r="696" spans="1:40" x14ac:dyDescent="0.25">
      <c r="A696" s="542"/>
      <c r="I696" s="451">
        <f t="shared" si="334"/>
        <v>0</v>
      </c>
      <c r="L696" s="298"/>
      <c r="M696" s="298"/>
      <c r="Q696" s="542">
        <f t="shared" si="333"/>
        <v>0</v>
      </c>
      <c r="U696" s="298"/>
      <c r="V696" s="298"/>
      <c r="X696" s="298"/>
      <c r="Y696" s="298"/>
      <c r="AC696" s="451">
        <f t="shared" si="335"/>
        <v>0</v>
      </c>
    </row>
    <row r="697" spans="1:40" x14ac:dyDescent="0.25">
      <c r="A697" s="542"/>
      <c r="I697" s="451">
        <f t="shared" si="334"/>
        <v>0</v>
      </c>
      <c r="L697" s="298"/>
      <c r="M697" s="298"/>
      <c r="Q697" s="542">
        <f t="shared" si="333"/>
        <v>0</v>
      </c>
      <c r="U697" s="298"/>
      <c r="V697" s="298"/>
      <c r="X697" s="298"/>
      <c r="Y697" s="298"/>
      <c r="AC697" s="451">
        <f t="shared" si="335"/>
        <v>0</v>
      </c>
    </row>
    <row r="698" spans="1:40" ht="15.75" thickBot="1" x14ac:dyDescent="0.3">
      <c r="A698" s="545"/>
      <c r="B698" s="371"/>
      <c r="C698" s="21"/>
      <c r="D698" s="21"/>
      <c r="E698" s="21"/>
      <c r="F698" s="371"/>
      <c r="G698" s="371"/>
      <c r="H698" s="371"/>
      <c r="I698" s="451">
        <f t="shared" si="334"/>
        <v>0</v>
      </c>
      <c r="J698" s="371"/>
      <c r="K698" s="21"/>
      <c r="L698" s="371"/>
      <c r="M698" s="371"/>
      <c r="N698" s="371"/>
      <c r="O698" s="371"/>
      <c r="P698" s="371"/>
      <c r="Q698" s="545">
        <f t="shared" si="333"/>
        <v>0</v>
      </c>
      <c r="R698" s="371"/>
      <c r="S698" s="536"/>
      <c r="T698" s="21"/>
      <c r="U698" s="371"/>
      <c r="V698" s="371"/>
      <c r="W698" s="21"/>
      <c r="X698" s="371"/>
      <c r="Y698" s="371"/>
      <c r="Z698" s="371"/>
      <c r="AA698" s="371"/>
      <c r="AB698" s="371"/>
      <c r="AC698" s="451">
        <f t="shared" si="335"/>
        <v>0</v>
      </c>
      <c r="AD698" s="371"/>
      <c r="AE698" s="371"/>
      <c r="AF698" s="371"/>
      <c r="AG698" s="21"/>
      <c r="AH698" s="21"/>
      <c r="AI698" s="23"/>
      <c r="AJ698" s="21"/>
      <c r="AK698" s="21"/>
      <c r="AL698" s="371"/>
      <c r="AM698" s="371"/>
      <c r="AN698" s="21"/>
    </row>
    <row r="699" spans="1:40" x14ac:dyDescent="0.25">
      <c r="A699" s="542"/>
      <c r="I699" s="451">
        <f t="shared" si="334"/>
        <v>0</v>
      </c>
      <c r="L699" s="298"/>
      <c r="M699" s="298"/>
      <c r="Q699" s="542">
        <f t="shared" si="333"/>
        <v>0</v>
      </c>
      <c r="U699" s="298"/>
      <c r="V699" s="298"/>
      <c r="X699" s="298"/>
      <c r="Y699" s="298"/>
      <c r="AC699" s="451">
        <f t="shared" si="335"/>
        <v>0</v>
      </c>
    </row>
    <row r="700" spans="1:40" x14ac:dyDescent="0.25">
      <c r="A700" s="542"/>
      <c r="I700" s="451">
        <f t="shared" si="334"/>
        <v>0</v>
      </c>
      <c r="L700" s="298"/>
      <c r="M700" s="298"/>
      <c r="Q700" s="542">
        <f t="shared" si="333"/>
        <v>0</v>
      </c>
      <c r="U700" s="298"/>
      <c r="V700" s="298"/>
      <c r="X700" s="298"/>
      <c r="Y700" s="298"/>
      <c r="AC700" s="451">
        <f t="shared" si="335"/>
        <v>0</v>
      </c>
    </row>
    <row r="701" spans="1:40" x14ac:dyDescent="0.25">
      <c r="A701" s="542"/>
      <c r="I701" s="451">
        <f t="shared" si="334"/>
        <v>0</v>
      </c>
      <c r="L701" s="298"/>
      <c r="M701" s="298"/>
      <c r="Q701" s="542">
        <f t="shared" si="333"/>
        <v>0</v>
      </c>
      <c r="U701" s="298"/>
      <c r="V701" s="298"/>
      <c r="X701" s="298"/>
      <c r="Y701" s="298"/>
      <c r="AC701" s="451">
        <f t="shared" si="335"/>
        <v>0</v>
      </c>
    </row>
    <row r="702" spans="1:40" x14ac:dyDescent="0.25">
      <c r="A702" s="542"/>
      <c r="I702" s="451">
        <f t="shared" si="334"/>
        <v>0</v>
      </c>
      <c r="L702" s="298"/>
      <c r="M702" s="298"/>
      <c r="Q702" s="542">
        <f t="shared" si="333"/>
        <v>0</v>
      </c>
      <c r="U702" s="298"/>
      <c r="V702" s="298"/>
      <c r="X702" s="298"/>
      <c r="Y702" s="298"/>
      <c r="AC702" s="451">
        <f t="shared" si="335"/>
        <v>0</v>
      </c>
    </row>
    <row r="703" spans="1:40" x14ac:dyDescent="0.25">
      <c r="A703" s="542"/>
      <c r="I703" s="451">
        <f t="shared" si="334"/>
        <v>0</v>
      </c>
      <c r="L703" s="298"/>
      <c r="M703" s="298"/>
      <c r="Q703" s="542">
        <f t="shared" si="333"/>
        <v>0</v>
      </c>
      <c r="U703" s="298"/>
      <c r="V703" s="298"/>
      <c r="X703" s="298"/>
      <c r="Y703" s="298"/>
      <c r="AC703" s="451">
        <f t="shared" si="335"/>
        <v>0</v>
      </c>
    </row>
    <row r="704" spans="1:40" x14ac:dyDescent="0.25">
      <c r="A704" s="542"/>
      <c r="I704" s="451">
        <f t="shared" si="334"/>
        <v>0</v>
      </c>
      <c r="L704" s="298"/>
      <c r="M704" s="298"/>
      <c r="Q704" s="542">
        <f t="shared" si="333"/>
        <v>0</v>
      </c>
      <c r="U704" s="298"/>
      <c r="V704" s="298"/>
      <c r="X704" s="298"/>
      <c r="Y704" s="298"/>
      <c r="AC704" s="451">
        <f t="shared" si="335"/>
        <v>0</v>
      </c>
    </row>
    <row r="705" spans="1:40" x14ac:dyDescent="0.25">
      <c r="A705" s="542"/>
      <c r="I705" s="451">
        <f t="shared" si="334"/>
        <v>0</v>
      </c>
      <c r="L705" s="298"/>
      <c r="M705" s="298"/>
      <c r="Q705" s="542">
        <f t="shared" si="333"/>
        <v>0</v>
      </c>
      <c r="U705" s="298"/>
      <c r="V705" s="298"/>
      <c r="X705" s="298"/>
      <c r="Y705" s="298"/>
      <c r="AC705" s="451">
        <f t="shared" si="335"/>
        <v>0</v>
      </c>
    </row>
    <row r="706" spans="1:40" x14ac:dyDescent="0.25">
      <c r="A706" s="542"/>
      <c r="I706" s="451">
        <f t="shared" si="334"/>
        <v>0</v>
      </c>
      <c r="L706" s="298"/>
      <c r="M706" s="298"/>
      <c r="Q706" s="542">
        <f t="shared" si="333"/>
        <v>0</v>
      </c>
      <c r="U706" s="298"/>
      <c r="V706" s="298"/>
      <c r="X706" s="298"/>
      <c r="Y706" s="298"/>
      <c r="AC706" s="451">
        <f t="shared" si="335"/>
        <v>0</v>
      </c>
    </row>
    <row r="707" spans="1:40" x14ac:dyDescent="0.25">
      <c r="A707" s="542"/>
      <c r="I707" s="451">
        <f t="shared" si="334"/>
        <v>0</v>
      </c>
      <c r="L707" s="298"/>
      <c r="M707" s="298"/>
      <c r="Q707" s="542">
        <f t="shared" si="333"/>
        <v>0</v>
      </c>
      <c r="U707" s="298"/>
      <c r="V707" s="298"/>
      <c r="X707" s="298"/>
      <c r="Y707" s="298"/>
      <c r="AC707" s="451">
        <f t="shared" si="335"/>
        <v>0</v>
      </c>
    </row>
    <row r="708" spans="1:40" x14ac:dyDescent="0.25">
      <c r="A708" s="542"/>
      <c r="I708" s="451">
        <f t="shared" si="334"/>
        <v>0</v>
      </c>
      <c r="L708" s="298"/>
      <c r="M708" s="298"/>
      <c r="Q708" s="542">
        <f t="shared" si="333"/>
        <v>0</v>
      </c>
      <c r="U708" s="298"/>
      <c r="V708" s="298"/>
      <c r="X708" s="298"/>
      <c r="Y708" s="298"/>
      <c r="AC708" s="451">
        <f t="shared" si="335"/>
        <v>0</v>
      </c>
    </row>
    <row r="709" spans="1:40" x14ac:dyDescent="0.25">
      <c r="A709" s="542"/>
      <c r="I709" s="451">
        <f t="shared" si="334"/>
        <v>0</v>
      </c>
      <c r="L709" s="298"/>
      <c r="M709" s="298"/>
      <c r="Q709" s="542">
        <f t="shared" si="333"/>
        <v>0</v>
      </c>
      <c r="U709" s="298"/>
      <c r="V709" s="298"/>
      <c r="X709" s="298"/>
      <c r="Y709" s="298"/>
      <c r="AC709" s="451">
        <f t="shared" si="335"/>
        <v>0</v>
      </c>
    </row>
    <row r="710" spans="1:40" ht="15.75" thickBot="1" x14ac:dyDescent="0.3">
      <c r="A710" s="545"/>
      <c r="B710" s="371"/>
      <c r="C710" s="21"/>
      <c r="D710" s="21"/>
      <c r="E710" s="21"/>
      <c r="F710" s="371"/>
      <c r="G710" s="371"/>
      <c r="H710" s="371"/>
      <c r="I710" s="451">
        <f t="shared" si="334"/>
        <v>0</v>
      </c>
      <c r="J710" s="371"/>
      <c r="K710" s="21"/>
      <c r="L710" s="371"/>
      <c r="M710" s="371"/>
      <c r="N710" s="371"/>
      <c r="O710" s="371"/>
      <c r="P710" s="371"/>
      <c r="Q710" s="545">
        <f t="shared" si="333"/>
        <v>0</v>
      </c>
      <c r="R710" s="371"/>
      <c r="S710" s="536"/>
      <c r="T710" s="21"/>
      <c r="U710" s="371"/>
      <c r="V710" s="371"/>
      <c r="W710" s="21"/>
      <c r="X710" s="371"/>
      <c r="Y710" s="371"/>
      <c r="Z710" s="371"/>
      <c r="AA710" s="371"/>
      <c r="AB710" s="371"/>
      <c r="AC710" s="451">
        <f t="shared" si="335"/>
        <v>0</v>
      </c>
      <c r="AD710" s="371"/>
      <c r="AE710" s="371"/>
      <c r="AF710" s="371"/>
      <c r="AG710" s="21"/>
      <c r="AH710" s="21"/>
      <c r="AI710" s="23"/>
      <c r="AJ710" s="21"/>
      <c r="AK710" s="21"/>
      <c r="AL710" s="371"/>
      <c r="AM710" s="371"/>
      <c r="AN710" s="21"/>
    </row>
    <row r="711" spans="1:40" x14ac:dyDescent="0.25">
      <c r="A711" s="542"/>
      <c r="I711" s="451">
        <f t="shared" si="334"/>
        <v>0</v>
      </c>
      <c r="L711" s="298"/>
      <c r="M711" s="298"/>
      <c r="Q711" s="542">
        <f t="shared" si="333"/>
        <v>0</v>
      </c>
      <c r="U711" s="298"/>
      <c r="V711" s="298"/>
      <c r="X711" s="298"/>
      <c r="Y711" s="298"/>
      <c r="AC711" s="451">
        <f t="shared" si="335"/>
        <v>0</v>
      </c>
    </row>
    <row r="712" spans="1:40" x14ac:dyDescent="0.25">
      <c r="A712" s="542"/>
      <c r="I712" s="451">
        <f t="shared" si="334"/>
        <v>0</v>
      </c>
      <c r="L712" s="298"/>
      <c r="M712" s="298"/>
      <c r="Q712" s="542">
        <f t="shared" si="333"/>
        <v>0</v>
      </c>
      <c r="U712" s="298"/>
      <c r="V712" s="298"/>
      <c r="X712" s="298"/>
      <c r="Y712" s="298"/>
      <c r="AC712" s="451">
        <f t="shared" si="335"/>
        <v>0</v>
      </c>
    </row>
    <row r="713" spans="1:40" x14ac:dyDescent="0.25">
      <c r="A713" s="542"/>
      <c r="I713" s="451">
        <f t="shared" si="334"/>
        <v>0</v>
      </c>
      <c r="L713" s="298"/>
      <c r="M713" s="298"/>
      <c r="Q713" s="542">
        <f t="shared" si="333"/>
        <v>0</v>
      </c>
      <c r="U713" s="298"/>
      <c r="V713" s="298"/>
      <c r="X713" s="298"/>
      <c r="Y713" s="298"/>
      <c r="AC713" s="451">
        <f t="shared" si="335"/>
        <v>0</v>
      </c>
    </row>
    <row r="714" spans="1:40" x14ac:dyDescent="0.25">
      <c r="A714" s="542"/>
      <c r="I714" s="451">
        <f t="shared" si="334"/>
        <v>0</v>
      </c>
      <c r="L714" s="298"/>
      <c r="M714" s="298"/>
      <c r="Q714" s="542">
        <f t="shared" si="333"/>
        <v>0</v>
      </c>
      <c r="U714" s="298"/>
      <c r="V714" s="298"/>
      <c r="X714" s="298"/>
      <c r="Y714" s="298"/>
      <c r="AC714" s="451">
        <f t="shared" si="335"/>
        <v>0</v>
      </c>
    </row>
    <row r="715" spans="1:40" x14ac:dyDescent="0.25">
      <c r="A715" s="542"/>
      <c r="I715" s="451">
        <f t="shared" si="334"/>
        <v>0</v>
      </c>
      <c r="L715" s="298"/>
      <c r="M715" s="298"/>
      <c r="Q715" s="542">
        <f t="shared" si="333"/>
        <v>0</v>
      </c>
      <c r="U715" s="298"/>
      <c r="V715" s="298"/>
      <c r="X715" s="298"/>
      <c r="Y715" s="298"/>
      <c r="AC715" s="451">
        <f t="shared" si="335"/>
        <v>0</v>
      </c>
    </row>
    <row r="716" spans="1:40" x14ac:dyDescent="0.25">
      <c r="A716" s="542"/>
      <c r="I716" s="451">
        <f t="shared" si="334"/>
        <v>0</v>
      </c>
      <c r="L716" s="298"/>
      <c r="M716" s="298"/>
      <c r="Q716" s="542">
        <f t="shared" si="333"/>
        <v>0</v>
      </c>
      <c r="U716" s="298"/>
      <c r="V716" s="298"/>
      <c r="X716" s="298"/>
      <c r="Y716" s="298"/>
      <c r="AC716" s="451">
        <f t="shared" si="335"/>
        <v>0</v>
      </c>
    </row>
    <row r="717" spans="1:40" x14ac:dyDescent="0.25">
      <c r="A717" s="542"/>
      <c r="I717" s="451">
        <f t="shared" si="334"/>
        <v>0</v>
      </c>
      <c r="L717" s="298"/>
      <c r="M717" s="298"/>
      <c r="Q717" s="542">
        <f t="shared" si="333"/>
        <v>0</v>
      </c>
      <c r="U717" s="298"/>
      <c r="V717" s="298"/>
      <c r="X717" s="298"/>
      <c r="Y717" s="298"/>
      <c r="AC717" s="451">
        <f t="shared" si="335"/>
        <v>0</v>
      </c>
    </row>
    <row r="718" spans="1:40" x14ac:dyDescent="0.25">
      <c r="A718" s="542"/>
      <c r="I718" s="451">
        <f t="shared" si="334"/>
        <v>0</v>
      </c>
      <c r="L718" s="298"/>
      <c r="M718" s="298"/>
      <c r="Q718" s="542">
        <f t="shared" si="333"/>
        <v>0</v>
      </c>
      <c r="U718" s="298"/>
      <c r="V718" s="298"/>
      <c r="X718" s="298"/>
      <c r="Y718" s="298"/>
      <c r="AC718" s="451">
        <f t="shared" si="335"/>
        <v>0</v>
      </c>
    </row>
    <row r="719" spans="1:40" x14ac:dyDescent="0.25">
      <c r="A719" s="542"/>
      <c r="I719" s="451">
        <f t="shared" si="334"/>
        <v>0</v>
      </c>
      <c r="L719" s="298"/>
      <c r="M719" s="298"/>
      <c r="Q719" s="542">
        <f t="shared" ref="Q719:Q782" si="336">+A719</f>
        <v>0</v>
      </c>
      <c r="U719" s="298"/>
      <c r="V719" s="298"/>
      <c r="X719" s="298"/>
      <c r="Y719" s="298"/>
      <c r="AC719" s="451">
        <f t="shared" si="335"/>
        <v>0</v>
      </c>
    </row>
    <row r="720" spans="1:40" x14ac:dyDescent="0.25">
      <c r="A720" s="542"/>
      <c r="I720" s="451">
        <f t="shared" si="334"/>
        <v>0</v>
      </c>
      <c r="L720" s="298"/>
      <c r="M720" s="298"/>
      <c r="Q720" s="542">
        <f t="shared" si="336"/>
        <v>0</v>
      </c>
      <c r="U720" s="298"/>
      <c r="V720" s="298"/>
      <c r="X720" s="298"/>
      <c r="Y720" s="298"/>
      <c r="AC720" s="451">
        <f t="shared" si="335"/>
        <v>0</v>
      </c>
    </row>
    <row r="721" spans="1:40" x14ac:dyDescent="0.25">
      <c r="A721" s="542"/>
      <c r="I721" s="451">
        <f t="shared" si="334"/>
        <v>0</v>
      </c>
      <c r="L721" s="298"/>
      <c r="M721" s="298"/>
      <c r="Q721" s="542">
        <f t="shared" si="336"/>
        <v>0</v>
      </c>
      <c r="U721" s="298"/>
      <c r="V721" s="298"/>
      <c r="X721" s="298"/>
      <c r="Y721" s="298"/>
      <c r="AC721" s="451">
        <f t="shared" si="335"/>
        <v>0</v>
      </c>
    </row>
    <row r="722" spans="1:40" ht="15.75" thickBot="1" x14ac:dyDescent="0.3">
      <c r="A722" s="545"/>
      <c r="B722" s="371"/>
      <c r="C722" s="21"/>
      <c r="D722" s="21"/>
      <c r="E722" s="21"/>
      <c r="F722" s="371"/>
      <c r="G722" s="371"/>
      <c r="H722" s="371"/>
      <c r="I722" s="451">
        <f t="shared" si="334"/>
        <v>0</v>
      </c>
      <c r="J722" s="371"/>
      <c r="K722" s="21"/>
      <c r="L722" s="371"/>
      <c r="M722" s="371"/>
      <c r="N722" s="371"/>
      <c r="O722" s="371"/>
      <c r="P722" s="371"/>
      <c r="Q722" s="545">
        <f t="shared" si="336"/>
        <v>0</v>
      </c>
      <c r="R722" s="371"/>
      <c r="S722" s="536"/>
      <c r="T722" s="21"/>
      <c r="U722" s="371"/>
      <c r="V722" s="371"/>
      <c r="W722" s="21"/>
      <c r="X722" s="371"/>
      <c r="Y722" s="371"/>
      <c r="Z722" s="371"/>
      <c r="AA722" s="371"/>
      <c r="AB722" s="371"/>
      <c r="AC722" s="451">
        <f t="shared" si="335"/>
        <v>0</v>
      </c>
      <c r="AD722" s="371"/>
      <c r="AE722" s="371"/>
      <c r="AF722" s="371"/>
      <c r="AG722" s="21"/>
      <c r="AH722" s="21"/>
      <c r="AI722" s="23"/>
      <c r="AJ722" s="21"/>
      <c r="AK722" s="21"/>
      <c r="AL722" s="371"/>
      <c r="AM722" s="371"/>
      <c r="AN722" s="21"/>
    </row>
    <row r="723" spans="1:40" x14ac:dyDescent="0.25">
      <c r="A723" s="542"/>
      <c r="I723" s="451">
        <f t="shared" si="334"/>
        <v>0</v>
      </c>
      <c r="L723" s="298"/>
      <c r="M723" s="298"/>
      <c r="Q723" s="542">
        <f t="shared" si="336"/>
        <v>0</v>
      </c>
      <c r="U723" s="298"/>
      <c r="V723" s="298"/>
      <c r="X723" s="298"/>
      <c r="Y723" s="298"/>
      <c r="AC723" s="451">
        <f t="shared" si="335"/>
        <v>0</v>
      </c>
    </row>
    <row r="724" spans="1:40" x14ac:dyDescent="0.25">
      <c r="A724" s="542"/>
      <c r="I724" s="451">
        <f t="shared" si="334"/>
        <v>0</v>
      </c>
      <c r="L724" s="298"/>
      <c r="M724" s="298"/>
      <c r="Q724" s="542">
        <f t="shared" si="336"/>
        <v>0</v>
      </c>
      <c r="U724" s="298"/>
      <c r="V724" s="298"/>
      <c r="X724" s="298"/>
      <c r="Y724" s="298"/>
    </row>
    <row r="725" spans="1:40" x14ac:dyDescent="0.25">
      <c r="A725" s="542"/>
      <c r="I725" s="451">
        <f t="shared" si="334"/>
        <v>0</v>
      </c>
      <c r="L725" s="298"/>
      <c r="M725" s="298"/>
      <c r="Q725" s="542">
        <f t="shared" si="336"/>
        <v>0</v>
      </c>
      <c r="U725" s="298"/>
      <c r="V725" s="298"/>
      <c r="X725" s="298"/>
      <c r="Y725" s="298"/>
    </row>
    <row r="726" spans="1:40" x14ac:dyDescent="0.25">
      <c r="A726" s="542"/>
      <c r="I726" s="451">
        <f t="shared" si="334"/>
        <v>0</v>
      </c>
      <c r="L726" s="298"/>
      <c r="M726" s="298"/>
      <c r="Q726" s="542">
        <f t="shared" si="336"/>
        <v>0</v>
      </c>
      <c r="U726" s="298"/>
      <c r="V726" s="298"/>
      <c r="X726" s="298"/>
      <c r="Y726" s="298"/>
    </row>
    <row r="727" spans="1:40" x14ac:dyDescent="0.25">
      <c r="A727" s="542"/>
      <c r="I727" s="451">
        <f t="shared" si="334"/>
        <v>0</v>
      </c>
      <c r="L727" s="298"/>
      <c r="M727" s="298"/>
      <c r="Q727" s="542">
        <f t="shared" si="336"/>
        <v>0</v>
      </c>
      <c r="U727" s="298"/>
      <c r="V727" s="298"/>
      <c r="X727" s="298"/>
      <c r="Y727" s="298"/>
    </row>
    <row r="728" spans="1:40" x14ac:dyDescent="0.25">
      <c r="A728" s="542"/>
      <c r="I728" s="451">
        <f t="shared" si="334"/>
        <v>0</v>
      </c>
      <c r="L728" s="298"/>
      <c r="M728" s="298"/>
      <c r="Q728" s="542">
        <f t="shared" si="336"/>
        <v>0</v>
      </c>
      <c r="U728" s="298"/>
      <c r="V728" s="298"/>
      <c r="X728" s="298"/>
      <c r="Y728" s="298"/>
    </row>
    <row r="729" spans="1:40" x14ac:dyDescent="0.25">
      <c r="A729" s="542"/>
      <c r="I729" s="451">
        <f t="shared" si="334"/>
        <v>0</v>
      </c>
      <c r="L729" s="298"/>
      <c r="M729" s="298"/>
      <c r="Q729" s="542">
        <f t="shared" si="336"/>
        <v>0</v>
      </c>
      <c r="U729" s="298"/>
      <c r="V729" s="298"/>
      <c r="X729" s="298"/>
      <c r="Y729" s="298"/>
    </row>
    <row r="730" spans="1:40" x14ac:dyDescent="0.25">
      <c r="A730" s="542"/>
      <c r="I730" s="451">
        <f t="shared" si="334"/>
        <v>0</v>
      </c>
      <c r="L730" s="298"/>
      <c r="M730" s="298"/>
      <c r="Q730" s="542">
        <f t="shared" si="336"/>
        <v>0</v>
      </c>
      <c r="U730" s="298"/>
      <c r="V730" s="298"/>
      <c r="X730" s="298"/>
      <c r="Y730" s="298"/>
    </row>
    <row r="731" spans="1:40" x14ac:dyDescent="0.25">
      <c r="A731" s="542"/>
      <c r="I731" s="451">
        <f t="shared" si="334"/>
        <v>0</v>
      </c>
      <c r="L731" s="298"/>
      <c r="M731" s="298"/>
      <c r="Q731" s="542">
        <f t="shared" si="336"/>
        <v>0</v>
      </c>
      <c r="U731" s="298"/>
      <c r="V731" s="298"/>
      <c r="X731" s="298"/>
      <c r="Y731" s="298"/>
    </row>
    <row r="732" spans="1:40" x14ac:dyDescent="0.25">
      <c r="A732" s="542"/>
      <c r="I732" s="451">
        <f t="shared" si="334"/>
        <v>0</v>
      </c>
      <c r="L732" s="298"/>
      <c r="M732" s="298"/>
      <c r="Q732" s="542">
        <f t="shared" si="336"/>
        <v>0</v>
      </c>
      <c r="U732" s="298"/>
      <c r="V732" s="298"/>
      <c r="X732" s="298"/>
      <c r="Y732" s="298"/>
    </row>
    <row r="733" spans="1:40" x14ac:dyDescent="0.25">
      <c r="A733" s="542"/>
      <c r="I733" s="451">
        <f t="shared" si="334"/>
        <v>0</v>
      </c>
      <c r="L733" s="298"/>
      <c r="M733" s="298"/>
      <c r="Q733" s="542">
        <f t="shared" si="336"/>
        <v>0</v>
      </c>
      <c r="U733" s="298"/>
      <c r="V733" s="298"/>
      <c r="X733" s="298"/>
      <c r="Y733" s="298"/>
    </row>
    <row r="734" spans="1:40" ht="15.75" thickBot="1" x14ac:dyDescent="0.3">
      <c r="A734" s="545"/>
      <c r="B734" s="371"/>
      <c r="C734" s="21"/>
      <c r="D734" s="21"/>
      <c r="E734" s="21"/>
      <c r="F734" s="371"/>
      <c r="G734" s="371"/>
      <c r="H734" s="371"/>
      <c r="I734" s="451">
        <f t="shared" si="334"/>
        <v>0</v>
      </c>
      <c r="J734" s="371"/>
      <c r="K734" s="21"/>
      <c r="L734" s="371"/>
      <c r="M734" s="371"/>
      <c r="N734" s="371"/>
      <c r="O734" s="371"/>
      <c r="P734" s="371"/>
      <c r="Q734" s="545">
        <f t="shared" si="336"/>
        <v>0</v>
      </c>
      <c r="R734" s="371"/>
      <c r="S734" s="536"/>
      <c r="T734" s="21"/>
      <c r="U734" s="371"/>
      <c r="V734" s="371"/>
      <c r="W734" s="21"/>
      <c r="X734" s="371"/>
      <c r="Y734" s="371"/>
      <c r="Z734" s="371"/>
      <c r="AA734" s="371"/>
      <c r="AB734" s="371"/>
      <c r="AC734" s="371"/>
      <c r="AD734" s="371"/>
      <c r="AE734" s="371"/>
      <c r="AF734" s="371"/>
      <c r="AG734" s="21"/>
      <c r="AH734" s="21"/>
      <c r="AI734" s="23"/>
      <c r="AJ734" s="21"/>
      <c r="AK734" s="21"/>
      <c r="AL734" s="371"/>
      <c r="AM734" s="371"/>
      <c r="AN734" s="21"/>
    </row>
    <row r="735" spans="1:40" x14ac:dyDescent="0.25">
      <c r="A735" s="542"/>
      <c r="I735" s="451">
        <f t="shared" si="334"/>
        <v>0</v>
      </c>
      <c r="L735" s="298"/>
      <c r="M735" s="298"/>
      <c r="Q735" s="542">
        <f t="shared" si="336"/>
        <v>0</v>
      </c>
      <c r="U735" s="298"/>
      <c r="V735" s="298"/>
      <c r="X735" s="298"/>
      <c r="Y735" s="298"/>
    </row>
    <row r="736" spans="1:40" x14ac:dyDescent="0.25">
      <c r="A736" s="542"/>
      <c r="I736" s="451">
        <f t="shared" si="334"/>
        <v>0</v>
      </c>
      <c r="L736" s="298"/>
      <c r="M736" s="298"/>
      <c r="Q736" s="542">
        <f t="shared" si="336"/>
        <v>0</v>
      </c>
      <c r="U736" s="298"/>
      <c r="V736" s="298"/>
      <c r="X736" s="298"/>
      <c r="Y736" s="298"/>
    </row>
    <row r="737" spans="1:40" x14ac:dyDescent="0.25">
      <c r="A737" s="542"/>
      <c r="I737" s="451">
        <f t="shared" si="334"/>
        <v>0</v>
      </c>
      <c r="L737" s="298"/>
      <c r="M737" s="298"/>
      <c r="Q737" s="542">
        <f t="shared" si="336"/>
        <v>0</v>
      </c>
      <c r="U737" s="298"/>
      <c r="V737" s="298"/>
      <c r="X737" s="298"/>
      <c r="Y737" s="298"/>
    </row>
    <row r="738" spans="1:40" x14ac:dyDescent="0.25">
      <c r="A738" s="542"/>
      <c r="I738" s="451">
        <f t="shared" si="334"/>
        <v>0</v>
      </c>
      <c r="L738" s="298"/>
      <c r="M738" s="298"/>
      <c r="Q738" s="542">
        <f t="shared" si="336"/>
        <v>0</v>
      </c>
      <c r="U738" s="298"/>
      <c r="V738" s="298"/>
      <c r="X738" s="298"/>
      <c r="Y738" s="298"/>
    </row>
    <row r="739" spans="1:40" x14ac:dyDescent="0.25">
      <c r="A739" s="542"/>
      <c r="I739" s="451">
        <f t="shared" si="334"/>
        <v>0</v>
      </c>
      <c r="L739" s="298"/>
      <c r="M739" s="298"/>
      <c r="Q739" s="542">
        <f t="shared" si="336"/>
        <v>0</v>
      </c>
      <c r="U739" s="298"/>
      <c r="V739" s="298"/>
      <c r="X739" s="298"/>
      <c r="Y739" s="298"/>
    </row>
    <row r="740" spans="1:40" x14ac:dyDescent="0.25">
      <c r="A740" s="542"/>
      <c r="I740" s="451">
        <f t="shared" si="334"/>
        <v>0</v>
      </c>
      <c r="L740" s="298"/>
      <c r="M740" s="298"/>
      <c r="Q740" s="542">
        <f t="shared" si="336"/>
        <v>0</v>
      </c>
      <c r="U740" s="298"/>
      <c r="V740" s="298"/>
      <c r="X740" s="298"/>
      <c r="Y740" s="298"/>
    </row>
    <row r="741" spans="1:40" x14ac:dyDescent="0.25">
      <c r="A741" s="542"/>
      <c r="I741" s="451">
        <f t="shared" si="334"/>
        <v>0</v>
      </c>
      <c r="L741" s="298"/>
      <c r="M741" s="298"/>
      <c r="Q741" s="542">
        <f t="shared" si="336"/>
        <v>0</v>
      </c>
      <c r="U741" s="298"/>
      <c r="V741" s="298"/>
      <c r="X741" s="298"/>
      <c r="Y741" s="298"/>
    </row>
    <row r="742" spans="1:40" x14ac:dyDescent="0.25">
      <c r="A742" s="542"/>
      <c r="I742" s="451">
        <f t="shared" si="334"/>
        <v>0</v>
      </c>
      <c r="L742" s="298"/>
      <c r="M742" s="298"/>
      <c r="Q742" s="542">
        <f t="shared" si="336"/>
        <v>0</v>
      </c>
      <c r="U742" s="298"/>
      <c r="V742" s="298"/>
      <c r="X742" s="298"/>
      <c r="Y742" s="298"/>
    </row>
    <row r="743" spans="1:40" x14ac:dyDescent="0.25">
      <c r="A743" s="542"/>
      <c r="I743" s="451">
        <f t="shared" si="334"/>
        <v>0</v>
      </c>
      <c r="L743" s="298"/>
      <c r="M743" s="298"/>
      <c r="Q743" s="542">
        <f t="shared" si="336"/>
        <v>0</v>
      </c>
      <c r="U743" s="298"/>
      <c r="V743" s="298"/>
      <c r="X743" s="298"/>
      <c r="Y743" s="298"/>
    </row>
    <row r="744" spans="1:40" x14ac:dyDescent="0.25">
      <c r="A744" s="542"/>
      <c r="I744" s="451">
        <f t="shared" si="334"/>
        <v>0</v>
      </c>
      <c r="L744" s="298"/>
      <c r="M744" s="298"/>
      <c r="Q744" s="542">
        <f t="shared" si="336"/>
        <v>0</v>
      </c>
      <c r="U744" s="298"/>
      <c r="V744" s="298"/>
      <c r="X744" s="298"/>
      <c r="Y744" s="298"/>
    </row>
    <row r="745" spans="1:40" x14ac:dyDescent="0.25">
      <c r="A745" s="542"/>
      <c r="I745" s="451">
        <f t="shared" si="334"/>
        <v>0</v>
      </c>
      <c r="L745" s="298"/>
      <c r="M745" s="298"/>
      <c r="Q745" s="542">
        <f t="shared" si="336"/>
        <v>0</v>
      </c>
      <c r="U745" s="298"/>
      <c r="V745" s="298"/>
      <c r="X745" s="298"/>
      <c r="Y745" s="298"/>
    </row>
    <row r="746" spans="1:40" ht="15.75" thickBot="1" x14ac:dyDescent="0.3">
      <c r="A746" s="545"/>
      <c r="B746" s="371"/>
      <c r="C746" s="21"/>
      <c r="D746" s="21"/>
      <c r="E746" s="21"/>
      <c r="F746" s="371"/>
      <c r="G746" s="371"/>
      <c r="H746" s="371"/>
      <c r="I746" s="451">
        <f t="shared" si="334"/>
        <v>0</v>
      </c>
      <c r="J746" s="371"/>
      <c r="K746" s="21"/>
      <c r="L746" s="371"/>
      <c r="M746" s="371"/>
      <c r="N746" s="371"/>
      <c r="O746" s="371"/>
      <c r="P746" s="371"/>
      <c r="Q746" s="545">
        <f t="shared" si="336"/>
        <v>0</v>
      </c>
      <c r="R746" s="371"/>
      <c r="S746" s="536"/>
      <c r="T746" s="21"/>
      <c r="U746" s="371"/>
      <c r="V746" s="371"/>
      <c r="W746" s="21"/>
      <c r="X746" s="371"/>
      <c r="Y746" s="371"/>
      <c r="Z746" s="371"/>
      <c r="AA746" s="371"/>
      <c r="AB746" s="371"/>
      <c r="AC746" s="371"/>
      <c r="AD746" s="371"/>
      <c r="AE746" s="371"/>
      <c r="AF746" s="371"/>
      <c r="AG746" s="21"/>
      <c r="AH746" s="21"/>
      <c r="AI746" s="23"/>
      <c r="AJ746" s="21"/>
      <c r="AK746" s="21"/>
      <c r="AL746" s="371"/>
      <c r="AM746" s="371"/>
      <c r="AN746" s="21"/>
    </row>
    <row r="747" spans="1:40" x14ac:dyDescent="0.25">
      <c r="A747" s="542"/>
      <c r="I747" s="451">
        <f t="shared" ref="I747:I782" si="337">IF(MOD(AC747,12)=0,AC747/12,I746)</f>
        <v>0</v>
      </c>
      <c r="L747" s="298"/>
      <c r="M747" s="298"/>
      <c r="Q747" s="542">
        <f t="shared" si="336"/>
        <v>0</v>
      </c>
      <c r="U747" s="298"/>
      <c r="V747" s="298"/>
      <c r="X747" s="298"/>
      <c r="Y747" s="298"/>
    </row>
    <row r="748" spans="1:40" x14ac:dyDescent="0.25">
      <c r="A748" s="542"/>
      <c r="I748" s="451">
        <f t="shared" si="337"/>
        <v>0</v>
      </c>
      <c r="L748" s="298"/>
      <c r="M748" s="298"/>
      <c r="Q748" s="542">
        <f t="shared" si="336"/>
        <v>0</v>
      </c>
      <c r="U748" s="298"/>
      <c r="V748" s="298"/>
      <c r="X748" s="298"/>
      <c r="Y748" s="298"/>
    </row>
    <row r="749" spans="1:40" x14ac:dyDescent="0.25">
      <c r="A749" s="542"/>
      <c r="I749" s="451">
        <f t="shared" si="337"/>
        <v>0</v>
      </c>
      <c r="L749" s="298"/>
      <c r="M749" s="298"/>
      <c r="Q749" s="542">
        <f t="shared" si="336"/>
        <v>0</v>
      </c>
      <c r="U749" s="298"/>
      <c r="V749" s="298"/>
      <c r="X749" s="298"/>
      <c r="Y749" s="298"/>
    </row>
    <row r="750" spans="1:40" x14ac:dyDescent="0.25">
      <c r="A750" s="542"/>
      <c r="I750" s="451">
        <f t="shared" si="337"/>
        <v>0</v>
      </c>
      <c r="L750" s="298"/>
      <c r="M750" s="298"/>
      <c r="Q750" s="542">
        <f t="shared" si="336"/>
        <v>0</v>
      </c>
      <c r="U750" s="298"/>
      <c r="V750" s="298"/>
      <c r="X750" s="298"/>
      <c r="Y750" s="298"/>
    </row>
    <row r="751" spans="1:40" x14ac:dyDescent="0.25">
      <c r="A751" s="542"/>
      <c r="I751" s="451">
        <f t="shared" si="337"/>
        <v>0</v>
      </c>
      <c r="L751" s="298"/>
      <c r="M751" s="298"/>
      <c r="Q751" s="542">
        <f t="shared" si="336"/>
        <v>0</v>
      </c>
      <c r="U751" s="298"/>
      <c r="V751" s="298"/>
      <c r="X751" s="298"/>
      <c r="Y751" s="298"/>
    </row>
    <row r="752" spans="1:40" x14ac:dyDescent="0.25">
      <c r="A752" s="542"/>
      <c r="I752" s="451">
        <f t="shared" si="337"/>
        <v>0</v>
      </c>
      <c r="L752" s="298"/>
      <c r="M752" s="298"/>
      <c r="Q752" s="542">
        <f t="shared" si="336"/>
        <v>0</v>
      </c>
      <c r="U752" s="298"/>
      <c r="V752" s="298"/>
      <c r="X752" s="298"/>
      <c r="Y752" s="298"/>
    </row>
    <row r="753" spans="1:40" x14ac:dyDescent="0.25">
      <c r="A753" s="542"/>
      <c r="I753" s="451">
        <f t="shared" si="337"/>
        <v>0</v>
      </c>
      <c r="L753" s="298"/>
      <c r="M753" s="298"/>
      <c r="Q753" s="542">
        <f t="shared" si="336"/>
        <v>0</v>
      </c>
      <c r="U753" s="298"/>
      <c r="V753" s="298"/>
      <c r="X753" s="298"/>
      <c r="Y753" s="298"/>
    </row>
    <row r="754" spans="1:40" x14ac:dyDescent="0.25">
      <c r="A754" s="542"/>
      <c r="I754" s="451">
        <f t="shared" si="337"/>
        <v>0</v>
      </c>
      <c r="L754" s="298"/>
      <c r="M754" s="298"/>
      <c r="Q754" s="542">
        <f t="shared" si="336"/>
        <v>0</v>
      </c>
      <c r="U754" s="298"/>
      <c r="V754" s="298"/>
      <c r="X754" s="298"/>
      <c r="Y754" s="298"/>
    </row>
    <row r="755" spans="1:40" x14ac:dyDescent="0.25">
      <c r="A755" s="542"/>
      <c r="I755" s="451">
        <f t="shared" si="337"/>
        <v>0</v>
      </c>
      <c r="L755" s="298"/>
      <c r="M755" s="298"/>
      <c r="Q755" s="542">
        <f t="shared" si="336"/>
        <v>0</v>
      </c>
      <c r="U755" s="298"/>
      <c r="V755" s="298"/>
      <c r="X755" s="298"/>
      <c r="Y755" s="298"/>
    </row>
    <row r="756" spans="1:40" x14ac:dyDescent="0.25">
      <c r="A756" s="542"/>
      <c r="I756" s="451">
        <f t="shared" si="337"/>
        <v>0</v>
      </c>
      <c r="L756" s="298"/>
      <c r="M756" s="298"/>
      <c r="Q756" s="542">
        <f t="shared" si="336"/>
        <v>0</v>
      </c>
      <c r="U756" s="298"/>
      <c r="V756" s="298"/>
      <c r="X756" s="298"/>
      <c r="Y756" s="298"/>
    </row>
    <row r="757" spans="1:40" x14ac:dyDescent="0.25">
      <c r="A757" s="542"/>
      <c r="I757" s="451">
        <f t="shared" si="337"/>
        <v>0</v>
      </c>
      <c r="L757" s="298"/>
      <c r="M757" s="298"/>
      <c r="Q757" s="542">
        <f t="shared" si="336"/>
        <v>0</v>
      </c>
      <c r="U757" s="298"/>
      <c r="V757" s="298"/>
      <c r="X757" s="298"/>
      <c r="Y757" s="298"/>
    </row>
    <row r="758" spans="1:40" ht="15.75" thickBot="1" x14ac:dyDescent="0.3">
      <c r="A758" s="545"/>
      <c r="B758" s="371"/>
      <c r="C758" s="21"/>
      <c r="D758" s="21"/>
      <c r="E758" s="21"/>
      <c r="F758" s="371"/>
      <c r="G758" s="371"/>
      <c r="H758" s="371"/>
      <c r="I758" s="451">
        <f t="shared" si="337"/>
        <v>0</v>
      </c>
      <c r="J758" s="371"/>
      <c r="K758" s="21"/>
      <c r="L758" s="371"/>
      <c r="M758" s="371"/>
      <c r="N758" s="371"/>
      <c r="O758" s="371"/>
      <c r="P758" s="371"/>
      <c r="Q758" s="545">
        <f t="shared" si="336"/>
        <v>0</v>
      </c>
      <c r="R758" s="371"/>
      <c r="S758" s="536"/>
      <c r="T758" s="21"/>
      <c r="U758" s="371"/>
      <c r="V758" s="371"/>
      <c r="W758" s="21"/>
      <c r="X758" s="371"/>
      <c r="Y758" s="371"/>
      <c r="Z758" s="371"/>
      <c r="AA758" s="371"/>
      <c r="AB758" s="371"/>
      <c r="AC758" s="371"/>
      <c r="AD758" s="371"/>
      <c r="AE758" s="371"/>
      <c r="AF758" s="371"/>
      <c r="AG758" s="21"/>
      <c r="AH758" s="21"/>
      <c r="AI758" s="23"/>
      <c r="AJ758" s="21"/>
      <c r="AK758" s="21"/>
      <c r="AL758" s="371"/>
      <c r="AM758" s="371"/>
      <c r="AN758" s="21"/>
    </row>
    <row r="759" spans="1:40" x14ac:dyDescent="0.25">
      <c r="A759" s="542"/>
      <c r="I759" s="451">
        <f t="shared" si="337"/>
        <v>0</v>
      </c>
      <c r="L759" s="298"/>
      <c r="M759" s="298"/>
      <c r="Q759" s="542">
        <f t="shared" si="336"/>
        <v>0</v>
      </c>
      <c r="U759" s="298"/>
      <c r="V759" s="298"/>
      <c r="X759" s="298"/>
      <c r="Y759" s="298"/>
    </row>
    <row r="760" spans="1:40" x14ac:dyDescent="0.25">
      <c r="A760" s="542"/>
      <c r="I760" s="451">
        <f t="shared" si="337"/>
        <v>0</v>
      </c>
      <c r="L760" s="298"/>
      <c r="M760" s="298"/>
      <c r="Q760" s="542">
        <f t="shared" si="336"/>
        <v>0</v>
      </c>
      <c r="U760" s="298"/>
      <c r="V760" s="298"/>
      <c r="X760" s="298"/>
      <c r="Y760" s="298"/>
    </row>
    <row r="761" spans="1:40" x14ac:dyDescent="0.25">
      <c r="A761" s="542"/>
      <c r="I761" s="451">
        <f t="shared" si="337"/>
        <v>0</v>
      </c>
      <c r="L761" s="298"/>
      <c r="M761" s="298"/>
      <c r="Q761" s="542">
        <f t="shared" si="336"/>
        <v>0</v>
      </c>
      <c r="U761" s="298"/>
      <c r="V761" s="298"/>
      <c r="X761" s="298"/>
      <c r="Y761" s="298"/>
    </row>
    <row r="762" spans="1:40" x14ac:dyDescent="0.25">
      <c r="A762" s="542"/>
      <c r="I762" s="451">
        <f t="shared" si="337"/>
        <v>0</v>
      </c>
      <c r="L762" s="298"/>
      <c r="M762" s="298"/>
      <c r="Q762" s="542">
        <f t="shared" si="336"/>
        <v>0</v>
      </c>
      <c r="U762" s="298"/>
      <c r="V762" s="298"/>
      <c r="X762" s="298"/>
      <c r="Y762" s="298"/>
    </row>
    <row r="763" spans="1:40" x14ac:dyDescent="0.25">
      <c r="A763" s="542"/>
      <c r="I763" s="451">
        <f t="shared" si="337"/>
        <v>0</v>
      </c>
      <c r="L763" s="298"/>
      <c r="M763" s="298"/>
      <c r="Q763" s="542">
        <f t="shared" si="336"/>
        <v>0</v>
      </c>
      <c r="U763" s="298"/>
      <c r="V763" s="298"/>
      <c r="X763" s="298"/>
      <c r="Y763" s="298"/>
    </row>
    <row r="764" spans="1:40" x14ac:dyDescent="0.25">
      <c r="A764" s="542"/>
      <c r="I764" s="451">
        <f t="shared" si="337"/>
        <v>0</v>
      </c>
      <c r="L764" s="298"/>
      <c r="M764" s="298"/>
      <c r="Q764" s="542">
        <f t="shared" si="336"/>
        <v>0</v>
      </c>
      <c r="U764" s="298"/>
      <c r="V764" s="298"/>
      <c r="X764" s="298"/>
      <c r="Y764" s="298"/>
    </row>
    <row r="765" spans="1:40" x14ac:dyDescent="0.25">
      <c r="A765" s="542"/>
      <c r="I765" s="451">
        <f t="shared" si="337"/>
        <v>0</v>
      </c>
      <c r="L765" s="298"/>
      <c r="M765" s="298"/>
      <c r="Q765" s="542">
        <f t="shared" si="336"/>
        <v>0</v>
      </c>
      <c r="U765" s="298"/>
      <c r="V765" s="298"/>
      <c r="X765" s="298"/>
      <c r="Y765" s="298"/>
    </row>
    <row r="766" spans="1:40" x14ac:dyDescent="0.25">
      <c r="A766" s="542"/>
      <c r="I766" s="451">
        <f t="shared" si="337"/>
        <v>0</v>
      </c>
      <c r="L766" s="298"/>
      <c r="M766" s="298"/>
      <c r="Q766" s="542">
        <f t="shared" si="336"/>
        <v>0</v>
      </c>
      <c r="U766" s="298"/>
      <c r="V766" s="298"/>
      <c r="X766" s="298"/>
      <c r="Y766" s="298"/>
    </row>
    <row r="767" spans="1:40" x14ac:dyDescent="0.25">
      <c r="A767" s="542"/>
      <c r="I767" s="451">
        <f t="shared" si="337"/>
        <v>0</v>
      </c>
      <c r="L767" s="298"/>
      <c r="M767" s="298"/>
      <c r="Q767" s="542">
        <f t="shared" si="336"/>
        <v>0</v>
      </c>
      <c r="U767" s="298"/>
      <c r="V767" s="298"/>
      <c r="X767" s="298"/>
      <c r="Y767" s="298"/>
    </row>
    <row r="768" spans="1:40" x14ac:dyDescent="0.25">
      <c r="A768" s="542"/>
      <c r="I768" s="451">
        <f t="shared" si="337"/>
        <v>0</v>
      </c>
      <c r="L768" s="298"/>
      <c r="M768" s="298"/>
      <c r="Q768" s="542">
        <f t="shared" si="336"/>
        <v>0</v>
      </c>
      <c r="U768" s="298"/>
      <c r="V768" s="298"/>
      <c r="X768" s="298"/>
      <c r="Y768" s="298"/>
    </row>
    <row r="769" spans="1:40" x14ac:dyDescent="0.25">
      <c r="A769" s="542"/>
      <c r="I769" s="451">
        <f t="shared" si="337"/>
        <v>0</v>
      </c>
      <c r="L769" s="298"/>
      <c r="M769" s="298"/>
      <c r="Q769" s="542">
        <f t="shared" si="336"/>
        <v>0</v>
      </c>
      <c r="U769" s="298"/>
      <c r="V769" s="298"/>
      <c r="X769" s="298"/>
      <c r="Y769" s="298"/>
    </row>
    <row r="770" spans="1:40" ht="15.75" thickBot="1" x14ac:dyDescent="0.3">
      <c r="A770" s="545"/>
      <c r="B770" s="371"/>
      <c r="C770" s="21"/>
      <c r="D770" s="21"/>
      <c r="E770" s="21"/>
      <c r="F770" s="371"/>
      <c r="G770" s="371"/>
      <c r="H770" s="371"/>
      <c r="I770" s="451">
        <f t="shared" si="337"/>
        <v>0</v>
      </c>
      <c r="J770" s="371"/>
      <c r="K770" s="21"/>
      <c r="L770" s="371"/>
      <c r="M770" s="371"/>
      <c r="N770" s="371"/>
      <c r="O770" s="371"/>
      <c r="P770" s="371"/>
      <c r="Q770" s="545">
        <f t="shared" si="336"/>
        <v>0</v>
      </c>
      <c r="R770" s="371"/>
      <c r="S770" s="536"/>
      <c r="T770" s="21"/>
      <c r="U770" s="371"/>
      <c r="V770" s="371"/>
      <c r="W770" s="21"/>
      <c r="X770" s="371"/>
      <c r="Y770" s="371"/>
      <c r="Z770" s="371"/>
      <c r="AA770" s="371"/>
      <c r="AB770" s="371"/>
      <c r="AC770" s="371"/>
      <c r="AD770" s="371"/>
      <c r="AE770" s="371"/>
      <c r="AF770" s="371"/>
      <c r="AG770" s="21"/>
      <c r="AH770" s="21"/>
      <c r="AI770" s="23"/>
      <c r="AJ770" s="21"/>
      <c r="AK770" s="21"/>
      <c r="AL770" s="371"/>
      <c r="AM770" s="371"/>
      <c r="AN770" s="21"/>
    </row>
    <row r="771" spans="1:40" x14ac:dyDescent="0.25">
      <c r="A771" s="542"/>
      <c r="I771" s="451">
        <f t="shared" si="337"/>
        <v>0</v>
      </c>
      <c r="L771" s="298"/>
      <c r="M771" s="298"/>
      <c r="Q771" s="542">
        <f t="shared" si="336"/>
        <v>0</v>
      </c>
      <c r="U771" s="298"/>
      <c r="V771" s="298"/>
      <c r="X771" s="298"/>
      <c r="Y771" s="298"/>
    </row>
    <row r="772" spans="1:40" x14ac:dyDescent="0.25">
      <c r="A772" s="542"/>
      <c r="I772" s="451">
        <f t="shared" si="337"/>
        <v>0</v>
      </c>
      <c r="L772" s="298"/>
      <c r="M772" s="298"/>
      <c r="Q772" s="542">
        <f t="shared" si="336"/>
        <v>0</v>
      </c>
      <c r="U772" s="298"/>
      <c r="V772" s="298"/>
      <c r="X772" s="298"/>
      <c r="Y772" s="298"/>
    </row>
    <row r="773" spans="1:40" x14ac:dyDescent="0.25">
      <c r="A773" s="542"/>
      <c r="I773" s="451">
        <f t="shared" si="337"/>
        <v>0</v>
      </c>
      <c r="L773" s="298"/>
      <c r="M773" s="298"/>
      <c r="Q773" s="542">
        <f t="shared" si="336"/>
        <v>0</v>
      </c>
      <c r="U773" s="298"/>
      <c r="V773" s="298"/>
      <c r="X773" s="298"/>
      <c r="Y773" s="298"/>
    </row>
    <row r="774" spans="1:40" x14ac:dyDescent="0.25">
      <c r="A774" s="542"/>
      <c r="I774" s="451">
        <f t="shared" si="337"/>
        <v>0</v>
      </c>
      <c r="L774" s="298"/>
      <c r="M774" s="298"/>
      <c r="Q774" s="542">
        <f t="shared" si="336"/>
        <v>0</v>
      </c>
      <c r="U774" s="298"/>
      <c r="V774" s="298"/>
      <c r="X774" s="298"/>
      <c r="Y774" s="298"/>
    </row>
    <row r="775" spans="1:40" x14ac:dyDescent="0.25">
      <c r="A775" s="542"/>
      <c r="I775" s="451">
        <f t="shared" si="337"/>
        <v>0</v>
      </c>
      <c r="L775" s="298"/>
      <c r="M775" s="298"/>
      <c r="Q775" s="542">
        <f t="shared" si="336"/>
        <v>0</v>
      </c>
      <c r="U775" s="298"/>
      <c r="V775" s="298"/>
      <c r="X775" s="298"/>
      <c r="Y775" s="298"/>
    </row>
    <row r="776" spans="1:40" x14ac:dyDescent="0.25">
      <c r="A776" s="542"/>
      <c r="I776" s="451">
        <f t="shared" si="337"/>
        <v>0</v>
      </c>
      <c r="L776" s="298"/>
      <c r="M776" s="298"/>
      <c r="Q776" s="542">
        <f t="shared" si="336"/>
        <v>0</v>
      </c>
      <c r="U776" s="298"/>
      <c r="V776" s="298"/>
      <c r="X776" s="298"/>
      <c r="Y776" s="298"/>
    </row>
    <row r="777" spans="1:40" x14ac:dyDescent="0.25">
      <c r="A777" s="542"/>
      <c r="I777" s="451">
        <f t="shared" si="337"/>
        <v>0</v>
      </c>
      <c r="L777" s="298"/>
      <c r="M777" s="298"/>
      <c r="Q777" s="542">
        <f t="shared" si="336"/>
        <v>0</v>
      </c>
      <c r="U777" s="298"/>
      <c r="V777" s="298"/>
      <c r="X777" s="298"/>
      <c r="Y777" s="298"/>
    </row>
    <row r="778" spans="1:40" x14ac:dyDescent="0.25">
      <c r="A778" s="542"/>
      <c r="I778" s="451">
        <f t="shared" si="337"/>
        <v>0</v>
      </c>
      <c r="L778" s="298"/>
      <c r="M778" s="298"/>
      <c r="Q778" s="542">
        <f t="shared" si="336"/>
        <v>0</v>
      </c>
      <c r="U778" s="298"/>
      <c r="V778" s="298"/>
      <c r="X778" s="298"/>
      <c r="Y778" s="298"/>
    </row>
    <row r="779" spans="1:40" x14ac:dyDescent="0.25">
      <c r="A779" s="542"/>
      <c r="I779" s="451">
        <f t="shared" si="337"/>
        <v>0</v>
      </c>
      <c r="L779" s="298"/>
      <c r="M779" s="298"/>
      <c r="Q779" s="542">
        <f t="shared" si="336"/>
        <v>0</v>
      </c>
      <c r="U779" s="298"/>
      <c r="V779" s="298"/>
      <c r="X779" s="298"/>
      <c r="Y779" s="298"/>
    </row>
    <row r="780" spans="1:40" x14ac:dyDescent="0.25">
      <c r="A780" s="542"/>
      <c r="I780" s="451">
        <f t="shared" si="337"/>
        <v>0</v>
      </c>
      <c r="L780" s="298"/>
      <c r="M780" s="298"/>
      <c r="Q780" s="542">
        <f t="shared" si="336"/>
        <v>0</v>
      </c>
      <c r="U780" s="298"/>
      <c r="V780" s="298"/>
      <c r="X780" s="298"/>
      <c r="Y780" s="298"/>
    </row>
    <row r="781" spans="1:40" x14ac:dyDescent="0.25">
      <c r="A781" s="542"/>
      <c r="I781" s="451">
        <f t="shared" si="337"/>
        <v>0</v>
      </c>
      <c r="L781" s="298"/>
      <c r="M781" s="298"/>
      <c r="Q781" s="542">
        <f t="shared" si="336"/>
        <v>0</v>
      </c>
      <c r="U781" s="298"/>
      <c r="V781" s="298"/>
      <c r="X781" s="298"/>
      <c r="Y781" s="298"/>
    </row>
    <row r="782" spans="1:40" ht="15.75" thickBot="1" x14ac:dyDescent="0.3">
      <c r="A782" s="545"/>
      <c r="B782" s="371"/>
      <c r="C782" s="21"/>
      <c r="D782" s="21"/>
      <c r="E782" s="21"/>
      <c r="F782" s="371"/>
      <c r="G782" s="371"/>
      <c r="H782" s="371"/>
      <c r="I782" s="451">
        <f t="shared" si="337"/>
        <v>0</v>
      </c>
      <c r="J782" s="371"/>
      <c r="K782" s="21"/>
      <c r="L782" s="371"/>
      <c r="M782" s="371"/>
      <c r="N782" s="371"/>
      <c r="O782" s="371"/>
      <c r="P782" s="371"/>
      <c r="Q782" s="545">
        <f t="shared" si="336"/>
        <v>0</v>
      </c>
      <c r="R782" s="371"/>
      <c r="S782" s="536"/>
      <c r="T782" s="21"/>
      <c r="U782" s="371"/>
      <c r="V782" s="371"/>
      <c r="W782" s="21"/>
      <c r="X782" s="371"/>
      <c r="Y782" s="371"/>
      <c r="Z782" s="371"/>
      <c r="AA782" s="371"/>
      <c r="AB782" s="371"/>
      <c r="AC782" s="371"/>
      <c r="AD782" s="371"/>
      <c r="AE782" s="371"/>
      <c r="AF782" s="371"/>
      <c r="AG782" s="21"/>
      <c r="AH782" s="21"/>
      <c r="AI782" s="23"/>
      <c r="AJ782" s="21"/>
      <c r="AK782" s="21"/>
      <c r="AL782" s="371"/>
      <c r="AM782" s="371"/>
      <c r="AN782" s="21"/>
    </row>
  </sheetData>
  <mergeCells count="25">
    <mergeCell ref="AD13:AF13"/>
    <mergeCell ref="AJ13:AJ14"/>
    <mergeCell ref="AL13:AM13"/>
    <mergeCell ref="AG13:AH13"/>
    <mergeCell ref="AI1:AK1"/>
    <mergeCell ref="F2:I2"/>
    <mergeCell ref="O2:W2"/>
    <mergeCell ref="F3:I3"/>
    <mergeCell ref="G4:I4"/>
    <mergeCell ref="O4:Q4"/>
    <mergeCell ref="R4:S4"/>
    <mergeCell ref="G5:I5"/>
    <mergeCell ref="O5:Q7"/>
    <mergeCell ref="R5:S5"/>
    <mergeCell ref="G6:I6"/>
    <mergeCell ref="R6:S6"/>
    <mergeCell ref="R7:S7"/>
    <mergeCell ref="R11:S11"/>
    <mergeCell ref="J12:P12"/>
    <mergeCell ref="R12:AC12"/>
    <mergeCell ref="C13:E13"/>
    <mergeCell ref="F13:G13"/>
    <mergeCell ref="N13:O13"/>
    <mergeCell ref="T13:Y13"/>
    <mergeCell ref="Z13:AA13"/>
  </mergeCells>
  <conditionalFormatting sqref="AK15:AK543">
    <cfRule type="cellIs" dxfId="56"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295275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238125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190500</xdr:colOff>
                    <xdr:row>1</xdr:row>
                    <xdr:rowOff>9525</xdr:rowOff>
                  </to>
                </anchor>
              </controlPr>
            </control>
          </mc:Choice>
        </mc:AlternateContent>
        <mc:AlternateContent xmlns:mc="http://schemas.openxmlformats.org/markup-compatibility/2006">
          <mc:Choice Requires="x14">
            <control shapeId="59412" r:id="rId7" name="Option Button 20">
              <controlPr defaultSize="0" autoFill="0" autoLine="0" autoPict="0">
                <anchor moveWithCells="1">
                  <from>
                    <xdr:col>10</xdr:col>
                    <xdr:colOff>171450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59413" r:id="rId8" name="Option Button 21">
              <controlPr defaultSize="0" autoFill="0" autoLine="0" autoPict="0">
                <anchor moveWithCells="1">
                  <from>
                    <xdr:col>11</xdr:col>
                    <xdr:colOff>247650</xdr:colOff>
                    <xdr:row>0</xdr:row>
                    <xdr:rowOff>0</xdr:rowOff>
                  </from>
                  <to>
                    <xdr:col>12</xdr:col>
                    <xdr:colOff>47625</xdr:colOff>
                    <xdr:row>1</xdr:row>
                    <xdr:rowOff>0</xdr:rowOff>
                  </to>
                </anchor>
              </controlPr>
            </control>
          </mc:Choice>
        </mc:AlternateContent>
        <mc:AlternateContent xmlns:mc="http://schemas.openxmlformats.org/markup-compatibility/2006">
          <mc:Choice Requires="x14">
            <control shapeId="59414" r:id="rId9" name="Option Button 22">
              <controlPr defaultSize="0" autoFill="0" autoLine="0" autoPict="0">
                <anchor moveWithCells="1">
                  <from>
                    <xdr:col>12</xdr:col>
                    <xdr:colOff>190500</xdr:colOff>
                    <xdr:row>0</xdr:row>
                    <xdr:rowOff>0</xdr:rowOff>
                  </from>
                  <to>
                    <xdr:col>12</xdr:col>
                    <xdr:colOff>428625</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CZ117"/>
  <sheetViews>
    <sheetView workbookViewId="0">
      <pane xSplit="2" ySplit="2" topLeftCell="BE96" activePane="bottomRight" state="frozen"/>
      <selection pane="topRight" activeCell="C1" sqref="C1"/>
      <selection pane="bottomLeft" activeCell="A3" sqref="A3"/>
      <selection pane="bottomRight" activeCell="B112" sqref="B112"/>
    </sheetView>
  </sheetViews>
  <sheetFormatPr defaultRowHeight="15.75" x14ac:dyDescent="0.25"/>
  <cols>
    <col min="1" max="1" width="30" bestFit="1" customWidth="1"/>
    <col min="2" max="2" width="51.42578125" style="589" customWidth="1"/>
    <col min="3" max="3" width="13" style="589" customWidth="1"/>
    <col min="4" max="6" width="35.5703125" style="589" customWidth="1"/>
    <col min="7" max="8" width="39.140625" customWidth="1"/>
    <col min="9" max="9" width="17" customWidth="1"/>
    <col min="10" max="11" width="15.28515625" style="13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67" width="13.140625" customWidth="1"/>
    <col min="68" max="68" width="70.85546875" bestFit="1" customWidth="1"/>
    <col min="69" max="69" width="9.5703125" customWidth="1"/>
    <col min="70" max="74" width="13.140625" customWidth="1"/>
    <col min="75" max="75" width="25.28515625" bestFit="1" customWidth="1"/>
    <col min="76" max="77" width="25.28515625" customWidth="1"/>
    <col min="78" max="78" width="17" bestFit="1" customWidth="1"/>
    <col min="79" max="79" width="17.7109375" customWidth="1"/>
    <col min="80" max="80" width="11.28515625" customWidth="1"/>
    <col min="81" max="81" width="13.140625" bestFit="1" customWidth="1"/>
    <col min="82" max="87" width="13.140625" customWidth="1"/>
    <col min="88" max="90" width="11.28515625" customWidth="1"/>
    <col min="91" max="91" width="45.42578125" bestFit="1" customWidth="1"/>
    <col min="92" max="92" width="11.28515625" customWidth="1"/>
    <col min="93" max="93" width="22.5703125" bestFit="1" customWidth="1"/>
    <col min="94" max="95" width="22.5703125" customWidth="1"/>
    <col min="96" max="96" width="5" bestFit="1" customWidth="1"/>
    <col min="97" max="97" width="35.28515625" bestFit="1" customWidth="1"/>
    <col min="98" max="98" width="12.7109375" bestFit="1" customWidth="1"/>
    <col min="99" max="99" width="12.5703125" bestFit="1" customWidth="1"/>
    <col min="100" max="100" width="17.5703125" bestFit="1" customWidth="1"/>
    <col min="101" max="101" width="28.85546875" bestFit="1" customWidth="1"/>
    <col min="102" max="102" width="24.140625" bestFit="1" customWidth="1"/>
    <col min="103" max="103" width="13.140625" bestFit="1" customWidth="1"/>
    <col min="104" max="104" width="18.7109375" bestFit="1" customWidth="1"/>
    <col min="105" max="105" width="12.42578125" bestFit="1" customWidth="1"/>
    <col min="106" max="106" width="13.85546875" bestFit="1" customWidth="1"/>
    <col min="107" max="107" width="14.28515625" bestFit="1" customWidth="1"/>
    <col min="108" max="108" width="15.85546875" bestFit="1" customWidth="1"/>
    <col min="109" max="109" width="17.5703125" bestFit="1" customWidth="1"/>
    <col min="110" max="110" width="14.28515625" bestFit="1" customWidth="1"/>
    <col min="111" max="111" width="18.42578125" bestFit="1" customWidth="1"/>
  </cols>
  <sheetData>
    <row r="1" spans="1:104" s="15" customFormat="1" ht="16.5" thickBot="1" x14ac:dyDescent="0.3">
      <c r="B1" s="584"/>
      <c r="C1" s="584"/>
      <c r="D1" s="15" t="s">
        <v>953</v>
      </c>
      <c r="E1" s="585" t="s">
        <v>954</v>
      </c>
      <c r="F1" s="15" t="s">
        <v>955</v>
      </c>
      <c r="G1" s="15" t="s">
        <v>956</v>
      </c>
      <c r="H1" s="15" t="s">
        <v>957</v>
      </c>
      <c r="I1" s="15" t="s">
        <v>958</v>
      </c>
      <c r="J1" s="586" t="s">
        <v>959</v>
      </c>
      <c r="K1" s="30" t="s">
        <v>960</v>
      </c>
      <c r="L1" s="15" t="s">
        <v>961</v>
      </c>
      <c r="M1" s="15" t="s">
        <v>962</v>
      </c>
      <c r="N1" s="587" t="s">
        <v>963</v>
      </c>
      <c r="O1" s="585" t="s">
        <v>964</v>
      </c>
      <c r="P1" s="588" t="s">
        <v>965</v>
      </c>
      <c r="Q1" s="588" t="s">
        <v>966</v>
      </c>
      <c r="R1" s="585" t="s">
        <v>967</v>
      </c>
      <c r="S1" s="15" t="s">
        <v>968</v>
      </c>
      <c r="T1" s="15" t="s">
        <v>969</v>
      </c>
      <c r="U1" s="15" t="s">
        <v>970</v>
      </c>
      <c r="V1" s="585" t="s">
        <v>971</v>
      </c>
      <c r="W1" s="15" t="s">
        <v>803</v>
      </c>
      <c r="X1" s="15" t="s">
        <v>972</v>
      </c>
      <c r="Y1" s="15" t="s">
        <v>973</v>
      </c>
      <c r="Z1" s="15" t="s">
        <v>974</v>
      </c>
      <c r="AA1" s="15" t="s">
        <v>975</v>
      </c>
      <c r="AB1" s="15" t="s">
        <v>976</v>
      </c>
      <c r="AC1" s="15" t="s">
        <v>977</v>
      </c>
      <c r="AD1" s="15" t="s">
        <v>978</v>
      </c>
      <c r="AE1" s="15" t="s">
        <v>979</v>
      </c>
      <c r="AF1" s="585" t="s">
        <v>980</v>
      </c>
      <c r="AG1" s="585" t="s">
        <v>981</v>
      </c>
      <c r="AH1" s="15" t="s">
        <v>982</v>
      </c>
      <c r="AI1" s="15" t="s">
        <v>899</v>
      </c>
      <c r="AJ1" s="588" t="s">
        <v>712</v>
      </c>
      <c r="AK1" s="585" t="s">
        <v>983</v>
      </c>
      <c r="AL1" s="585" t="s">
        <v>984</v>
      </c>
      <c r="AM1" s="15" t="s">
        <v>985</v>
      </c>
      <c r="AN1" s="15" t="s">
        <v>898</v>
      </c>
      <c r="AO1" s="585" t="s">
        <v>986</v>
      </c>
      <c r="AP1" s="15" t="s">
        <v>987</v>
      </c>
      <c r="AQ1" s="15" t="s">
        <v>988</v>
      </c>
      <c r="AR1" s="15" t="s">
        <v>989</v>
      </c>
      <c r="AS1" s="15" t="s">
        <v>990</v>
      </c>
      <c r="AT1" s="585" t="s">
        <v>810</v>
      </c>
      <c r="AU1" s="585" t="s">
        <v>851</v>
      </c>
      <c r="AV1" s="585" t="s">
        <v>850</v>
      </c>
      <c r="AW1" s="15" t="s">
        <v>814</v>
      </c>
      <c r="AX1" s="15" t="s">
        <v>936</v>
      </c>
      <c r="AY1" s="30" t="s">
        <v>991</v>
      </c>
      <c r="AZ1" s="30" t="s">
        <v>992</v>
      </c>
      <c r="BA1" s="30" t="s">
        <v>993</v>
      </c>
      <c r="BB1" s="30" t="s">
        <v>994</v>
      </c>
      <c r="BC1" s="30" t="s">
        <v>995</v>
      </c>
      <c r="BD1" s="30" t="s">
        <v>996</v>
      </c>
      <c r="BE1" s="15" t="s">
        <v>997</v>
      </c>
      <c r="BF1" s="15" t="s">
        <v>998</v>
      </c>
      <c r="BG1" s="15" t="s">
        <v>999</v>
      </c>
      <c r="BH1" s="15" t="s">
        <v>1000</v>
      </c>
      <c r="BI1" s="585" t="s">
        <v>1001</v>
      </c>
      <c r="BJ1" s="585" t="s">
        <v>1002</v>
      </c>
      <c r="BK1" s="585" t="s">
        <v>1003</v>
      </c>
      <c r="BL1" s="15" t="s">
        <v>1004</v>
      </c>
      <c r="BM1" s="15" t="s">
        <v>1005</v>
      </c>
      <c r="BN1" s="30" t="s">
        <v>1006</v>
      </c>
      <c r="BO1" s="30" t="s">
        <v>1061</v>
      </c>
      <c r="BP1" s="30" t="s">
        <v>1060</v>
      </c>
      <c r="BQ1" s="30" t="s">
        <v>1059</v>
      </c>
      <c r="BR1" s="30" t="s">
        <v>1007</v>
      </c>
      <c r="BS1" s="30" t="s">
        <v>1008</v>
      </c>
      <c r="BT1" s="30" t="s">
        <v>1009</v>
      </c>
      <c r="BU1" s="30" t="s">
        <v>1010</v>
      </c>
      <c r="BV1" s="30" t="s">
        <v>1011</v>
      </c>
      <c r="BW1" s="15" t="s">
        <v>1012</v>
      </c>
      <c r="BX1" s="15" t="s">
        <v>1013</v>
      </c>
      <c r="BY1" s="15" t="s">
        <v>1014</v>
      </c>
      <c r="BZ1" s="585" t="s">
        <v>1015</v>
      </c>
      <c r="CA1" s="15" t="s">
        <v>1016</v>
      </c>
      <c r="CB1" s="15" t="s">
        <v>1017</v>
      </c>
      <c r="CC1" s="588" t="s">
        <v>1018</v>
      </c>
      <c r="CD1" s="585" t="s">
        <v>1019</v>
      </c>
      <c r="CE1" s="15" t="s">
        <v>1020</v>
      </c>
      <c r="CF1" s="15" t="s">
        <v>1021</v>
      </c>
      <c r="CG1" s="15" t="s">
        <v>1022</v>
      </c>
      <c r="CH1" s="30" t="s">
        <v>1023</v>
      </c>
      <c r="CI1" s="585" t="s">
        <v>1024</v>
      </c>
      <c r="CJ1" s="588" t="s">
        <v>852</v>
      </c>
      <c r="CK1" s="588" t="s">
        <v>853</v>
      </c>
      <c r="CL1" s="15" t="s">
        <v>825</v>
      </c>
      <c r="CM1" s="15" t="s">
        <v>812</v>
      </c>
      <c r="CN1" s="15" t="s">
        <v>1025</v>
      </c>
      <c r="CO1" s="15" t="s">
        <v>890</v>
      </c>
      <c r="CP1" s="15" t="s">
        <v>1026</v>
      </c>
      <c r="CQ1" s="15" t="s">
        <v>1027</v>
      </c>
      <c r="CR1" s="15" t="s">
        <v>761</v>
      </c>
    </row>
    <row r="2" spans="1:104" x14ac:dyDescent="0.25">
      <c r="D2">
        <f>+B24</f>
        <v>0</v>
      </c>
      <c r="E2" s="14" t="str">
        <f>+B53</f>
        <v>Purchaser is excluding from the purchase price the debt owed by the Seller, witnessed by the Deed of Trust dated on 3/18/2019 in the amount of $21,815.89.</v>
      </c>
      <c r="F2" t="str">
        <f>+B72</f>
        <v xml:space="preserve">Lot 79 Carthage Colonies, phase 3A </v>
      </c>
      <c r="G2" t="str">
        <f>+B26</f>
        <v>Buy Your Home Retirement Plan Trust</v>
      </c>
      <c r="H2" t="str">
        <f>+B31</f>
        <v>Laurence A. Tunnard and Aprille D. Tunnard</v>
      </c>
      <c r="I2" t="str">
        <f>+B27</f>
        <v>Laurence A. Tunnard</v>
      </c>
      <c r="J2" s="133" t="str">
        <f>+B28</f>
        <v>Aprille D. Tunnard</v>
      </c>
      <c r="K2" t="str">
        <f>+B30</f>
        <v>Aprille D. Tunnard</v>
      </c>
      <c r="L2" t="str">
        <f>+B39</f>
        <v>150-64-8338</v>
      </c>
      <c r="M2" t="str">
        <f>+B40</f>
        <v>104-94-3081</v>
      </c>
      <c r="N2">
        <f>+B46</f>
        <v>100</v>
      </c>
      <c r="O2">
        <f>B47</f>
        <v>-100</v>
      </c>
      <c r="P2" s="14">
        <f>+B45</f>
        <v>136402.79</v>
      </c>
      <c r="Q2" s="14" t="str">
        <f>+B51</f>
        <v>Coastal Federal Credit Union</v>
      </c>
      <c r="R2" s="365">
        <f>B44</f>
        <v>83188.5</v>
      </c>
      <c r="S2" t="str">
        <f>+B36</f>
        <v>612 Britton Ct</v>
      </c>
      <c r="T2" t="str">
        <f>+B37</f>
        <v>Sanford, NC 27330</v>
      </c>
      <c r="U2" s="298">
        <f>+B62</f>
        <v>1514.69</v>
      </c>
      <c r="V2" s="516" t="str">
        <f>+B48</f>
        <v>4.750%</v>
      </c>
      <c r="W2" s="516" t="str">
        <f>+B66</f>
        <v>WAKE</v>
      </c>
      <c r="X2">
        <f ca="1">+B90</f>
        <v>5</v>
      </c>
      <c r="Y2">
        <f ca="1">+B89</f>
        <v>2026</v>
      </c>
      <c r="Z2" t="str">
        <f>+B77</f>
        <v>Beazer Home Group</v>
      </c>
      <c r="AA2" t="str">
        <f>+B78</f>
        <v>00992</v>
      </c>
      <c r="AB2" t="str">
        <f>+B79</f>
        <v>0383</v>
      </c>
      <c r="AC2">
        <f>+B80</f>
        <v>0</v>
      </c>
      <c r="AD2">
        <f>+B102</f>
        <v>12</v>
      </c>
      <c r="AE2">
        <f>+B103</f>
        <v>0</v>
      </c>
      <c r="AF2" s="516" t="str">
        <f>+B49</f>
        <v>4.750%</v>
      </c>
      <c r="AG2" s="516" t="str">
        <f>+B50</f>
        <v>7.750%</v>
      </c>
      <c r="AH2" t="str">
        <f>+B41</f>
        <v>X:      -    -       :</v>
      </c>
      <c r="AI2" t="str">
        <f>+B38</f>
        <v>:</v>
      </c>
      <c r="AJ2">
        <f>+B70</f>
        <v>0</v>
      </c>
      <c r="AK2" s="14" t="str">
        <f>+B56</f>
        <v>Laurence A. Tunnard</v>
      </c>
      <c r="AL2">
        <f>+B57</f>
        <v>2025</v>
      </c>
      <c r="AM2" t="str">
        <f>+B73</f>
        <v>Lot 79 Carthage Colonies, phase 3A as shown on final plat for Carthage Colonies phase 3A Plat cabnet 19 slide 46C " a clustered Subdivision" by Braken &amp; Associates of Sandford NC. Recorded in Plat Cabnet 10 Slide 54H of Lee County Public Record</v>
      </c>
      <c r="AN2">
        <f>B42</f>
        <v>1233445566</v>
      </c>
      <c r="AO2" s="14">
        <f>+B12</f>
        <v>467968</v>
      </c>
      <c r="AP2" s="517">
        <f>+B21</f>
        <v>47543</v>
      </c>
      <c r="AQ2" s="517">
        <f>+B20</f>
        <v>45748</v>
      </c>
      <c r="AR2" s="517">
        <f>+B22</f>
        <v>47574</v>
      </c>
      <c r="AS2" s="517">
        <f>+B23</f>
        <v>56674</v>
      </c>
      <c r="AT2" s="365">
        <f>+B16</f>
        <v>0</v>
      </c>
      <c r="AU2" s="365">
        <f>+B13</f>
        <v>0</v>
      </c>
      <c r="AV2" s="365">
        <f>+B16</f>
        <v>0</v>
      </c>
      <c r="AW2" t="str">
        <f>+B88</f>
        <v>Wes Browning</v>
      </c>
      <c r="AX2" t="str">
        <f>+B104</f>
        <v>X</v>
      </c>
      <c r="AY2" t="str">
        <f>+B99</f>
        <v>Limited Allowance Compensating for Rent</v>
      </c>
      <c r="AZ2" t="str">
        <f>+B100</f>
        <v>Part of Purchase and Sale Agreement</v>
      </c>
      <c r="BA2" t="str">
        <f>+B105</f>
        <v>Purchase and Sale Agreement</v>
      </c>
      <c r="BB2" s="14">
        <f>+B96</f>
        <v>1524.6899999999998</v>
      </c>
      <c r="BC2" s="14">
        <f>+B97</f>
        <v>9148.14</v>
      </c>
      <c r="BD2" t="str">
        <f>+B98</f>
        <v>A balloon payment of $9,148.14 will be due when the property is resold by the purchaser</v>
      </c>
      <c r="BE2" t="str">
        <f>+B64</f>
        <v>612 Britton Ct</v>
      </c>
      <c r="BF2" t="str">
        <f>+B65</f>
        <v>Sanford, NC 27330</v>
      </c>
      <c r="BG2" t="str">
        <f>+B66</f>
        <v>WAKE</v>
      </c>
      <c r="BH2" t="str">
        <f>+B74</f>
        <v>964230078400</v>
      </c>
      <c r="BI2">
        <f>+B67</f>
        <v>0.57000000000000006</v>
      </c>
      <c r="BJ2" s="516" t="str">
        <f>+B14</f>
        <v xml:space="preserve"> Cash Flow(60 months);</v>
      </c>
      <c r="BK2" s="298">
        <f>+B69</f>
        <v>0</v>
      </c>
      <c r="BL2">
        <f>+B29</f>
        <v>0</v>
      </c>
      <c r="BM2">
        <f>+B95</f>
        <v>18296.28</v>
      </c>
      <c r="BN2" t="str">
        <f>+B108</f>
        <v>Heritage IRA Inc</v>
      </c>
      <c r="BO2" t="str">
        <f>+B111</f>
        <v>Fortis Bank FBO Jana Willers Roth 54632275 undivided interest of 29.7%</v>
      </c>
      <c r="BP2" t="str">
        <f>+B112</f>
        <v>Fortis Bank FBO David Willers Roth 86500559 undivided interest of 45.3%</v>
      </c>
      <c r="BQ2" t="str">
        <f>+B113</f>
        <v>Fortis Bank FBO David Willers Trad 17282648 undivided interest of 25.0%</v>
      </c>
      <c r="BR2" t="str">
        <f>+B109</f>
        <v>5013 S Louise Ave, PMB 2122</v>
      </c>
      <c r="BS2" t="str">
        <f>+B110</f>
        <v>Sioux Falls, SD 57108</v>
      </c>
      <c r="BT2" s="1">
        <f>+B114</f>
        <v>100300</v>
      </c>
      <c r="BU2" s="1" t="str">
        <f>+B115</f>
        <v>3rd</v>
      </c>
      <c r="BV2" s="1">
        <f>+B116</f>
        <v>10</v>
      </c>
      <c r="BW2">
        <f>+B76</f>
        <v>0</v>
      </c>
      <c r="BX2" s="133" t="str">
        <f>+B58</f>
        <v xml:space="preserve">The rent, for the first 12 months, will be compensated by a Promissory Note given from Lessor to the Leasee. See Exhibit "C" </v>
      </c>
      <c r="BY2" s="14" t="str">
        <f>+B60</f>
        <v xml:space="preserve"> </v>
      </c>
      <c r="BZ2" s="515">
        <f>+B11</f>
        <v>19900</v>
      </c>
      <c r="CA2">
        <f>+B8</f>
        <v>0</v>
      </c>
      <c r="CB2" t="str">
        <f>+B9</f>
        <v>Heritage Management LLC</v>
      </c>
      <c r="CC2" s="515">
        <f>+B10</f>
        <v>487868</v>
      </c>
      <c r="CD2" s="14">
        <f>B43</f>
        <v>35038.01</v>
      </c>
      <c r="CE2">
        <f>+B34</f>
        <v>0</v>
      </c>
      <c r="CF2">
        <f>+B35</f>
        <v>0</v>
      </c>
      <c r="CG2">
        <f>+B32</f>
        <v>0</v>
      </c>
      <c r="CH2" t="str">
        <f>+B33</f>
        <v>A Married Couple</v>
      </c>
      <c r="CI2" s="298">
        <f>+B68</f>
        <v>4.7500000000000001E-2</v>
      </c>
      <c r="CJ2">
        <f>+B17</f>
        <v>30</v>
      </c>
      <c r="CK2">
        <f>+B19</f>
        <v>300</v>
      </c>
      <c r="CL2">
        <f>+B18</f>
        <v>360</v>
      </c>
      <c r="CM2" t="str">
        <f>+B85</f>
        <v>The Tunnard Real Estate Trust on 612 Britton Ct dated March, 5 2025</v>
      </c>
      <c r="CN2" s="133" t="str">
        <f>+B86</f>
        <v>March, 05</v>
      </c>
      <c r="CO2" t="str">
        <f>+B82</f>
        <v>Investment Services LLC</v>
      </c>
      <c r="CP2" t="str">
        <f>+B83</f>
        <v>1309 Coffeen Avenue, STE 1200</v>
      </c>
      <c r="CQ2" t="str">
        <f>+B84</f>
        <v>Sheridan, Wyoming 82801</v>
      </c>
      <c r="CR2">
        <f>+B87</f>
        <v>2025</v>
      </c>
    </row>
    <row r="3" spans="1:104" x14ac:dyDescent="0.25">
      <c r="CZ3" s="25"/>
    </row>
    <row r="4" spans="1:104" x14ac:dyDescent="0.25">
      <c r="K4" s="30"/>
      <c r="AY4" s="30"/>
      <c r="AZ4" s="30"/>
      <c r="BA4" s="30"/>
      <c r="BB4" s="30"/>
      <c r="BC4" s="30"/>
      <c r="BD4" s="30"/>
      <c r="CD4" s="516"/>
      <c r="CE4" s="516"/>
      <c r="CF4" s="516"/>
      <c r="CG4" s="516"/>
      <c r="CH4" s="516"/>
      <c r="CI4" s="516"/>
    </row>
    <row r="5" spans="1:104" x14ac:dyDescent="0.25">
      <c r="F5" s="15"/>
      <c r="G5" t="str">
        <f>+B53</f>
        <v>Purchaser is excluding from the purchase price the debt owed by the Seller, witnessed by the Deed of Trust dated on 3/18/2019 in the amount of $21,815.89.</v>
      </c>
      <c r="AY5" s="30"/>
      <c r="AZ5" s="30"/>
      <c r="BY5" s="15"/>
      <c r="CH5" s="30"/>
    </row>
    <row r="6" spans="1:104" ht="16.5" thickBot="1" x14ac:dyDescent="0.3">
      <c r="F6"/>
      <c r="BY6" s="14"/>
    </row>
    <row r="7" spans="1:104" ht="16.5" thickBot="1" x14ac:dyDescent="0.3">
      <c r="A7" s="557" t="s">
        <v>881</v>
      </c>
      <c r="B7" s="590"/>
      <c r="C7" s="590"/>
      <c r="D7" s="590"/>
      <c r="E7" s="590"/>
      <c r="F7" s="590"/>
      <c r="G7" s="25"/>
      <c r="H7" s="25"/>
    </row>
    <row r="8" spans="1:104" x14ac:dyDescent="0.25">
      <c r="A8" s="30" t="s">
        <v>879</v>
      </c>
      <c r="B8" s="590"/>
      <c r="C8" s="590"/>
      <c r="D8" s="590"/>
      <c r="E8" s="590"/>
      <c r="F8" s="590"/>
      <c r="G8" s="25"/>
      <c r="H8" s="25"/>
    </row>
    <row r="9" spans="1:104" x14ac:dyDescent="0.25">
      <c r="A9" s="30" t="s">
        <v>880</v>
      </c>
      <c r="B9" s="590" t="s">
        <v>886</v>
      </c>
      <c r="C9" s="590"/>
      <c r="D9" s="590"/>
      <c r="E9" s="590"/>
      <c r="F9" s="590"/>
      <c r="G9" s="25"/>
      <c r="H9" s="25"/>
    </row>
    <row r="10" spans="1:104" x14ac:dyDescent="0.25">
      <c r="A10" s="30" t="s">
        <v>872</v>
      </c>
      <c r="B10" s="591">
        <f>+Amortization!T4</f>
        <v>487868</v>
      </c>
      <c r="C10" s="591"/>
      <c r="D10" s="591"/>
      <c r="E10" s="591"/>
      <c r="F10" s="591"/>
      <c r="G10" s="521"/>
      <c r="H10" s="521"/>
    </row>
    <row r="11" spans="1:104" x14ac:dyDescent="0.25">
      <c r="A11" s="528" t="s">
        <v>869</v>
      </c>
      <c r="B11" s="591">
        <f>+Amortization!T6-B46</f>
        <v>19900</v>
      </c>
      <c r="C11" s="591"/>
      <c r="D11" s="591"/>
      <c r="E11" s="591"/>
      <c r="F11" s="591"/>
      <c r="G11" s="521"/>
      <c r="H11" s="521"/>
    </row>
    <row r="12" spans="1:104" x14ac:dyDescent="0.25">
      <c r="A12" s="528" t="s">
        <v>721</v>
      </c>
      <c r="B12" s="592">
        <f>+B10-B11</f>
        <v>467968</v>
      </c>
      <c r="C12" s="592"/>
      <c r="D12" s="592"/>
      <c r="E12" s="592"/>
      <c r="F12" s="592"/>
      <c r="G12" s="522"/>
      <c r="H12" s="522"/>
    </row>
    <row r="13" spans="1:104" ht="13.5" customHeight="1" x14ac:dyDescent="0.25">
      <c r="A13" s="528" t="s">
        <v>851</v>
      </c>
      <c r="B13" s="593">
        <f>SUM(B14:B14)</f>
        <v>0</v>
      </c>
      <c r="C13" s="593"/>
      <c r="D13" s="593"/>
      <c r="E13" s="593"/>
      <c r="F13" s="593"/>
      <c r="G13" s="525"/>
      <c r="H13" s="525"/>
    </row>
    <row r="14" spans="1:104" ht="13.5" customHeight="1" x14ac:dyDescent="0.25">
      <c r="A14" s="528" t="s">
        <v>823</v>
      </c>
      <c r="B14" s="594" t="str">
        <f>+Amortization!Z8</f>
        <v xml:space="preserve"> Cash Flow(60 months);</v>
      </c>
      <c r="C14" s="594"/>
      <c r="D14" s="594"/>
      <c r="E14" s="594"/>
      <c r="F14" s="594"/>
      <c r="G14" s="524"/>
      <c r="H14" s="524"/>
    </row>
    <row r="15" spans="1:104" ht="13.5" customHeight="1" x14ac:dyDescent="0.25">
      <c r="A15" s="528" t="s">
        <v>849</v>
      </c>
      <c r="B15" s="594" t="str">
        <f>+Amortization!Z9</f>
        <v>1st  Loan Balance(5 years)</v>
      </c>
      <c r="C15" s="594"/>
      <c r="D15" s="594"/>
      <c r="E15" s="594"/>
      <c r="F15" s="594"/>
      <c r="G15" s="524"/>
      <c r="H15" s="524"/>
    </row>
    <row r="16" spans="1:104" ht="13.5" customHeight="1" x14ac:dyDescent="0.25">
      <c r="A16" s="528" t="s">
        <v>850</v>
      </c>
      <c r="B16" s="593">
        <f>SUM(B15:B15)</f>
        <v>0</v>
      </c>
      <c r="C16" s="593"/>
      <c r="D16" s="593"/>
      <c r="E16" s="593"/>
      <c r="F16" s="593"/>
      <c r="G16" s="525"/>
      <c r="H16" s="525"/>
    </row>
    <row r="17" spans="1:8" ht="13.5" customHeight="1" x14ac:dyDescent="0.25">
      <c r="A17" s="528" t="s">
        <v>824</v>
      </c>
      <c r="B17" s="595">
        <v>30</v>
      </c>
      <c r="C17" s="595"/>
      <c r="D17" s="595"/>
      <c r="E17" s="595"/>
      <c r="F17" s="595"/>
      <c r="G17" s="28"/>
      <c r="H17" s="28"/>
    </row>
    <row r="18" spans="1:8" ht="13.5" customHeight="1" x14ac:dyDescent="0.25">
      <c r="A18" s="30" t="s">
        <v>855</v>
      </c>
      <c r="B18" s="595">
        <f>+B17*12</f>
        <v>360</v>
      </c>
      <c r="C18" s="595"/>
      <c r="D18" s="595"/>
      <c r="E18" s="595"/>
      <c r="F18" s="595"/>
      <c r="G18" s="28"/>
      <c r="H18" s="28"/>
    </row>
    <row r="19" spans="1:8" ht="13.5" customHeight="1" x14ac:dyDescent="0.25">
      <c r="A19" s="30" t="s">
        <v>854</v>
      </c>
      <c r="B19" s="595">
        <f>+B18-60</f>
        <v>300</v>
      </c>
      <c r="C19" s="595"/>
      <c r="D19" s="595"/>
      <c r="E19" s="595"/>
      <c r="F19" s="595"/>
      <c r="G19" s="28"/>
      <c r="H19" s="28"/>
    </row>
    <row r="20" spans="1:8" ht="13.5" customHeight="1" x14ac:dyDescent="0.25">
      <c r="A20" s="30" t="s">
        <v>858</v>
      </c>
      <c r="B20" s="596">
        <v>45748</v>
      </c>
      <c r="C20" s="596"/>
      <c r="D20" s="596"/>
      <c r="E20" s="596"/>
      <c r="F20" s="596"/>
      <c r="G20" s="533"/>
      <c r="H20" s="533"/>
    </row>
    <row r="21" spans="1:8" x14ac:dyDescent="0.25">
      <c r="A21" s="30" t="s">
        <v>859</v>
      </c>
      <c r="B21" s="597">
        <f>+$B$20+(5*365)-DAY(+$B$20+(5*365))+1</f>
        <v>47543</v>
      </c>
      <c r="C21" s="597"/>
      <c r="D21" s="597"/>
      <c r="E21" s="597"/>
      <c r="F21" s="597"/>
      <c r="G21" s="526"/>
      <c r="H21" s="526"/>
    </row>
    <row r="22" spans="1:8" x14ac:dyDescent="0.25">
      <c r="A22" s="30" t="s">
        <v>856</v>
      </c>
      <c r="B22" s="597">
        <f>+$B$20+(5*365)-DAY(+$B$20+(5*365))+32</f>
        <v>47574</v>
      </c>
      <c r="C22" s="597"/>
      <c r="D22" s="597"/>
      <c r="E22" s="597"/>
      <c r="F22" s="597"/>
      <c r="G22" s="526"/>
      <c r="H22" s="526"/>
    </row>
    <row r="23" spans="1:8" x14ac:dyDescent="0.25">
      <c r="A23" s="30" t="s">
        <v>857</v>
      </c>
      <c r="B23" s="597">
        <f>+$B$20+($B$17*365)-DAY(+$B$20+($B$17*365))+1</f>
        <v>56674</v>
      </c>
      <c r="C23" s="597"/>
      <c r="D23" s="597"/>
      <c r="E23" s="597"/>
      <c r="F23" s="597"/>
      <c r="G23" s="526"/>
      <c r="H23" s="526"/>
    </row>
    <row r="24" spans="1:8" ht="16.5" thickBot="1" x14ac:dyDescent="0.3">
      <c r="A24" s="30" t="s">
        <v>826</v>
      </c>
      <c r="B24" s="590"/>
      <c r="C24" s="590"/>
      <c r="D24" s="590"/>
      <c r="E24" s="590"/>
      <c r="F24" s="590"/>
      <c r="G24" s="25"/>
      <c r="H24" s="25"/>
    </row>
    <row r="25" spans="1:8" ht="16.5" thickBot="1" x14ac:dyDescent="0.3">
      <c r="A25" s="557" t="s">
        <v>887</v>
      </c>
      <c r="B25" s="590"/>
      <c r="C25" s="590"/>
      <c r="D25" s="590"/>
      <c r="E25" s="590"/>
      <c r="F25" s="590"/>
      <c r="G25" s="25"/>
      <c r="H25" s="25"/>
    </row>
    <row r="26" spans="1:8" x14ac:dyDescent="0.25">
      <c r="A26" s="30" t="s">
        <v>878</v>
      </c>
      <c r="B26" s="590" t="s">
        <v>1064</v>
      </c>
      <c r="C26" s="590"/>
      <c r="D26" s="590"/>
      <c r="E26" s="590"/>
      <c r="F26" s="590"/>
      <c r="G26" s="25"/>
      <c r="H26" s="25"/>
    </row>
    <row r="27" spans="1:8" x14ac:dyDescent="0.25">
      <c r="A27" s="30" t="s">
        <v>893</v>
      </c>
      <c r="B27" s="590" t="str">
        <f>MOG!$B$3 &amp; " " &amp; MOG!$C$3</f>
        <v>Laurence A. Tunnard</v>
      </c>
      <c r="C27" s="590"/>
      <c r="D27" s="590"/>
      <c r="E27" s="590"/>
      <c r="F27" s="590"/>
      <c r="G27" s="25"/>
      <c r="H27" s="25"/>
    </row>
    <row r="28" spans="1:8" x14ac:dyDescent="0.25">
      <c r="A28" s="30" t="s">
        <v>895</v>
      </c>
      <c r="B28" s="590" t="str">
        <f>MOG!$B$4 &amp; " " &amp; MOG!$C$4</f>
        <v>Aprille D. Tunnard</v>
      </c>
      <c r="C28" s="590"/>
      <c r="D28" s="590"/>
      <c r="E28" s="590"/>
      <c r="F28" s="590"/>
      <c r="G28" s="25"/>
      <c r="H28" s="25"/>
    </row>
    <row r="29" spans="1:8" x14ac:dyDescent="0.25">
      <c r="A29" s="30" t="s">
        <v>1028</v>
      </c>
      <c r="B29" s="595"/>
      <c r="C29" s="595"/>
      <c r="D29" s="590"/>
      <c r="E29" s="590"/>
      <c r="F29" s="590"/>
      <c r="G29" s="25"/>
      <c r="H29" s="25"/>
    </row>
    <row r="30" spans="1:8" x14ac:dyDescent="0.25">
      <c r="A30" s="30" t="s">
        <v>1029</v>
      </c>
      <c r="B30" s="595" t="str">
        <f>MOG!B4&amp;" "&amp;MOG!C4</f>
        <v>Aprille D. Tunnard</v>
      </c>
      <c r="C30" s="595"/>
      <c r="D30" s="590"/>
      <c r="E30" s="590"/>
      <c r="F30" s="590"/>
      <c r="G30" s="25"/>
      <c r="H30" s="25"/>
    </row>
    <row r="31" spans="1:8" x14ac:dyDescent="0.25">
      <c r="A31" s="30" t="s">
        <v>894</v>
      </c>
      <c r="B31" s="590" t="str">
        <f>IF(B29="",MOG!$B$3 &amp; " " &amp; MOG!$C$3 &amp; IF(+MOG!$C$4="",""," and " &amp; +MOG!$B$4 &amp; " " &amp;MOG!$C$4),B29)</f>
        <v>Laurence A. Tunnard and Aprille D. Tunnard</v>
      </c>
      <c r="C31" s="590"/>
      <c r="D31" s="590"/>
      <c r="E31" s="590"/>
      <c r="F31" s="590"/>
      <c r="G31" s="25"/>
      <c r="H31" s="25"/>
    </row>
    <row r="32" spans="1:8" x14ac:dyDescent="0.25">
      <c r="A32" s="30" t="s">
        <v>1030</v>
      </c>
      <c r="B32" s="590"/>
      <c r="C32" s="590"/>
      <c r="D32" s="590"/>
      <c r="E32" s="590"/>
      <c r="F32" s="590"/>
      <c r="G32" s="25"/>
      <c r="H32" s="25"/>
    </row>
    <row r="33" spans="1:8" x14ac:dyDescent="0.25">
      <c r="A33" s="30" t="s">
        <v>1031</v>
      </c>
      <c r="B33" s="590" t="s">
        <v>1055</v>
      </c>
      <c r="C33" s="590"/>
      <c r="D33" s="590"/>
      <c r="E33" s="590"/>
      <c r="F33" s="590"/>
      <c r="G33" s="25"/>
      <c r="H33" s="25"/>
    </row>
    <row r="34" spans="1:8" ht="15" x14ac:dyDescent="0.25">
      <c r="A34" s="30" t="s">
        <v>828</v>
      </c>
      <c r="B34" s="598"/>
      <c r="C34" s="598"/>
      <c r="D34" s="598"/>
      <c r="E34" s="598"/>
      <c r="F34" s="598"/>
      <c r="G34" s="25"/>
      <c r="H34" s="25"/>
    </row>
    <row r="35" spans="1:8" ht="15" x14ac:dyDescent="0.25">
      <c r="A35" s="30" t="s">
        <v>829</v>
      </c>
      <c r="B35" s="598"/>
      <c r="C35" s="598"/>
      <c r="D35" s="598"/>
      <c r="E35" s="598"/>
      <c r="F35" s="598"/>
      <c r="G35" s="25"/>
      <c r="H35" s="25"/>
    </row>
    <row r="36" spans="1:8" ht="15" x14ac:dyDescent="0.25">
      <c r="A36" s="30" t="s">
        <v>1032</v>
      </c>
      <c r="B36" s="598" t="s">
        <v>867</v>
      </c>
      <c r="C36" s="598"/>
      <c r="D36" s="598"/>
      <c r="E36" s="598"/>
      <c r="F36" s="598"/>
      <c r="G36" s="25"/>
      <c r="H36" s="25"/>
    </row>
    <row r="37" spans="1:8" ht="15" x14ac:dyDescent="0.25">
      <c r="A37" s="30" t="s">
        <v>1033</v>
      </c>
      <c r="B37" s="598" t="s">
        <v>817</v>
      </c>
      <c r="C37" s="598"/>
      <c r="D37" s="598"/>
      <c r="E37" s="598"/>
      <c r="F37" s="598"/>
      <c r="G37" s="25"/>
      <c r="H37" s="25"/>
    </row>
    <row r="38" spans="1:8" x14ac:dyDescent="0.25">
      <c r="A38" s="30" t="s">
        <v>899</v>
      </c>
      <c r="B38" s="590" t="s">
        <v>1034</v>
      </c>
      <c r="C38" s="590"/>
      <c r="D38" s="590"/>
      <c r="E38" s="590"/>
      <c r="F38" s="590"/>
      <c r="G38" s="25"/>
      <c r="H38" s="25"/>
    </row>
    <row r="39" spans="1:8" x14ac:dyDescent="0.25">
      <c r="A39" s="30" t="s">
        <v>896</v>
      </c>
      <c r="B39" s="25" t="s">
        <v>1056</v>
      </c>
      <c r="C39" s="595"/>
      <c r="D39" s="595"/>
      <c r="E39" s="595"/>
      <c r="F39" s="595"/>
      <c r="G39" s="25"/>
      <c r="H39" s="25"/>
    </row>
    <row r="40" spans="1:8" x14ac:dyDescent="0.25">
      <c r="A40" s="30" t="s">
        <v>897</v>
      </c>
      <c r="B40" s="25" t="s">
        <v>1057</v>
      </c>
      <c r="C40" s="595"/>
      <c r="D40" s="595"/>
      <c r="E40" s="595"/>
      <c r="F40" s="595"/>
      <c r="G40" s="25"/>
      <c r="H40" s="25"/>
    </row>
    <row r="41" spans="1:8" x14ac:dyDescent="0.25">
      <c r="A41" s="30" t="s">
        <v>900</v>
      </c>
      <c r="B41" s="595" t="s">
        <v>1035</v>
      </c>
      <c r="C41" s="595"/>
      <c r="D41" s="595"/>
      <c r="E41" s="595"/>
      <c r="F41" s="595"/>
      <c r="G41" s="25"/>
      <c r="H41" s="25"/>
    </row>
    <row r="42" spans="1:8" x14ac:dyDescent="0.25">
      <c r="A42" s="30" t="s">
        <v>898</v>
      </c>
      <c r="B42" s="25">
        <v>1233445566</v>
      </c>
      <c r="C42" s="590"/>
      <c r="D42" s="590"/>
      <c r="E42" s="590"/>
      <c r="F42" s="590"/>
      <c r="G42" s="25"/>
      <c r="H42" s="25"/>
    </row>
    <row r="43" spans="1:8" x14ac:dyDescent="0.25">
      <c r="A43" s="528" t="s">
        <v>874</v>
      </c>
      <c r="B43" s="592">
        <f>Profit!C14</f>
        <v>35038.01</v>
      </c>
      <c r="C43" s="592"/>
      <c r="D43" s="592"/>
      <c r="E43" s="592"/>
      <c r="F43" s="592"/>
      <c r="G43" s="522"/>
      <c r="H43" s="522"/>
    </row>
    <row r="44" spans="1:8" x14ac:dyDescent="0.25">
      <c r="A44" s="528" t="s">
        <v>725</v>
      </c>
      <c r="B44" s="592">
        <f>Profit!C15</f>
        <v>83188.5</v>
      </c>
      <c r="C44" s="592"/>
      <c r="D44" s="592"/>
      <c r="E44" s="592"/>
      <c r="F44" s="592"/>
      <c r="G44" s="522"/>
      <c r="H44" s="522"/>
    </row>
    <row r="45" spans="1:8" x14ac:dyDescent="0.25">
      <c r="A45" s="528" t="s">
        <v>873</v>
      </c>
      <c r="B45" s="592">
        <f>Profit!B21</f>
        <v>136402.79</v>
      </c>
      <c r="C45" s="592"/>
      <c r="D45" s="592"/>
      <c r="E45" s="592"/>
      <c r="F45" s="592"/>
      <c r="G45" s="522"/>
      <c r="H45" s="522"/>
    </row>
    <row r="46" spans="1:8" x14ac:dyDescent="0.25">
      <c r="A46" s="528" t="s">
        <v>804</v>
      </c>
      <c r="B46" s="595">
        <v>100</v>
      </c>
      <c r="C46" s="595"/>
      <c r="D46" s="595"/>
      <c r="E46" s="595"/>
      <c r="F46" s="595"/>
      <c r="G46" s="28"/>
      <c r="H46" s="28"/>
    </row>
    <row r="47" spans="1:8" x14ac:dyDescent="0.25">
      <c r="A47" s="528" t="s">
        <v>871</v>
      </c>
      <c r="B47" s="592">
        <f>+Profit!C20-B46</f>
        <v>-100</v>
      </c>
      <c r="C47" s="592"/>
      <c r="D47" s="592"/>
      <c r="E47" s="592"/>
      <c r="F47" s="592"/>
      <c r="G47" s="522"/>
      <c r="H47" s="522"/>
    </row>
    <row r="48" spans="1:8" x14ac:dyDescent="0.25">
      <c r="A48" s="528" t="s">
        <v>815</v>
      </c>
      <c r="B48" s="594" t="str">
        <f>TEXT(Amortization!$C$3,"0.000%")</f>
        <v>4.750%</v>
      </c>
      <c r="C48" s="594"/>
      <c r="D48" s="594"/>
      <c r="E48" s="594"/>
      <c r="F48" s="594"/>
      <c r="G48" s="524"/>
      <c r="H48" s="524"/>
    </row>
    <row r="49" spans="1:8" x14ac:dyDescent="0.25">
      <c r="A49" s="528" t="s">
        <v>866</v>
      </c>
      <c r="B49" s="594" t="str">
        <f>TEXT(+Amortization!T9,"0.000%")</f>
        <v>4.750%</v>
      </c>
      <c r="C49" s="594"/>
      <c r="D49" s="594"/>
      <c r="E49" s="594"/>
      <c r="F49" s="594"/>
      <c r="G49" s="524"/>
      <c r="H49" s="524"/>
    </row>
    <row r="50" spans="1:8" x14ac:dyDescent="0.25">
      <c r="A50" s="528" t="s">
        <v>865</v>
      </c>
      <c r="B50" s="594" t="str">
        <f>TEXT(+Amortization!T10,"0.000%")</f>
        <v>7.750%</v>
      </c>
      <c r="C50" s="594"/>
      <c r="D50" s="594"/>
      <c r="E50" s="594"/>
      <c r="F50" s="594"/>
      <c r="G50" s="524"/>
      <c r="H50" s="524"/>
    </row>
    <row r="51" spans="1:8" x14ac:dyDescent="0.25">
      <c r="A51" s="528" t="s">
        <v>875</v>
      </c>
      <c r="B51" s="592" t="s">
        <v>876</v>
      </c>
      <c r="C51" s="592"/>
      <c r="D51" s="592"/>
      <c r="E51" s="592"/>
      <c r="F51" s="592"/>
      <c r="G51" s="522"/>
      <c r="H51" s="522"/>
    </row>
    <row r="52" spans="1:8" x14ac:dyDescent="0.25">
      <c r="G52" s="523"/>
      <c r="H52" s="523"/>
    </row>
    <row r="53" spans="1:8" ht="16.5" thickBot="1" x14ac:dyDescent="0.3">
      <c r="A53" s="528" t="s">
        <v>884</v>
      </c>
      <c r="B53" s="522" t="s">
        <v>885</v>
      </c>
      <c r="C53" s="592"/>
      <c r="D53" s="592"/>
      <c r="E53" s="592"/>
      <c r="F53" s="592"/>
      <c r="G53" s="522"/>
      <c r="H53" s="522"/>
    </row>
    <row r="54" spans="1:8" ht="16.5" thickBot="1" x14ac:dyDescent="0.3">
      <c r="A54" s="557" t="s">
        <v>927</v>
      </c>
      <c r="B54" s="599"/>
      <c r="C54" s="599"/>
      <c r="D54" s="599"/>
      <c r="E54" s="599"/>
      <c r="F54" s="599"/>
      <c r="G54" s="558"/>
      <c r="H54" s="558"/>
    </row>
    <row r="55" spans="1:8" x14ac:dyDescent="0.25">
      <c r="A55" s="528" t="s">
        <v>1036</v>
      </c>
      <c r="B55" s="600" t="str">
        <f>+MOG!B3&amp;" "&amp;MOG!C3</f>
        <v>Laurence A. Tunnard</v>
      </c>
      <c r="C55" s="599"/>
      <c r="D55" s="599"/>
      <c r="E55" s="599"/>
      <c r="F55" s="599"/>
      <c r="G55" s="558"/>
      <c r="H55" s="558"/>
    </row>
    <row r="56" spans="1:8" x14ac:dyDescent="0.25">
      <c r="A56" s="528" t="s">
        <v>1037</v>
      </c>
      <c r="B56" s="592" t="str">
        <f>IF(B55="",+Docs!B31,B55)</f>
        <v>Laurence A. Tunnard</v>
      </c>
      <c r="C56" s="592"/>
      <c r="D56" s="592"/>
      <c r="E56" s="592"/>
      <c r="F56" s="592"/>
      <c r="G56" s="558"/>
      <c r="H56" s="558"/>
    </row>
    <row r="57" spans="1:8" x14ac:dyDescent="0.25">
      <c r="A57" s="528" t="s">
        <v>889</v>
      </c>
      <c r="B57" s="601">
        <v>2025</v>
      </c>
      <c r="C57" s="601"/>
      <c r="D57" s="601"/>
      <c r="E57" s="601"/>
      <c r="F57" s="601"/>
      <c r="G57" s="32"/>
      <c r="H57" s="32"/>
    </row>
    <row r="58" spans="1:8" x14ac:dyDescent="0.25">
      <c r="A58" s="30" t="s">
        <v>892</v>
      </c>
      <c r="B58" s="522" t="s">
        <v>929</v>
      </c>
      <c r="C58" s="592"/>
      <c r="D58" s="592"/>
      <c r="E58" s="592"/>
      <c r="F58" s="592"/>
      <c r="G58" s="522"/>
      <c r="H58" s="522"/>
    </row>
    <row r="59" spans="1:8" x14ac:dyDescent="0.25">
      <c r="A59" s="30" t="s">
        <v>1038</v>
      </c>
      <c r="B59" s="600"/>
      <c r="C59" s="599"/>
      <c r="D59" s="599"/>
      <c r="E59" s="599"/>
      <c r="F59" s="599"/>
      <c r="G59" s="522"/>
      <c r="H59" s="522"/>
    </row>
    <row r="60" spans="1:8" x14ac:dyDescent="0.25">
      <c r="A60" s="30" t="s">
        <v>1039</v>
      </c>
      <c r="B60" s="592" t="str">
        <f>IF(B59="X","[X] If checked, The rent shall adjust, annually, to exactly the amount of the mortgage payment, property insurance, real estate taxes, plus $10.00."," ")</f>
        <v xml:space="preserve"> </v>
      </c>
      <c r="C60" s="599"/>
      <c r="D60" s="599"/>
      <c r="E60" s="599"/>
      <c r="F60" s="599"/>
      <c r="G60" s="522"/>
      <c r="H60" s="522"/>
    </row>
    <row r="61" spans="1:8" x14ac:dyDescent="0.25">
      <c r="A61" s="30" t="s">
        <v>1040</v>
      </c>
      <c r="B61" s="602" t="s">
        <v>36</v>
      </c>
      <c r="C61" s="599"/>
      <c r="D61" s="599"/>
      <c r="E61" s="599"/>
      <c r="F61" s="599"/>
      <c r="G61" s="522"/>
      <c r="H61" s="522"/>
    </row>
    <row r="62" spans="1:8" ht="16.5" thickBot="1" x14ac:dyDescent="0.3">
      <c r="A62" s="30" t="s">
        <v>888</v>
      </c>
      <c r="B62" s="603">
        <f>IF(B61=0,0,+Carrying!E5)</f>
        <v>1514.69</v>
      </c>
      <c r="C62" s="603"/>
      <c r="D62" s="603"/>
      <c r="E62" s="603"/>
      <c r="F62" s="603"/>
      <c r="G62" s="522"/>
      <c r="H62" s="522"/>
    </row>
    <row r="63" spans="1:8" ht="16.5" thickBot="1" x14ac:dyDescent="0.3">
      <c r="A63" s="557" t="s">
        <v>882</v>
      </c>
      <c r="B63" s="590"/>
      <c r="C63" s="590"/>
      <c r="D63" s="590"/>
      <c r="E63" s="590"/>
      <c r="F63" s="590"/>
      <c r="G63" s="25"/>
      <c r="H63" s="25"/>
    </row>
    <row r="64" spans="1:8" x14ac:dyDescent="0.25">
      <c r="A64" s="30" t="s">
        <v>809</v>
      </c>
      <c r="B64" s="590" t="str">
        <f>+Profit!$B$2</f>
        <v>612 Britton Ct</v>
      </c>
      <c r="C64" s="590"/>
      <c r="D64" s="590"/>
      <c r="E64" s="590"/>
      <c r="F64" s="590"/>
      <c r="G64" s="25"/>
      <c r="H64" s="25"/>
    </row>
    <row r="65" spans="1:19" x14ac:dyDescent="0.25">
      <c r="A65" s="30" t="s">
        <v>811</v>
      </c>
      <c r="B65" s="590" t="str">
        <f>+Profit!$E$2</f>
        <v>Sanford, NC 27330</v>
      </c>
      <c r="C65" s="590"/>
      <c r="D65" s="590"/>
      <c r="E65" s="590"/>
      <c r="F65" s="590"/>
      <c r="G65" s="25"/>
      <c r="H65" s="25"/>
    </row>
    <row r="66" spans="1:19" x14ac:dyDescent="0.25">
      <c r="A66" s="30" t="s">
        <v>803</v>
      </c>
      <c r="B66" s="590" t="s">
        <v>1041</v>
      </c>
      <c r="C66" s="590"/>
      <c r="D66" s="590"/>
      <c r="E66" s="590"/>
      <c r="F66" s="590"/>
      <c r="G66" s="25"/>
      <c r="H66" s="25"/>
    </row>
    <row r="67" spans="1:19" x14ac:dyDescent="0.25">
      <c r="A67" s="528" t="s">
        <v>805</v>
      </c>
      <c r="B67" s="590">
        <f>+B68*12</f>
        <v>0.57000000000000006</v>
      </c>
      <c r="C67" s="590"/>
      <c r="D67" s="590"/>
      <c r="E67" s="590"/>
      <c r="F67" s="590"/>
      <c r="G67" s="25"/>
      <c r="H67" s="25"/>
    </row>
    <row r="68" spans="1:19" x14ac:dyDescent="0.25">
      <c r="A68" s="528" t="s">
        <v>806</v>
      </c>
      <c r="B68" s="603">
        <f>+Amortization!$T$9</f>
        <v>4.7500000000000001E-2</v>
      </c>
      <c r="C68" s="603"/>
      <c r="D68" s="603"/>
      <c r="E68" s="603"/>
      <c r="F68" s="603"/>
      <c r="G68" s="523"/>
      <c r="H68" s="523"/>
    </row>
    <row r="69" spans="1:19" x14ac:dyDescent="0.25">
      <c r="A69" s="528" t="s">
        <v>807</v>
      </c>
      <c r="B69" s="603">
        <f>+Amortization!$T$8</f>
        <v>0</v>
      </c>
      <c r="C69" s="603"/>
      <c r="D69" s="603"/>
      <c r="E69" s="603"/>
      <c r="F69" s="603"/>
      <c r="G69" s="523"/>
      <c r="H69" s="523"/>
    </row>
    <row r="70" spans="1:19" ht="16.5" thickBot="1" x14ac:dyDescent="0.3">
      <c r="A70" s="529" t="s">
        <v>808</v>
      </c>
      <c r="B70" s="590">
        <v>0</v>
      </c>
      <c r="C70" s="590"/>
      <c r="D70" s="590"/>
      <c r="E70" s="590"/>
      <c r="F70" s="590"/>
      <c r="G70" s="25"/>
      <c r="H70" s="25"/>
    </row>
    <row r="71" spans="1:19" ht="16.5" thickBot="1" x14ac:dyDescent="0.3">
      <c r="A71" s="557" t="s">
        <v>883</v>
      </c>
      <c r="B71" s="590"/>
      <c r="C71" s="590"/>
      <c r="D71" s="590"/>
      <c r="E71" s="590"/>
      <c r="F71" s="590"/>
      <c r="G71" s="25"/>
      <c r="H71" s="25"/>
    </row>
    <row r="72" spans="1:19" x14ac:dyDescent="0.25">
      <c r="A72" s="30" t="s">
        <v>923</v>
      </c>
      <c r="B72" s="522" t="s">
        <v>924</v>
      </c>
      <c r="C72" s="592"/>
      <c r="D72" s="592"/>
      <c r="E72" s="592"/>
      <c r="F72" s="592"/>
      <c r="G72" s="522"/>
      <c r="H72" s="522"/>
      <c r="S72" t="s">
        <v>114</v>
      </c>
    </row>
    <row r="73" spans="1:19" x14ac:dyDescent="0.25">
      <c r="A73" s="30" t="s">
        <v>827</v>
      </c>
      <c r="B73" s="522" t="s">
        <v>920</v>
      </c>
      <c r="C73" s="592"/>
      <c r="D73" s="592"/>
      <c r="E73" s="592"/>
      <c r="F73" s="592"/>
      <c r="G73" s="522"/>
      <c r="H73" s="522"/>
    </row>
    <row r="74" spans="1:19" x14ac:dyDescent="0.25">
      <c r="A74" s="30" t="s">
        <v>864</v>
      </c>
      <c r="B74" s="607" t="s">
        <v>1069</v>
      </c>
      <c r="C74" s="599"/>
      <c r="D74" s="599"/>
      <c r="E74" s="599"/>
      <c r="F74" s="599"/>
      <c r="G74" s="599"/>
      <c r="H74" s="599"/>
      <c r="I74" s="599"/>
      <c r="J74" s="599"/>
    </row>
    <row r="75" spans="1:19" x14ac:dyDescent="0.25">
      <c r="C75" s="599"/>
      <c r="D75" s="599"/>
      <c r="E75" s="599"/>
      <c r="F75" s="599"/>
      <c r="G75" s="599"/>
      <c r="H75" s="599"/>
      <c r="I75" s="599"/>
      <c r="J75" s="599"/>
    </row>
    <row r="76" spans="1:19" x14ac:dyDescent="0.25">
      <c r="A76" s="30" t="s">
        <v>1042</v>
      </c>
      <c r="B76" s="602"/>
      <c r="C76" s="599"/>
      <c r="D76" s="599"/>
      <c r="E76" s="599"/>
      <c r="F76" s="599"/>
      <c r="G76" s="599"/>
      <c r="H76" s="599"/>
      <c r="I76" s="599"/>
      <c r="J76" s="599"/>
    </row>
    <row r="77" spans="1:19" x14ac:dyDescent="0.25">
      <c r="A77" s="30" t="s">
        <v>901</v>
      </c>
      <c r="B77" s="28" t="s">
        <v>919</v>
      </c>
      <c r="C77" s="599"/>
      <c r="D77" s="599"/>
      <c r="E77" s="599"/>
      <c r="F77" s="599"/>
      <c r="G77" s="599"/>
      <c r="H77" s="599"/>
      <c r="I77" s="599"/>
      <c r="J77" s="599"/>
    </row>
    <row r="78" spans="1:19" x14ac:dyDescent="0.25">
      <c r="A78" s="30" t="s">
        <v>902</v>
      </c>
      <c r="B78" s="560" t="s">
        <v>921</v>
      </c>
      <c r="C78" s="599"/>
      <c r="D78" s="599"/>
      <c r="E78" s="599"/>
      <c r="F78" s="599"/>
      <c r="G78" s="599"/>
      <c r="H78" s="599"/>
      <c r="I78" s="599"/>
      <c r="J78" s="599"/>
    </row>
    <row r="79" spans="1:19" x14ac:dyDescent="0.25">
      <c r="A79" s="30" t="s">
        <v>903</v>
      </c>
      <c r="B79" s="560" t="s">
        <v>922</v>
      </c>
      <c r="C79" s="599"/>
      <c r="D79" s="599"/>
      <c r="E79" s="599"/>
      <c r="F79" s="599"/>
      <c r="G79" s="599"/>
      <c r="H79" s="599"/>
      <c r="I79" s="599"/>
      <c r="J79" s="599"/>
    </row>
    <row r="80" spans="1:19" ht="16.5" thickBot="1" x14ac:dyDescent="0.3">
      <c r="A80" s="30" t="s">
        <v>904</v>
      </c>
      <c r="B80" s="595"/>
      <c r="C80" s="599"/>
      <c r="D80" s="599"/>
      <c r="E80" s="599"/>
      <c r="F80" s="599"/>
      <c r="G80" s="599"/>
      <c r="H80" s="599"/>
      <c r="I80" s="599"/>
      <c r="J80" s="599"/>
    </row>
    <row r="81" spans="1:74" ht="16.5" thickBot="1" x14ac:dyDescent="0.3">
      <c r="A81" s="557" t="s">
        <v>928</v>
      </c>
      <c r="B81" s="590"/>
      <c r="C81" s="599"/>
      <c r="D81" s="599"/>
      <c r="E81" s="599"/>
      <c r="F81" s="599"/>
      <c r="G81" s="25"/>
      <c r="H81" s="25"/>
    </row>
    <row r="82" spans="1:74" x14ac:dyDescent="0.25">
      <c r="A82" s="30" t="s">
        <v>890</v>
      </c>
      <c r="B82" s="590" t="s">
        <v>918</v>
      </c>
      <c r="C82" s="590"/>
      <c r="D82" s="590"/>
      <c r="E82" s="590"/>
      <c r="F82" s="590"/>
      <c r="G82" s="25"/>
      <c r="H82" s="25"/>
    </row>
    <row r="83" spans="1:74" x14ac:dyDescent="0.25">
      <c r="A83" s="30" t="s">
        <v>905</v>
      </c>
      <c r="B83" s="589" t="s">
        <v>908</v>
      </c>
    </row>
    <row r="84" spans="1:74" x14ac:dyDescent="0.25">
      <c r="A84" s="30" t="s">
        <v>906</v>
      </c>
      <c r="B84" s="589" t="s">
        <v>907</v>
      </c>
    </row>
    <row r="85" spans="1:74" x14ac:dyDescent="0.25">
      <c r="A85" s="30" t="s">
        <v>812</v>
      </c>
      <c r="B85" s="590" t="s">
        <v>942</v>
      </c>
      <c r="C85" s="590"/>
      <c r="D85" s="590"/>
      <c r="E85" s="590"/>
      <c r="F85" s="590"/>
      <c r="G85" s="25"/>
      <c r="H85" s="25"/>
      <c r="BU85" s="30"/>
      <c r="BV85" s="30"/>
    </row>
    <row r="86" spans="1:74" x14ac:dyDescent="0.25">
      <c r="A86" s="30" t="s">
        <v>813</v>
      </c>
      <c r="B86" s="604" t="s">
        <v>1066</v>
      </c>
      <c r="C86" s="604"/>
      <c r="D86" s="604"/>
      <c r="E86" s="604"/>
      <c r="F86" s="604"/>
      <c r="G86" s="527"/>
      <c r="H86" s="527"/>
    </row>
    <row r="87" spans="1:74" x14ac:dyDescent="0.25">
      <c r="A87" s="30" t="s">
        <v>761</v>
      </c>
      <c r="B87" s="590">
        <v>2025</v>
      </c>
      <c r="C87" s="590"/>
      <c r="D87" s="590"/>
      <c r="E87" s="590"/>
      <c r="F87" s="590"/>
      <c r="G87" s="25"/>
      <c r="H87" s="25"/>
    </row>
    <row r="88" spans="1:74" x14ac:dyDescent="0.25">
      <c r="A88" s="30" t="s">
        <v>814</v>
      </c>
      <c r="B88" s="595" t="s">
        <v>820</v>
      </c>
      <c r="C88" s="595"/>
      <c r="D88" s="595"/>
      <c r="E88" s="595"/>
      <c r="F88" s="595"/>
      <c r="G88" s="28"/>
      <c r="H88" s="28"/>
    </row>
    <row r="89" spans="1:74" x14ac:dyDescent="0.25">
      <c r="A89" s="30" t="s">
        <v>821</v>
      </c>
      <c r="B89" s="601">
        <f ca="1">YEAR(NOW())</f>
        <v>2026</v>
      </c>
      <c r="C89" s="601"/>
      <c r="D89" s="601"/>
      <c r="E89" s="601"/>
      <c r="F89" s="601"/>
      <c r="G89" s="32"/>
      <c r="H89" s="32"/>
    </row>
    <row r="90" spans="1:74" x14ac:dyDescent="0.25">
      <c r="A90" s="30" t="s">
        <v>925</v>
      </c>
      <c r="B90" s="601">
        <f ca="1">MONTH(NOW())</f>
        <v>5</v>
      </c>
      <c r="C90" s="601"/>
      <c r="D90" s="601"/>
      <c r="E90" s="601"/>
      <c r="F90" s="601"/>
      <c r="G90" s="32"/>
      <c r="H90" s="32"/>
    </row>
    <row r="91" spans="1:74" x14ac:dyDescent="0.25">
      <c r="A91" s="30"/>
      <c r="B91" s="590"/>
      <c r="C91" s="590"/>
      <c r="D91" s="590"/>
      <c r="E91" s="590"/>
      <c r="F91" s="590"/>
      <c r="G91" s="25"/>
      <c r="H91" s="25"/>
    </row>
    <row r="92" spans="1:74" x14ac:dyDescent="0.25">
      <c r="A92" s="30" t="s">
        <v>863</v>
      </c>
      <c r="B92" s="590"/>
      <c r="C92" s="590"/>
      <c r="D92" s="590"/>
      <c r="E92" s="590"/>
      <c r="F92" s="590"/>
      <c r="G92" s="25"/>
      <c r="H92" s="25"/>
    </row>
    <row r="93" spans="1:74" ht="16.5" thickBot="1" x14ac:dyDescent="0.3">
      <c r="A93" s="30"/>
      <c r="B93" s="590"/>
      <c r="C93" s="590"/>
      <c r="D93" s="590"/>
      <c r="E93" s="590"/>
      <c r="F93" s="590"/>
      <c r="G93" s="25"/>
      <c r="H93" s="25"/>
    </row>
    <row r="94" spans="1:74" ht="16.5" thickBot="1" x14ac:dyDescent="0.3">
      <c r="A94" s="557" t="s">
        <v>930</v>
      </c>
      <c r="B94" s="590"/>
      <c r="C94" s="590"/>
      <c r="D94" s="590"/>
      <c r="E94" s="590"/>
      <c r="F94" s="590"/>
      <c r="G94" s="25"/>
      <c r="H94" s="25"/>
    </row>
    <row r="95" spans="1:74" x14ac:dyDescent="0.25">
      <c r="A95" s="30" t="s">
        <v>931</v>
      </c>
      <c r="B95" s="25">
        <f>+(B62+B101)*B102</f>
        <v>18296.28</v>
      </c>
      <c r="C95" s="590"/>
      <c r="D95" s="590"/>
      <c r="E95" s="590"/>
      <c r="F95" s="590"/>
      <c r="G95" s="25"/>
      <c r="H95" s="25"/>
    </row>
    <row r="96" spans="1:74" x14ac:dyDescent="0.25">
      <c r="A96" s="30" t="s">
        <v>1043</v>
      </c>
      <c r="B96" s="592">
        <f>+B95/2/6</f>
        <v>1524.6899999999998</v>
      </c>
      <c r="C96" s="590"/>
      <c r="D96" s="590"/>
      <c r="E96" s="590"/>
      <c r="F96" s="590"/>
      <c r="G96" s="25"/>
      <c r="H96" s="25"/>
    </row>
    <row r="97" spans="1:8" x14ac:dyDescent="0.25">
      <c r="A97" s="30" t="s">
        <v>1044</v>
      </c>
      <c r="B97" s="592">
        <f>+B95/2</f>
        <v>9148.14</v>
      </c>
      <c r="C97" s="590"/>
      <c r="D97" s="590"/>
      <c r="E97" s="590"/>
      <c r="F97" s="590"/>
      <c r="G97" s="25"/>
      <c r="H97" s="25"/>
    </row>
    <row r="98" spans="1:8" x14ac:dyDescent="0.25">
      <c r="A98" s="30" t="s">
        <v>1045</v>
      </c>
      <c r="B98" s="590" t="str">
        <f>"A balloon payment of " &amp; TEXT(B97,"$#,##0.00") &amp; " will be due when the property is resold by the purchaser"</f>
        <v>A balloon payment of $9,148.14 will be due when the property is resold by the purchaser</v>
      </c>
      <c r="C98" s="590"/>
      <c r="D98" s="590"/>
      <c r="E98" s="590"/>
      <c r="F98" s="590"/>
      <c r="G98" s="25"/>
      <c r="H98" s="25"/>
    </row>
    <row r="99" spans="1:8" x14ac:dyDescent="0.25">
      <c r="A99" s="30" t="s">
        <v>991</v>
      </c>
      <c r="B99" s="30" t="str">
        <f>IF(C99="Yes","Limited Allowance Compensating for Rent", "DON'T USE")</f>
        <v>Limited Allowance Compensating for Rent</v>
      </c>
      <c r="C99" s="589" t="s">
        <v>3</v>
      </c>
      <c r="G99" s="523"/>
      <c r="H99" s="523"/>
    </row>
    <row r="100" spans="1:8" x14ac:dyDescent="0.25">
      <c r="A100" s="30" t="s">
        <v>992</v>
      </c>
      <c r="B100" s="30" t="str">
        <f>IF(C100="Yes","Part of Purchase and Sale Agreement", "DON'T USE")</f>
        <v>Part of Purchase and Sale Agreement</v>
      </c>
      <c r="C100" s="589" t="s">
        <v>36</v>
      </c>
      <c r="G100" s="523"/>
      <c r="H100" s="523"/>
    </row>
    <row r="101" spans="1:8" x14ac:dyDescent="0.25">
      <c r="A101" s="30" t="s">
        <v>938</v>
      </c>
      <c r="B101" s="559">
        <v>10</v>
      </c>
      <c r="C101" s="559"/>
      <c r="D101" s="559"/>
      <c r="E101" s="559"/>
      <c r="F101" s="559"/>
      <c r="G101" s="523"/>
      <c r="H101" s="523"/>
    </row>
    <row r="102" spans="1:8" x14ac:dyDescent="0.25">
      <c r="A102" s="30" t="s">
        <v>933</v>
      </c>
      <c r="B102" s="590">
        <v>12</v>
      </c>
      <c r="C102" s="590"/>
      <c r="D102" s="590"/>
      <c r="E102" s="590"/>
      <c r="F102" s="590"/>
      <c r="G102" s="25"/>
      <c r="H102" s="25"/>
    </row>
    <row r="103" spans="1:8" x14ac:dyDescent="0.25">
      <c r="A103" s="30" t="s">
        <v>125</v>
      </c>
      <c r="B103" s="590">
        <v>0</v>
      </c>
      <c r="C103" s="590"/>
      <c r="D103" s="590"/>
      <c r="E103" s="590"/>
      <c r="F103" s="590"/>
      <c r="G103" s="25"/>
      <c r="H103" s="25"/>
    </row>
    <row r="104" spans="1:8" x14ac:dyDescent="0.25">
      <c r="A104" s="30" t="s">
        <v>935</v>
      </c>
      <c r="B104" s="590" t="str">
        <f>IF(B95&gt;0,"X","")</f>
        <v>X</v>
      </c>
      <c r="C104" s="590"/>
      <c r="D104" s="590"/>
      <c r="E104" s="590"/>
      <c r="F104" s="590"/>
      <c r="G104" s="25"/>
      <c r="H104" s="25"/>
    </row>
    <row r="105" spans="1:8" x14ac:dyDescent="0.25">
      <c r="A105" s="30" t="s">
        <v>1046</v>
      </c>
      <c r="B105" s="590" t="s">
        <v>1047</v>
      </c>
      <c r="C105" s="590"/>
      <c r="D105" s="590"/>
      <c r="E105" s="590"/>
      <c r="F105" s="590"/>
      <c r="G105" s="25"/>
      <c r="H105" s="25"/>
    </row>
    <row r="106" spans="1:8" ht="16.5" thickBot="1" x14ac:dyDescent="0.3">
      <c r="A106" s="30"/>
      <c r="B106" s="590"/>
      <c r="C106" s="590"/>
      <c r="D106" s="590"/>
      <c r="E106" s="590"/>
      <c r="F106" s="590"/>
      <c r="G106" s="25"/>
      <c r="H106" s="25"/>
    </row>
    <row r="107" spans="1:8" ht="16.5" thickBot="1" x14ac:dyDescent="0.3">
      <c r="A107" s="557" t="s">
        <v>1048</v>
      </c>
      <c r="B107" s="590"/>
      <c r="C107" s="590"/>
      <c r="D107" s="590"/>
      <c r="E107" s="590"/>
      <c r="F107" s="590"/>
      <c r="G107" s="25"/>
      <c r="H107" s="25"/>
    </row>
    <row r="108" spans="1:8" x14ac:dyDescent="0.25">
      <c r="A108" s="30" t="s">
        <v>1049</v>
      </c>
      <c r="B108" t="s">
        <v>1062</v>
      </c>
      <c r="C108" s="590"/>
      <c r="D108" s="590"/>
      <c r="E108" s="590"/>
      <c r="F108" s="590"/>
      <c r="G108" s="25"/>
      <c r="H108" s="25"/>
    </row>
    <row r="109" spans="1:8" x14ac:dyDescent="0.25">
      <c r="A109" s="30" t="s">
        <v>1050</v>
      </c>
      <c r="B109" t="s">
        <v>1065</v>
      </c>
      <c r="C109" s="590"/>
      <c r="D109" s="590"/>
      <c r="E109" s="590"/>
      <c r="F109" s="590"/>
      <c r="G109" s="25"/>
      <c r="H109" s="25"/>
    </row>
    <row r="110" spans="1:8" x14ac:dyDescent="0.25">
      <c r="A110" s="30" t="s">
        <v>1051</v>
      </c>
      <c r="B110" s="590" t="s">
        <v>1063</v>
      </c>
      <c r="C110" s="590"/>
      <c r="D110" s="590"/>
      <c r="E110" s="590"/>
      <c r="F110" s="590"/>
      <c r="G110" s="25"/>
      <c r="H110" s="25"/>
    </row>
    <row r="111" spans="1:8" x14ac:dyDescent="0.25">
      <c r="A111" s="30" t="s">
        <v>1058</v>
      </c>
      <c r="B111" s="606" t="s">
        <v>1067</v>
      </c>
      <c r="C111" s="590"/>
      <c r="D111" s="590"/>
      <c r="E111" s="590"/>
      <c r="F111" s="590"/>
      <c r="G111" s="25"/>
      <c r="H111" s="25"/>
    </row>
    <row r="112" spans="1:8" x14ac:dyDescent="0.25">
      <c r="A112" s="30" t="s">
        <v>1058</v>
      </c>
      <c r="B112" s="606" t="s">
        <v>1071</v>
      </c>
      <c r="C112" s="590"/>
      <c r="D112" s="590"/>
      <c r="E112" s="590"/>
      <c r="F112" s="590"/>
      <c r="G112" s="25"/>
      <c r="H112" s="25"/>
    </row>
    <row r="113" spans="1:8" x14ac:dyDescent="0.25">
      <c r="A113" s="30" t="s">
        <v>1058</v>
      </c>
      <c r="B113" s="606" t="s">
        <v>1070</v>
      </c>
      <c r="C113" s="590"/>
      <c r="D113" s="590"/>
      <c r="E113" s="590"/>
      <c r="F113" s="590"/>
      <c r="G113" s="25"/>
      <c r="H113" s="25"/>
    </row>
    <row r="114" spans="1:8" x14ac:dyDescent="0.25">
      <c r="A114" s="30" t="s">
        <v>1052</v>
      </c>
      <c r="B114" s="605">
        <v>100300</v>
      </c>
      <c r="C114" s="590"/>
      <c r="D114" s="590"/>
      <c r="E114" s="590"/>
      <c r="F114" s="590"/>
      <c r="G114" s="25"/>
      <c r="H114" s="25"/>
    </row>
    <row r="115" spans="1:8" x14ac:dyDescent="0.25">
      <c r="A115" s="30" t="s">
        <v>1053</v>
      </c>
      <c r="B115" s="590" t="s">
        <v>1068</v>
      </c>
      <c r="C115" s="590"/>
      <c r="D115" s="590"/>
      <c r="E115" s="590"/>
      <c r="F115" s="590"/>
      <c r="G115" s="25"/>
      <c r="H115" s="25"/>
    </row>
    <row r="116" spans="1:8" x14ac:dyDescent="0.25">
      <c r="A116" s="30" t="s">
        <v>1054</v>
      </c>
      <c r="B116" s="590">
        <v>10</v>
      </c>
      <c r="C116" s="590"/>
      <c r="D116" s="590"/>
      <c r="E116" s="590"/>
      <c r="F116" s="590"/>
      <c r="G116" s="25"/>
      <c r="H116" s="25"/>
    </row>
    <row r="117" spans="1:8" x14ac:dyDescent="0.25">
      <c r="A117" s="30"/>
      <c r="B117" s="590"/>
      <c r="C117" s="590"/>
      <c r="D117" s="590"/>
      <c r="E117" s="590"/>
      <c r="F117" s="590"/>
      <c r="G117" s="25"/>
      <c r="H117"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3EA3-E376-4ABA-8178-E91FE0088865}">
  <dimension ref="A1:BR98"/>
  <sheetViews>
    <sheetView topLeftCell="A22" workbookViewId="0">
      <selection activeCell="B84" sqref="B8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878</v>
      </c>
      <c r="D1" s="3" t="s">
        <v>894</v>
      </c>
      <c r="E1" s="3" t="s">
        <v>893</v>
      </c>
      <c r="F1" s="3" t="s">
        <v>895</v>
      </c>
      <c r="G1" s="3" t="s">
        <v>899</v>
      </c>
      <c r="H1" s="3" t="s">
        <v>879</v>
      </c>
      <c r="I1" s="3" t="s">
        <v>896</v>
      </c>
      <c r="J1" s="3" t="s">
        <v>897</v>
      </c>
      <c r="K1" s="3" t="s">
        <v>900</v>
      </c>
      <c r="L1" s="3" t="s">
        <v>898</v>
      </c>
      <c r="M1" s="3" t="s">
        <v>880</v>
      </c>
      <c r="N1" s="3" t="s">
        <v>809</v>
      </c>
      <c r="O1" s="3" t="s">
        <v>811</v>
      </c>
      <c r="P1" s="3" t="s">
        <v>803</v>
      </c>
      <c r="Q1" s="530" t="s">
        <v>804</v>
      </c>
      <c r="R1" s="531" t="s">
        <v>870</v>
      </c>
      <c r="S1" s="531" t="s">
        <v>869</v>
      </c>
      <c r="T1" s="531" t="s">
        <v>721</v>
      </c>
      <c r="U1" s="531" t="s">
        <v>874</v>
      </c>
      <c r="V1" s="532" t="s">
        <v>873</v>
      </c>
      <c r="W1" s="532" t="s">
        <v>875</v>
      </c>
      <c r="X1" s="532" t="s">
        <v>917</v>
      </c>
      <c r="Y1" s="531" t="s">
        <v>916</v>
      </c>
      <c r="Z1" s="531" t="s">
        <v>915</v>
      </c>
      <c r="AA1" s="531" t="s">
        <v>914</v>
      </c>
      <c r="AB1" s="531" t="s">
        <v>29</v>
      </c>
      <c r="AC1" s="532" t="s">
        <v>712</v>
      </c>
      <c r="AD1" s="531" t="s">
        <v>810</v>
      </c>
      <c r="AE1" s="531" t="s">
        <v>913</v>
      </c>
      <c r="AF1" s="531" t="s">
        <v>815</v>
      </c>
      <c r="AG1" s="531" t="s">
        <v>866</v>
      </c>
      <c r="AH1" s="531" t="s">
        <v>865</v>
      </c>
      <c r="AI1" s="531" t="s">
        <v>851</v>
      </c>
      <c r="AJ1" s="531" t="s">
        <v>850</v>
      </c>
      <c r="AK1" s="532" t="s">
        <v>852</v>
      </c>
      <c r="AL1" s="532" t="s">
        <v>853</v>
      </c>
      <c r="AM1" s="3" t="s">
        <v>825</v>
      </c>
      <c r="AN1" s="3" t="s">
        <v>858</v>
      </c>
      <c r="AO1" s="3" t="s">
        <v>859</v>
      </c>
      <c r="AP1" s="3" t="s">
        <v>856</v>
      </c>
      <c r="AQ1" s="3" t="s">
        <v>857</v>
      </c>
      <c r="AR1" s="3" t="s">
        <v>812</v>
      </c>
      <c r="AS1" s="3" t="s">
        <v>813</v>
      </c>
      <c r="AT1" s="3" t="s">
        <v>761</v>
      </c>
      <c r="AU1" s="3" t="s">
        <v>814</v>
      </c>
      <c r="AV1" s="3" t="s">
        <v>926</v>
      </c>
      <c r="AW1" s="3" t="s">
        <v>821</v>
      </c>
      <c r="AX1" s="3" t="s">
        <v>826</v>
      </c>
      <c r="AY1" s="3" t="s">
        <v>864</v>
      </c>
      <c r="AZ1" s="3" t="s">
        <v>923</v>
      </c>
      <c r="BA1" s="3" t="s">
        <v>827</v>
      </c>
      <c r="BB1" s="3" t="s">
        <v>828</v>
      </c>
      <c r="BC1" s="3" t="s">
        <v>829</v>
      </c>
      <c r="BD1" s="531" t="s">
        <v>884</v>
      </c>
      <c r="BE1" s="3" t="s">
        <v>888</v>
      </c>
      <c r="BF1" s="531" t="s">
        <v>891</v>
      </c>
      <c r="BG1" s="3" t="s">
        <v>890</v>
      </c>
      <c r="BH1" s="3" t="s">
        <v>892</v>
      </c>
      <c r="BI1" s="3" t="s">
        <v>901</v>
      </c>
      <c r="BJ1" s="3" t="s">
        <v>902</v>
      </c>
      <c r="BK1" s="3" t="s">
        <v>903</v>
      </c>
      <c r="BL1" s="3" t="s">
        <v>912</v>
      </c>
      <c r="BM1" s="3" t="s">
        <v>911</v>
      </c>
      <c r="BN1" s="3" t="s">
        <v>910</v>
      </c>
      <c r="BO1" s="30" t="s">
        <v>934</v>
      </c>
      <c r="BP1" s="30" t="s">
        <v>933</v>
      </c>
      <c r="BQ1" s="30" t="s">
        <v>125</v>
      </c>
      <c r="BR1" s="30" t="s">
        <v>936</v>
      </c>
    </row>
    <row r="2" spans="1:70" x14ac:dyDescent="0.25">
      <c r="C2" t="str">
        <f>+B26</f>
        <v>Heritage Management LLC</v>
      </c>
      <c r="D2" t="str">
        <f>+B29</f>
        <v>Laurence A. Tunnard and Aprille D. Tunnard</v>
      </c>
      <c r="E2" t="str">
        <f>+B27</f>
        <v>Laurence A. Tunnard</v>
      </c>
      <c r="F2" t="str">
        <f>+B28</f>
        <v>Aprille D. Tunnard</v>
      </c>
      <c r="G2">
        <f>+B30</f>
        <v>0</v>
      </c>
      <c r="H2">
        <f>+B8</f>
        <v>0</v>
      </c>
      <c r="I2" t="str">
        <f>+B31</f>
        <v>150-64-8338</v>
      </c>
      <c r="J2" t="str">
        <f>+B32</f>
        <v>104-94-3081</v>
      </c>
      <c r="K2">
        <f>+B33</f>
        <v>0</v>
      </c>
      <c r="L2">
        <f>B34</f>
        <v>1233445566</v>
      </c>
      <c r="M2" t="str">
        <f>+B9</f>
        <v>Heritage Management LLC</v>
      </c>
      <c r="N2" t="str">
        <f>+B50</f>
        <v>612 Britton Ct</v>
      </c>
      <c r="O2" t="str">
        <f>+B51</f>
        <v>Sanford, NC 27330</v>
      </c>
      <c r="P2" t="str">
        <f>+B52</f>
        <v>LEE</v>
      </c>
      <c r="Q2">
        <f>+B38</f>
        <v>100</v>
      </c>
      <c r="R2">
        <f>B39</f>
        <v>0</v>
      </c>
      <c r="S2" s="515">
        <f>+B11</f>
        <v>68818</v>
      </c>
      <c r="T2" s="14">
        <f ca="1">+B12</f>
        <v>-3643.69</v>
      </c>
      <c r="U2" s="14">
        <f>B35</f>
        <v>35038.01</v>
      </c>
      <c r="V2" s="14">
        <f>+B37</f>
        <v>136402.79</v>
      </c>
      <c r="W2" s="14" t="str">
        <f>+B43</f>
        <v>Coastal Federal Credit Union</v>
      </c>
      <c r="X2" s="515">
        <f>+B10</f>
        <v>0</v>
      </c>
      <c r="Y2">
        <f>+B53</f>
        <v>0.57000000000000006</v>
      </c>
      <c r="Z2" s="516" t="str">
        <f>+B14</f>
        <v xml:space="preserve"> Cash Flow(60 months);</v>
      </c>
      <c r="AA2" s="298">
        <f>+B54</f>
        <v>4.7500000000000001E-2</v>
      </c>
      <c r="AB2" s="298">
        <f>+B55</f>
        <v>0</v>
      </c>
      <c r="AC2">
        <f>+B56</f>
        <v>0</v>
      </c>
      <c r="AD2" s="365">
        <f>+B16</f>
        <v>0</v>
      </c>
      <c r="AE2" s="365">
        <f>B36</f>
        <v>83188.5</v>
      </c>
      <c r="AF2" s="516" t="str">
        <f>+B40</f>
        <v>4.750%</v>
      </c>
      <c r="AG2" s="516" t="str">
        <f>+B41</f>
        <v>0.000%</v>
      </c>
      <c r="AH2" s="516" t="str">
        <f>+B42</f>
        <v>0.000%</v>
      </c>
      <c r="AI2" s="365">
        <f>+B13</f>
        <v>0</v>
      </c>
      <c r="AJ2" s="365">
        <f>+B16</f>
        <v>0</v>
      </c>
      <c r="AK2">
        <f>+B17</f>
        <v>30</v>
      </c>
      <c r="AL2">
        <f>+B19</f>
        <v>300</v>
      </c>
      <c r="AM2">
        <f>+B18</f>
        <v>360</v>
      </c>
      <c r="AN2" s="517">
        <f>+B20</f>
        <v>45748</v>
      </c>
      <c r="AO2" s="517">
        <f>+B21</f>
        <v>47543</v>
      </c>
      <c r="AP2" s="517">
        <f>+B22</f>
        <v>47574</v>
      </c>
      <c r="AQ2" s="517">
        <f>+B23</f>
        <v>56674</v>
      </c>
      <c r="AR2" t="str">
        <f>+B73</f>
        <v>The Tunnard Real Estate Trust on 612 Britton Ct dated March, 5 2025</v>
      </c>
      <c r="AS2" s="133" t="str">
        <f>+B74</f>
        <v>March, 5</v>
      </c>
      <c r="AT2">
        <f>+B75</f>
        <v>2025</v>
      </c>
      <c r="AU2" t="str">
        <f>+B76</f>
        <v>Wes Browning</v>
      </c>
      <c r="AV2">
        <f ca="1">+B78</f>
        <v>5</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98">
        <f>+B44</f>
        <v>1514.69</v>
      </c>
      <c r="BF2">
        <f ca="1">+B47</f>
        <v>2029</v>
      </c>
      <c r="BG2" t="str">
        <f>+B70</f>
        <v>Investment Services LLC</v>
      </c>
      <c r="BH2" s="133"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18296.28</v>
      </c>
      <c r="BP2">
        <f>+B86</f>
        <v>12</v>
      </c>
      <c r="BQ2">
        <f>+B87</f>
        <v>0</v>
      </c>
      <c r="BR2" t="str">
        <f>+B88</f>
        <v>X</v>
      </c>
    </row>
    <row r="3" spans="1:70" x14ac:dyDescent="0.25">
      <c r="AU3" s="22"/>
      <c r="AV3" s="22"/>
      <c r="AW3" s="15"/>
      <c r="AX3" s="22"/>
      <c r="AY3" s="22"/>
      <c r="AZ3" s="22"/>
      <c r="BP3" s="25"/>
    </row>
    <row r="4" spans="1:70" x14ac:dyDescent="0.25">
      <c r="AG4" s="516"/>
      <c r="AH4" s="516"/>
      <c r="AI4" s="516"/>
      <c r="AU4" s="22"/>
      <c r="AV4" s="22"/>
      <c r="AW4" s="15"/>
    </row>
    <row r="5" spans="1:70" x14ac:dyDescent="0.25">
      <c r="AT5" s="22"/>
      <c r="AU5" s="15"/>
      <c r="AV5" s="15"/>
    </row>
    <row r="6" spans="1:70" ht="15.75" thickBot="1" x14ac:dyDescent="0.3">
      <c r="AT6" s="22"/>
      <c r="AU6" s="15"/>
      <c r="AV6" s="15"/>
    </row>
    <row r="7" spans="1:70" ht="15.75" thickBot="1" x14ac:dyDescent="0.3">
      <c r="A7" s="557" t="s">
        <v>881</v>
      </c>
      <c r="B7" s="25"/>
      <c r="C7" s="25"/>
      <c r="D7" s="25"/>
      <c r="AT7" s="22"/>
      <c r="AU7" s="15"/>
      <c r="AV7" s="15"/>
    </row>
    <row r="8" spans="1:70" x14ac:dyDescent="0.25">
      <c r="A8" s="30" t="s">
        <v>879</v>
      </c>
      <c r="B8" s="25"/>
      <c r="C8" s="25"/>
      <c r="D8" s="25"/>
      <c r="AT8" s="22"/>
      <c r="AU8" s="15"/>
      <c r="AV8" s="15"/>
    </row>
    <row r="9" spans="1:70" x14ac:dyDescent="0.25">
      <c r="A9" s="30" t="s">
        <v>880</v>
      </c>
      <c r="B9" s="25" t="s">
        <v>886</v>
      </c>
      <c r="C9" s="25"/>
      <c r="D9" s="25"/>
      <c r="AT9" s="22"/>
      <c r="AU9" s="15"/>
      <c r="AV9" s="15"/>
    </row>
    <row r="10" spans="1:70" x14ac:dyDescent="0.25">
      <c r="A10" s="30" t="s">
        <v>872</v>
      </c>
      <c r="B10" s="521">
        <f>+Amortization!AA5</f>
        <v>0</v>
      </c>
      <c r="C10" s="521"/>
      <c r="D10" s="521"/>
      <c r="AT10" s="22"/>
      <c r="AU10" s="15"/>
      <c r="AV10" s="15"/>
    </row>
    <row r="11" spans="1:70" x14ac:dyDescent="0.25">
      <c r="A11" s="528" t="s">
        <v>869</v>
      </c>
      <c r="B11" s="521">
        <f>+Amortization!$O$4-B38</f>
        <v>68818</v>
      </c>
      <c r="C11" s="521"/>
      <c r="D11" s="521"/>
      <c r="AT11" s="22"/>
      <c r="AU11" s="15"/>
      <c r="AV11" s="15"/>
    </row>
    <row r="12" spans="1:70" x14ac:dyDescent="0.25">
      <c r="A12" s="528" t="s">
        <v>721</v>
      </c>
      <c r="B12" s="522">
        <f ca="1">+B10-SUM(B38:B52)</f>
        <v>-3643.69</v>
      </c>
      <c r="C12" s="522"/>
      <c r="D12" s="522"/>
      <c r="AT12" s="22"/>
      <c r="AU12" s="15"/>
      <c r="AV12" s="15"/>
    </row>
    <row r="13" spans="1:70" ht="13.5" customHeight="1" x14ac:dyDescent="0.25">
      <c r="A13" s="528" t="s">
        <v>851</v>
      </c>
      <c r="B13" s="525">
        <f>SUM(B14:B14)</f>
        <v>0</v>
      </c>
      <c r="C13" s="525"/>
      <c r="D13" s="525"/>
      <c r="AT13" s="22"/>
      <c r="AU13" s="15"/>
      <c r="AV13" s="15"/>
    </row>
    <row r="14" spans="1:70" ht="13.5" customHeight="1" x14ac:dyDescent="0.25">
      <c r="A14" s="528" t="s">
        <v>823</v>
      </c>
      <c r="B14" s="524" t="str">
        <f>+Amortization!Z8</f>
        <v xml:space="preserve"> Cash Flow(60 months);</v>
      </c>
      <c r="C14" s="524"/>
      <c r="D14" s="524"/>
      <c r="AT14" s="22"/>
      <c r="AU14" s="15"/>
      <c r="AV14" s="15"/>
    </row>
    <row r="15" spans="1:70" ht="13.5" customHeight="1" x14ac:dyDescent="0.25">
      <c r="A15" s="528" t="s">
        <v>849</v>
      </c>
      <c r="B15" s="524" t="str">
        <f>+Amortization!Z9</f>
        <v>1st  Loan Balance(5 years)</v>
      </c>
      <c r="C15" s="524"/>
      <c r="D15" s="524"/>
      <c r="AT15" s="22"/>
      <c r="AU15" s="15"/>
      <c r="AV15" s="15"/>
    </row>
    <row r="16" spans="1:70" ht="13.5" customHeight="1" x14ac:dyDescent="0.25">
      <c r="A16" s="528" t="s">
        <v>850</v>
      </c>
      <c r="B16" s="525">
        <f>SUM(B15:B15)</f>
        <v>0</v>
      </c>
      <c r="C16" s="525"/>
      <c r="D16" s="525"/>
      <c r="AT16" s="22"/>
      <c r="AU16" s="15"/>
      <c r="AV16" s="15"/>
    </row>
    <row r="17" spans="1:48" ht="13.5" customHeight="1" x14ac:dyDescent="0.25">
      <c r="A17" s="528" t="s">
        <v>824</v>
      </c>
      <c r="B17" s="28">
        <v>30</v>
      </c>
      <c r="C17" s="28"/>
      <c r="D17" s="28"/>
      <c r="AT17" s="22"/>
      <c r="AU17" s="15"/>
      <c r="AV17" s="15"/>
    </row>
    <row r="18" spans="1:48" ht="13.5" customHeight="1" x14ac:dyDescent="0.25">
      <c r="A18" s="30" t="s">
        <v>855</v>
      </c>
      <c r="B18" s="28">
        <f>+B17*12</f>
        <v>360</v>
      </c>
      <c r="C18" s="28"/>
      <c r="D18" s="28"/>
      <c r="AT18" s="22"/>
      <c r="AU18" s="15"/>
      <c r="AV18" s="15"/>
    </row>
    <row r="19" spans="1:48" ht="13.5" customHeight="1" x14ac:dyDescent="0.25">
      <c r="A19" s="30" t="s">
        <v>854</v>
      </c>
      <c r="B19" s="28">
        <f>+B18-60</f>
        <v>300</v>
      </c>
      <c r="C19" s="28"/>
      <c r="D19" s="28"/>
      <c r="AT19" s="22"/>
      <c r="AU19" s="15"/>
      <c r="AV19" s="15"/>
    </row>
    <row r="20" spans="1:48" ht="13.5" customHeight="1" x14ac:dyDescent="0.25">
      <c r="A20" s="30" t="s">
        <v>858</v>
      </c>
      <c r="B20" s="533">
        <v>45748</v>
      </c>
      <c r="C20" s="533"/>
      <c r="D20" s="533"/>
      <c r="AT20" s="22"/>
      <c r="AU20" s="15"/>
      <c r="AV20" s="15"/>
    </row>
    <row r="21" spans="1:48" x14ac:dyDescent="0.25">
      <c r="A21" s="30" t="s">
        <v>859</v>
      </c>
      <c r="B21" s="526">
        <f>+$B$20+(5*365)-DAY(+$B$20+(5*365))+1</f>
        <v>47543</v>
      </c>
      <c r="C21" s="526"/>
      <c r="D21" s="526"/>
      <c r="AT21" s="22"/>
      <c r="AU21" s="15"/>
      <c r="AV21" s="15"/>
    </row>
    <row r="22" spans="1:48" x14ac:dyDescent="0.25">
      <c r="A22" s="30" t="s">
        <v>856</v>
      </c>
      <c r="B22" s="526">
        <f>+$B$20+(5*365)-DAY(+$B$20+(5*365))+32</f>
        <v>47574</v>
      </c>
      <c r="C22" s="526"/>
      <c r="D22" s="526"/>
      <c r="AT22" s="22"/>
      <c r="AU22" s="15"/>
      <c r="AV22" s="15"/>
    </row>
    <row r="23" spans="1:48" x14ac:dyDescent="0.25">
      <c r="A23" s="30" t="s">
        <v>857</v>
      </c>
      <c r="B23" s="526">
        <f>+$B$20+($B$17*365)-DAY(+$B$20+($B$17*365))+1</f>
        <v>56674</v>
      </c>
      <c r="C23" s="526"/>
      <c r="D23" s="526"/>
      <c r="AT23" s="22"/>
      <c r="AU23" s="15"/>
      <c r="AV23" s="15"/>
    </row>
    <row r="24" spans="1:48" ht="15.75" thickBot="1" x14ac:dyDescent="0.3">
      <c r="A24" s="30" t="s">
        <v>826</v>
      </c>
      <c r="B24" s="25"/>
      <c r="C24" s="25"/>
      <c r="D24" s="25"/>
      <c r="AT24" s="22"/>
      <c r="AU24" s="15"/>
      <c r="AV24" s="15"/>
    </row>
    <row r="25" spans="1:48" ht="15.75" thickBot="1" x14ac:dyDescent="0.3">
      <c r="A25" s="557" t="s">
        <v>887</v>
      </c>
      <c r="B25" s="25"/>
      <c r="C25" s="25"/>
      <c r="D25" s="25"/>
      <c r="AT25" s="22"/>
      <c r="AU25" s="15"/>
      <c r="AV25" s="15"/>
    </row>
    <row r="26" spans="1:48" x14ac:dyDescent="0.25">
      <c r="A26" s="30" t="s">
        <v>878</v>
      </c>
      <c r="B26" s="25" t="s">
        <v>886</v>
      </c>
      <c r="C26" s="25"/>
      <c r="D26" s="25"/>
      <c r="AT26" s="22"/>
      <c r="AU26" s="15"/>
      <c r="AV26" s="15"/>
    </row>
    <row r="27" spans="1:48" x14ac:dyDescent="0.25">
      <c r="A27" s="30" t="s">
        <v>893</v>
      </c>
      <c r="B27" s="25" t="str">
        <f>+MOG!B3&amp;" "&amp;MOG!C3</f>
        <v>Laurence A. Tunnard</v>
      </c>
      <c r="C27" s="25"/>
      <c r="D27" s="25"/>
      <c r="AT27" s="22"/>
      <c r="AU27" s="15"/>
      <c r="AV27" s="15"/>
    </row>
    <row r="28" spans="1:48" x14ac:dyDescent="0.25">
      <c r="A28" s="30" t="s">
        <v>895</v>
      </c>
      <c r="B28" s="25" t="str">
        <f>+MOG!B4&amp;" "&amp;MOG!C4</f>
        <v>Aprille D. Tunnard</v>
      </c>
      <c r="C28" s="25"/>
      <c r="D28" s="25"/>
      <c r="AT28" s="22"/>
      <c r="AU28" s="15"/>
      <c r="AV28" s="15"/>
    </row>
    <row r="29" spans="1:48" x14ac:dyDescent="0.25">
      <c r="A29" s="30" t="s">
        <v>894</v>
      </c>
      <c r="B29" s="25" t="str">
        <f>MOG!$B$3 &amp; " " &amp; MOG!$C$3 &amp; IF(+MOG!$C$4="",""," and " &amp; +MOG!$B$4 &amp; " " &amp;MOG!$C$4)</f>
        <v>Laurence A. Tunnard and Aprille D. Tunnard</v>
      </c>
      <c r="C29" s="25"/>
      <c r="D29" s="25"/>
      <c r="AT29" s="22"/>
      <c r="AU29" s="15"/>
      <c r="AV29" s="15"/>
    </row>
    <row r="30" spans="1:48" x14ac:dyDescent="0.25">
      <c r="A30" s="30" t="s">
        <v>899</v>
      </c>
      <c r="B30" s="25"/>
      <c r="C30" s="25"/>
      <c r="D30" s="25"/>
      <c r="AT30" s="22"/>
      <c r="AU30" s="15"/>
      <c r="AV30" s="15"/>
    </row>
    <row r="31" spans="1:48" x14ac:dyDescent="0.25">
      <c r="A31" s="30" t="s">
        <v>896</v>
      </c>
      <c r="B31" s="25" t="s">
        <v>1056</v>
      </c>
      <c r="C31" s="25"/>
      <c r="D31" s="25"/>
      <c r="AT31" s="22"/>
      <c r="AU31" s="15"/>
      <c r="AV31" s="15"/>
    </row>
    <row r="32" spans="1:48" x14ac:dyDescent="0.25">
      <c r="A32" s="30" t="s">
        <v>897</v>
      </c>
      <c r="B32" s="25" t="s">
        <v>1057</v>
      </c>
      <c r="C32" s="25"/>
      <c r="D32" s="25"/>
      <c r="AT32" s="22"/>
      <c r="AU32" s="15"/>
      <c r="AV32" s="15"/>
    </row>
    <row r="33" spans="1:48" x14ac:dyDescent="0.25">
      <c r="A33" s="30" t="s">
        <v>900</v>
      </c>
      <c r="B33" s="25"/>
      <c r="C33" s="25"/>
      <c r="D33" s="25"/>
      <c r="AT33" s="22"/>
      <c r="AU33" s="15"/>
      <c r="AV33" s="15"/>
    </row>
    <row r="34" spans="1:48" x14ac:dyDescent="0.25">
      <c r="A34" s="30" t="s">
        <v>898</v>
      </c>
      <c r="B34" s="25">
        <v>1233445566</v>
      </c>
      <c r="C34" s="25"/>
      <c r="D34" s="25"/>
      <c r="AT34" s="22"/>
      <c r="AU34" s="15"/>
      <c r="AV34" s="15"/>
    </row>
    <row r="35" spans="1:48" x14ac:dyDescent="0.25">
      <c r="A35" s="528" t="s">
        <v>874</v>
      </c>
      <c r="B35" s="522">
        <f>Profit!C14</f>
        <v>35038.01</v>
      </c>
      <c r="C35" s="522"/>
      <c r="D35" s="522"/>
      <c r="AT35" s="22"/>
      <c r="AU35" s="15"/>
      <c r="AV35" s="15"/>
    </row>
    <row r="36" spans="1:48" x14ac:dyDescent="0.25">
      <c r="A36" s="528" t="s">
        <v>725</v>
      </c>
      <c r="B36" s="522">
        <f>Profit!C15</f>
        <v>83188.5</v>
      </c>
      <c r="C36" s="522"/>
      <c r="D36" s="522"/>
      <c r="AT36" s="22"/>
      <c r="AU36" s="15"/>
      <c r="AV36" s="15"/>
    </row>
    <row r="37" spans="1:48" x14ac:dyDescent="0.25">
      <c r="A37" s="528" t="s">
        <v>873</v>
      </c>
      <c r="B37" s="522">
        <f>Profit!B21</f>
        <v>136402.79</v>
      </c>
      <c r="C37" s="522"/>
      <c r="D37" s="522"/>
      <c r="AT37" s="22"/>
      <c r="AU37" s="15"/>
      <c r="AV37" s="15"/>
    </row>
    <row r="38" spans="1:48" x14ac:dyDescent="0.25">
      <c r="A38" s="528" t="s">
        <v>804</v>
      </c>
      <c r="B38" s="28">
        <v>100</v>
      </c>
      <c r="C38" s="28"/>
      <c r="D38" s="28"/>
      <c r="AT38" s="22"/>
      <c r="AU38" s="15"/>
      <c r="AV38" s="15"/>
    </row>
    <row r="39" spans="1:48" x14ac:dyDescent="0.25">
      <c r="A39" s="528" t="s">
        <v>871</v>
      </c>
      <c r="B39" s="522">
        <f>Profit!C20</f>
        <v>0</v>
      </c>
      <c r="C39" s="522"/>
      <c r="D39" s="522"/>
      <c r="AT39" s="22"/>
      <c r="AU39" s="15"/>
      <c r="AV39" s="15"/>
    </row>
    <row r="40" spans="1:48" x14ac:dyDescent="0.25">
      <c r="A40" s="528" t="s">
        <v>815</v>
      </c>
      <c r="B40" s="524" t="str">
        <f>TEXT(Amortization!$C$3,"0.000%")</f>
        <v>4.750%</v>
      </c>
      <c r="C40" s="524"/>
      <c r="D40" s="524"/>
      <c r="AT40" s="22"/>
      <c r="AU40" s="15"/>
      <c r="AV40" s="15"/>
    </row>
    <row r="41" spans="1:48" x14ac:dyDescent="0.25">
      <c r="A41" s="528" t="s">
        <v>866</v>
      </c>
      <c r="B41" s="524" t="str">
        <f>TEXT(+Amortization!AA8,"0.000%")</f>
        <v>0.000%</v>
      </c>
      <c r="C41" s="524"/>
      <c r="D41" s="524"/>
      <c r="AT41" s="22"/>
      <c r="AU41" s="15"/>
      <c r="AV41" s="15"/>
    </row>
    <row r="42" spans="1:48" x14ac:dyDescent="0.25">
      <c r="A42" s="528" t="s">
        <v>865</v>
      </c>
      <c r="B42" s="524" t="str">
        <f>TEXT(Amortization!$O$6,"0.000%")</f>
        <v>0.000%</v>
      </c>
      <c r="C42" s="524"/>
      <c r="D42" s="524"/>
      <c r="AT42" s="22"/>
      <c r="AU42" s="15"/>
      <c r="AV42" s="15"/>
    </row>
    <row r="43" spans="1:48" x14ac:dyDescent="0.25">
      <c r="A43" s="528" t="s">
        <v>875</v>
      </c>
      <c r="B43" s="522" t="s">
        <v>876</v>
      </c>
      <c r="C43" s="522"/>
      <c r="D43" s="522"/>
      <c r="AT43" s="22"/>
      <c r="AU43" s="15"/>
      <c r="AV43" s="15"/>
    </row>
    <row r="44" spans="1:48" x14ac:dyDescent="0.25">
      <c r="A44" s="30" t="s">
        <v>888</v>
      </c>
      <c r="B44" s="523">
        <f>Carrying!E5</f>
        <v>1514.69</v>
      </c>
      <c r="C44" s="523"/>
      <c r="D44" s="523"/>
      <c r="AT44" s="22"/>
      <c r="AU44" s="15"/>
      <c r="AV44" s="15"/>
    </row>
    <row r="45" spans="1:48" ht="15.75" thickBot="1" x14ac:dyDescent="0.3">
      <c r="A45" s="528" t="s">
        <v>884</v>
      </c>
      <c r="B45" s="522" t="s">
        <v>885</v>
      </c>
      <c r="C45" s="522"/>
      <c r="D45" s="522"/>
      <c r="AT45" s="22"/>
      <c r="AU45" s="15"/>
      <c r="AV45" s="15"/>
    </row>
    <row r="46" spans="1:48" ht="15.75" thickBot="1" x14ac:dyDescent="0.3">
      <c r="A46" s="557" t="s">
        <v>927</v>
      </c>
      <c r="B46" s="558"/>
      <c r="C46" s="558"/>
      <c r="D46" s="558"/>
      <c r="AT46" s="22"/>
      <c r="AU46" s="15"/>
      <c r="AV46" s="15"/>
    </row>
    <row r="47" spans="1:48" x14ac:dyDescent="0.25">
      <c r="A47" s="528" t="s">
        <v>889</v>
      </c>
      <c r="B47" s="32">
        <f ca="1">YEAR(NOW()+365*3)</f>
        <v>2029</v>
      </c>
      <c r="C47" s="32"/>
      <c r="D47" s="32"/>
      <c r="AT47" s="22"/>
      <c r="AU47" s="15"/>
      <c r="AV47" s="15"/>
    </row>
    <row r="48" spans="1:48" ht="15.75" thickBot="1" x14ac:dyDescent="0.3">
      <c r="A48" s="30" t="s">
        <v>892</v>
      </c>
      <c r="B48" s="522" t="s">
        <v>929</v>
      </c>
      <c r="C48" s="522"/>
      <c r="D48" s="522"/>
      <c r="AT48" s="22"/>
      <c r="AU48" s="15"/>
      <c r="AV48" s="15"/>
    </row>
    <row r="49" spans="1:49" ht="15.75" thickBot="1" x14ac:dyDescent="0.3">
      <c r="A49" s="557" t="s">
        <v>882</v>
      </c>
      <c r="B49" s="25"/>
      <c r="C49" s="25"/>
      <c r="D49" s="25"/>
      <c r="AT49" s="22"/>
      <c r="AU49" s="15"/>
      <c r="AV49" s="15"/>
    </row>
    <row r="50" spans="1:49" x14ac:dyDescent="0.25">
      <c r="A50" s="30" t="s">
        <v>809</v>
      </c>
      <c r="B50" s="25" t="str">
        <f>+Profit!$B$2</f>
        <v>612 Britton Ct</v>
      </c>
      <c r="C50" s="25"/>
      <c r="D50" s="25"/>
      <c r="AT50" s="22"/>
      <c r="AU50" s="15"/>
      <c r="AV50" s="15"/>
    </row>
    <row r="51" spans="1:49" x14ac:dyDescent="0.25">
      <c r="A51" s="30" t="s">
        <v>811</v>
      </c>
      <c r="B51" s="25" t="str">
        <f>+Profit!$E$2</f>
        <v>Sanford, NC 27330</v>
      </c>
      <c r="C51" s="25"/>
      <c r="D51" s="25"/>
      <c r="AT51" s="22"/>
      <c r="AU51" s="15"/>
      <c r="AV51" s="15"/>
    </row>
    <row r="52" spans="1:49" x14ac:dyDescent="0.25">
      <c r="A52" s="30" t="s">
        <v>803</v>
      </c>
      <c r="B52" s="25" t="s">
        <v>937</v>
      </c>
      <c r="C52" s="25"/>
      <c r="D52" s="25"/>
      <c r="AT52" s="22"/>
      <c r="AU52" s="15"/>
      <c r="AV52" s="15"/>
    </row>
    <row r="53" spans="1:49" x14ac:dyDescent="0.25">
      <c r="A53" s="528" t="s">
        <v>805</v>
      </c>
      <c r="B53" s="25">
        <f>+B54*12</f>
        <v>0.57000000000000006</v>
      </c>
      <c r="C53" s="25"/>
      <c r="D53" s="25"/>
      <c r="AU53" s="22"/>
      <c r="AV53" s="22"/>
      <c r="AW53" s="15"/>
    </row>
    <row r="54" spans="1:49" x14ac:dyDescent="0.25">
      <c r="A54" s="528" t="s">
        <v>806</v>
      </c>
      <c r="B54" s="523">
        <f>+Amortization!$T$9</f>
        <v>4.7500000000000001E-2</v>
      </c>
      <c r="C54" s="523"/>
      <c r="D54" s="523"/>
      <c r="AU54" s="22"/>
      <c r="AV54" s="22"/>
      <c r="AW54" s="15"/>
    </row>
    <row r="55" spans="1:49" x14ac:dyDescent="0.25">
      <c r="A55" s="528" t="s">
        <v>807</v>
      </c>
      <c r="B55" s="523">
        <f>+Amortization!$T$8</f>
        <v>0</v>
      </c>
      <c r="C55" s="523"/>
      <c r="D55" s="523"/>
      <c r="AU55" s="22"/>
      <c r="AV55" s="22"/>
      <c r="AW55" s="15"/>
    </row>
    <row r="56" spans="1:49" ht="15.75" thickBot="1" x14ac:dyDescent="0.3">
      <c r="A56" s="529" t="s">
        <v>808</v>
      </c>
      <c r="B56" s="25">
        <v>0</v>
      </c>
      <c r="C56" s="25"/>
      <c r="D56" s="25"/>
      <c r="AU56" s="22"/>
      <c r="AV56" s="22"/>
      <c r="AW56" s="15"/>
    </row>
    <row r="57" spans="1:49" ht="15.75" thickBot="1" x14ac:dyDescent="0.3">
      <c r="A57" s="557" t="s">
        <v>883</v>
      </c>
      <c r="B57" s="25"/>
      <c r="C57" s="25"/>
      <c r="D57" s="25"/>
      <c r="AU57" s="22"/>
      <c r="AV57" s="22"/>
      <c r="AW57" s="15"/>
    </row>
    <row r="58" spans="1:49" x14ac:dyDescent="0.25">
      <c r="A58" s="30"/>
      <c r="B58" s="32"/>
      <c r="C58" s="32"/>
      <c r="D58" s="32"/>
    </row>
    <row r="59" spans="1:49" ht="15.75" x14ac:dyDescent="0.25">
      <c r="A59" s="30"/>
      <c r="B59" s="534"/>
      <c r="C59" s="534"/>
      <c r="D59" s="534"/>
    </row>
    <row r="60" spans="1:49" x14ac:dyDescent="0.25">
      <c r="A60" s="30" t="s">
        <v>923</v>
      </c>
      <c r="B60" s="522" t="s">
        <v>924</v>
      </c>
      <c r="C60" s="522"/>
      <c r="D60" s="522"/>
    </row>
    <row r="61" spans="1:49" x14ac:dyDescent="0.25">
      <c r="A61" s="30" t="s">
        <v>827</v>
      </c>
      <c r="B61" s="522" t="s">
        <v>920</v>
      </c>
      <c r="C61" s="522"/>
      <c r="D61" s="522"/>
    </row>
    <row r="62" spans="1:49" ht="15.75" x14ac:dyDescent="0.25">
      <c r="A62" s="30" t="s">
        <v>864</v>
      </c>
      <c r="B62" s="559"/>
      <c r="C62" s="559"/>
      <c r="D62" s="559"/>
    </row>
    <row r="63" spans="1:49" ht="15.75" x14ac:dyDescent="0.25">
      <c r="A63" s="30" t="s">
        <v>828</v>
      </c>
      <c r="B63" s="559"/>
      <c r="C63" s="559"/>
      <c r="D63" s="559"/>
    </row>
    <row r="64" spans="1:49" ht="15.75" x14ac:dyDescent="0.25">
      <c r="A64" s="30" t="s">
        <v>829</v>
      </c>
      <c r="B64" s="559"/>
      <c r="C64" s="559"/>
      <c r="D64" s="559"/>
    </row>
    <row r="65" spans="1:4" x14ac:dyDescent="0.25">
      <c r="A65" s="30" t="s">
        <v>901</v>
      </c>
      <c r="B65" s="28" t="s">
        <v>919</v>
      </c>
      <c r="C65" s="28"/>
      <c r="D65" s="28"/>
    </row>
    <row r="66" spans="1:4" x14ac:dyDescent="0.25">
      <c r="A66" s="30" t="s">
        <v>902</v>
      </c>
      <c r="B66" s="560" t="s">
        <v>921</v>
      </c>
      <c r="C66" s="560"/>
      <c r="D66" s="560"/>
    </row>
    <row r="67" spans="1:4" x14ac:dyDescent="0.25">
      <c r="A67" s="30" t="s">
        <v>903</v>
      </c>
      <c r="B67" s="560" t="s">
        <v>922</v>
      </c>
      <c r="C67" s="560"/>
      <c r="D67" s="560"/>
    </row>
    <row r="68" spans="1:4" ht="15.75" thickBot="1" x14ac:dyDescent="0.3">
      <c r="A68" s="30" t="s">
        <v>904</v>
      </c>
      <c r="B68" s="28"/>
      <c r="C68" s="28"/>
      <c r="D68" s="28"/>
    </row>
    <row r="69" spans="1:4" ht="15.75" thickBot="1" x14ac:dyDescent="0.3">
      <c r="A69" s="557" t="s">
        <v>928</v>
      </c>
      <c r="B69" s="25"/>
      <c r="C69" s="25"/>
      <c r="D69" s="25"/>
    </row>
    <row r="70" spans="1:4" x14ac:dyDescent="0.25">
      <c r="A70" s="30" t="s">
        <v>890</v>
      </c>
      <c r="B70" s="25" t="s">
        <v>918</v>
      </c>
      <c r="C70" s="25"/>
      <c r="D70" s="25"/>
    </row>
    <row r="71" spans="1:4" x14ac:dyDescent="0.25">
      <c r="A71" s="30" t="s">
        <v>905</v>
      </c>
      <c r="B71" t="s">
        <v>908</v>
      </c>
    </row>
    <row r="72" spans="1:4" x14ac:dyDescent="0.25">
      <c r="A72" s="30" t="s">
        <v>906</v>
      </c>
      <c r="B72" t="s">
        <v>907</v>
      </c>
    </row>
    <row r="73" spans="1:4" x14ac:dyDescent="0.25">
      <c r="A73" s="30" t="s">
        <v>812</v>
      </c>
      <c r="B73" s="25" t="s">
        <v>942</v>
      </c>
      <c r="C73" s="25"/>
      <c r="D73" s="25"/>
    </row>
    <row r="74" spans="1:4" x14ac:dyDescent="0.25">
      <c r="A74" s="30" t="s">
        <v>813</v>
      </c>
      <c r="B74" s="527" t="s">
        <v>909</v>
      </c>
      <c r="C74" s="527"/>
      <c r="D74" s="527"/>
    </row>
    <row r="75" spans="1:4" x14ac:dyDescent="0.25">
      <c r="A75" s="30" t="s">
        <v>761</v>
      </c>
      <c r="B75" s="25">
        <v>2025</v>
      </c>
      <c r="C75" s="25"/>
      <c r="D75" s="25"/>
    </row>
    <row r="76" spans="1:4" x14ac:dyDescent="0.25">
      <c r="A76" s="30" t="s">
        <v>814</v>
      </c>
      <c r="B76" s="28" t="s">
        <v>820</v>
      </c>
      <c r="C76" s="28"/>
      <c r="D76" s="28"/>
    </row>
    <row r="77" spans="1:4" x14ac:dyDescent="0.25">
      <c r="A77" s="30" t="s">
        <v>821</v>
      </c>
      <c r="B77" s="32">
        <f ca="1">YEAR(NOW())</f>
        <v>2026</v>
      </c>
      <c r="C77" s="32"/>
      <c r="D77" s="32"/>
    </row>
    <row r="78" spans="1:4" x14ac:dyDescent="0.25">
      <c r="A78" s="30" t="s">
        <v>925</v>
      </c>
      <c r="B78" s="32">
        <f ca="1">MONTH(NOW())</f>
        <v>5</v>
      </c>
      <c r="C78" s="32"/>
      <c r="D78" s="32"/>
    </row>
    <row r="79" spans="1:4" x14ac:dyDescent="0.25">
      <c r="A79" s="30"/>
      <c r="B79" s="25"/>
      <c r="C79" s="25"/>
      <c r="D79" s="25"/>
    </row>
    <row r="80" spans="1:4" x14ac:dyDescent="0.25">
      <c r="A80" s="30" t="s">
        <v>863</v>
      </c>
      <c r="B80" s="25"/>
      <c r="C80" s="25"/>
      <c r="D80" s="25"/>
    </row>
    <row r="81" spans="1:4" ht="15.75" thickBot="1" x14ac:dyDescent="0.3">
      <c r="A81" s="30"/>
      <c r="B81" s="25"/>
      <c r="C81" s="25"/>
      <c r="D81" s="25"/>
    </row>
    <row r="82" spans="1:4" ht="15.75" thickBot="1" x14ac:dyDescent="0.3">
      <c r="A82" s="557" t="s">
        <v>930</v>
      </c>
      <c r="B82" s="25"/>
      <c r="C82" s="25"/>
      <c r="D82" s="25"/>
    </row>
    <row r="83" spans="1:4" x14ac:dyDescent="0.25">
      <c r="A83" s="30" t="s">
        <v>931</v>
      </c>
      <c r="B83" s="25">
        <f>+B86*B84</f>
        <v>18296.28</v>
      </c>
      <c r="C83" s="25"/>
      <c r="D83" s="25"/>
    </row>
    <row r="84" spans="1:4" x14ac:dyDescent="0.25">
      <c r="A84" s="30" t="s">
        <v>932</v>
      </c>
      <c r="B84" s="523">
        <f>+B44+B85</f>
        <v>1524.69</v>
      </c>
      <c r="C84" s="523"/>
      <c r="D84" s="523"/>
    </row>
    <row r="85" spans="1:4" ht="15.75" x14ac:dyDescent="0.25">
      <c r="A85" s="30" t="s">
        <v>938</v>
      </c>
      <c r="B85" s="559">
        <v>10</v>
      </c>
      <c r="C85" s="523"/>
      <c r="D85" s="523"/>
    </row>
    <row r="86" spans="1:4" x14ac:dyDescent="0.25">
      <c r="A86" s="30" t="s">
        <v>933</v>
      </c>
      <c r="B86" s="25">
        <v>12</v>
      </c>
      <c r="C86" s="25"/>
      <c r="D86" s="25"/>
    </row>
    <row r="87" spans="1:4" x14ac:dyDescent="0.25">
      <c r="A87" s="30" t="s">
        <v>125</v>
      </c>
      <c r="B87" s="25">
        <v>0</v>
      </c>
      <c r="C87" s="25"/>
      <c r="D87" s="25"/>
    </row>
    <row r="88" spans="1:4" x14ac:dyDescent="0.25">
      <c r="A88" s="30" t="s">
        <v>935</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89" t="s">
        <v>87</v>
      </c>
      <c r="D1" s="790"/>
      <c r="E1" s="751"/>
      <c r="I1" s="78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91" t="s">
        <v>88</v>
      </c>
      <c r="K1" s="783" t="str">
        <f>+I1&amp;IF(N14="X",O14,"")&amp;"
"&amp; IF(H15="X",I15,"") &amp;"
"&amp; IF(H16="X",I16,"") &amp;"
"&amp; IF(H20="X",I20,"") &amp;"
"&amp; IF(H26="X",I26,"") &amp;"
"&amp; IF(H33="X",I33,"") &amp; "
"&amp; IF(H42="X",I42,"") &amp; "
"&amp; IF(H52="X",I52,"") &amp; "
"&amp; IF(H61="X",I61,"") &amp; "
"&amp; IF(H74="X",I74,"") &amp; "
"&amp; IF(H81="X",I81,"") &amp; "
"&amp; IF(H82="X",I82,"") &amp; "
"&amp; ""</f>
        <v xml:space="preserve">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51"/>
      <c r="J2" s="791"/>
      <c r="K2" s="783"/>
    </row>
    <row r="3" spans="1:11" ht="16.5" customHeight="1" x14ac:dyDescent="0.25">
      <c r="A3" t="s">
        <v>89</v>
      </c>
      <c r="B3" s="250" t="s">
        <v>877</v>
      </c>
      <c r="C3" s="249" t="s">
        <v>868</v>
      </c>
      <c r="D3" s="22"/>
      <c r="I3" s="751"/>
      <c r="J3" s="243"/>
      <c r="K3" s="783"/>
    </row>
    <row r="4" spans="1:11" x14ac:dyDescent="0.25">
      <c r="A4" t="s">
        <v>90</v>
      </c>
      <c r="B4" s="248" t="s">
        <v>943</v>
      </c>
      <c r="C4" s="251" t="s">
        <v>868</v>
      </c>
      <c r="D4" s="22"/>
      <c r="I4" s="751"/>
      <c r="K4" s="783"/>
    </row>
    <row r="5" spans="1:11" ht="16.5" x14ac:dyDescent="0.3">
      <c r="A5" t="s">
        <v>91</v>
      </c>
      <c r="B5" s="238"/>
      <c r="C5" s="239"/>
      <c r="D5" s="22"/>
      <c r="I5" s="751"/>
      <c r="K5" s="783"/>
    </row>
    <row r="6" spans="1:11" ht="15" customHeight="1" thickBot="1" x14ac:dyDescent="0.3">
      <c r="A6" t="s">
        <v>92</v>
      </c>
      <c r="B6" s="240"/>
      <c r="C6" s="241"/>
      <c r="D6" s="22"/>
      <c r="I6" s="751"/>
      <c r="K6" s="783"/>
    </row>
    <row r="7" spans="1:11" x14ac:dyDescent="0.25">
      <c r="I7" s="751"/>
      <c r="K7" s="783"/>
    </row>
    <row r="8" spans="1:11" x14ac:dyDescent="0.25">
      <c r="I8" s="751"/>
      <c r="K8" s="783"/>
    </row>
    <row r="9" spans="1:11" x14ac:dyDescent="0.25">
      <c r="A9" s="15" t="s">
        <v>93</v>
      </c>
      <c r="B9" s="15" t="s">
        <v>94</v>
      </c>
      <c r="C9" s="15"/>
      <c r="I9" s="751"/>
      <c r="K9" s="783"/>
    </row>
    <row r="10" spans="1:11" x14ac:dyDescent="0.25">
      <c r="B10" s="792" t="s">
        <v>95</v>
      </c>
      <c r="C10" s="793"/>
      <c r="D10" s="793"/>
      <c r="E10" s="793"/>
      <c r="F10" s="793"/>
      <c r="G10" s="793"/>
      <c r="I10" s="751"/>
      <c r="K10" s="783"/>
    </row>
    <row r="11" spans="1:11" x14ac:dyDescent="0.25">
      <c r="B11" s="751"/>
      <c r="C11" s="751"/>
      <c r="D11" s="751"/>
      <c r="E11" s="751"/>
      <c r="F11" s="751"/>
      <c r="G11" s="751"/>
      <c r="I11" s="751"/>
      <c r="K11" s="783"/>
    </row>
    <row r="12" spans="1:11" x14ac:dyDescent="0.25">
      <c r="F12" s="784" t="s">
        <v>96</v>
      </c>
      <c r="I12" s="751"/>
      <c r="K12" s="783"/>
    </row>
    <row r="13" spans="1:11" ht="15.75" thickBot="1" x14ac:dyDescent="0.3">
      <c r="B13" s="31" t="s">
        <v>97</v>
      </c>
      <c r="C13" s="236" t="s">
        <v>98</v>
      </c>
      <c r="D13" s="31" t="s">
        <v>99</v>
      </c>
      <c r="E13" s="31"/>
      <c r="F13" s="734"/>
      <c r="G13" s="31" t="s">
        <v>100</v>
      </c>
      <c r="I13" s="751"/>
      <c r="K13" s="783"/>
    </row>
    <row r="14" spans="1:11" ht="16.5" thickTop="1" thickBot="1" x14ac:dyDescent="0.3">
      <c r="B14" s="247">
        <f>+D14+F14</f>
        <v>136402.79</v>
      </c>
      <c r="C14" s="1">
        <f>+Profit!B4</f>
        <v>399000</v>
      </c>
      <c r="D14" s="1">
        <f>+Profit!K42-Profit!C20</f>
        <v>136402.79</v>
      </c>
      <c r="F14" s="246">
        <f>+B24-(B24*F16)</f>
        <v>0</v>
      </c>
      <c r="G14" s="212">
        <f>+C14-D14-F14+Profit!D49+Profit!C20</f>
        <v>91641.59740499995</v>
      </c>
      <c r="I14" s="751"/>
      <c r="K14" s="783"/>
    </row>
    <row r="15" spans="1:11" ht="16.5" thickTop="1" thickBot="1" x14ac:dyDescent="0.3">
      <c r="C15" s="207"/>
      <c r="D15" s="208" t="s">
        <v>101</v>
      </c>
      <c r="E15" s="209">
        <f>+Profit!$K$44</f>
        <v>-30709.167404999993</v>
      </c>
      <c r="H15" s="237"/>
      <c r="K15" s="783"/>
    </row>
    <row r="16" spans="1:11" ht="16.5" thickTop="1" thickBot="1" x14ac:dyDescent="0.3">
      <c r="C16" s="207"/>
      <c r="D16" s="210" t="s">
        <v>102</v>
      </c>
      <c r="E16" s="211">
        <f>+G14/E15</f>
        <v>-2.9841772066434822</v>
      </c>
      <c r="F16" s="245">
        <v>0.1</v>
      </c>
      <c r="H16" s="237" t="s">
        <v>103</v>
      </c>
      <c r="I16" s="78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83"/>
    </row>
    <row r="17" spans="1:13" ht="15.75" thickTop="1" x14ac:dyDescent="0.25">
      <c r="C17" s="207"/>
      <c r="D17" s="210" t="s">
        <v>104</v>
      </c>
      <c r="E17" s="211">
        <f>+G14/(F14+G14)</f>
        <v>1</v>
      </c>
      <c r="F17" t="s">
        <v>105</v>
      </c>
      <c r="I17" s="783"/>
      <c r="K17" s="783"/>
    </row>
    <row r="18" spans="1:13" x14ac:dyDescent="0.25">
      <c r="I18" s="783"/>
      <c r="K18" s="783"/>
    </row>
    <row r="19" spans="1:13" ht="15.75" thickBot="1" x14ac:dyDescent="0.3">
      <c r="A19" s="15" t="s">
        <v>106</v>
      </c>
      <c r="B19" s="15" t="s">
        <v>107</v>
      </c>
      <c r="D19" s="15" t="s">
        <v>108</v>
      </c>
      <c r="H19">
        <f>IF(H20="X",1,0)</f>
        <v>0</v>
      </c>
      <c r="K19" s="783"/>
    </row>
    <row r="20" spans="1:13" ht="15" customHeight="1" thickTop="1" thickBot="1" x14ac:dyDescent="0.3">
      <c r="B20" t="s">
        <v>109</v>
      </c>
      <c r="H20" s="237"/>
      <c r="I20" s="78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$136,402.79
                                Total Value:                     $0.00</v>
      </c>
      <c r="K20" s="783"/>
    </row>
    <row r="21" spans="1:13" ht="15.75" thickTop="1" x14ac:dyDescent="0.25">
      <c r="B21" t="s">
        <v>110</v>
      </c>
      <c r="I21" s="783"/>
      <c r="J21" s="234"/>
      <c r="K21" s="783"/>
      <c r="L21" s="233"/>
      <c r="M21" s="233"/>
    </row>
    <row r="22" spans="1:13" ht="30" x14ac:dyDescent="0.25">
      <c r="F22" s="57" t="s">
        <v>111</v>
      </c>
      <c r="I22" s="783"/>
      <c r="J22" s="233"/>
      <c r="K22" s="783"/>
      <c r="L22" s="233"/>
      <c r="M22" s="233"/>
    </row>
    <row r="23" spans="1:13" ht="15.75" thickBot="1" x14ac:dyDescent="0.3">
      <c r="B23" s="31" t="s">
        <v>112</v>
      </c>
      <c r="C23" s="785"/>
      <c r="D23" s="786"/>
      <c r="E23" s="786"/>
      <c r="F23" s="786"/>
      <c r="G23" s="31" t="s">
        <v>100</v>
      </c>
      <c r="I23" s="803"/>
      <c r="J23" s="233"/>
      <c r="K23" s="783"/>
      <c r="L23" s="233"/>
      <c r="M23" s="233"/>
    </row>
    <row r="24" spans="1:13" ht="16.5" thickTop="1" thickBot="1" x14ac:dyDescent="0.3">
      <c r="B24" s="244">
        <f>+SUM(Profit!C19:'Profit'!C20)</f>
        <v>0</v>
      </c>
      <c r="C24" s="787" t="s">
        <v>113</v>
      </c>
      <c r="D24" s="788"/>
      <c r="E24" s="788"/>
      <c r="F24" s="10">
        <f>+B24</f>
        <v>0</v>
      </c>
      <c r="G24" s="212">
        <f>+Profit!K57</f>
        <v>193865.39934424998</v>
      </c>
      <c r="I24" s="751"/>
      <c r="K24" s="783"/>
    </row>
    <row r="25" spans="1:13" ht="15.4" customHeight="1" thickTop="1" thickBot="1" x14ac:dyDescent="0.3">
      <c r="C25" s="207"/>
      <c r="D25" s="208" t="s">
        <v>101</v>
      </c>
      <c r="E25" s="209">
        <f>+Profit!$K$44</f>
        <v>-30709.167404999993</v>
      </c>
      <c r="H25">
        <f>IF(H26="X",1+H19,H19)</f>
        <v>1</v>
      </c>
      <c r="K25" s="783"/>
    </row>
    <row r="26" spans="1:13" ht="15" customHeight="1" thickTop="1" thickBot="1" x14ac:dyDescent="0.3">
      <c r="C26" s="207"/>
      <c r="D26" s="210" t="s">
        <v>102</v>
      </c>
      <c r="E26" s="211">
        <f>+G24/E25</f>
        <v>-6.3129487292021231</v>
      </c>
      <c r="H26" s="237" t="s">
        <v>114</v>
      </c>
      <c r="I26" s="78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83"/>
    </row>
    <row r="27" spans="1:13" ht="15" customHeight="1" thickTop="1" x14ac:dyDescent="0.25">
      <c r="C27" s="207"/>
      <c r="D27" s="210" t="s">
        <v>104</v>
      </c>
      <c r="E27" s="211">
        <f>+G24/(F24+G24)</f>
        <v>1</v>
      </c>
      <c r="I27" s="783"/>
      <c r="K27" s="783"/>
    </row>
    <row r="28" spans="1:13" ht="15" customHeight="1" x14ac:dyDescent="0.25">
      <c r="I28" s="783"/>
      <c r="K28" s="783"/>
    </row>
    <row r="29" spans="1:13" x14ac:dyDescent="0.25">
      <c r="A29" s="15"/>
      <c r="B29" s="15"/>
      <c r="I29" s="803"/>
      <c r="K29" s="783"/>
    </row>
    <row r="30" spans="1:13" x14ac:dyDescent="0.25">
      <c r="A30" s="15" t="s">
        <v>115</v>
      </c>
      <c r="B30" s="15" t="s">
        <v>116</v>
      </c>
      <c r="D30" t="s">
        <v>117</v>
      </c>
      <c r="I30" s="751"/>
      <c r="K30" s="783"/>
    </row>
    <row r="31" spans="1:13" ht="25.5" x14ac:dyDescent="0.25">
      <c r="B31" t="s">
        <v>109</v>
      </c>
      <c r="I31" s="23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83"/>
    </row>
    <row r="32" spans="1:13" ht="15.75" thickBot="1" x14ac:dyDescent="0.3">
      <c r="B32" t="s">
        <v>110</v>
      </c>
      <c r="H32">
        <f>IF(H33="X",H25+1,H25)</f>
        <v>2</v>
      </c>
      <c r="K32" s="783"/>
    </row>
    <row r="33" spans="1:13" ht="15" customHeight="1" thickTop="1" thickBot="1" x14ac:dyDescent="0.3">
      <c r="H33" s="237" t="s">
        <v>114</v>
      </c>
      <c r="I33" s="78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83"/>
    </row>
    <row r="34" spans="1:13" ht="16.5" thickTop="1" thickBot="1" x14ac:dyDescent="0.3">
      <c r="C34" s="2" t="s">
        <v>118</v>
      </c>
      <c r="D34" s="3" t="s">
        <v>119</v>
      </c>
      <c r="F34" s="3" t="s">
        <v>120</v>
      </c>
      <c r="I34" s="783"/>
      <c r="K34" s="783"/>
    </row>
    <row r="35" spans="1:13" ht="16.5" thickTop="1" thickBot="1" x14ac:dyDescent="0.3">
      <c r="B35" s="242" t="s">
        <v>121</v>
      </c>
      <c r="C35" s="215">
        <v>10400</v>
      </c>
      <c r="D35" s="206">
        <v>60</v>
      </c>
      <c r="F35" s="784" t="s">
        <v>111</v>
      </c>
      <c r="I35" s="783"/>
      <c r="K35" s="783"/>
    </row>
    <row r="36" spans="1:13" ht="16.5" thickTop="1" thickBot="1" x14ac:dyDescent="0.3">
      <c r="B36" s="31" t="s">
        <v>122</v>
      </c>
      <c r="C36" s="31" t="s">
        <v>123</v>
      </c>
      <c r="D36" s="31" t="s">
        <v>124</v>
      </c>
      <c r="E36" s="31" t="s">
        <v>125</v>
      </c>
      <c r="F36" s="734"/>
      <c r="G36" s="31" t="s">
        <v>100</v>
      </c>
      <c r="I36" s="783"/>
      <c r="K36" s="783"/>
    </row>
    <row r="37" spans="1:13" ht="16.5" thickTop="1" thickBot="1" x14ac:dyDescent="0.3">
      <c r="B37" s="10">
        <f>+SUM(Profit!C19:'Profit'!C20)*B38</f>
        <v>0</v>
      </c>
      <c r="C37" s="10">
        <f>+SUM(Profit!C19:'Profit'!C20)-B37+C35</f>
        <v>10400</v>
      </c>
      <c r="D37" s="10">
        <f>+C37*D35/12*E37</f>
        <v>2080</v>
      </c>
      <c r="E37" s="217">
        <v>0.04</v>
      </c>
      <c r="F37" s="10">
        <f>+SUM(B37:D37)</f>
        <v>12480</v>
      </c>
      <c r="G37" s="212">
        <f>+Profit!$K$57-D37-C35</f>
        <v>181385.39934424998</v>
      </c>
      <c r="I37" s="783"/>
      <c r="K37" s="783"/>
    </row>
    <row r="38" spans="1:13" ht="16.5" thickTop="1" thickBot="1" x14ac:dyDescent="0.3">
      <c r="B38" s="217">
        <v>0.34</v>
      </c>
      <c r="C38" s="232">
        <f>1-B38</f>
        <v>0.65999999999999992</v>
      </c>
      <c r="D38" s="10"/>
      <c r="E38" s="36"/>
      <c r="F38" s="10"/>
      <c r="G38" s="10"/>
      <c r="I38" s="783"/>
      <c r="K38" s="783"/>
    </row>
    <row r="39" spans="1:13" ht="15.4" customHeight="1" thickTop="1" x14ac:dyDescent="0.25">
      <c r="B39" s="10"/>
      <c r="C39" s="212"/>
      <c r="D39" s="208" t="s">
        <v>101</v>
      </c>
      <c r="E39" s="209">
        <f>+Profit!$K$44-C37+C35</f>
        <v>-30709.167404999993</v>
      </c>
      <c r="F39" s="10"/>
      <c r="G39" s="10"/>
      <c r="I39" s="783"/>
      <c r="K39" s="783"/>
    </row>
    <row r="40" spans="1:13" x14ac:dyDescent="0.25">
      <c r="C40" s="207"/>
      <c r="D40" s="210" t="s">
        <v>102</v>
      </c>
      <c r="E40" s="211">
        <f>+G37/E39</f>
        <v>-5.9065554253586585</v>
      </c>
      <c r="I40" s="783"/>
      <c r="K40" s="783"/>
    </row>
    <row r="41" spans="1:13" ht="15" customHeight="1" thickBot="1" x14ac:dyDescent="0.3">
      <c r="C41" s="207"/>
      <c r="D41" s="210" t="s">
        <v>104</v>
      </c>
      <c r="E41" s="211">
        <f>+G37/(F37+G37)</f>
        <v>0.93562543887556204</v>
      </c>
      <c r="H41">
        <f>IF(H42="X",H32+1,H32)</f>
        <v>2</v>
      </c>
      <c r="K41" s="783"/>
    </row>
    <row r="42" spans="1:13" ht="16.5" thickTop="1" thickBot="1" x14ac:dyDescent="0.3">
      <c r="A42" s="15" t="s">
        <v>126</v>
      </c>
      <c r="B42" s="15" t="s">
        <v>127</v>
      </c>
      <c r="H42" s="237"/>
      <c r="I42" s="783"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$153,842.78   *    Expected 3% appreciation per year
                          Expected Value:                    $163,842.78    ** After 60 months.</v>
      </c>
      <c r="K42" s="783"/>
    </row>
    <row r="43" spans="1:13" ht="15.75" thickTop="1" x14ac:dyDescent="0.25">
      <c r="B43" t="s">
        <v>109</v>
      </c>
      <c r="I43" s="783"/>
      <c r="K43" s="751"/>
      <c r="M43" s="219"/>
    </row>
    <row r="44" spans="1:13" x14ac:dyDescent="0.25">
      <c r="B44" t="s">
        <v>110</v>
      </c>
      <c r="I44" s="783"/>
      <c r="K44" s="751"/>
    </row>
    <row r="45" spans="1:13" ht="15" customHeight="1" x14ac:dyDescent="0.25">
      <c r="B45" t="s">
        <v>128</v>
      </c>
      <c r="I45" s="783"/>
      <c r="K45" s="751"/>
    </row>
    <row r="46" spans="1:13" x14ac:dyDescent="0.25">
      <c r="B46" t="s">
        <v>129</v>
      </c>
      <c r="I46" s="783"/>
      <c r="K46" s="751"/>
    </row>
    <row r="47" spans="1:13" x14ac:dyDescent="0.25">
      <c r="F47" s="3" t="s">
        <v>130</v>
      </c>
      <c r="I47" s="783"/>
      <c r="K47" s="751"/>
    </row>
    <row r="48" spans="1:13" x14ac:dyDescent="0.25">
      <c r="C48" s="784" t="s">
        <v>131</v>
      </c>
      <c r="D48" s="784" t="s">
        <v>132</v>
      </c>
      <c r="E48" s="784" t="s">
        <v>133</v>
      </c>
      <c r="F48" s="784" t="s">
        <v>111</v>
      </c>
      <c r="I48" s="783"/>
      <c r="K48" s="751"/>
    </row>
    <row r="49" spans="1:11" ht="15.75" thickBot="1" x14ac:dyDescent="0.3">
      <c r="B49" s="3" t="s">
        <v>122</v>
      </c>
      <c r="C49" s="734" t="s">
        <v>131</v>
      </c>
      <c r="D49" s="734" t="s">
        <v>132</v>
      </c>
      <c r="E49" s="734" t="s">
        <v>134</v>
      </c>
      <c r="F49" s="734"/>
      <c r="G49" s="31" t="s">
        <v>100</v>
      </c>
      <c r="I49" s="783"/>
      <c r="K49" s="751"/>
    </row>
    <row r="50" spans="1:11" ht="16.5" thickTop="1" thickBot="1" x14ac:dyDescent="0.3">
      <c r="B50" s="215">
        <v>10000</v>
      </c>
      <c r="C50" s="8">
        <f>+Profit!$K$57+Profit!C20-B50+(Profit!K7*Profit!C45/12*Profit!B4)</f>
        <v>219775.39934424998</v>
      </c>
      <c r="D50" s="205">
        <v>0.7</v>
      </c>
      <c r="E50" s="10">
        <f>+D50*C50</f>
        <v>153842.77954097497</v>
      </c>
      <c r="F50" s="10">
        <f>+B50+E50</f>
        <v>163842.77954097497</v>
      </c>
      <c r="G50" s="212">
        <f>(1-D50)*C50</f>
        <v>65932.619803274996</v>
      </c>
      <c r="I50" s="783"/>
      <c r="K50" s="751"/>
    </row>
    <row r="51" spans="1:11" ht="15.75" thickTop="1" x14ac:dyDescent="0.25">
      <c r="D51" s="15" t="s">
        <v>135</v>
      </c>
      <c r="I51" s="235"/>
      <c r="K51" s="751"/>
    </row>
    <row r="52" spans="1:11" x14ac:dyDescent="0.25">
      <c r="C52" s="207"/>
      <c r="D52" s="208" t="s">
        <v>101</v>
      </c>
      <c r="E52" s="209">
        <f>+Profit!$K$44-B24+B50</f>
        <v>-20709.167404999993</v>
      </c>
      <c r="H52" t="s">
        <v>103</v>
      </c>
      <c r="I52" s="78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51"/>
    </row>
    <row r="53" spans="1:11" ht="15" customHeight="1" x14ac:dyDescent="0.25">
      <c r="C53" s="207"/>
      <c r="D53" s="210" t="s">
        <v>102</v>
      </c>
      <c r="E53" s="211">
        <f>+G50/E52</f>
        <v>-3.183740732491076</v>
      </c>
      <c r="I53" s="751"/>
      <c r="K53" s="751"/>
    </row>
    <row r="54" spans="1:11" x14ac:dyDescent="0.25">
      <c r="C54" s="207"/>
      <c r="D54" s="210" t="s">
        <v>104</v>
      </c>
      <c r="E54" s="211">
        <f>+G50/(F50+G50)</f>
        <v>0.28694377201144411</v>
      </c>
      <c r="I54" s="751"/>
      <c r="K54" s="751"/>
    </row>
    <row r="55" spans="1:11" ht="15" customHeight="1" x14ac:dyDescent="0.25">
      <c r="I55" s="751"/>
      <c r="K55" s="751"/>
    </row>
    <row r="56" spans="1:11" ht="15.75" thickBot="1" x14ac:dyDescent="0.3">
      <c r="B56" s="15" t="s">
        <v>136</v>
      </c>
      <c r="D56" t="s">
        <v>137</v>
      </c>
      <c r="I56" s="751"/>
      <c r="K56" s="751"/>
    </row>
    <row r="57" spans="1:11" x14ac:dyDescent="0.25">
      <c r="A57" s="79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95"/>
      <c r="C57" s="795"/>
      <c r="D57" s="795"/>
      <c r="E57" s="795"/>
      <c r="F57" s="795"/>
      <c r="G57" s="796"/>
      <c r="I57" s="751"/>
      <c r="K57" s="751"/>
    </row>
    <row r="58" spans="1:11" x14ac:dyDescent="0.25">
      <c r="A58" s="797"/>
      <c r="B58" s="798"/>
      <c r="C58" s="798"/>
      <c r="D58" s="798"/>
      <c r="E58" s="798"/>
      <c r="F58" s="798"/>
      <c r="G58" s="799"/>
      <c r="I58" s="751"/>
      <c r="K58" s="751"/>
    </row>
    <row r="59" spans="1:11" x14ac:dyDescent="0.25">
      <c r="A59" s="797"/>
      <c r="B59" s="798"/>
      <c r="C59" s="798"/>
      <c r="D59" s="798"/>
      <c r="E59" s="798"/>
      <c r="F59" s="798"/>
      <c r="G59" s="799"/>
      <c r="K59" s="751"/>
    </row>
    <row r="60" spans="1:11" x14ac:dyDescent="0.25">
      <c r="A60" s="797"/>
      <c r="B60" s="798"/>
      <c r="C60" s="798"/>
      <c r="D60" s="798"/>
      <c r="E60" s="798"/>
      <c r="F60" s="798"/>
      <c r="G60" s="799"/>
      <c r="K60" s="751"/>
    </row>
    <row r="61" spans="1:11" x14ac:dyDescent="0.25">
      <c r="A61" s="797"/>
      <c r="B61" s="798"/>
      <c r="C61" s="798"/>
      <c r="D61" s="798"/>
      <c r="E61" s="798"/>
      <c r="F61" s="798"/>
      <c r="G61" s="799"/>
      <c r="H61" t="s">
        <v>103</v>
      </c>
      <c r="I61" s="783" t="str">
        <f>A57</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51"/>
    </row>
    <row r="62" spans="1:11" x14ac:dyDescent="0.25">
      <c r="A62" s="797"/>
      <c r="B62" s="798"/>
      <c r="C62" s="798"/>
      <c r="D62" s="798"/>
      <c r="E62" s="798"/>
      <c r="F62" s="798"/>
      <c r="G62" s="799"/>
      <c r="I62" s="751"/>
      <c r="K62" s="751"/>
    </row>
    <row r="63" spans="1:11" x14ac:dyDescent="0.25">
      <c r="A63" s="797"/>
      <c r="B63" s="798"/>
      <c r="C63" s="798"/>
      <c r="D63" s="798"/>
      <c r="E63" s="798"/>
      <c r="F63" s="798"/>
      <c r="G63" s="799"/>
      <c r="I63" s="751"/>
      <c r="K63" s="751"/>
    </row>
    <row r="64" spans="1:11" x14ac:dyDescent="0.25">
      <c r="A64" s="797"/>
      <c r="B64" s="798"/>
      <c r="C64" s="798"/>
      <c r="D64" s="798"/>
      <c r="E64" s="798"/>
      <c r="F64" s="798"/>
      <c r="G64" s="799"/>
      <c r="I64" s="751"/>
      <c r="K64" s="751"/>
    </row>
    <row r="65" spans="1:11" x14ac:dyDescent="0.25">
      <c r="A65" s="797"/>
      <c r="B65" s="798"/>
      <c r="C65" s="798"/>
      <c r="D65" s="798"/>
      <c r="E65" s="798"/>
      <c r="F65" s="798"/>
      <c r="G65" s="799"/>
      <c r="I65" s="751"/>
      <c r="K65" s="751"/>
    </row>
    <row r="66" spans="1:11" x14ac:dyDescent="0.25">
      <c r="A66" s="797"/>
      <c r="B66" s="798"/>
      <c r="C66" s="798"/>
      <c r="D66" s="798"/>
      <c r="E66" s="798"/>
      <c r="F66" s="798"/>
      <c r="G66" s="799"/>
      <c r="I66" s="751"/>
      <c r="K66" s="751"/>
    </row>
    <row r="67" spans="1:11" x14ac:dyDescent="0.25">
      <c r="A67" s="797"/>
      <c r="B67" s="798"/>
      <c r="C67" s="798"/>
      <c r="D67" s="798"/>
      <c r="E67" s="798"/>
      <c r="F67" s="798"/>
      <c r="G67" s="799"/>
      <c r="I67" s="751"/>
      <c r="K67" s="751"/>
    </row>
    <row r="68" spans="1:11" x14ac:dyDescent="0.25">
      <c r="A68" s="797"/>
      <c r="B68" s="798"/>
      <c r="C68" s="798"/>
      <c r="D68" s="798"/>
      <c r="E68" s="798"/>
      <c r="F68" s="798"/>
      <c r="G68" s="799"/>
      <c r="I68" s="751"/>
    </row>
    <row r="69" spans="1:11" x14ac:dyDescent="0.25">
      <c r="A69" s="797"/>
      <c r="B69" s="798"/>
      <c r="C69" s="798"/>
      <c r="D69" s="798"/>
      <c r="E69" s="798"/>
      <c r="F69" s="798"/>
      <c r="G69" s="799"/>
      <c r="I69" s="751"/>
    </row>
    <row r="70" spans="1:11" x14ac:dyDescent="0.25">
      <c r="A70" s="797"/>
      <c r="B70" s="798"/>
      <c r="C70" s="798"/>
      <c r="D70" s="798"/>
      <c r="E70" s="798"/>
      <c r="F70" s="798"/>
      <c r="G70" s="799"/>
      <c r="I70" s="751"/>
    </row>
    <row r="71" spans="1:11" x14ac:dyDescent="0.25">
      <c r="A71" s="797"/>
      <c r="B71" s="798"/>
      <c r="C71" s="798"/>
      <c r="D71" s="798"/>
      <c r="E71" s="798"/>
      <c r="F71" s="798"/>
      <c r="G71" s="799"/>
      <c r="I71" s="751"/>
    </row>
    <row r="72" spans="1:11" x14ac:dyDescent="0.25">
      <c r="A72" s="797"/>
      <c r="B72" s="798"/>
      <c r="C72" s="798"/>
      <c r="D72" s="798"/>
      <c r="E72" s="798"/>
      <c r="F72" s="798"/>
      <c r="G72" s="799"/>
      <c r="I72" s="751"/>
    </row>
    <row r="73" spans="1:11" x14ac:dyDescent="0.25">
      <c r="A73" s="797"/>
      <c r="B73" s="798"/>
      <c r="C73" s="798"/>
      <c r="D73" s="798"/>
      <c r="E73" s="798"/>
      <c r="F73" s="798"/>
      <c r="G73" s="799"/>
    </row>
    <row r="74" spans="1:11" x14ac:dyDescent="0.25">
      <c r="A74" s="797"/>
      <c r="B74" s="798"/>
      <c r="C74" s="798"/>
      <c r="D74" s="798"/>
      <c r="E74" s="798"/>
      <c r="F74" s="798"/>
      <c r="G74" s="799"/>
      <c r="H74" t="s">
        <v>103</v>
      </c>
      <c r="I74" s="218" t="str">
        <f>"Sincerely,
Wes Browning"</f>
        <v>Sincerely,
Wes Browning</v>
      </c>
    </row>
    <row r="75" spans="1:11" ht="15" customHeight="1" x14ac:dyDescent="0.25">
      <c r="A75" s="797"/>
      <c r="B75" s="798"/>
      <c r="C75" s="798"/>
      <c r="D75" s="798"/>
      <c r="E75" s="798"/>
      <c r="F75" s="798"/>
      <c r="G75" s="799"/>
      <c r="I75" s="218"/>
    </row>
    <row r="76" spans="1:11" x14ac:dyDescent="0.25">
      <c r="A76" s="797"/>
      <c r="B76" s="798"/>
      <c r="C76" s="798"/>
      <c r="D76" s="798"/>
      <c r="E76" s="798"/>
      <c r="F76" s="798"/>
      <c r="G76" s="799"/>
      <c r="I76" s="218"/>
    </row>
    <row r="77" spans="1:11" x14ac:dyDescent="0.25">
      <c r="A77" s="797"/>
      <c r="B77" s="798"/>
      <c r="C77" s="798"/>
      <c r="D77" s="798"/>
      <c r="E77" s="798"/>
      <c r="F77" s="798"/>
      <c r="G77" s="799"/>
    </row>
    <row r="78" spans="1:11" x14ac:dyDescent="0.25">
      <c r="A78" s="797"/>
      <c r="B78" s="798"/>
      <c r="C78" s="798"/>
      <c r="D78" s="798"/>
      <c r="E78" s="798"/>
      <c r="F78" s="798"/>
      <c r="G78" s="799"/>
    </row>
    <row r="79" spans="1:11" ht="15.75" thickBot="1" x14ac:dyDescent="0.3">
      <c r="A79" s="800"/>
      <c r="B79" s="801"/>
      <c r="C79" s="801"/>
      <c r="D79" s="801"/>
      <c r="E79" s="801"/>
      <c r="F79" s="801"/>
      <c r="G79" s="802"/>
    </row>
    <row r="80" spans="1:11" x14ac:dyDescent="0.25">
      <c r="A80" s="218"/>
      <c r="B80" s="218"/>
      <c r="C80" s="218"/>
      <c r="D80" s="218"/>
      <c r="E80" s="218"/>
      <c r="F80" s="218"/>
      <c r="G80" s="218"/>
    </row>
    <row r="81" spans="1:9" x14ac:dyDescent="0.25">
      <c r="A81" s="218"/>
      <c r="B81" s="218"/>
      <c r="C81" s="218"/>
      <c r="D81" s="218"/>
      <c r="E81" s="218"/>
      <c r="F81" s="218"/>
      <c r="G81" s="2" t="s">
        <v>138</v>
      </c>
      <c r="I81" s="218" t="s">
        <v>139</v>
      </c>
    </row>
    <row r="82" spans="1:9" x14ac:dyDescent="0.25">
      <c r="G82" s="2" t="s">
        <v>140</v>
      </c>
      <c r="H82" t="s">
        <v>103</v>
      </c>
      <c r="I82" s="218" t="s">
        <v>141</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131FC-90AC-443C-A73E-F7CE9DF8AC63}">
  <sheetPr codeName="Sheet3">
    <tabColor theme="9"/>
  </sheetPr>
  <dimension ref="A1:Y73"/>
  <sheetViews>
    <sheetView zoomScaleNormal="100" workbookViewId="0">
      <pane xSplit="5" ySplit="1" topLeftCell="F40" activePane="bottomRight" state="frozen"/>
      <selection pane="topRight" activeCell="C1" sqref="C1:E1"/>
      <selection pane="bottomLeft" activeCell="C1" sqref="C1:E1"/>
      <selection pane="bottomRight" activeCell="F57" sqref="F57"/>
    </sheetView>
  </sheetViews>
  <sheetFormatPr defaultRowHeight="15" x14ac:dyDescent="0.25"/>
  <cols>
    <col min="1" max="1" width="11" customWidth="1"/>
    <col min="2" max="2" width="38.140625" bestFit="1" customWidth="1"/>
    <col min="3" max="3" width="10.5703125" customWidth="1"/>
    <col min="4" max="4" width="9.28515625" customWidth="1"/>
    <col min="5" max="5" width="24" style="25" customWidth="1"/>
    <col min="6" max="10" width="9.5703125" style="133" customWidth="1"/>
    <col min="11" max="11" width="11.42578125" style="133" customWidth="1"/>
    <col min="12" max="12" width="8.5703125" style="133" customWidth="1"/>
    <col min="13" max="13" width="8.7109375" customWidth="1"/>
    <col min="14" max="14" width="10.42578125" customWidth="1"/>
    <col min="15" max="15" width="7.28515625" customWidth="1"/>
    <col min="16" max="16" width="3.140625" customWidth="1"/>
    <col min="17" max="18" width="7.7109375" customWidth="1"/>
    <col min="19" max="19" width="8.85546875" customWidth="1"/>
    <col min="20" max="21" width="7.7109375" customWidth="1"/>
    <col min="22" max="22" width="3.140625" customWidth="1"/>
    <col min="26" max="26" width="9.140625" customWidth="1"/>
  </cols>
  <sheetData>
    <row r="1" spans="1:23" s="57" customFormat="1" ht="45.75" thickBot="1" x14ac:dyDescent="0.3">
      <c r="A1" s="162"/>
      <c r="B1" s="819" t="str">
        <f>+Profit!B2</f>
        <v>612 Britton Ct</v>
      </c>
      <c r="C1" s="732"/>
      <c r="D1" s="824" t="s">
        <v>142</v>
      </c>
      <c r="E1" s="825"/>
      <c r="F1" s="188" t="s">
        <v>939</v>
      </c>
      <c r="G1" s="318" t="s">
        <v>940</v>
      </c>
      <c r="H1" s="188" t="s">
        <v>790</v>
      </c>
      <c r="I1" s="318" t="s">
        <v>711</v>
      </c>
      <c r="J1" s="188" t="s">
        <v>688</v>
      </c>
      <c r="K1" s="188" t="s">
        <v>549</v>
      </c>
      <c r="L1" s="188" t="s">
        <v>548</v>
      </c>
      <c r="M1" s="318" t="s">
        <v>143</v>
      </c>
      <c r="N1" s="318" t="s">
        <v>550</v>
      </c>
      <c r="O1" s="188" t="s">
        <v>146</v>
      </c>
      <c r="P1" s="159"/>
      <c r="Q1" s="313" t="s">
        <v>717</v>
      </c>
      <c r="R1" s="313" t="s">
        <v>559</v>
      </c>
      <c r="S1" s="313" t="s">
        <v>558</v>
      </c>
      <c r="T1" s="313" t="s">
        <v>557</v>
      </c>
      <c r="U1" s="313" t="s">
        <v>554</v>
      </c>
      <c r="V1" s="159"/>
      <c r="W1" s="153"/>
    </row>
    <row r="2" spans="1:23" x14ac:dyDescent="0.25">
      <c r="A2" s="163" t="s">
        <v>158</v>
      </c>
      <c r="B2" s="160"/>
      <c r="D2" s="565"/>
      <c r="E2" s="566"/>
      <c r="F2" s="157"/>
      <c r="G2" s="157"/>
      <c r="H2" s="157"/>
      <c r="I2" s="157"/>
      <c r="J2" s="157"/>
      <c r="K2" s="157"/>
      <c r="L2" s="157"/>
      <c r="M2" s="157"/>
      <c r="N2" s="157"/>
      <c r="O2" s="157"/>
      <c r="P2" s="184"/>
      <c r="V2" s="184"/>
    </row>
    <row r="3" spans="1:23" ht="13.15" customHeight="1" x14ac:dyDescent="0.25">
      <c r="A3" s="164"/>
      <c r="B3" s="161" t="s">
        <v>159</v>
      </c>
      <c r="C3" s="134" t="s">
        <v>3</v>
      </c>
      <c r="D3" s="820" t="s">
        <v>160</v>
      </c>
      <c r="E3" s="821"/>
      <c r="F3" s="158"/>
      <c r="G3" s="158"/>
      <c r="H3" s="158" t="str">
        <f>+[2]Todo!$C3</f>
        <v>Yes</v>
      </c>
      <c r="I3" s="158" t="str">
        <f>+[3]Todo!$C3</f>
        <v>Yes</v>
      </c>
      <c r="J3" s="158" t="str">
        <f>+[4]Todo!$C3</f>
        <v>Yes</v>
      </c>
      <c r="K3" s="158" t="str">
        <f>+[5]Todo!$C3</f>
        <v>Yes</v>
      </c>
      <c r="L3" s="158" t="str">
        <f>+[6]Todo!$C3</f>
        <v>Yes</v>
      </c>
      <c r="M3" s="158" t="str">
        <f>+[7]Todo!$C3</f>
        <v>Yes</v>
      </c>
      <c r="N3" s="158" t="str">
        <f>+[8]Todo!C3</f>
        <v>Yes</v>
      </c>
      <c r="O3" s="158" t="str">
        <f>+[9]Todo!$C3</f>
        <v>Yes</v>
      </c>
      <c r="P3" s="184"/>
      <c r="V3" s="184"/>
    </row>
    <row r="4" spans="1:23" ht="13.15" customHeight="1" x14ac:dyDescent="0.25">
      <c r="A4" s="164"/>
      <c r="B4" s="161" t="s">
        <v>161</v>
      </c>
      <c r="C4" s="135" t="s">
        <v>3</v>
      </c>
      <c r="D4" s="820" t="s">
        <v>160</v>
      </c>
      <c r="E4" s="821"/>
      <c r="F4" s="158"/>
      <c r="G4" s="158"/>
      <c r="H4" s="158" t="str">
        <f>+[2]Todo!$C4</f>
        <v>Yes</v>
      </c>
      <c r="I4" s="158" t="str">
        <f>+[3]Todo!$C4</f>
        <v>Yes</v>
      </c>
      <c r="J4" s="158" t="str">
        <f>+[4]Todo!$C4</f>
        <v>Yes</v>
      </c>
      <c r="K4" s="158" t="str">
        <f>+[5]Todo!$C4</f>
        <v>Yes</v>
      </c>
      <c r="L4" s="158" t="str">
        <f>+[6]Todo!$C4</f>
        <v>Yes</v>
      </c>
      <c r="M4" s="158" t="str">
        <f>+[7]Todo!$C4</f>
        <v>Yes</v>
      </c>
      <c r="N4" s="158" t="str">
        <f>+[8]Todo!C4</f>
        <v>Yes (2)</v>
      </c>
      <c r="O4" s="158" t="str">
        <f>+[9]Todo!$C4</f>
        <v>Yes</v>
      </c>
      <c r="P4" s="184"/>
      <c r="V4" s="184"/>
    </row>
    <row r="5" spans="1:23" ht="13.15" customHeight="1" x14ac:dyDescent="0.25">
      <c r="A5" s="164"/>
      <c r="B5" s="161" t="s">
        <v>162</v>
      </c>
      <c r="C5" s="135" t="s">
        <v>3</v>
      </c>
      <c r="D5" s="820" t="s">
        <v>160</v>
      </c>
      <c r="E5" s="821"/>
      <c r="F5" s="158"/>
      <c r="G5" s="158"/>
      <c r="H5" s="158" t="str">
        <f>+[2]Todo!$C5</f>
        <v>Yes</v>
      </c>
      <c r="I5" s="158" t="str">
        <f>+[3]Todo!$C5</f>
        <v>Yes</v>
      </c>
      <c r="J5" s="158" t="str">
        <f>+[4]Todo!$C5</f>
        <v>Yes</v>
      </c>
      <c r="K5" s="158" t="str">
        <f>+[5]Todo!$C5</f>
        <v>Yes</v>
      </c>
      <c r="L5" s="158" t="str">
        <f>+[6]Todo!$C5</f>
        <v>Yes</v>
      </c>
      <c r="M5" s="158" t="str">
        <f>+[7]Todo!$C5</f>
        <v>Yes</v>
      </c>
      <c r="N5" s="158" t="str">
        <f>+[8]Todo!C5</f>
        <v>Yes (2)</v>
      </c>
      <c r="O5" s="158" t="str">
        <f>+[9]Todo!$C5</f>
        <v>Yes</v>
      </c>
      <c r="P5" s="184"/>
      <c r="V5" s="184"/>
    </row>
    <row r="6" spans="1:23" ht="13.15" customHeight="1" x14ac:dyDescent="0.25">
      <c r="A6" s="164"/>
      <c r="B6" s="161" t="s">
        <v>163</v>
      </c>
      <c r="C6" s="135" t="s">
        <v>36</v>
      </c>
      <c r="D6" s="820" t="s">
        <v>689</v>
      </c>
      <c r="E6" s="821"/>
      <c r="F6" s="158"/>
      <c r="G6" s="158"/>
      <c r="H6" s="158" t="str">
        <f>+[2]Todo!$C6</f>
        <v>yes</v>
      </c>
      <c r="I6" s="158" t="str">
        <f>+[3]Todo!$C6</f>
        <v>yes</v>
      </c>
      <c r="J6" s="158" t="str">
        <f>+[4]Todo!$C6</f>
        <v>Yes</v>
      </c>
      <c r="K6" s="158" t="str">
        <f>+[5]Todo!$C6</f>
        <v>yes</v>
      </c>
      <c r="L6" s="158" t="str">
        <f>+[6]Todo!$C6</f>
        <v>yes</v>
      </c>
      <c r="M6" s="158" t="str">
        <f>+[7]Todo!$C6</f>
        <v>Yes</v>
      </c>
      <c r="N6" s="158" t="str">
        <f>+[8]Todo!C6</f>
        <v>yes</v>
      </c>
      <c r="O6" s="158" t="str">
        <f>+[9]Todo!$C6</f>
        <v>Yes</v>
      </c>
      <c r="P6" s="184"/>
      <c r="V6" s="184"/>
    </row>
    <row r="7" spans="1:23" ht="13.15" customHeight="1" x14ac:dyDescent="0.25">
      <c r="A7" s="164"/>
      <c r="B7" s="161" t="s">
        <v>164</v>
      </c>
      <c r="C7" s="135"/>
      <c r="D7" s="820" t="s">
        <v>165</v>
      </c>
      <c r="E7" s="821"/>
      <c r="F7" s="158"/>
      <c r="G7" s="158"/>
      <c r="H7" s="158">
        <f>+[2]Todo!$C7</f>
        <v>0</v>
      </c>
      <c r="I7" s="158">
        <f>+[3]Todo!$C7</f>
        <v>0</v>
      </c>
      <c r="J7" s="158" t="str">
        <f>+[4]Todo!$C7</f>
        <v>Yes</v>
      </c>
      <c r="K7" s="158">
        <f>+[5]Todo!$C7</f>
        <v>0</v>
      </c>
      <c r="L7" s="158">
        <f>+[6]Todo!$C7</f>
        <v>0</v>
      </c>
      <c r="M7" s="158" t="str">
        <f>+[7]Todo!$C7</f>
        <v>yes</v>
      </c>
      <c r="N7" s="158" t="str">
        <f>+[8]Todo!C7</f>
        <v>yes</v>
      </c>
      <c r="O7" s="158" t="str">
        <f>+[9]Todo!$C7</f>
        <v>yes</v>
      </c>
      <c r="P7" s="184"/>
      <c r="V7" s="184"/>
    </row>
    <row r="8" spans="1:23" ht="13.15" customHeight="1" x14ac:dyDescent="0.25">
      <c r="A8" s="164"/>
      <c r="B8" s="161" t="s">
        <v>166</v>
      </c>
      <c r="C8" s="135"/>
      <c r="D8" s="820"/>
      <c r="E8" s="821"/>
      <c r="F8" s="158"/>
      <c r="G8" s="158"/>
      <c r="H8" s="158">
        <f>+[2]Todo!$C8</f>
        <v>0</v>
      </c>
      <c r="I8" s="158">
        <f>+[3]Todo!$C8</f>
        <v>0</v>
      </c>
      <c r="J8" s="158" t="str">
        <f>+[4]Todo!$C8</f>
        <v>n/a</v>
      </c>
      <c r="K8" s="158">
        <f>+[5]Todo!$C8</f>
        <v>0</v>
      </c>
      <c r="L8" s="158">
        <f>+[6]Todo!$C8</f>
        <v>0</v>
      </c>
      <c r="M8" s="158" t="str">
        <f>+[7]Todo!$C8</f>
        <v>yes</v>
      </c>
      <c r="N8" s="158" t="str">
        <f>+[8]Todo!C8</f>
        <v>yes</v>
      </c>
      <c r="O8" s="158" t="str">
        <f>+[9]Todo!$C8</f>
        <v>yes</v>
      </c>
      <c r="P8" s="184"/>
      <c r="V8" s="184"/>
    </row>
    <row r="9" spans="1:23" ht="13.15" customHeight="1" x14ac:dyDescent="0.25">
      <c r="A9" s="164"/>
      <c r="B9" s="161" t="s">
        <v>167</v>
      </c>
      <c r="C9" s="135" t="s">
        <v>3</v>
      </c>
      <c r="D9" s="820"/>
      <c r="E9" s="821"/>
      <c r="F9" s="158"/>
      <c r="G9" s="158"/>
      <c r="H9" s="158" t="str">
        <f>+[2]Todo!$C9</f>
        <v>Yes</v>
      </c>
      <c r="I9" s="158" t="str">
        <f>+[3]Todo!$C9</f>
        <v>Yes</v>
      </c>
      <c r="J9" s="158" t="str">
        <f>+[4]Todo!$C9</f>
        <v>Yes</v>
      </c>
      <c r="K9" s="158">
        <f>+[5]Todo!$C9</f>
        <v>0</v>
      </c>
      <c r="L9" s="158">
        <f>+[6]Todo!$C9</f>
        <v>0</v>
      </c>
      <c r="M9" s="158" t="str">
        <f>+[7]Todo!$C9</f>
        <v>na</v>
      </c>
      <c r="N9" s="158" t="str">
        <f>+[8]Todo!C9</f>
        <v>yes</v>
      </c>
      <c r="O9" s="158" t="str">
        <f>+[9]Todo!$C9</f>
        <v>na</v>
      </c>
      <c r="P9" s="185"/>
      <c r="V9" s="185"/>
    </row>
    <row r="10" spans="1:23" ht="13.15" customHeight="1" x14ac:dyDescent="0.25">
      <c r="A10" s="164"/>
      <c r="B10" s="161" t="s">
        <v>168</v>
      </c>
      <c r="C10" s="135" t="s">
        <v>551</v>
      </c>
      <c r="D10" s="820"/>
      <c r="E10" s="821"/>
      <c r="F10" s="158"/>
      <c r="G10" s="158"/>
      <c r="H10" s="158" t="str">
        <f>+[2]Todo!$C10</f>
        <v>n/a</v>
      </c>
      <c r="I10" s="158" t="str">
        <f>+[3]Todo!$C10</f>
        <v>n/a</v>
      </c>
      <c r="J10" s="158" t="str">
        <f>+[4]Todo!$C10</f>
        <v>n/a</v>
      </c>
      <c r="K10" s="158" t="str">
        <f>+[5]Todo!$C10</f>
        <v>yes</v>
      </c>
      <c r="L10" s="158" t="str">
        <f>+[6]Todo!$C10</f>
        <v>yes</v>
      </c>
      <c r="M10" s="158" t="str">
        <f>+[7]Todo!$C10</f>
        <v>na</v>
      </c>
      <c r="N10" s="158" t="str">
        <f>+[8]Todo!C10</f>
        <v>yes</v>
      </c>
      <c r="O10" s="158" t="str">
        <f>+[9]Todo!$C10</f>
        <v>na</v>
      </c>
      <c r="P10" s="185"/>
      <c r="V10" s="185"/>
    </row>
    <row r="11" spans="1:23" ht="13.15" customHeight="1" x14ac:dyDescent="0.25">
      <c r="A11" s="164"/>
      <c r="B11" s="161"/>
      <c r="C11" s="135"/>
      <c r="D11" s="820"/>
      <c r="E11" s="821"/>
      <c r="F11" s="158"/>
      <c r="G11" s="158"/>
      <c r="H11" s="158">
        <f>+[2]Todo!$C11</f>
        <v>0</v>
      </c>
      <c r="I11" s="158">
        <f>+[3]Todo!$C11</f>
        <v>0</v>
      </c>
      <c r="J11" s="158">
        <f>+[4]Todo!$C11</f>
        <v>0</v>
      </c>
      <c r="K11" s="158">
        <f>+[5]Todo!$C11</f>
        <v>0</v>
      </c>
      <c r="L11" s="158">
        <f>+[6]Todo!$C11</f>
        <v>0</v>
      </c>
      <c r="M11" s="158">
        <f>+[7]Todo!$C11</f>
        <v>0</v>
      </c>
      <c r="N11" s="158">
        <f>+[8]Todo!C11</f>
        <v>0</v>
      </c>
      <c r="O11" s="158">
        <f>+[9]Todo!$C11</f>
        <v>0</v>
      </c>
      <c r="P11" s="185"/>
      <c r="V11" s="185"/>
    </row>
    <row r="12" spans="1:23" ht="13.15" customHeight="1" x14ac:dyDescent="0.25">
      <c r="A12" s="826" t="s">
        <v>169</v>
      </c>
      <c r="B12" s="161"/>
      <c r="C12" s="135"/>
      <c r="D12" s="820"/>
      <c r="E12" s="821"/>
      <c r="F12" s="158"/>
      <c r="G12" s="158"/>
      <c r="H12" s="158">
        <f>+[2]Todo!$C12</f>
        <v>0</v>
      </c>
      <c r="I12" s="158">
        <f>+[3]Todo!$C12</f>
        <v>0</v>
      </c>
      <c r="J12" s="158">
        <f>+[4]Todo!$C12</f>
        <v>0</v>
      </c>
      <c r="K12" s="158">
        <f>+[5]Todo!$C12</f>
        <v>0</v>
      </c>
      <c r="L12" s="158">
        <f>+[6]Todo!$C12</f>
        <v>0</v>
      </c>
      <c r="M12" s="158">
        <f>+[7]Todo!$C12</f>
        <v>0</v>
      </c>
      <c r="N12" s="158">
        <f>+[8]Todo!C12</f>
        <v>0</v>
      </c>
      <c r="O12" s="158">
        <f>+[9]Todo!$C12</f>
        <v>0</v>
      </c>
      <c r="P12" s="185"/>
      <c r="V12" s="185"/>
    </row>
    <row r="13" spans="1:23" ht="13.15" customHeight="1" x14ac:dyDescent="0.25">
      <c r="A13" s="827"/>
      <c r="B13" s="161" t="s">
        <v>170</v>
      </c>
      <c r="C13" s="135"/>
      <c r="D13" s="820"/>
      <c r="E13" s="821"/>
      <c r="F13" s="158"/>
      <c r="G13" s="158"/>
      <c r="H13" s="158">
        <f>+[2]Todo!$C13</f>
        <v>0</v>
      </c>
      <c r="I13" s="158">
        <f>+[3]Todo!$C13</f>
        <v>0</v>
      </c>
      <c r="J13" s="158" t="str">
        <f>+[4]Todo!$C13</f>
        <v>n/a</v>
      </c>
      <c r="K13" s="158">
        <f>+[5]Todo!$C13</f>
        <v>0</v>
      </c>
      <c r="L13" s="158">
        <f>+[6]Todo!$C13</f>
        <v>0</v>
      </c>
      <c r="M13" s="158">
        <f>+[7]Todo!$C13</f>
        <v>0</v>
      </c>
      <c r="N13" s="158" t="str">
        <f>+[8]Todo!C13</f>
        <v>yes</v>
      </c>
      <c r="O13" s="158" t="str">
        <f>+[9]Todo!$C13</f>
        <v>na</v>
      </c>
      <c r="P13" s="185"/>
      <c r="V13" s="185"/>
    </row>
    <row r="14" spans="1:23" ht="13.15" customHeight="1" x14ac:dyDescent="0.25">
      <c r="A14" s="164"/>
      <c r="B14" s="161" t="s">
        <v>171</v>
      </c>
      <c r="C14" s="135"/>
      <c r="D14" s="820"/>
      <c r="E14" s="821"/>
      <c r="F14" s="158"/>
      <c r="G14" s="158"/>
      <c r="H14" s="158">
        <f>+[2]Todo!$C14</f>
        <v>0</v>
      </c>
      <c r="I14" s="158">
        <f>+[3]Todo!$C14</f>
        <v>0</v>
      </c>
      <c r="J14" s="158">
        <f>+[4]Todo!$C14</f>
        <v>0</v>
      </c>
      <c r="K14" s="158" t="str">
        <f>+[5]Todo!$C14</f>
        <v xml:space="preserve"> </v>
      </c>
      <c r="L14" s="158" t="str">
        <f>+[6]Todo!$C14</f>
        <v>yes</v>
      </c>
      <c r="M14" s="158">
        <f>+[7]Todo!$C14</f>
        <v>0</v>
      </c>
      <c r="N14" s="158" t="str">
        <f>+[8]Todo!C14</f>
        <v>yes</v>
      </c>
      <c r="O14" s="158" t="str">
        <f>+[9]Todo!$C14</f>
        <v>na</v>
      </c>
      <c r="P14" s="185"/>
      <c r="V14" s="185"/>
    </row>
    <row r="15" spans="1:23" ht="13.15" customHeight="1" x14ac:dyDescent="0.25">
      <c r="A15" s="164"/>
      <c r="B15" s="161" t="s">
        <v>172</v>
      </c>
      <c r="C15" s="135"/>
      <c r="D15" s="820" t="s">
        <v>160</v>
      </c>
      <c r="E15" s="821"/>
      <c r="F15" s="158"/>
      <c r="G15" s="158"/>
      <c r="H15" s="158">
        <f>+[2]Todo!$C15</f>
        <v>0</v>
      </c>
      <c r="I15" s="158">
        <f>+[3]Todo!$C15</f>
        <v>0</v>
      </c>
      <c r="J15" s="158" t="str">
        <f>+[4]Todo!$C15</f>
        <v>N/a</v>
      </c>
      <c r="K15" s="158" t="str">
        <f>+[5]Todo!$C15</f>
        <v>n/a</v>
      </c>
      <c r="L15" s="158" t="str">
        <f>+[6]Todo!$C15</f>
        <v>yes</v>
      </c>
      <c r="M15" s="158">
        <f>+[7]Todo!$C15</f>
        <v>0</v>
      </c>
      <c r="N15" s="158" t="str">
        <f>+[8]Todo!C15</f>
        <v>yes</v>
      </c>
      <c r="O15" s="158" t="str">
        <f>+[9]Todo!$C15</f>
        <v>na</v>
      </c>
      <c r="P15" s="185"/>
      <c r="V15" s="185"/>
    </row>
    <row r="16" spans="1:23" ht="13.15" customHeight="1" x14ac:dyDescent="0.25">
      <c r="A16" s="164"/>
      <c r="B16" s="161" t="s">
        <v>173</v>
      </c>
      <c r="C16" s="135"/>
      <c r="D16" s="820"/>
      <c r="E16" s="821"/>
      <c r="F16" s="158"/>
      <c r="G16" s="158"/>
      <c r="H16" s="158">
        <f>+[2]Todo!$C16</f>
        <v>0</v>
      </c>
      <c r="I16" s="158">
        <f>+[3]Todo!$C16</f>
        <v>0</v>
      </c>
      <c r="J16" s="158" t="str">
        <f>+[4]Todo!$C16</f>
        <v>Yes</v>
      </c>
      <c r="K16" s="158" t="str">
        <f>+[5]Todo!$C16</f>
        <v xml:space="preserve"> n/a</v>
      </c>
      <c r="L16" s="158" t="str">
        <f>+[6]Todo!$C16</f>
        <v>yes</v>
      </c>
      <c r="M16" s="158">
        <f>+[7]Todo!$C16</f>
        <v>0</v>
      </c>
      <c r="N16" s="158" t="str">
        <f>+[8]Todo!C16</f>
        <v>yes</v>
      </c>
      <c r="O16" s="158" t="str">
        <f>+[9]Todo!$C16</f>
        <v>yes</v>
      </c>
      <c r="P16" s="185"/>
      <c r="V16" s="185"/>
    </row>
    <row r="17" spans="1:22" ht="13.15" customHeight="1" x14ac:dyDescent="0.25">
      <c r="A17" s="164"/>
      <c r="B17" s="161" t="s">
        <v>174</v>
      </c>
      <c r="C17" s="135"/>
      <c r="D17" s="820"/>
      <c r="E17" s="821"/>
      <c r="F17" s="158"/>
      <c r="G17" s="158"/>
      <c r="H17" s="158">
        <f>+[2]Todo!$C17</f>
        <v>0</v>
      </c>
      <c r="I17" s="158">
        <f>+[3]Todo!$C17</f>
        <v>0</v>
      </c>
      <c r="J17" s="158">
        <f>+[4]Todo!$C17</f>
        <v>0</v>
      </c>
      <c r="K17" s="158" t="str">
        <f>+[5]Todo!$C17</f>
        <v xml:space="preserve"> </v>
      </c>
      <c r="L17" s="158" t="str">
        <f>+[6]Todo!$C17</f>
        <v>yes</v>
      </c>
      <c r="M17" s="158">
        <f>+[7]Todo!$C17</f>
        <v>0</v>
      </c>
      <c r="N17" s="158" t="str">
        <f>+[8]Todo!C17</f>
        <v>yes</v>
      </c>
      <c r="O17" s="158">
        <f>+[9]Todo!$C17</f>
        <v>0</v>
      </c>
      <c r="P17" s="185"/>
      <c r="V17" s="185"/>
    </row>
    <row r="18" spans="1:22" ht="13.15" customHeight="1" x14ac:dyDescent="0.25">
      <c r="A18" s="164"/>
      <c r="B18" s="161" t="s">
        <v>175</v>
      </c>
      <c r="C18" s="135"/>
      <c r="D18" s="820"/>
      <c r="E18" s="821"/>
      <c r="F18" s="158"/>
      <c r="G18" s="158"/>
      <c r="H18" s="158">
        <f>+[2]Todo!$C18</f>
        <v>0</v>
      </c>
      <c r="I18" s="158">
        <f>+[3]Todo!$C18</f>
        <v>0</v>
      </c>
      <c r="J18" s="158">
        <f>+[4]Todo!$C18</f>
        <v>0</v>
      </c>
      <c r="K18" s="158" t="str">
        <f>+[5]Todo!$C18</f>
        <v xml:space="preserve"> </v>
      </c>
      <c r="L18" s="158" t="str">
        <f>+[6]Todo!$C18</f>
        <v>yes</v>
      </c>
      <c r="M18" s="158">
        <f>+[7]Todo!$C18</f>
        <v>0</v>
      </c>
      <c r="N18" s="158" t="str">
        <f>+[8]Todo!C18</f>
        <v>n/a</v>
      </c>
      <c r="O18" s="158" t="str">
        <f>+[9]Todo!$C18</f>
        <v>yes</v>
      </c>
      <c r="P18" s="185"/>
      <c r="V18" s="185"/>
    </row>
    <row r="19" spans="1:22" ht="13.15" customHeight="1" x14ac:dyDescent="0.25">
      <c r="A19" s="164"/>
      <c r="B19" s="161" t="s">
        <v>176</v>
      </c>
      <c r="C19" s="135"/>
      <c r="D19" s="820"/>
      <c r="E19" s="821"/>
      <c r="F19" s="158"/>
      <c r="G19" s="158"/>
      <c r="H19" s="158">
        <f>+[2]Todo!$C19</f>
        <v>0</v>
      </c>
      <c r="I19" s="158">
        <f>+[3]Todo!$C19</f>
        <v>0</v>
      </c>
      <c r="J19" s="158">
        <f>+[4]Todo!$C19</f>
        <v>0</v>
      </c>
      <c r="K19" s="158" t="str">
        <f>+[5]Todo!$C19</f>
        <v xml:space="preserve"> </v>
      </c>
      <c r="L19" s="158" t="str">
        <f>+[6]Todo!$C19</f>
        <v xml:space="preserve"> na</v>
      </c>
      <c r="M19" s="158" t="str">
        <f>+[7]Todo!$C19</f>
        <v xml:space="preserve"> </v>
      </c>
      <c r="N19" s="158" t="str">
        <f>+[8]Todo!C19</f>
        <v>yes</v>
      </c>
      <c r="O19" s="158" t="str">
        <f>+[9]Todo!$C19</f>
        <v>na</v>
      </c>
      <c r="P19" s="185"/>
      <c r="V19" s="185"/>
    </row>
    <row r="20" spans="1:22" ht="13.15" customHeight="1" x14ac:dyDescent="0.25">
      <c r="A20" s="164"/>
      <c r="B20" s="161" t="s">
        <v>177</v>
      </c>
      <c r="C20" s="135"/>
      <c r="D20" s="820" t="s">
        <v>160</v>
      </c>
      <c r="E20" s="821"/>
      <c r="F20" s="158"/>
      <c r="G20" s="158"/>
      <c r="H20" s="158">
        <f>+[2]Todo!$C20</f>
        <v>0</v>
      </c>
      <c r="I20" s="158">
        <f>+[3]Todo!$C20</f>
        <v>0</v>
      </c>
      <c r="J20" s="158" t="str">
        <f>+[4]Todo!$C20</f>
        <v>Yes</v>
      </c>
      <c r="K20" s="158" t="str">
        <f>+[5]Todo!$C20</f>
        <v>yes</v>
      </c>
      <c r="L20" s="158" t="str">
        <f>+[6]Todo!$C20</f>
        <v>yes</v>
      </c>
      <c r="M20" s="158" t="str">
        <f>+[7]Todo!$C20</f>
        <v>yes</v>
      </c>
      <c r="N20" s="158" t="str">
        <f>+[8]Todo!C20</f>
        <v>yes</v>
      </c>
      <c r="O20" s="158" t="str">
        <f>+[9]Todo!$C20</f>
        <v>yes</v>
      </c>
      <c r="P20" s="185"/>
      <c r="V20" s="185"/>
    </row>
    <row r="21" spans="1:22" ht="13.15" customHeight="1" x14ac:dyDescent="0.25">
      <c r="A21" s="164"/>
      <c r="B21" s="161" t="s">
        <v>580</v>
      </c>
      <c r="C21" s="135"/>
      <c r="D21" s="820"/>
      <c r="E21" s="821"/>
      <c r="F21" s="158"/>
      <c r="G21" s="158"/>
      <c r="H21" s="158">
        <f>+[2]Todo!$C21</f>
        <v>0</v>
      </c>
      <c r="I21" s="158">
        <f>+[3]Todo!$C21</f>
        <v>0</v>
      </c>
      <c r="J21" s="158">
        <f>+[4]Todo!$C21</f>
        <v>0</v>
      </c>
      <c r="K21" s="158" t="str">
        <f>+[5]Todo!$C21</f>
        <v xml:space="preserve"> </v>
      </c>
      <c r="L21" s="158" t="str">
        <f>+[6]Todo!$C21</f>
        <v>na</v>
      </c>
      <c r="M21" s="158">
        <f>+[7]Todo!$C21</f>
        <v>0</v>
      </c>
      <c r="N21" s="158" t="str">
        <f>+[8]Todo!C21</f>
        <v>yes</v>
      </c>
      <c r="O21" s="158" t="str">
        <f>+[9]Todo!$C21</f>
        <v>na</v>
      </c>
      <c r="P21" s="185"/>
      <c r="V21" s="185"/>
    </row>
    <row r="22" spans="1:22" ht="13.15" customHeight="1" x14ac:dyDescent="0.25">
      <c r="A22" s="164"/>
      <c r="B22" s="161" t="s">
        <v>178</v>
      </c>
      <c r="C22" s="135"/>
      <c r="D22" s="820"/>
      <c r="E22" s="821"/>
      <c r="F22" s="158"/>
      <c r="G22" s="158"/>
      <c r="H22" s="158">
        <f>+[2]Todo!$C22</f>
        <v>0</v>
      </c>
      <c r="I22" s="158">
        <f>+[3]Todo!$C22</f>
        <v>0</v>
      </c>
      <c r="J22" s="158">
        <f>+[4]Todo!$C22</f>
        <v>0</v>
      </c>
      <c r="K22" s="158" t="str">
        <f>+[5]Todo!$C22</f>
        <v xml:space="preserve"> </v>
      </c>
      <c r="L22" s="158" t="str">
        <f>+[6]Todo!$C22</f>
        <v>yes</v>
      </c>
      <c r="M22" s="158">
        <f>+[7]Todo!$C22</f>
        <v>0</v>
      </c>
      <c r="N22" s="158" t="str">
        <f>+[8]Todo!C22</f>
        <v xml:space="preserve">yes  </v>
      </c>
      <c r="O22" s="158" t="str">
        <f>+[9]Todo!$C22</f>
        <v>yes</v>
      </c>
      <c r="P22" s="185"/>
      <c r="V22" s="185"/>
    </row>
    <row r="23" spans="1:22" ht="13.15" customHeight="1" x14ac:dyDescent="0.25">
      <c r="A23" s="164"/>
      <c r="B23" s="161" t="s">
        <v>179</v>
      </c>
      <c r="C23" s="135"/>
      <c r="D23" s="820"/>
      <c r="E23" s="821"/>
      <c r="F23" s="158"/>
      <c r="G23" s="158"/>
      <c r="H23" s="158">
        <f>+[2]Todo!$C23</f>
        <v>0</v>
      </c>
      <c r="I23" s="158">
        <f>+[3]Todo!$C23</f>
        <v>0</v>
      </c>
      <c r="J23" s="158">
        <f>+[4]Todo!$C23</f>
        <v>0</v>
      </c>
      <c r="K23" s="158" t="str">
        <f>+[5]Todo!$C23</f>
        <v xml:space="preserve"> </v>
      </c>
      <c r="L23" s="158" t="str">
        <f>+[6]Todo!$C23</f>
        <v>yes</v>
      </c>
      <c r="M23" s="158">
        <f>+[7]Todo!$C23</f>
        <v>0</v>
      </c>
      <c r="N23" s="158" t="str">
        <f>+[8]Todo!C23</f>
        <v>yes</v>
      </c>
      <c r="O23" s="158" t="str">
        <f>+[9]Todo!$C23</f>
        <v>yes</v>
      </c>
      <c r="P23" s="185"/>
      <c r="V23" s="185"/>
    </row>
    <row r="24" spans="1:22" ht="13.15" customHeight="1" x14ac:dyDescent="0.25">
      <c r="A24" s="164"/>
      <c r="B24" s="161" t="s">
        <v>180</v>
      </c>
      <c r="C24" s="135"/>
      <c r="D24" s="820"/>
      <c r="E24" s="821"/>
      <c r="F24" s="158"/>
      <c r="G24" s="158"/>
      <c r="H24" s="158">
        <f>+[2]Todo!$C24</f>
        <v>0</v>
      </c>
      <c r="I24" s="158">
        <f>+[3]Todo!$C24</f>
        <v>0</v>
      </c>
      <c r="J24" s="158" t="str">
        <f>+[4]Todo!$C24</f>
        <v>yes</v>
      </c>
      <c r="K24" s="158" t="str">
        <f>+[5]Todo!$C24</f>
        <v>yes</v>
      </c>
      <c r="L24" s="158" t="str">
        <f>+[6]Todo!$C24</f>
        <v>yes</v>
      </c>
      <c r="M24" s="158" t="str">
        <f>+[7]Todo!$C24</f>
        <v>yes</v>
      </c>
      <c r="N24" s="158" t="str">
        <f>+[8]Todo!C24</f>
        <v>yes</v>
      </c>
      <c r="O24" s="158" t="str">
        <f>+[9]Todo!$C24</f>
        <v>yes</v>
      </c>
      <c r="P24" s="185"/>
      <c r="V24" s="185"/>
    </row>
    <row r="25" spans="1:22" ht="13.15" customHeight="1" x14ac:dyDescent="0.25">
      <c r="A25" s="165"/>
      <c r="B25" s="161" t="s">
        <v>181</v>
      </c>
      <c r="C25" s="135"/>
      <c r="D25" s="820" t="s">
        <v>160</v>
      </c>
      <c r="E25" s="821"/>
      <c r="F25" s="158"/>
      <c r="G25" s="158"/>
      <c r="H25" s="158">
        <f>+[2]Todo!$C25</f>
        <v>0</v>
      </c>
      <c r="I25" s="158">
        <f>+[3]Todo!$C25</f>
        <v>0</v>
      </c>
      <c r="J25" s="158" t="str">
        <f>+[4]Todo!$C25</f>
        <v>yes</v>
      </c>
      <c r="K25" s="158">
        <f>+[5]Todo!$C25</f>
        <v>0</v>
      </c>
      <c r="L25" s="158" t="str">
        <f>+[6]Todo!$C25</f>
        <v>yes</v>
      </c>
      <c r="M25" s="158">
        <f>+[7]Todo!$C25</f>
        <v>0</v>
      </c>
      <c r="N25" s="158" t="str">
        <f>+[8]Todo!C25</f>
        <v>yes</v>
      </c>
      <c r="O25" s="158" t="str">
        <f>+[9]Todo!$C25</f>
        <v>yes</v>
      </c>
      <c r="P25" s="185"/>
      <c r="V25" s="185"/>
    </row>
    <row r="26" spans="1:22" ht="13.15" customHeight="1" x14ac:dyDescent="0.25">
      <c r="A26" s="165"/>
      <c r="B26" s="161" t="s">
        <v>182</v>
      </c>
      <c r="C26" s="135"/>
      <c r="D26" s="820"/>
      <c r="E26" s="821"/>
      <c r="F26" s="158"/>
      <c r="G26" s="158"/>
      <c r="H26" s="158">
        <f>+[2]Todo!$C26</f>
        <v>0</v>
      </c>
      <c r="I26" s="158">
        <f>+[3]Todo!$C26</f>
        <v>0</v>
      </c>
      <c r="J26" s="158" t="str">
        <f>+[4]Todo!$C26</f>
        <v>yes</v>
      </c>
      <c r="K26" s="158">
        <f>+[5]Todo!$C26</f>
        <v>0</v>
      </c>
      <c r="L26" s="158" t="str">
        <f>+[6]Todo!$C26</f>
        <v>yes</v>
      </c>
      <c r="M26" s="158">
        <f>+[7]Todo!$C26</f>
        <v>0</v>
      </c>
      <c r="N26" s="158" t="str">
        <f>+[8]Todo!C26</f>
        <v>yes</v>
      </c>
      <c r="O26" s="158" t="str">
        <f>+[9]Todo!$C26</f>
        <v>na</v>
      </c>
      <c r="P26" s="185"/>
      <c r="V26" s="185"/>
    </row>
    <row r="27" spans="1:22" ht="13.15" customHeight="1" x14ac:dyDescent="0.25">
      <c r="A27" s="164"/>
      <c r="B27" s="161" t="s">
        <v>183</v>
      </c>
      <c r="C27" s="136"/>
      <c r="D27" s="820"/>
      <c r="E27" s="821"/>
      <c r="F27" s="158"/>
      <c r="G27" s="158"/>
      <c r="H27" s="158">
        <f>+[2]Todo!$C27</f>
        <v>0</v>
      </c>
      <c r="I27" s="158">
        <f>+[3]Todo!$C27</f>
        <v>0</v>
      </c>
      <c r="J27" s="158" t="str">
        <f>+[4]Todo!$C27</f>
        <v>n/a</v>
      </c>
      <c r="K27" s="158">
        <f>+[5]Todo!$C27</f>
        <v>0</v>
      </c>
      <c r="L27" s="158">
        <f>+[6]Todo!$C27</f>
        <v>0</v>
      </c>
      <c r="M27" s="158">
        <f>+[7]Todo!$C27</f>
        <v>0</v>
      </c>
      <c r="N27" s="158" t="str">
        <f>+[8]Todo!C27</f>
        <v>yes</v>
      </c>
      <c r="O27" s="158">
        <f>+[9]Todo!$C27</f>
        <v>0</v>
      </c>
      <c r="P27" s="185"/>
      <c r="V27" s="185"/>
    </row>
    <row r="28" spans="1:22" ht="13.15" customHeight="1" x14ac:dyDescent="0.25">
      <c r="A28" s="164"/>
      <c r="B28" s="161" t="s">
        <v>184</v>
      </c>
      <c r="C28" s="135"/>
      <c r="D28" s="820"/>
      <c r="E28" s="821"/>
      <c r="F28" s="158"/>
      <c r="G28" s="158"/>
      <c r="H28" s="158">
        <f>+[2]Todo!$C28</f>
        <v>0</v>
      </c>
      <c r="I28" s="158">
        <f>+[3]Todo!$C28</f>
        <v>0</v>
      </c>
      <c r="J28" s="158" t="str">
        <f>+[4]Todo!$C28</f>
        <v>n/a</v>
      </c>
      <c r="K28" s="158" t="str">
        <f>+[5]Todo!$C28</f>
        <v>na</v>
      </c>
      <c r="L28" s="158" t="str">
        <f>+[6]Todo!$C28</f>
        <v>na</v>
      </c>
      <c r="M28" s="158" t="str">
        <f>+[7]Todo!$C28</f>
        <v>na</v>
      </c>
      <c r="N28" s="158" t="str">
        <f>+[8]Todo!C28</f>
        <v>yes</v>
      </c>
      <c r="O28" s="158" t="str">
        <f>+[9]Todo!$C28</f>
        <v>na</v>
      </c>
      <c r="P28" s="185"/>
      <c r="V28" s="185"/>
    </row>
    <row r="29" spans="1:22" ht="13.15" customHeight="1" x14ac:dyDescent="0.25">
      <c r="A29" s="164"/>
      <c r="B29" s="161"/>
      <c r="C29" s="135"/>
      <c r="D29" s="567"/>
      <c r="E29" s="568"/>
      <c r="F29" s="158"/>
      <c r="G29" s="158"/>
      <c r="H29" s="158">
        <f>+[2]Todo!$C29</f>
        <v>0</v>
      </c>
      <c r="I29" s="158">
        <f>+[3]Todo!$C29</f>
        <v>0</v>
      </c>
      <c r="J29" s="158">
        <f>+[4]Todo!$C29</f>
        <v>0</v>
      </c>
      <c r="K29" s="158">
        <f>+[5]Todo!$C29</f>
        <v>0</v>
      </c>
      <c r="L29" s="158">
        <f>+[6]Todo!$C29</f>
        <v>0</v>
      </c>
      <c r="M29" s="158">
        <f>+[7]Todo!$C29</f>
        <v>0</v>
      </c>
      <c r="N29" s="158">
        <f>+[8]Todo!C29</f>
        <v>0</v>
      </c>
      <c r="O29" s="158">
        <f>+[9]Todo!$C29</f>
        <v>0</v>
      </c>
      <c r="P29" s="185"/>
      <c r="V29" s="185"/>
    </row>
    <row r="30" spans="1:22" ht="13.15" customHeight="1" x14ac:dyDescent="0.25">
      <c r="A30" s="826" t="s">
        <v>185</v>
      </c>
      <c r="B30" s="161" t="s">
        <v>186</v>
      </c>
      <c r="C30" s="135"/>
      <c r="D30" s="820"/>
      <c r="E30" s="821"/>
      <c r="F30" s="158"/>
      <c r="G30" s="158"/>
      <c r="H30" s="158">
        <f>+[2]Todo!$C30</f>
        <v>0</v>
      </c>
      <c r="I30" s="158">
        <f>+[3]Todo!$C30</f>
        <v>0</v>
      </c>
      <c r="J30" s="158">
        <f>+[4]Todo!$C30</f>
        <v>0</v>
      </c>
      <c r="K30" s="158">
        <f>+[5]Todo!$C30</f>
        <v>0</v>
      </c>
      <c r="L30" s="158">
        <f>+[6]Todo!$C30</f>
        <v>0</v>
      </c>
      <c r="M30" s="158">
        <f>+[7]Todo!$C30</f>
        <v>0</v>
      </c>
      <c r="N30" s="158">
        <f>+[8]Todo!C30</f>
        <v>0</v>
      </c>
      <c r="O30" s="158">
        <f>+[9]Todo!$C30</f>
        <v>0</v>
      </c>
      <c r="P30" s="185"/>
      <c r="V30" s="185"/>
    </row>
    <row r="31" spans="1:22" ht="13.15" customHeight="1" x14ac:dyDescent="0.25">
      <c r="A31" s="827"/>
      <c r="B31" s="161" t="s">
        <v>187</v>
      </c>
      <c r="C31" s="135"/>
      <c r="D31" s="567"/>
      <c r="E31" s="568"/>
      <c r="F31" s="158"/>
      <c r="G31" s="158"/>
      <c r="H31" s="158">
        <f>+[2]Todo!$C31</f>
        <v>0</v>
      </c>
      <c r="I31" s="158">
        <f>+[3]Todo!$C31</f>
        <v>0</v>
      </c>
      <c r="J31" s="158">
        <f>+[4]Todo!$C31</f>
        <v>0</v>
      </c>
      <c r="K31" s="158">
        <f>+[5]Todo!$C31</f>
        <v>0</v>
      </c>
      <c r="L31" s="158">
        <f>+[6]Todo!$C31</f>
        <v>0</v>
      </c>
      <c r="M31" s="158">
        <f>+[7]Todo!$C31</f>
        <v>0</v>
      </c>
      <c r="N31" s="158">
        <f>+[8]Todo!C31</f>
        <v>0</v>
      </c>
      <c r="O31" s="158">
        <f>+[9]Todo!$C31</f>
        <v>0</v>
      </c>
      <c r="P31" s="185"/>
      <c r="V31" s="185"/>
    </row>
    <row r="32" spans="1:22" ht="13.15" customHeight="1" x14ac:dyDescent="0.25">
      <c r="A32" s="165"/>
      <c r="B32" s="161" t="s">
        <v>188</v>
      </c>
      <c r="C32" s="135"/>
      <c r="D32" s="567"/>
      <c r="E32" s="568"/>
      <c r="F32" s="158"/>
      <c r="G32" s="158"/>
      <c r="H32" s="158">
        <f>+[2]Todo!$C32</f>
        <v>0</v>
      </c>
      <c r="I32" s="158">
        <f>+[3]Todo!$C32</f>
        <v>0</v>
      </c>
      <c r="J32" s="158">
        <f>+[4]Todo!$C32</f>
        <v>0</v>
      </c>
      <c r="K32" s="158">
        <f>+[5]Todo!$C32</f>
        <v>0</v>
      </c>
      <c r="L32" s="158">
        <f>+[6]Todo!$C32</f>
        <v>0</v>
      </c>
      <c r="M32" s="158">
        <f>+[7]Todo!$C32</f>
        <v>0</v>
      </c>
      <c r="N32" s="158">
        <f>+[8]Todo!C32</f>
        <v>0</v>
      </c>
      <c r="O32" s="158">
        <f>+[9]Todo!$C32</f>
        <v>0</v>
      </c>
      <c r="P32" s="185"/>
      <c r="V32" s="185"/>
    </row>
    <row r="33" spans="1:22" ht="13.15" customHeight="1" x14ac:dyDescent="0.25">
      <c r="A33" s="165"/>
      <c r="B33" s="161" t="s">
        <v>189</v>
      </c>
      <c r="C33" s="135"/>
      <c r="D33" s="567"/>
      <c r="E33" s="568"/>
      <c r="F33" s="158"/>
      <c r="G33" s="158"/>
      <c r="H33" s="158">
        <f>+[2]Todo!$C33</f>
        <v>0</v>
      </c>
      <c r="I33" s="158">
        <f>+[3]Todo!$C33</f>
        <v>0</v>
      </c>
      <c r="J33" s="158">
        <f>+[4]Todo!$C33</f>
        <v>0</v>
      </c>
      <c r="K33" s="158">
        <f>+[5]Todo!$C33</f>
        <v>0</v>
      </c>
      <c r="L33" s="158">
        <f>+[6]Todo!$C33</f>
        <v>0</v>
      </c>
      <c r="M33" s="158">
        <f>+[7]Todo!$C33</f>
        <v>0</v>
      </c>
      <c r="N33" s="158">
        <f>+[8]Todo!C33</f>
        <v>0</v>
      </c>
      <c r="O33" s="158">
        <f>+[9]Todo!$C33</f>
        <v>0</v>
      </c>
      <c r="P33" s="185"/>
      <c r="V33" s="185"/>
    </row>
    <row r="34" spans="1:22" ht="13.15" customHeight="1" x14ac:dyDescent="0.25">
      <c r="A34" s="165"/>
      <c r="B34" s="161" t="s">
        <v>190</v>
      </c>
      <c r="C34" s="135"/>
      <c r="D34" s="820"/>
      <c r="E34" s="821"/>
      <c r="F34" s="158"/>
      <c r="G34" s="158"/>
      <c r="H34" s="158">
        <f>+[2]Todo!$C34</f>
        <v>0</v>
      </c>
      <c r="I34" s="158">
        <f>+[3]Todo!$C34</f>
        <v>0</v>
      </c>
      <c r="J34" s="158">
        <f>+[4]Todo!$C34</f>
        <v>0</v>
      </c>
      <c r="K34" s="158">
        <f>+[5]Todo!$C34</f>
        <v>0</v>
      </c>
      <c r="L34" s="158">
        <f>+[6]Todo!$C34</f>
        <v>0</v>
      </c>
      <c r="M34" s="158">
        <f>+[7]Todo!$C34</f>
        <v>0</v>
      </c>
      <c r="N34" s="158">
        <f>+[8]Todo!C34</f>
        <v>0</v>
      </c>
      <c r="O34" s="158">
        <f>+[9]Todo!$C34</f>
        <v>0</v>
      </c>
      <c r="P34" s="185"/>
      <c r="V34" s="185"/>
    </row>
    <row r="35" spans="1:22" ht="13.15" customHeight="1" x14ac:dyDescent="0.25">
      <c r="A35" s="164"/>
      <c r="B35" s="161"/>
      <c r="C35" s="135"/>
      <c r="D35" s="820"/>
      <c r="E35" s="821"/>
      <c r="F35" s="158"/>
      <c r="G35" s="158"/>
      <c r="H35" s="158">
        <f>+[2]Todo!$C35</f>
        <v>0</v>
      </c>
      <c r="I35" s="158">
        <f>+[3]Todo!$C35</f>
        <v>0</v>
      </c>
      <c r="J35" s="158">
        <f>+[4]Todo!$C35</f>
        <v>0</v>
      </c>
      <c r="K35" s="158">
        <f>+[5]Todo!$C35</f>
        <v>0</v>
      </c>
      <c r="L35" s="158">
        <f>+[6]Todo!$C35</f>
        <v>0</v>
      </c>
      <c r="M35" s="158">
        <f>+[7]Todo!$C35</f>
        <v>0</v>
      </c>
      <c r="N35" s="158">
        <f>+[8]Todo!C35</f>
        <v>0</v>
      </c>
      <c r="O35" s="158"/>
      <c r="P35" s="185"/>
      <c r="V35" s="185"/>
    </row>
    <row r="36" spans="1:22" ht="13.15" customHeight="1" x14ac:dyDescent="0.25">
      <c r="A36" s="164"/>
      <c r="B36" s="161"/>
      <c r="C36" s="135"/>
      <c r="D36" s="820"/>
      <c r="E36" s="821"/>
      <c r="F36" s="158"/>
      <c r="G36" s="158"/>
      <c r="H36" s="158">
        <f>+[2]Todo!$C36</f>
        <v>0</v>
      </c>
      <c r="I36" s="158">
        <f>+[3]Todo!$C36</f>
        <v>0</v>
      </c>
      <c r="J36" s="158">
        <f>+[4]Todo!$C36</f>
        <v>0</v>
      </c>
      <c r="K36" s="158">
        <f>+[5]Todo!$C36</f>
        <v>0</v>
      </c>
      <c r="L36" s="158">
        <f>+[6]Todo!$C36</f>
        <v>0</v>
      </c>
      <c r="M36" s="158">
        <f>+[7]Todo!$C36</f>
        <v>0</v>
      </c>
      <c r="N36" s="158">
        <f>+[8]Todo!C36</f>
        <v>0</v>
      </c>
      <c r="O36" s="158"/>
      <c r="P36" s="185"/>
      <c r="V36" s="185"/>
    </row>
    <row r="37" spans="1:22" ht="13.15" customHeight="1" x14ac:dyDescent="0.25">
      <c r="A37" s="164"/>
      <c r="B37" s="161"/>
      <c r="C37" s="135"/>
      <c r="D37" s="820"/>
      <c r="E37" s="821"/>
      <c r="F37" s="158"/>
      <c r="G37" s="158"/>
      <c r="H37" s="158">
        <f>+[2]Todo!$C37</f>
        <v>0</v>
      </c>
      <c r="I37" s="158">
        <f>+[3]Todo!$C37</f>
        <v>0</v>
      </c>
      <c r="J37" s="158">
        <f>+[4]Todo!$C37</f>
        <v>0</v>
      </c>
      <c r="K37" s="158">
        <f>+[5]Todo!$C37</f>
        <v>0</v>
      </c>
      <c r="L37" s="158">
        <f>+[6]Todo!$C37</f>
        <v>0</v>
      </c>
      <c r="M37" s="158">
        <f>+[7]Todo!$C37</f>
        <v>0</v>
      </c>
      <c r="N37" s="158">
        <f>+[8]Todo!C37</f>
        <v>0</v>
      </c>
      <c r="O37" s="158"/>
      <c r="P37" s="185"/>
      <c r="V37" s="185"/>
    </row>
    <row r="38" spans="1:22" ht="13.15" customHeight="1" x14ac:dyDescent="0.25">
      <c r="A38" s="826" t="s">
        <v>191</v>
      </c>
      <c r="B38" s="161" t="s">
        <v>552</v>
      </c>
      <c r="C38" s="135"/>
      <c r="D38" s="820"/>
      <c r="E38" s="821"/>
      <c r="F38" s="158"/>
      <c r="G38" s="158"/>
      <c r="H38" s="158">
        <f>+[2]Todo!$C38</f>
        <v>0</v>
      </c>
      <c r="I38" s="158">
        <f>+[3]Todo!$C38</f>
        <v>0</v>
      </c>
      <c r="J38" s="158">
        <f>+[4]Todo!$C38</f>
        <v>0</v>
      </c>
      <c r="K38" s="158">
        <f>+[5]Todo!$C38</f>
        <v>0</v>
      </c>
      <c r="L38" s="158">
        <f>+[6]Todo!$C38</f>
        <v>0</v>
      </c>
      <c r="M38" s="158">
        <f>+[7]Todo!$C38</f>
        <v>0</v>
      </c>
      <c r="N38" s="158">
        <f>+[8]Todo!C38</f>
        <v>0</v>
      </c>
      <c r="O38" s="158">
        <f>+[9]Todo!$C38</f>
        <v>0</v>
      </c>
      <c r="P38" s="185"/>
      <c r="V38" s="185"/>
    </row>
    <row r="39" spans="1:22" ht="13.15" customHeight="1" x14ac:dyDescent="0.25">
      <c r="A39" s="827"/>
      <c r="B39" s="161" t="s">
        <v>190</v>
      </c>
      <c r="C39" s="135"/>
      <c r="D39" s="820"/>
      <c r="E39" s="821"/>
      <c r="F39" s="158"/>
      <c r="G39" s="158"/>
      <c r="H39" s="158">
        <f>+[2]Todo!$C39</f>
        <v>0</v>
      </c>
      <c r="I39" s="158">
        <f>+[3]Todo!$C39</f>
        <v>0</v>
      </c>
      <c r="J39" s="158">
        <f>+[4]Todo!$C39</f>
        <v>0</v>
      </c>
      <c r="K39" s="158">
        <f>+[5]Todo!$C39</f>
        <v>0</v>
      </c>
      <c r="L39" s="158">
        <f>+[6]Todo!$C39</f>
        <v>0</v>
      </c>
      <c r="M39" s="158">
        <f>+[7]Todo!$C39</f>
        <v>0</v>
      </c>
      <c r="N39" s="158">
        <f>+[8]Todo!C39</f>
        <v>0</v>
      </c>
      <c r="O39" s="158">
        <f>+[9]Todo!$C39</f>
        <v>0</v>
      </c>
      <c r="P39" s="185"/>
      <c r="V39" s="185"/>
    </row>
    <row r="40" spans="1:22" ht="13.15" customHeight="1" x14ac:dyDescent="0.25">
      <c r="A40" s="164"/>
      <c r="B40" s="161" t="s">
        <v>553</v>
      </c>
      <c r="C40" s="135"/>
      <c r="D40" s="820"/>
      <c r="E40" s="821"/>
      <c r="F40" s="158"/>
      <c r="G40" s="158"/>
      <c r="H40" s="158">
        <f>+[2]Todo!$C40</f>
        <v>0</v>
      </c>
      <c r="I40" s="158">
        <f>+[3]Todo!$C40</f>
        <v>0</v>
      </c>
      <c r="J40" s="158">
        <f>+[4]Todo!$C40</f>
        <v>0</v>
      </c>
      <c r="K40" s="158">
        <f>+[5]Todo!$C40</f>
        <v>0</v>
      </c>
      <c r="L40" s="158">
        <f>+[6]Todo!$C40</f>
        <v>0</v>
      </c>
      <c r="M40" s="158">
        <f>+[7]Todo!$C40</f>
        <v>0</v>
      </c>
      <c r="N40" s="158">
        <f>+[8]Todo!C40</f>
        <v>0</v>
      </c>
      <c r="O40" s="158">
        <f>+[9]Todo!$C40</f>
        <v>0</v>
      </c>
      <c r="P40" s="185"/>
      <c r="V40" s="185"/>
    </row>
    <row r="41" spans="1:22" ht="13.15" customHeight="1" x14ac:dyDescent="0.25">
      <c r="A41" s="164"/>
      <c r="B41" s="161" t="s">
        <v>192</v>
      </c>
      <c r="C41" s="135"/>
      <c r="D41" s="820"/>
      <c r="E41" s="821"/>
      <c r="F41" s="158"/>
      <c r="G41" s="158"/>
      <c r="H41" s="158">
        <f>+[2]Todo!$C41</f>
        <v>0</v>
      </c>
      <c r="I41" s="158">
        <f>+[3]Todo!$C41</f>
        <v>0</v>
      </c>
      <c r="J41" s="158">
        <f>+[4]Todo!$C41</f>
        <v>0</v>
      </c>
      <c r="K41" s="158">
        <f>+[5]Todo!$C41</f>
        <v>0</v>
      </c>
      <c r="L41" s="158">
        <f>+[6]Todo!$C41</f>
        <v>0</v>
      </c>
      <c r="M41" s="158">
        <f>+[7]Todo!$C41</f>
        <v>0</v>
      </c>
      <c r="N41" s="158">
        <f>+[8]Todo!C41</f>
        <v>0</v>
      </c>
      <c r="O41" s="158">
        <f>+[9]Todo!$C41</f>
        <v>0</v>
      </c>
      <c r="P41" s="185"/>
      <c r="V41" s="185"/>
    </row>
    <row r="42" spans="1:22" ht="13.15" customHeight="1" thickBot="1" x14ac:dyDescent="0.3">
      <c r="A42" s="164"/>
      <c r="B42" s="161"/>
      <c r="C42" s="135"/>
      <c r="D42" s="820"/>
      <c r="E42" s="821"/>
      <c r="F42" s="158"/>
      <c r="G42" s="158"/>
      <c r="H42" s="158">
        <f>+[2]Todo!$C42</f>
        <v>0</v>
      </c>
      <c r="I42" s="158"/>
      <c r="J42" s="158">
        <f>+[4]Todo!$C42</f>
        <v>0</v>
      </c>
      <c r="K42" s="158"/>
      <c r="L42" s="158"/>
      <c r="M42" s="158"/>
      <c r="N42" s="158"/>
      <c r="O42" s="158"/>
      <c r="P42" s="185"/>
      <c r="V42" s="185"/>
    </row>
    <row r="43" spans="1:22" ht="45.75" thickBot="1" x14ac:dyDescent="0.3">
      <c r="A43" s="165"/>
      <c r="B43" s="832" t="str">
        <f>+"Project Totals for the Year - "&amp; COUNT(E44:P44) &amp; " Active Projects"</f>
        <v>Project Totals for the Year - 11 Active Projects</v>
      </c>
      <c r="C43" s="777"/>
      <c r="D43" s="778"/>
      <c r="E43" s="563" t="str">
        <f>+B1</f>
        <v>612 Britton Ct</v>
      </c>
      <c r="F43" s="263" t="str">
        <f t="shared" ref="F43:H43" si="0">+F1</f>
        <v>4121 Tensity Dr</v>
      </c>
      <c r="G43" s="316" t="str">
        <f t="shared" ref="G43:O43" si="1">+G1</f>
        <v>6316 Willow Dell</v>
      </c>
      <c r="H43" s="263" t="str">
        <f t="shared" si="0"/>
        <v>2325 Cool Springs Rd</v>
      </c>
      <c r="I43" s="316" t="str">
        <f t="shared" si="1"/>
        <v>1343 Old Buckhorn Rd</v>
      </c>
      <c r="J43" s="263" t="str">
        <f t="shared" si="1"/>
        <v>8225 Burgwyn Ln</v>
      </c>
      <c r="K43" s="263" t="str">
        <f t="shared" si="1"/>
        <v>115 Rosebrooks Dr</v>
      </c>
      <c r="L43" s="263" t="str">
        <f t="shared" si="1"/>
        <v>1426 Pleasant Garden</v>
      </c>
      <c r="M43" s="316" t="str">
        <f t="shared" si="1"/>
        <v>3413 Pinetree Ln</v>
      </c>
      <c r="N43" s="316" t="str">
        <f t="shared" si="1"/>
        <v>5008 Larchmont</v>
      </c>
      <c r="O43" s="263" t="str">
        <f t="shared" si="1"/>
        <v>3325 Banks</v>
      </c>
      <c r="P43" s="185"/>
      <c r="Q43" s="315">
        <f>COUNT('2023'!$E$3:$H$3)</f>
        <v>2</v>
      </c>
      <c r="R43" s="315">
        <f>COUNT('2023'!$E$3:$H$3)</f>
        <v>2</v>
      </c>
      <c r="S43" s="315">
        <f>COUNT('2022'!$E$3:$H$3)</f>
        <v>4</v>
      </c>
      <c r="T43" s="315">
        <f>COUNT('2021'!$E$3:$H$3)</f>
        <v>3</v>
      </c>
      <c r="U43" s="315">
        <f>COUNT('2020'!$E$3:$H$3)</f>
        <v>3</v>
      </c>
      <c r="V43" s="185"/>
    </row>
    <row r="44" spans="1:22" ht="15.75" thickBot="1" x14ac:dyDescent="0.3">
      <c r="A44" s="165"/>
      <c r="B44" s="335" t="s">
        <v>193</v>
      </c>
      <c r="C44" s="828">
        <f t="shared" ref="C44:C52" si="2">+SUM(E44:O44)</f>
        <v>4165500</v>
      </c>
      <c r="D44" s="829"/>
      <c r="E44" s="564">
        <f>+Profit!B4</f>
        <v>399000</v>
      </c>
      <c r="F44" s="265">
        <f>+[10]Todo!$E44</f>
        <v>285000</v>
      </c>
      <c r="G44" s="317">
        <f>+[1]Todo!$E44</f>
        <v>418900</v>
      </c>
      <c r="H44" s="265">
        <f>+[2]Todo!$E44</f>
        <v>239000</v>
      </c>
      <c r="I44" s="317">
        <f>+[3]Todo!$E44</f>
        <v>366900</v>
      </c>
      <c r="J44" s="265">
        <f>+[4]Todo!$E44</f>
        <v>470000</v>
      </c>
      <c r="K44" s="265">
        <f>+[5]Todo!$E44</f>
        <v>289000</v>
      </c>
      <c r="L44" s="265">
        <f>+[6]Todo!$E44</f>
        <v>341700</v>
      </c>
      <c r="M44" s="317">
        <f>+[7]Todo!$E44</f>
        <v>287000</v>
      </c>
      <c r="N44" s="317">
        <f>+[8]Todo!$E44</f>
        <v>630000</v>
      </c>
      <c r="O44" s="265">
        <f>+[9]Todo!$E44</f>
        <v>439000</v>
      </c>
      <c r="P44" s="262"/>
      <c r="Q44" s="314">
        <f>+'2024'!$C3</f>
        <v>335000</v>
      </c>
      <c r="R44" s="314">
        <f>+'2023'!$C$3</f>
        <v>750000</v>
      </c>
      <c r="S44" s="314">
        <f>+'2022'!$C$3</f>
        <v>1262529</v>
      </c>
      <c r="T44" s="314">
        <f>+'2021'!$C$3</f>
        <v>811800</v>
      </c>
      <c r="U44" s="314">
        <f>+'2020'!$C$3</f>
        <v>540000</v>
      </c>
      <c r="V44" s="262"/>
    </row>
    <row r="45" spans="1:22" ht="15.75" thickBot="1" x14ac:dyDescent="0.3">
      <c r="A45" s="165"/>
      <c r="B45" s="335" t="s">
        <v>194</v>
      </c>
      <c r="C45" s="828">
        <f t="shared" si="2"/>
        <v>2179791.3937500003</v>
      </c>
      <c r="D45" s="829"/>
      <c r="E45" s="564">
        <f>+Profit!K42</f>
        <v>136402.79</v>
      </c>
      <c r="F45" s="265">
        <f>+[10]Todo!$E45</f>
        <v>130291.26</v>
      </c>
      <c r="G45" s="317">
        <f>+[1]Todo!$E45</f>
        <v>283695.94</v>
      </c>
      <c r="H45" s="265">
        <f>+[2]Todo!$E45</f>
        <v>204823.02</v>
      </c>
      <c r="I45" s="317">
        <f>+[3]Todo!$E45</f>
        <v>126799</v>
      </c>
      <c r="J45" s="265">
        <f>+[4]Todo!$E45</f>
        <v>220401.85</v>
      </c>
      <c r="K45" s="265">
        <f>+[5]Todo!$E45</f>
        <v>209324.05125000002</v>
      </c>
      <c r="L45" s="265">
        <f>+[6]Todo!$E45</f>
        <v>182784</v>
      </c>
      <c r="M45" s="317">
        <f>+[7]Todo!$E45</f>
        <v>185424.13125000001</v>
      </c>
      <c r="N45" s="317">
        <f>+[8]Todo!$E45</f>
        <v>352162.49</v>
      </c>
      <c r="O45" s="265">
        <f>+[9]Todo!$E45</f>
        <v>147682.86124999999</v>
      </c>
      <c r="P45" s="262"/>
      <c r="Q45" s="314">
        <f>+'2024'!$C4</f>
        <v>89099.277500000011</v>
      </c>
      <c r="R45" s="314">
        <f>+'2023'!$C$4</f>
        <v>352369</v>
      </c>
      <c r="S45" s="314">
        <f>+'2022'!$C$4</f>
        <v>554594.92000000004</v>
      </c>
      <c r="T45" s="314">
        <f>+'2021'!$C$4</f>
        <v>401770.9</v>
      </c>
      <c r="U45" s="314">
        <f>+'2020'!$C$4</f>
        <v>310642.71000000002</v>
      </c>
      <c r="V45" s="262"/>
    </row>
    <row r="46" spans="1:22" ht="15.75" thickBot="1" x14ac:dyDescent="0.3">
      <c r="A46" s="165"/>
      <c r="B46" s="335" t="s">
        <v>195</v>
      </c>
      <c r="C46" s="828">
        <f t="shared" si="2"/>
        <v>585264.10732062149</v>
      </c>
      <c r="D46" s="829"/>
      <c r="E46" s="564">
        <f>-Profit!D62</f>
        <v>9836.542594999999</v>
      </c>
      <c r="F46" s="265">
        <f>+[10]Todo!$E46</f>
        <v>27991.342402099999</v>
      </c>
      <c r="G46" s="317">
        <f>+[1]Todo!$E46</f>
        <v>17662.479443010689</v>
      </c>
      <c r="H46" s="265">
        <f>+[2]Todo!$E46</f>
        <v>11744.259443010687</v>
      </c>
      <c r="I46" s="317">
        <f>+[3]Todo!$E46</f>
        <v>181971.73416250001</v>
      </c>
      <c r="J46" s="265">
        <f>+[4]Todo!$E46</f>
        <v>57344.420874999996</v>
      </c>
      <c r="K46" s="265">
        <f>+[5]Todo!$E46</f>
        <v>34441.813999999998</v>
      </c>
      <c r="L46" s="265">
        <f>+[6]Todo!$E46</f>
        <v>47412.056299999997</v>
      </c>
      <c r="M46" s="317">
        <f>+[7]Todo!$E46</f>
        <v>5676.2640000000001</v>
      </c>
      <c r="N46" s="317">
        <f>+[8]Todo!$E46</f>
        <v>159759.01010000001</v>
      </c>
      <c r="O46" s="265">
        <f>+[9]Todo!$E46</f>
        <v>31424.184000000001</v>
      </c>
      <c r="P46" s="154"/>
      <c r="Q46" s="314">
        <f>+'2024'!$C5</f>
        <v>84974.5</v>
      </c>
      <c r="R46" s="314">
        <f>+'2023'!$C$5</f>
        <v>242267</v>
      </c>
      <c r="S46" s="314">
        <f>+'2022'!$C$5</f>
        <v>148708.10749999998</v>
      </c>
      <c r="T46" s="314">
        <f>+'2021'!$C$5</f>
        <v>146350.07515412499</v>
      </c>
      <c r="U46" s="314">
        <f>+'2020'!$C$5</f>
        <v>49980.701499999996</v>
      </c>
      <c r="V46" s="154"/>
    </row>
    <row r="47" spans="1:22" ht="15.75" thickBot="1" x14ac:dyDescent="0.3">
      <c r="A47" s="165"/>
      <c r="B47" s="335" t="s">
        <v>1086</v>
      </c>
      <c r="C47" s="828">
        <f t="shared" ref="C47" si="3">+SUM(E47:O47)</f>
        <v>1786570.5599999998</v>
      </c>
      <c r="D47" s="829"/>
      <c r="E47" s="564">
        <f>SUM(Profit!C15:C19)+Profit!B39</f>
        <v>223480.66999999998</v>
      </c>
      <c r="F47" s="265">
        <f>+[10]Todo!$E47</f>
        <v>99694</v>
      </c>
      <c r="G47" s="317">
        <f>+[1]Todo!$E47</f>
        <v>259340</v>
      </c>
      <c r="H47" s="265">
        <f>+[2]Todo!$E47</f>
        <v>174164</v>
      </c>
      <c r="I47" s="317">
        <f>+[3]Todo!$E47</f>
        <v>197558</v>
      </c>
      <c r="J47" s="265">
        <f>+[4]Todo!$E47</f>
        <v>35031</v>
      </c>
      <c r="K47" s="265">
        <f>+[5]Todo!$E47</f>
        <v>181057.16</v>
      </c>
      <c r="L47" s="265">
        <f>+[6]Todo!$E47</f>
        <v>273784</v>
      </c>
      <c r="M47" s="317">
        <f>+[7]Todo!$E47</f>
        <v>142424</v>
      </c>
      <c r="N47" s="317">
        <f>+[8]Todo!$E47</f>
        <v>0</v>
      </c>
      <c r="O47" s="265">
        <f>+[9]Todo!$E47</f>
        <v>200037.72999999998</v>
      </c>
      <c r="P47" s="154"/>
      <c r="Q47" s="314"/>
      <c r="R47" s="314"/>
      <c r="S47" s="314"/>
      <c r="T47" s="314"/>
      <c r="U47" s="314"/>
      <c r="V47" s="154"/>
    </row>
    <row r="48" spans="1:22" ht="15.75" thickBot="1" x14ac:dyDescent="0.3">
      <c r="A48" s="165"/>
      <c r="B48" s="335" t="s">
        <v>793</v>
      </c>
      <c r="C48" s="830">
        <f t="shared" si="2"/>
        <v>10478.280204291583</v>
      </c>
      <c r="D48" s="831"/>
      <c r="E48" s="354">
        <f>IF(+Profit!R3=3,-Profit!H49,+Profit!B37/Profit!B28)</f>
        <v>1519.017685714286</v>
      </c>
      <c r="F48" s="354">
        <f>+[10]Todo!$E48</f>
        <v>624.7486721311476</v>
      </c>
      <c r="G48" s="354">
        <f>+[1]Todo!$E48</f>
        <v>1944.198333333333</v>
      </c>
      <c r="H48" s="354">
        <f>+[2]Todo!$E48</f>
        <v>1130.2861016949155</v>
      </c>
      <c r="I48" s="354">
        <f>+[3]Todo!$E48</f>
        <v>251.43667883211666</v>
      </c>
      <c r="J48" s="354">
        <f>+[4]Todo!$E48</f>
        <v>0</v>
      </c>
      <c r="K48" s="354">
        <f>+[5]Todo!$E48</f>
        <v>1028.8555360281198</v>
      </c>
      <c r="L48" s="354">
        <f>+[6]Todo!$E48</f>
        <v>2374.4743718592963</v>
      </c>
      <c r="M48" s="354">
        <f>+[7]Todo!$E48</f>
        <v>890.28000000000009</v>
      </c>
      <c r="N48" s="354">
        <f>+[8]Todo!$E48</f>
        <v>0</v>
      </c>
      <c r="O48" s="354">
        <f>+[9]Todo!$E48</f>
        <v>714.98282469836772</v>
      </c>
      <c r="P48" s="154"/>
      <c r="Q48" s="314"/>
      <c r="R48" s="314"/>
      <c r="S48" s="314"/>
      <c r="T48" s="314"/>
      <c r="U48" s="314"/>
      <c r="V48" s="154"/>
    </row>
    <row r="49" spans="1:25" ht="15.75" thickBot="1" x14ac:dyDescent="0.3">
      <c r="A49" s="165"/>
      <c r="B49" s="335" t="s">
        <v>713</v>
      </c>
      <c r="C49" s="828">
        <f t="shared" si="2"/>
        <v>6477.186101694916</v>
      </c>
      <c r="D49" s="829"/>
      <c r="E49" s="355">
        <f>+Profit!I49</f>
        <v>2</v>
      </c>
      <c r="F49" s="355">
        <f>+[10]Todo!$E49</f>
        <v>1800</v>
      </c>
      <c r="G49" s="355">
        <f>+[1]Todo!$E49</f>
        <v>0</v>
      </c>
      <c r="H49" s="355">
        <f>+[2]Todo!$E49</f>
        <v>1559.8861016949156</v>
      </c>
      <c r="I49" s="355">
        <f>+[3]Todo!$E49</f>
        <v>0</v>
      </c>
      <c r="J49" s="355">
        <f>+[4]Todo!$E49</f>
        <v>0</v>
      </c>
      <c r="K49" s="355">
        <f>+[5]Todo!$E49</f>
        <v>0</v>
      </c>
      <c r="L49" s="355">
        <f>+[6]Todo!$E49</f>
        <v>2225</v>
      </c>
      <c r="M49" s="355">
        <f>+[7]Todo!$E49</f>
        <v>890.3</v>
      </c>
      <c r="N49" s="355">
        <f>+[8]Todo!$E49</f>
        <v>0</v>
      </c>
      <c r="O49" s="355">
        <f>+[9]Todo!$E49</f>
        <v>0</v>
      </c>
      <c r="P49" s="154"/>
      <c r="Q49" s="314"/>
      <c r="R49" s="314"/>
      <c r="S49" s="314"/>
      <c r="T49" s="314"/>
      <c r="U49" s="314"/>
      <c r="V49" s="154"/>
      <c r="Y49" s="298"/>
    </row>
    <row r="50" spans="1:25" ht="15.75" thickBot="1" x14ac:dyDescent="0.3">
      <c r="A50" s="165"/>
      <c r="B50" s="335" t="s">
        <v>196</v>
      </c>
      <c r="C50" s="828">
        <f t="shared" si="2"/>
        <v>1177227.2618186658</v>
      </c>
      <c r="D50" s="829"/>
      <c r="E50" s="564">
        <f>+Profit!$K$57</f>
        <v>193865.39934424998</v>
      </c>
      <c r="F50" s="265">
        <f>+[10]Todo!$E50</f>
        <v>157514.10048280517</v>
      </c>
      <c r="G50" s="317">
        <f>+[1]Todo!$E50</f>
        <v>81394.772556989323</v>
      </c>
      <c r="H50" s="265">
        <f>+[2]Todo!$E50</f>
        <v>80545.767573440957</v>
      </c>
      <c r="I50" s="317">
        <f>+[3]Todo!$E50</f>
        <v>149896.56583749998</v>
      </c>
      <c r="J50" s="265">
        <f>+[4]Todo!$E50</f>
        <v>149981.58261184339</v>
      </c>
      <c r="K50" s="265">
        <f>+[5]Todo!$E50</f>
        <v>-32820.680769722196</v>
      </c>
      <c r="L50" s="265">
        <f>+[6]Todo!$E50</f>
        <v>132665.68604500001</v>
      </c>
      <c r="M50" s="317">
        <f>+[7]Todo!$E50</f>
        <v>104394.49600000001</v>
      </c>
      <c r="N50" s="317">
        <f>+[8]Todo!$E50</f>
        <v>-19345.987196774222</v>
      </c>
      <c r="O50" s="265">
        <f>+[9]Todo!$E50</f>
        <v>179135.55933333334</v>
      </c>
      <c r="P50" s="154"/>
      <c r="Q50" s="314"/>
      <c r="R50" s="314"/>
      <c r="S50" s="314"/>
      <c r="T50" s="314"/>
      <c r="U50" s="314"/>
      <c r="V50" s="154"/>
    </row>
    <row r="51" spans="1:25" ht="15.75" thickBot="1" x14ac:dyDescent="0.3">
      <c r="A51" s="165"/>
      <c r="B51" s="335" t="s">
        <v>792</v>
      </c>
      <c r="C51" s="828">
        <f t="shared" ref="C51" si="4">+SUM(E51:O51)</f>
        <v>41619.574137833333</v>
      </c>
      <c r="D51" s="829"/>
      <c r="E51" s="564"/>
      <c r="F51" s="265">
        <f>+[10]Todo!$E51</f>
        <v>0</v>
      </c>
      <c r="G51" s="317">
        <f>+[1]Todo!$E51</f>
        <v>0</v>
      </c>
      <c r="H51" s="265">
        <f>+[2]Todo!$E51</f>
        <v>0</v>
      </c>
      <c r="I51" s="317">
        <f>+[3]Todo!$E51</f>
        <v>0</v>
      </c>
      <c r="J51" s="265">
        <f>+[4]Todo!$E51</f>
        <v>0</v>
      </c>
      <c r="K51" s="265">
        <f>+[5]Todo!$E51</f>
        <v>0</v>
      </c>
      <c r="L51" s="265">
        <f>+[6]Todo!$E51</f>
        <v>13266.568604500002</v>
      </c>
      <c r="M51" s="317">
        <f>+[7]Todo!$E51</f>
        <v>10439.449600000002</v>
      </c>
      <c r="N51" s="317">
        <f>+[8]Todo!$E51</f>
        <v>0</v>
      </c>
      <c r="O51" s="265">
        <f>+[9]Todo!$E51</f>
        <v>17913.555933333333</v>
      </c>
      <c r="P51" s="154"/>
      <c r="Q51" s="314">
        <f>+'2024'!$C$6</f>
        <v>91406.693999999989</v>
      </c>
      <c r="R51" s="314">
        <f>+'2023'!$C$6</f>
        <v>155363.89666666667</v>
      </c>
      <c r="S51" s="314">
        <f>+'2022'!$C$6</f>
        <v>471212.07700000005</v>
      </c>
      <c r="T51" s="314">
        <f>+'2021'!$C$6</f>
        <v>257067.10484587503</v>
      </c>
      <c r="U51" s="314">
        <f>+'2020'!$C$6</f>
        <v>116039.9257777778</v>
      </c>
      <c r="V51" s="154"/>
    </row>
    <row r="52" spans="1:25" ht="15.75" thickBot="1" x14ac:dyDescent="0.3">
      <c r="A52" s="165"/>
      <c r="B52" s="335" t="s">
        <v>197</v>
      </c>
      <c r="C52" s="828">
        <f t="shared" si="2"/>
        <v>4772.5086803718768</v>
      </c>
      <c r="D52" s="829"/>
      <c r="E52" s="569"/>
      <c r="F52" s="265">
        <f>+[10]Todo!$E52</f>
        <v>0</v>
      </c>
      <c r="G52" s="317">
        <f>+[1]Todo!$E52</f>
        <v>0</v>
      </c>
      <c r="H52" s="265">
        <f>+[2]Todo!$E52</f>
        <v>8054.5767573440962</v>
      </c>
      <c r="I52" s="317">
        <f>+[3]Todo!$E52</f>
        <v>0</v>
      </c>
      <c r="J52" s="265" t="str">
        <f>+[4]Todo!$E52</f>
        <v>Averages for all Years</v>
      </c>
      <c r="K52" s="265">
        <f>+[5]Todo!$E52</f>
        <v>-3282.0680769722198</v>
      </c>
      <c r="L52" s="265">
        <f>+[6]Todo!$E52</f>
        <v>0</v>
      </c>
      <c r="M52" s="317">
        <f>+[7]Todo!$E52</f>
        <v>0</v>
      </c>
      <c r="N52" s="317">
        <f>+[8]Todo!$E52</f>
        <v>0</v>
      </c>
      <c r="O52" s="265">
        <f>+[9]Todo!$E52</f>
        <v>0</v>
      </c>
      <c r="P52" s="155"/>
      <c r="Q52" s="334">
        <f>+'2024'!$C$7</f>
        <v>0</v>
      </c>
      <c r="R52" s="334">
        <f>+'2023'!$C$7</f>
        <v>0</v>
      </c>
      <c r="S52" s="334">
        <f>+'2022'!$C$7</f>
        <v>15470.803800000003</v>
      </c>
      <c r="T52" s="334">
        <f>+'2021'!$C$7</f>
        <v>0</v>
      </c>
      <c r="U52" s="334">
        <f>+'2020'!$C$7</f>
        <v>0</v>
      </c>
      <c r="V52" s="154"/>
    </row>
    <row r="53" spans="1:25" ht="15.75" thickBot="1" x14ac:dyDescent="0.3">
      <c r="A53" s="165"/>
      <c r="B53" s="808" t="s">
        <v>563</v>
      </c>
      <c r="C53" s="822"/>
      <c r="D53" s="823"/>
      <c r="E53" s="348"/>
      <c r="F53" s="570" t="str">
        <f>+"Averages for all Years Across  "&amp; COUNT(E44:P44)+SUM(Q43:U43) &amp; " Projects"</f>
        <v>Averages for all Years Across  25 Projects</v>
      </c>
      <c r="G53" s="348"/>
      <c r="H53" s="562"/>
      <c r="I53" s="348"/>
      <c r="J53" s="348"/>
      <c r="K53" s="804"/>
      <c r="L53" s="778"/>
      <c r="M53" s="808" t="s">
        <v>579</v>
      </c>
      <c r="N53" s="809"/>
      <c r="O53" s="809"/>
      <c r="P53" s="810"/>
      <c r="Q53" s="815"/>
      <c r="R53" s="777"/>
      <c r="S53" s="777"/>
      <c r="T53" s="777"/>
      <c r="U53" s="777"/>
      <c r="V53" s="778"/>
    </row>
    <row r="54" spans="1:25" ht="15.75" thickBot="1" x14ac:dyDescent="0.3">
      <c r="A54" s="165"/>
      <c r="B54" s="156" t="s">
        <v>198</v>
      </c>
      <c r="C54" s="804">
        <f>+AVERAGE(E44:P44)</f>
        <v>378681.81818181818</v>
      </c>
      <c r="D54" s="778"/>
      <c r="E54" s="156" t="s">
        <v>198</v>
      </c>
      <c r="F54" s="571">
        <f>+SUM(E44:U44)/(COUNT(E44:O44)+SUM($Q$43:$U$43))</f>
        <v>314593.15999999997</v>
      </c>
      <c r="G54" s="561"/>
      <c r="H54" s="348"/>
      <c r="I54" s="348"/>
      <c r="J54" s="348"/>
      <c r="K54" s="348"/>
      <c r="L54" s="348"/>
      <c r="M54" s="812" t="s">
        <v>193</v>
      </c>
      <c r="N54" s="813"/>
      <c r="O54" s="811">
        <f>+SUM(E44:U44)</f>
        <v>7864829</v>
      </c>
      <c r="P54" s="652"/>
      <c r="Q54" s="816" t="s">
        <v>941</v>
      </c>
      <c r="R54" s="817"/>
      <c r="S54" s="817"/>
      <c r="T54" s="817"/>
      <c r="U54" s="817"/>
      <c r="V54" s="818"/>
    </row>
    <row r="55" spans="1:25" ht="15.75" thickBot="1" x14ac:dyDescent="0.3">
      <c r="A55" s="165"/>
      <c r="B55" s="156" t="s">
        <v>199</v>
      </c>
      <c r="C55" s="804">
        <f>+AVERAGE(E45:P45)</f>
        <v>198162.85397727275</v>
      </c>
      <c r="D55" s="778"/>
      <c r="E55" s="156" t="s">
        <v>199</v>
      </c>
      <c r="F55" s="571">
        <f>+SUM(E45:U45)/(COUNT(E45:O45)+SUM($Q$43:$U$43))</f>
        <v>155530.72805000001</v>
      </c>
      <c r="G55" s="561"/>
      <c r="H55" s="348"/>
      <c r="I55" s="348"/>
      <c r="J55" s="348"/>
      <c r="K55" s="348"/>
      <c r="L55" s="348"/>
      <c r="M55" s="812" t="s">
        <v>194</v>
      </c>
      <c r="N55" s="813"/>
      <c r="O55" s="811">
        <f>+SUM(E45:$U$45)</f>
        <v>3888268.2012499999</v>
      </c>
      <c r="P55" s="652"/>
      <c r="Q55" s="805" t="s">
        <v>561</v>
      </c>
      <c r="R55" s="777"/>
      <c r="S55" s="777"/>
      <c r="T55" s="777"/>
      <c r="U55" s="777"/>
      <c r="V55" s="778"/>
    </row>
    <row r="56" spans="1:25" ht="15.75" thickBot="1" x14ac:dyDescent="0.3">
      <c r="B56" s="156" t="s">
        <v>200</v>
      </c>
      <c r="C56" s="804">
        <f>+AVERAGE(E46:P46)</f>
        <v>53205.827938238319</v>
      </c>
      <c r="D56" s="778"/>
      <c r="E56" s="156" t="s">
        <v>200</v>
      </c>
      <c r="F56" s="571">
        <f>+SUM(E46:U46)/(COUNT(E46:O46)+SUM($Q$43:$U$43))</f>
        <v>50301.779658989857</v>
      </c>
      <c r="G56" s="561"/>
      <c r="H56" s="348"/>
      <c r="I56" s="348"/>
      <c r="J56" s="348"/>
      <c r="K56" s="348"/>
      <c r="L56" s="348"/>
      <c r="M56" s="812" t="s">
        <v>195</v>
      </c>
      <c r="N56" s="813"/>
      <c r="O56" s="811">
        <f>+SUM(E46:U46)</f>
        <v>1257544.4914747465</v>
      </c>
      <c r="P56" s="652"/>
      <c r="Q56" s="806" t="s">
        <v>562</v>
      </c>
      <c r="R56" s="777"/>
      <c r="S56" s="777"/>
      <c r="T56" s="777"/>
      <c r="U56" s="777"/>
      <c r="V56" s="778"/>
    </row>
    <row r="57" spans="1:25" ht="15.75" thickBot="1" x14ac:dyDescent="0.3">
      <c r="B57" s="156" t="s">
        <v>202</v>
      </c>
      <c r="C57" s="804">
        <f>+AVERAGE(E50:P51)</f>
        <v>58040.32552173805</v>
      </c>
      <c r="D57" s="778"/>
      <c r="E57" s="156" t="s">
        <v>202</v>
      </c>
      <c r="F57" s="571">
        <f>+SUM(E50:U51)/(COUNT(E50:O50)+SUM($Q$43:$U$43))</f>
        <v>92397.461369872733</v>
      </c>
      <c r="G57" s="561"/>
      <c r="H57" s="348"/>
      <c r="I57" s="348"/>
      <c r="J57" s="348"/>
      <c r="K57" s="348"/>
      <c r="L57" s="348"/>
      <c r="M57" s="814" t="s">
        <v>768</v>
      </c>
      <c r="N57" s="777"/>
      <c r="O57" s="804">
        <f>+SUM($E$50:$U$51)</f>
        <v>2309936.5342468182</v>
      </c>
      <c r="P57" s="778"/>
      <c r="Q57" s="807" t="s">
        <v>556</v>
      </c>
      <c r="R57" s="777"/>
      <c r="S57" s="777"/>
      <c r="T57" s="777"/>
      <c r="U57" s="777"/>
      <c r="V57" s="778"/>
    </row>
    <row r="58" spans="1:25" ht="15.75" thickBot="1" x14ac:dyDescent="0.3">
      <c r="M58" s="133"/>
      <c r="N58" s="133"/>
      <c r="O58" s="133"/>
      <c r="P58" s="133"/>
    </row>
    <row r="59" spans="1:25" ht="15.75" thickBot="1" x14ac:dyDescent="0.3">
      <c r="B59" s="335" t="str">
        <f>+B50</f>
        <v>Total Expected Profit:</v>
      </c>
      <c r="C59" s="833">
        <f>+C50</f>
        <v>1177227.2618186658</v>
      </c>
      <c r="D59" s="839"/>
      <c r="M59" s="133"/>
      <c r="N59" s="133"/>
      <c r="O59" s="133"/>
      <c r="P59" s="133"/>
    </row>
    <row r="60" spans="1:25" ht="15.75" thickBot="1" x14ac:dyDescent="0.3">
      <c r="B60" s="335" t="s">
        <v>791</v>
      </c>
      <c r="C60" s="833">
        <f>+[11]Cards!$I$60</f>
        <v>0</v>
      </c>
      <c r="D60" s="834"/>
      <c r="E60" s="487">
        <f>SUM(C59:D60)</f>
        <v>1177227.2618186658</v>
      </c>
      <c r="F60"/>
      <c r="H60"/>
      <c r="M60" s="133"/>
      <c r="N60" s="133"/>
      <c r="O60" s="133"/>
      <c r="P60" s="133"/>
    </row>
    <row r="61" spans="1:25" ht="15.75" thickBot="1" x14ac:dyDescent="0.3">
      <c r="B61" s="335" t="s">
        <v>747</v>
      </c>
      <c r="E61" s="486">
        <f>+C49-C48</f>
        <v>-4001.0941025966667</v>
      </c>
      <c r="F61" s="25"/>
      <c r="H61" s="25"/>
    </row>
    <row r="62" spans="1:25" ht="15.75" thickBot="1" x14ac:dyDescent="0.3">
      <c r="B62" s="335" t="s">
        <v>748</v>
      </c>
      <c r="E62" s="485">
        <f>-[11]Cards!$N$58</f>
        <v>0</v>
      </c>
      <c r="F62" s="25"/>
      <c r="G62"/>
      <c r="H62" s="25"/>
      <c r="I62"/>
    </row>
    <row r="63" spans="1:25" ht="15.75" thickBot="1" x14ac:dyDescent="0.3">
      <c r="B63" s="335" t="s">
        <v>749</v>
      </c>
      <c r="E63" s="485">
        <f>-[11]Cards!$N$59</f>
        <v>0</v>
      </c>
      <c r="F63" s="25"/>
      <c r="H63" s="25"/>
    </row>
    <row r="64" spans="1:25" ht="15.75" thickBot="1" x14ac:dyDescent="0.3">
      <c r="B64" s="335" t="s">
        <v>750</v>
      </c>
      <c r="C64" s="362"/>
      <c r="D64" s="363">
        <v>-668</v>
      </c>
    </row>
    <row r="65" spans="2:5" ht="15.75" thickBot="1" x14ac:dyDescent="0.3">
      <c r="B65" s="335" t="s">
        <v>751</v>
      </c>
      <c r="C65" s="362"/>
      <c r="D65" s="363">
        <v>-613</v>
      </c>
    </row>
    <row r="66" spans="2:5" ht="15.75" thickBot="1" x14ac:dyDescent="0.3">
      <c r="B66" s="335" t="s">
        <v>40</v>
      </c>
      <c r="C66" s="362"/>
      <c r="D66" s="363">
        <v>-1710</v>
      </c>
    </row>
    <row r="67" spans="2:5" ht="15.75" thickBot="1" x14ac:dyDescent="0.3">
      <c r="B67" s="335" t="s">
        <v>752</v>
      </c>
      <c r="C67" s="362"/>
      <c r="D67" s="363">
        <v>-872</v>
      </c>
    </row>
    <row r="68" spans="2:5" ht="15.75" thickBot="1" x14ac:dyDescent="0.3">
      <c r="B68" s="335" t="s">
        <v>753</v>
      </c>
      <c r="C68" s="362"/>
      <c r="D68" s="363">
        <v>-656</v>
      </c>
    </row>
    <row r="69" spans="2:5" ht="15.75" thickBot="1" x14ac:dyDescent="0.3">
      <c r="B69" s="335" t="s">
        <v>754</v>
      </c>
      <c r="E69" s="485">
        <f>SUM(D64:D68)</f>
        <v>-4519</v>
      </c>
    </row>
    <row r="70" spans="2:5" ht="15.75" thickBot="1" x14ac:dyDescent="0.3">
      <c r="B70" s="335" t="s">
        <v>755</v>
      </c>
      <c r="E70" s="485">
        <v>-500</v>
      </c>
    </row>
    <row r="71" spans="2:5" ht="15.75" thickBot="1" x14ac:dyDescent="0.3">
      <c r="E71"/>
    </row>
    <row r="72" spans="2:5" ht="15.75" thickBot="1" x14ac:dyDescent="0.3">
      <c r="B72" s="835" t="s">
        <v>757</v>
      </c>
      <c r="C72" s="836"/>
      <c r="D72" s="835" t="s">
        <v>756</v>
      </c>
      <c r="E72" s="836"/>
    </row>
    <row r="73" spans="2:5" ht="15.75" thickBot="1" x14ac:dyDescent="0.3">
      <c r="B73" s="838">
        <f>SUM(E61:E70)</f>
        <v>-9020.0941025966677</v>
      </c>
      <c r="C73" s="654"/>
      <c r="D73" s="837">
        <f>E60/-B73/12</f>
        <v>10.875969884835333</v>
      </c>
      <c r="E73" s="713"/>
    </row>
  </sheetData>
  <mergeCells count="77">
    <mergeCell ref="D72:E72"/>
    <mergeCell ref="D73:E73"/>
    <mergeCell ref="B72:C72"/>
    <mergeCell ref="B73:C73"/>
    <mergeCell ref="C59:D59"/>
    <mergeCell ref="C56:D56"/>
    <mergeCell ref="C44:D44"/>
    <mergeCell ref="C45:D45"/>
    <mergeCell ref="C60:D60"/>
    <mergeCell ref="C51:D51"/>
    <mergeCell ref="C57:D57"/>
    <mergeCell ref="C52:D52"/>
    <mergeCell ref="C47:D47"/>
    <mergeCell ref="D40:E40"/>
    <mergeCell ref="D41:E41"/>
    <mergeCell ref="D42:E42"/>
    <mergeCell ref="C54:D54"/>
    <mergeCell ref="C55:D55"/>
    <mergeCell ref="C46:D46"/>
    <mergeCell ref="C48:D48"/>
    <mergeCell ref="C49:D49"/>
    <mergeCell ref="B43:D43"/>
    <mergeCell ref="C50:D50"/>
    <mergeCell ref="A30:A31"/>
    <mergeCell ref="D37:E37"/>
    <mergeCell ref="D38:E38"/>
    <mergeCell ref="D22:E22"/>
    <mergeCell ref="D16:E16"/>
    <mergeCell ref="D17:E17"/>
    <mergeCell ref="D23:E23"/>
    <mergeCell ref="D24:E24"/>
    <mergeCell ref="D25:E25"/>
    <mergeCell ref="D26:E26"/>
    <mergeCell ref="D27:E27"/>
    <mergeCell ref="D28:E28"/>
    <mergeCell ref="A38:A39"/>
    <mergeCell ref="D35:E35"/>
    <mergeCell ref="D36:E36"/>
    <mergeCell ref="D39:E39"/>
    <mergeCell ref="A12:A13"/>
    <mergeCell ref="D20:E20"/>
    <mergeCell ref="D21:E21"/>
    <mergeCell ref="D18:E18"/>
    <mergeCell ref="D14:E14"/>
    <mergeCell ref="D15:E15"/>
    <mergeCell ref="D19:E19"/>
    <mergeCell ref="B1:C1"/>
    <mergeCell ref="D30:E30"/>
    <mergeCell ref="D34:E34"/>
    <mergeCell ref="B53:D53"/>
    <mergeCell ref="D8:E8"/>
    <mergeCell ref="D9:E9"/>
    <mergeCell ref="D10:E10"/>
    <mergeCell ref="D11:E11"/>
    <mergeCell ref="D12:E12"/>
    <mergeCell ref="D7:E7"/>
    <mergeCell ref="D1:E1"/>
    <mergeCell ref="D3:E3"/>
    <mergeCell ref="D4:E4"/>
    <mergeCell ref="D5:E5"/>
    <mergeCell ref="D6:E6"/>
    <mergeCell ref="D13:E13"/>
    <mergeCell ref="K53:L53"/>
    <mergeCell ref="Q55:V55"/>
    <mergeCell ref="Q56:V56"/>
    <mergeCell ref="Q57:V57"/>
    <mergeCell ref="M53:P53"/>
    <mergeCell ref="O54:P54"/>
    <mergeCell ref="O55:P55"/>
    <mergeCell ref="O56:P56"/>
    <mergeCell ref="O57:P57"/>
    <mergeCell ref="M54:N54"/>
    <mergeCell ref="M55:N55"/>
    <mergeCell ref="M56:N56"/>
    <mergeCell ref="M57:N57"/>
    <mergeCell ref="Q53:V53"/>
    <mergeCell ref="Q54:V54"/>
  </mergeCells>
  <pageMargins left="0.25" right="0.25" top="0.75" bottom="0.5" header="0.3" footer="0.3"/>
  <pageSetup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204</v>
      </c>
      <c r="B1" s="3" t="s">
        <v>205</v>
      </c>
      <c r="C1" s="32" t="s">
        <v>206</v>
      </c>
      <c r="D1" s="30" t="s">
        <v>207</v>
      </c>
      <c r="E1" s="32" t="s">
        <v>208</v>
      </c>
      <c r="F1" s="3" t="s">
        <v>209</v>
      </c>
    </row>
    <row r="2" spans="1:9" x14ac:dyDescent="0.25">
      <c r="A2" s="25" t="s">
        <v>210</v>
      </c>
      <c r="E2" s="27"/>
    </row>
    <row r="3" spans="1:9" x14ac:dyDescent="0.25">
      <c r="C3" s="28"/>
    </row>
    <row r="4" spans="1:9" ht="16.5" x14ac:dyDescent="0.3">
      <c r="A4" s="2" t="s">
        <v>1072</v>
      </c>
      <c r="B4" s="609" t="s">
        <v>1073</v>
      </c>
      <c r="C4" s="28"/>
      <c r="D4" s="25" t="s">
        <v>1056</v>
      </c>
      <c r="E4" s="12"/>
    </row>
    <row r="5" spans="1:9" x14ac:dyDescent="0.25">
      <c r="A5" s="2" t="s">
        <v>1094</v>
      </c>
      <c r="B5" s="612">
        <v>23422</v>
      </c>
      <c r="D5" s="25"/>
      <c r="E5" s="27"/>
    </row>
    <row r="6" spans="1:9" x14ac:dyDescent="0.25">
      <c r="A6" s="2" t="s">
        <v>211</v>
      </c>
      <c r="C6" s="2"/>
      <c r="E6" s="2"/>
    </row>
    <row r="7" spans="1:9" x14ac:dyDescent="0.25">
      <c r="A7" s="2" t="s">
        <v>1074</v>
      </c>
      <c r="B7" s="2" t="s">
        <v>816</v>
      </c>
      <c r="C7" s="2"/>
      <c r="D7" s="2" t="s">
        <v>1104</v>
      </c>
      <c r="E7" s="25" t="s">
        <v>1075</v>
      </c>
      <c r="F7" s="19"/>
    </row>
    <row r="8" spans="1:9" x14ac:dyDescent="0.25">
      <c r="C8" s="2" t="s">
        <v>1084</v>
      </c>
      <c r="D8" s="25" t="s">
        <v>1083</v>
      </c>
      <c r="E8" s="2"/>
      <c r="F8" s="19"/>
    </row>
    <row r="9" spans="1:9" ht="15.75" x14ac:dyDescent="0.25">
      <c r="C9" s="2" t="s">
        <v>1085</v>
      </c>
      <c r="D9" s="613" t="s">
        <v>1105</v>
      </c>
      <c r="E9" s="2"/>
      <c r="F9" s="19"/>
      <c r="H9" s="19"/>
    </row>
    <row r="10" spans="1:9" x14ac:dyDescent="0.25">
      <c r="C10" s="2"/>
      <c r="E10" s="2"/>
      <c r="F10" s="2"/>
    </row>
    <row r="11" spans="1:9" x14ac:dyDescent="0.25">
      <c r="C11" s="2"/>
      <c r="D11" s="2" t="s">
        <v>1076</v>
      </c>
      <c r="E11" s="2"/>
    </row>
    <row r="12" spans="1:9" ht="15.75" x14ac:dyDescent="0.25">
      <c r="C12" s="2"/>
      <c r="D12" s="25" t="s">
        <v>1077</v>
      </c>
      <c r="E12" s="2"/>
    </row>
    <row r="13" spans="1:9" ht="15.75" x14ac:dyDescent="0.25">
      <c r="C13" s="2"/>
      <c r="D13" s="25" t="s">
        <v>1078</v>
      </c>
      <c r="E13" s="2"/>
      <c r="F13" s="27"/>
      <c r="I13" s="311"/>
    </row>
    <row r="14" spans="1:9" ht="15.75" x14ac:dyDescent="0.25">
      <c r="C14" s="2"/>
      <c r="D14" s="25" t="s">
        <v>1079</v>
      </c>
      <c r="E14" s="2"/>
      <c r="I14" s="25"/>
    </row>
    <row r="15" spans="1:9" x14ac:dyDescent="0.25">
      <c r="C15" s="2"/>
      <c r="D15" s="25" t="s">
        <v>1080</v>
      </c>
      <c r="E15" s="2"/>
    </row>
    <row r="16" spans="1:9" x14ac:dyDescent="0.25">
      <c r="C16" s="2"/>
      <c r="D16" s="25" t="s">
        <v>1081</v>
      </c>
      <c r="E16" s="2"/>
    </row>
    <row r="17" spans="1:25" x14ac:dyDescent="0.25">
      <c r="C17" s="2"/>
      <c r="D17" s="25" t="s">
        <v>1082</v>
      </c>
      <c r="E17" s="2"/>
    </row>
    <row r="18" spans="1:25" ht="15.75" x14ac:dyDescent="0.25">
      <c r="A18" s="2" t="s">
        <v>1087</v>
      </c>
      <c r="B18" s="2" t="s">
        <v>1088</v>
      </c>
      <c r="C18" s="611" t="s">
        <v>1091</v>
      </c>
      <c r="D18" t="s">
        <v>1089</v>
      </c>
      <c r="E18" s="2" t="s">
        <v>1090</v>
      </c>
      <c r="V18" t="s">
        <v>212</v>
      </c>
      <c r="W18" t="s">
        <v>213</v>
      </c>
      <c r="X18" t="s">
        <v>214</v>
      </c>
      <c r="Y18" t="s">
        <v>215</v>
      </c>
    </row>
    <row r="19" spans="1:25" x14ac:dyDescent="0.25">
      <c r="C19" s="25" t="s">
        <v>1092</v>
      </c>
      <c r="D19" s="2" t="s">
        <v>1093</v>
      </c>
      <c r="E19" s="27" t="s">
        <v>1095</v>
      </c>
      <c r="F19" s="19" t="s">
        <v>1096</v>
      </c>
      <c r="V19" t="s">
        <v>216</v>
      </c>
      <c r="W19" s="222">
        <v>0.4458333333333333</v>
      </c>
      <c r="X19" t="s">
        <v>217</v>
      </c>
    </row>
    <row r="22" spans="1:25" x14ac:dyDescent="0.25">
      <c r="A22" s="2" t="s">
        <v>218</v>
      </c>
    </row>
    <row r="23" spans="1:25" x14ac:dyDescent="0.25">
      <c r="A23" s="223" t="s">
        <v>219</v>
      </c>
      <c r="B23" s="2" t="s">
        <v>220</v>
      </c>
      <c r="C23" s="27" t="s">
        <v>221</v>
      </c>
    </row>
    <row r="24" spans="1:25" x14ac:dyDescent="0.25">
      <c r="A24" s="224" t="s">
        <v>222</v>
      </c>
    </row>
    <row r="25" spans="1:25" x14ac:dyDescent="0.25">
      <c r="A25" s="225" t="s">
        <v>223</v>
      </c>
    </row>
    <row r="26" spans="1:25" x14ac:dyDescent="0.25">
      <c r="A26" s="226" t="s">
        <v>224</v>
      </c>
    </row>
    <row r="27" spans="1:25" x14ac:dyDescent="0.25">
      <c r="A27" s="227" t="s">
        <v>225</v>
      </c>
      <c r="B27" s="2" t="s">
        <v>226</v>
      </c>
      <c r="C27" s="27" t="s">
        <v>227</v>
      </c>
    </row>
    <row r="28" spans="1:25" x14ac:dyDescent="0.25">
      <c r="A28" s="228" t="s">
        <v>228</v>
      </c>
    </row>
    <row r="29" spans="1:25" x14ac:dyDescent="0.25">
      <c r="A29" s="229" t="s">
        <v>223</v>
      </c>
    </row>
    <row r="30" spans="1:25" x14ac:dyDescent="0.25">
      <c r="A30" s="230" t="s">
        <v>229</v>
      </c>
    </row>
    <row r="32" spans="1:25" x14ac:dyDescent="0.25">
      <c r="A32" s="2" t="s">
        <v>590</v>
      </c>
      <c r="B32" s="2" t="s">
        <v>581</v>
      </c>
      <c r="E32" s="25" t="s">
        <v>582</v>
      </c>
      <c r="I32" t="s">
        <v>589</v>
      </c>
    </row>
    <row r="34" spans="1:9" x14ac:dyDescent="0.25">
      <c r="A34" s="2" t="s">
        <v>583</v>
      </c>
      <c r="B34" s="2" t="s">
        <v>584</v>
      </c>
    </row>
    <row r="36" spans="1:9" x14ac:dyDescent="0.25">
      <c r="A36" s="2" t="s">
        <v>585</v>
      </c>
      <c r="B36" s="2" t="s">
        <v>586</v>
      </c>
    </row>
    <row r="38" spans="1:9" x14ac:dyDescent="0.25">
      <c r="A38" s="2" t="s">
        <v>587</v>
      </c>
      <c r="B38" s="2" t="s">
        <v>588</v>
      </c>
    </row>
    <row r="40" spans="1:9" x14ac:dyDescent="0.25">
      <c r="A40" s="2" t="s">
        <v>591</v>
      </c>
      <c r="B40" s="2" t="s">
        <v>592</v>
      </c>
      <c r="E40" s="25" t="s">
        <v>593</v>
      </c>
    </row>
    <row r="42" spans="1:9" x14ac:dyDescent="0.25">
      <c r="A42" s="2" t="s">
        <v>628</v>
      </c>
      <c r="B42" s="2" t="s">
        <v>630</v>
      </c>
      <c r="I42" t="s">
        <v>629</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42049B4E-FC17-4192-95B2-5A50F361D212}"/>
  </hyperlinks>
  <pageMargins left="0.7" right="0.7" top="0.75" bottom="0.75" header="0.3" footer="0.3"/>
  <pageSetup orientation="portrait"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U25"/>
  <sheetViews>
    <sheetView workbookViewId="0">
      <selection activeCell="B9" sqref="B9:B16"/>
    </sheetView>
  </sheetViews>
  <sheetFormatPr defaultRowHeight="15" x14ac:dyDescent="0.25"/>
  <cols>
    <col min="1" max="1" width="10.7109375" bestFit="1" customWidth="1"/>
    <col min="4" max="4" width="10.42578125" bestFit="1" customWidth="1"/>
    <col min="5" max="5" width="10.7109375" bestFit="1" customWidth="1"/>
    <col min="6" max="6" width="10.28515625" customWidth="1"/>
    <col min="7" max="8" width="13.42578125" customWidth="1"/>
    <col min="9" max="9" width="10.140625" bestFit="1" customWidth="1"/>
    <col min="10" max="10" width="10.7109375" bestFit="1" customWidth="1"/>
    <col min="13" max="13" width="10.42578125" bestFit="1" customWidth="1"/>
    <col min="16" max="16" width="10.7109375" bestFit="1" customWidth="1"/>
    <col min="19" max="19" width="10.7109375" bestFit="1" customWidth="1"/>
  </cols>
  <sheetData>
    <row r="1" spans="1:21" s="3" customFormat="1" ht="36" customHeight="1" thickBot="1" x14ac:dyDescent="0.3">
      <c r="A1" s="840" t="s">
        <v>31</v>
      </c>
      <c r="B1" s="841"/>
      <c r="C1" s="842"/>
      <c r="D1" s="840" t="s">
        <v>564</v>
      </c>
      <c r="E1" s="841"/>
      <c r="F1" s="842"/>
      <c r="G1" s="840" t="s">
        <v>714</v>
      </c>
      <c r="H1" s="841"/>
      <c r="I1" s="842"/>
      <c r="J1" s="840" t="s">
        <v>565</v>
      </c>
      <c r="K1" s="841"/>
      <c r="L1" s="842"/>
      <c r="M1" s="840" t="s">
        <v>690</v>
      </c>
      <c r="N1" s="841"/>
      <c r="O1" s="842"/>
      <c r="P1" s="840" t="s">
        <v>712</v>
      </c>
      <c r="Q1" s="841"/>
      <c r="R1" s="842"/>
      <c r="S1" s="840" t="s">
        <v>796</v>
      </c>
      <c r="T1" s="841"/>
      <c r="U1" s="842"/>
    </row>
    <row r="2" spans="1:21" x14ac:dyDescent="0.25">
      <c r="C2" s="340"/>
      <c r="D2" s="161"/>
      <c r="F2" s="340"/>
      <c r="G2" s="161"/>
      <c r="I2" s="340"/>
      <c r="L2" s="340"/>
      <c r="O2" s="340"/>
      <c r="R2" s="340"/>
      <c r="U2" s="843" t="s">
        <v>802</v>
      </c>
    </row>
    <row r="3" spans="1:21" x14ac:dyDescent="0.25">
      <c r="A3" s="3" t="s">
        <v>309</v>
      </c>
      <c r="B3" s="13" t="s">
        <v>310</v>
      </c>
      <c r="C3" s="342"/>
      <c r="D3" s="3" t="s">
        <v>309</v>
      </c>
      <c r="E3" s="13" t="s">
        <v>566</v>
      </c>
      <c r="F3" s="342"/>
      <c r="G3" s="3" t="s">
        <v>309</v>
      </c>
      <c r="H3" s="13" t="s">
        <v>566</v>
      </c>
      <c r="I3" s="342"/>
      <c r="J3" s="3" t="s">
        <v>309</v>
      </c>
      <c r="K3" s="13" t="s">
        <v>566</v>
      </c>
      <c r="L3" s="340"/>
      <c r="M3" s="3" t="s">
        <v>309</v>
      </c>
      <c r="N3" s="13" t="s">
        <v>566</v>
      </c>
      <c r="O3" s="340"/>
      <c r="P3" t="s">
        <v>309</v>
      </c>
      <c r="Q3" t="s">
        <v>566</v>
      </c>
      <c r="R3" s="340"/>
      <c r="S3" t="s">
        <v>309</v>
      </c>
      <c r="T3" t="s">
        <v>566</v>
      </c>
      <c r="U3" s="844"/>
    </row>
    <row r="4" spans="1:21" x14ac:dyDescent="0.25">
      <c r="B4" s="14"/>
      <c r="C4" s="344"/>
      <c r="D4" s="343"/>
      <c r="F4" s="344"/>
      <c r="G4" s="343"/>
      <c r="I4" s="344"/>
      <c r="K4" s="14"/>
      <c r="L4" s="340"/>
      <c r="N4" s="14"/>
      <c r="O4" s="340"/>
      <c r="P4" s="12" t="s">
        <v>160</v>
      </c>
      <c r="Q4" t="s">
        <v>160</v>
      </c>
      <c r="R4" s="340"/>
      <c r="S4" s="12" t="s">
        <v>160</v>
      </c>
      <c r="T4" t="s">
        <v>160</v>
      </c>
      <c r="U4" s="340"/>
    </row>
    <row r="5" spans="1:21" x14ac:dyDescent="0.25">
      <c r="A5" s="12">
        <f>+Profit!H67</f>
        <v>45717</v>
      </c>
      <c r="B5" s="14"/>
      <c r="C5" s="344"/>
      <c r="D5" s="12">
        <f>+A5</f>
        <v>45717</v>
      </c>
      <c r="E5" s="14">
        <v>1514.69</v>
      </c>
      <c r="F5" s="344"/>
      <c r="G5" s="12">
        <f>+D5</f>
        <v>45717</v>
      </c>
      <c r="H5" s="463">
        <v>0</v>
      </c>
      <c r="I5" s="344"/>
      <c r="J5" s="12">
        <f>+G5</f>
        <v>45717</v>
      </c>
      <c r="K5" s="14">
        <v>0</v>
      </c>
      <c r="L5" s="340"/>
      <c r="M5" s="12">
        <f>+J5</f>
        <v>45717</v>
      </c>
      <c r="N5" s="14">
        <v>0</v>
      </c>
      <c r="O5" s="340"/>
      <c r="P5" s="12">
        <f>+M5</f>
        <v>45717</v>
      </c>
      <c r="Q5" s="14">
        <v>0</v>
      </c>
      <c r="R5" s="340"/>
      <c r="S5" s="12">
        <v>45170</v>
      </c>
      <c r="T5" s="14">
        <v>893</v>
      </c>
      <c r="U5" s="344">
        <f>-T5</f>
        <v>-893</v>
      </c>
    </row>
    <row r="6" spans="1:21" x14ac:dyDescent="0.25">
      <c r="A6" s="12">
        <f t="shared" ref="A6:A23" si="0">+A5+30.42</f>
        <v>45747.42</v>
      </c>
      <c r="B6" s="14"/>
      <c r="C6" s="344"/>
      <c r="D6" s="12">
        <f>+D5+30.42</f>
        <v>45747.42</v>
      </c>
      <c r="E6" s="14">
        <f>IF(+Profit!$J$67&gt;D6,E5,0)</f>
        <v>1514.69</v>
      </c>
      <c r="F6" s="344"/>
      <c r="G6" s="12">
        <f t="shared" ref="G6:G23" si="1">+G5+30.42</f>
        <v>45747.42</v>
      </c>
      <c r="H6" s="463">
        <f>IF(_xlfn.DAYS(G6,$G$5)&lt;180,H5,IF(+Profit!$J$67&gt;G6,H5,""))</f>
        <v>0</v>
      </c>
      <c r="I6" s="344"/>
      <c r="J6" s="12">
        <f t="shared" ref="J6:J23" si="2">+J5+30.42</f>
        <v>45747.42</v>
      </c>
      <c r="K6" s="14">
        <f>IF(+Profit!$J$67&gt;J6,K5,0)</f>
        <v>0</v>
      </c>
      <c r="L6" s="340"/>
      <c r="M6" s="12">
        <f t="shared" ref="M6:M23" si="3">+M5+30.42</f>
        <v>45747.42</v>
      </c>
      <c r="N6" s="14">
        <f>IF(+Profit!$J$67&gt;M6,N5,0)</f>
        <v>0</v>
      </c>
      <c r="O6" s="340"/>
      <c r="P6" s="12">
        <f t="shared" ref="P6:P23" si="4">+P5+30.42</f>
        <v>45747.42</v>
      </c>
      <c r="Q6" s="14">
        <f>IF(+Profit!$J$67&gt;P6,Q5,0)</f>
        <v>0</v>
      </c>
      <c r="R6" s="340"/>
      <c r="S6" s="12">
        <v>45536</v>
      </c>
      <c r="T6" s="14">
        <v>2453</v>
      </c>
      <c r="U6" s="344">
        <f t="shared" ref="U6:U23" si="5">-T6</f>
        <v>-2453</v>
      </c>
    </row>
    <row r="7" spans="1:21" x14ac:dyDescent="0.25">
      <c r="A7" s="12">
        <f t="shared" si="0"/>
        <v>45777.84</v>
      </c>
      <c r="B7" s="14"/>
      <c r="C7" s="344"/>
      <c r="D7" s="12">
        <f t="shared" ref="D7:D23" si="6">+D6+30.42</f>
        <v>45777.84</v>
      </c>
      <c r="E7" s="14">
        <f>IF(+Profit!$J$67&gt;D7,E6,0)</f>
        <v>1514.69</v>
      </c>
      <c r="F7" s="344"/>
      <c r="G7" s="12">
        <f t="shared" si="1"/>
        <v>45777.84</v>
      </c>
      <c r="H7" s="463">
        <f>IF(_xlfn.DAYS(G7,$G$5)&lt;180,H6,IF(+Profit!$J$67&gt;G7,H6,""))</f>
        <v>0</v>
      </c>
      <c r="I7" s="344"/>
      <c r="J7" s="12">
        <f t="shared" si="2"/>
        <v>45777.84</v>
      </c>
      <c r="K7" s="14">
        <f>IF(+Profit!$J$67&gt;J7,K6,0)</f>
        <v>0</v>
      </c>
      <c r="L7" s="340"/>
      <c r="M7" s="12">
        <f t="shared" si="3"/>
        <v>45777.84</v>
      </c>
      <c r="N7" s="14">
        <f>IF(+Profit!$J$67&gt;M7,N6,0)</f>
        <v>0</v>
      </c>
      <c r="O7" s="340"/>
      <c r="P7" s="12">
        <f t="shared" si="4"/>
        <v>45777.84</v>
      </c>
      <c r="Q7" s="14">
        <f>IF(+Profit!$J$67&gt;P7,Q6,0)</f>
        <v>0</v>
      </c>
      <c r="R7" s="340"/>
      <c r="S7" s="12">
        <f t="shared" ref="S7:S23" si="7">+S6+365</f>
        <v>45901</v>
      </c>
      <c r="T7" s="14">
        <f>IF(+Profit!$J$67&gt;S7,T6,0)</f>
        <v>2453</v>
      </c>
      <c r="U7" s="344">
        <f t="shared" si="5"/>
        <v>-2453</v>
      </c>
    </row>
    <row r="8" spans="1:21" x14ac:dyDescent="0.25">
      <c r="A8" s="12">
        <f t="shared" si="0"/>
        <v>45808.259999999995</v>
      </c>
      <c r="B8" s="14"/>
      <c r="C8" s="344"/>
      <c r="D8" s="12">
        <f t="shared" si="6"/>
        <v>45808.259999999995</v>
      </c>
      <c r="E8" s="14">
        <f>IF(+Profit!$J$67&gt;D8,E7,0)</f>
        <v>1514.69</v>
      </c>
      <c r="F8" s="344"/>
      <c r="G8" s="12">
        <f t="shared" si="1"/>
        <v>45808.259999999995</v>
      </c>
      <c r="H8" s="463">
        <f>IF(_xlfn.DAYS(G8,$G$5)&lt;180,H7,IF(+Profit!$J$67&gt;G8,H7,""))</f>
        <v>0</v>
      </c>
      <c r="I8" s="344"/>
      <c r="J8" s="12">
        <f t="shared" si="2"/>
        <v>45808.259999999995</v>
      </c>
      <c r="K8" s="14">
        <f>IF(+Profit!$J$67&gt;J8,K7,0)</f>
        <v>0</v>
      </c>
      <c r="L8" s="340"/>
      <c r="M8" s="12">
        <f t="shared" si="3"/>
        <v>45808.259999999995</v>
      </c>
      <c r="N8" s="14">
        <f>IF(+Profit!$J$67&gt;M8,N7,0)</f>
        <v>0</v>
      </c>
      <c r="O8" s="340"/>
      <c r="P8" s="12">
        <f t="shared" si="4"/>
        <v>45808.259999999995</v>
      </c>
      <c r="Q8" s="14">
        <f>IF(+Profit!$J$67&gt;P8,Q7,0)</f>
        <v>0</v>
      </c>
      <c r="R8" s="340"/>
      <c r="S8" s="12">
        <f t="shared" si="7"/>
        <v>46266</v>
      </c>
      <c r="T8" s="14">
        <f>IF(+Profit!$J$67&gt;S8,T7,0)</f>
        <v>0</v>
      </c>
      <c r="U8" s="344">
        <f t="shared" si="5"/>
        <v>0</v>
      </c>
    </row>
    <row r="9" spans="1:21" x14ac:dyDescent="0.25">
      <c r="A9" s="12">
        <f t="shared" si="0"/>
        <v>45838.679999999993</v>
      </c>
      <c r="B9" s="14"/>
      <c r="C9" s="344"/>
      <c r="D9" s="12">
        <f t="shared" si="6"/>
        <v>45838.679999999993</v>
      </c>
      <c r="E9" s="14">
        <f>IF(+Profit!$J$67&gt;D9,E8,0)</f>
        <v>1514.69</v>
      </c>
      <c r="F9" s="344"/>
      <c r="G9" s="12">
        <f t="shared" si="1"/>
        <v>45838.679999999993</v>
      </c>
      <c r="H9" s="463">
        <f>IF(_xlfn.DAYS(G9,$G$5)&lt;180,H8,IF(+Profit!$J$67&gt;G9,H8,""))</f>
        <v>0</v>
      </c>
      <c r="I9" s="344"/>
      <c r="J9" s="12">
        <f t="shared" si="2"/>
        <v>45838.679999999993</v>
      </c>
      <c r="K9" s="14">
        <f>IF(+Profit!$J$67&gt;J9,K8,0)</f>
        <v>0</v>
      </c>
      <c r="L9" s="340"/>
      <c r="M9" s="12">
        <f t="shared" si="3"/>
        <v>45838.679999999993</v>
      </c>
      <c r="N9" s="14">
        <f>IF(+Profit!$J$67&gt;M9,N8,0)</f>
        <v>0</v>
      </c>
      <c r="O9" s="340"/>
      <c r="P9" s="12">
        <f t="shared" si="4"/>
        <v>45838.679999999993</v>
      </c>
      <c r="Q9" s="14">
        <f>IF(+Profit!$J$67&gt;P9,Q8,0)</f>
        <v>0</v>
      </c>
      <c r="R9" s="340"/>
      <c r="S9" s="12">
        <f t="shared" si="7"/>
        <v>46631</v>
      </c>
      <c r="T9" s="14">
        <f>IF(+Profit!$J$67&gt;S9,T8,0)</f>
        <v>0</v>
      </c>
      <c r="U9" s="344">
        <f t="shared" si="5"/>
        <v>0</v>
      </c>
    </row>
    <row r="10" spans="1:21" x14ac:dyDescent="0.25">
      <c r="A10" s="12">
        <f t="shared" si="0"/>
        <v>45869.099999999991</v>
      </c>
      <c r="B10" s="14"/>
      <c r="C10" s="344"/>
      <c r="D10" s="12">
        <f t="shared" si="6"/>
        <v>45869.099999999991</v>
      </c>
      <c r="E10" s="14">
        <f>IF(+Profit!$J$67&gt;D10,E9,0)</f>
        <v>1514.69</v>
      </c>
      <c r="F10" s="344"/>
      <c r="G10" s="12">
        <f t="shared" si="1"/>
        <v>45869.099999999991</v>
      </c>
      <c r="H10" s="463">
        <f>IF(_xlfn.DAYS(G10,$G$5)&lt;180,H9,IF(+Profit!$J$67&gt;G10,H9,""))</f>
        <v>0</v>
      </c>
      <c r="I10" s="344"/>
      <c r="J10" s="12">
        <f t="shared" si="2"/>
        <v>45869.099999999991</v>
      </c>
      <c r="K10" s="14">
        <f>IF(+Profit!$J$67&gt;J10,K9,0)</f>
        <v>0</v>
      </c>
      <c r="L10" s="340"/>
      <c r="M10" s="12">
        <f t="shared" si="3"/>
        <v>45869.099999999991</v>
      </c>
      <c r="N10" s="14">
        <f>IF(+Profit!$J$67&gt;M10,N9,0)</f>
        <v>0</v>
      </c>
      <c r="O10" s="340"/>
      <c r="P10" s="12">
        <f t="shared" si="4"/>
        <v>45869.099999999991</v>
      </c>
      <c r="Q10" s="14">
        <f>IF(+Profit!$J$67&gt;P10,Q9,0)</f>
        <v>0</v>
      </c>
      <c r="R10" s="340"/>
      <c r="S10" s="12">
        <f t="shared" si="7"/>
        <v>46996</v>
      </c>
      <c r="T10" s="14">
        <f>IF(+Profit!$J$67&gt;S10,T9,0)</f>
        <v>0</v>
      </c>
      <c r="U10" s="344">
        <f t="shared" si="5"/>
        <v>0</v>
      </c>
    </row>
    <row r="11" spans="1:21" x14ac:dyDescent="0.25">
      <c r="A11" s="12">
        <f t="shared" si="0"/>
        <v>45899.51999999999</v>
      </c>
      <c r="B11" s="14"/>
      <c r="C11" s="344"/>
      <c r="D11" s="12">
        <f t="shared" si="6"/>
        <v>45899.51999999999</v>
      </c>
      <c r="E11" s="14">
        <f>IF(+Profit!$J$67&gt;D11,E10,0)</f>
        <v>1514.69</v>
      </c>
      <c r="F11" s="340"/>
      <c r="G11" s="12">
        <f t="shared" si="1"/>
        <v>45899.51999999999</v>
      </c>
      <c r="H11" s="510">
        <f>IF(_xlfn.DAYS(G11,$G$5)&lt;180,H10,IF(+Profit!$J$67&gt;G11,H10,""))</f>
        <v>0</v>
      </c>
      <c r="I11" s="340"/>
      <c r="J11" s="12">
        <f t="shared" si="2"/>
        <v>45899.51999999999</v>
      </c>
      <c r="K11" s="14">
        <f>IF(+Profit!$J$67&gt;J11,K10,0)</f>
        <v>0</v>
      </c>
      <c r="L11" s="340"/>
      <c r="M11" s="12">
        <f t="shared" si="3"/>
        <v>45899.51999999999</v>
      </c>
      <c r="N11" s="14">
        <f>IF(+Profit!$J$67&gt;M11,N10,0)</f>
        <v>0</v>
      </c>
      <c r="O11" s="340"/>
      <c r="P11" s="12">
        <f t="shared" si="4"/>
        <v>45899.51999999999</v>
      </c>
      <c r="Q11" s="14">
        <f>IF(+Profit!$J$67&gt;P11,Q10,0)</f>
        <v>0</v>
      </c>
      <c r="R11" s="340"/>
      <c r="S11" s="12">
        <f t="shared" si="7"/>
        <v>47361</v>
      </c>
      <c r="T11" s="14">
        <f>IF(+Profit!$J$67&gt;S11,T10,0)</f>
        <v>0</v>
      </c>
      <c r="U11" s="344">
        <f t="shared" si="5"/>
        <v>0</v>
      </c>
    </row>
    <row r="12" spans="1:21" x14ac:dyDescent="0.25">
      <c r="A12" s="12">
        <f t="shared" si="0"/>
        <v>45929.939999999988</v>
      </c>
      <c r="B12" s="14"/>
      <c r="C12" s="344"/>
      <c r="D12" s="12">
        <f t="shared" si="6"/>
        <v>45929.939999999988</v>
      </c>
      <c r="E12" s="14">
        <f>IF(+Profit!$J$67&gt;D12,E11,0)</f>
        <v>1514.69</v>
      </c>
      <c r="F12" s="340"/>
      <c r="G12" s="12">
        <f t="shared" si="1"/>
        <v>45929.939999999988</v>
      </c>
      <c r="H12" s="510">
        <f>IF(_xlfn.DAYS(G12,$G$5)&lt;180,H11,IF(+Profit!$J$67&gt;G12,H11,""))</f>
        <v>0</v>
      </c>
      <c r="I12" s="340"/>
      <c r="J12" s="12">
        <f t="shared" si="2"/>
        <v>45929.939999999988</v>
      </c>
      <c r="K12" s="14">
        <f>IF(+Profit!$J$67&gt;J12,K11,0)</f>
        <v>0</v>
      </c>
      <c r="L12" s="340"/>
      <c r="M12" s="12">
        <f t="shared" si="3"/>
        <v>45929.939999999988</v>
      </c>
      <c r="N12" s="14">
        <f>IF(+Profit!$J$67&gt;M12,N11,0)</f>
        <v>0</v>
      </c>
      <c r="O12" s="340"/>
      <c r="P12" s="12">
        <f t="shared" si="4"/>
        <v>45929.939999999988</v>
      </c>
      <c r="Q12" s="14">
        <f>IF(+Profit!$J$67&gt;P12,Q11,0)</f>
        <v>0</v>
      </c>
      <c r="R12" s="340"/>
      <c r="S12" s="12">
        <f t="shared" si="7"/>
        <v>47726</v>
      </c>
      <c r="T12" s="14">
        <f>IF(+Profit!$J$67&gt;S12,T11,0)</f>
        <v>0</v>
      </c>
      <c r="U12" s="344">
        <f t="shared" si="5"/>
        <v>0</v>
      </c>
    </row>
    <row r="13" spans="1:21" x14ac:dyDescent="0.25">
      <c r="A13" s="12">
        <f t="shared" si="0"/>
        <v>45960.359999999986</v>
      </c>
      <c r="B13" s="14"/>
      <c r="C13" s="344"/>
      <c r="D13" s="12">
        <f t="shared" si="6"/>
        <v>45960.359999999986</v>
      </c>
      <c r="E13" s="14">
        <f>IF(+Profit!$J$67&gt;D13,E12,0)</f>
        <v>1514.69</v>
      </c>
      <c r="F13" s="340"/>
      <c r="G13" s="12">
        <f t="shared" si="1"/>
        <v>45960.359999999986</v>
      </c>
      <c r="H13" s="510">
        <f>IF(_xlfn.DAYS(G13,$G$5)&lt;180,H12,IF(+Profit!$J$67&gt;G13,H12,""))</f>
        <v>0</v>
      </c>
      <c r="I13" s="340"/>
      <c r="J13" s="12">
        <f t="shared" si="2"/>
        <v>45960.359999999986</v>
      </c>
      <c r="K13" s="14">
        <f>IF(+Profit!$J$67&gt;J13,K12,0)</f>
        <v>0</v>
      </c>
      <c r="L13" s="340"/>
      <c r="M13" s="12">
        <f t="shared" si="3"/>
        <v>45960.359999999986</v>
      </c>
      <c r="N13" s="14">
        <f>IF(+Profit!$J$67&gt;M13,N12,0)</f>
        <v>0</v>
      </c>
      <c r="O13" s="340"/>
      <c r="P13" s="12">
        <f t="shared" si="4"/>
        <v>45960.359999999986</v>
      </c>
      <c r="Q13" s="14">
        <f>IF(+Profit!$J$67&gt;P13,Q12,0)</f>
        <v>0</v>
      </c>
      <c r="R13" s="340"/>
      <c r="S13" s="12">
        <f t="shared" si="7"/>
        <v>48091</v>
      </c>
      <c r="T13" s="14">
        <f>IF(+Profit!$J$67&gt;S13,T12,0)</f>
        <v>0</v>
      </c>
      <c r="U13" s="344">
        <f t="shared" si="5"/>
        <v>0</v>
      </c>
    </row>
    <row r="14" spans="1:21" x14ac:dyDescent="0.25">
      <c r="A14" s="12">
        <f t="shared" si="0"/>
        <v>45990.779999999984</v>
      </c>
      <c r="B14" s="14"/>
      <c r="C14" s="344"/>
      <c r="D14" s="12">
        <f t="shared" si="6"/>
        <v>45990.779999999984</v>
      </c>
      <c r="E14" s="14">
        <f>IF(+Profit!$J$67&gt;D14,E13,0)</f>
        <v>1514.69</v>
      </c>
      <c r="F14" s="340"/>
      <c r="G14" s="12">
        <f t="shared" si="1"/>
        <v>45990.779999999984</v>
      </c>
      <c r="H14" s="510">
        <f>IF(_xlfn.DAYS(G14,$G$5)&lt;180,H13,IF(+Profit!$J$67&gt;G14,H13,""))</f>
        <v>0</v>
      </c>
      <c r="I14" s="340"/>
      <c r="J14" s="12">
        <f t="shared" si="2"/>
        <v>45990.779999999984</v>
      </c>
      <c r="K14" s="14">
        <f>IF(+Profit!$J$67&gt;J14,K13,0)</f>
        <v>0</v>
      </c>
      <c r="L14" s="340"/>
      <c r="M14" s="12">
        <f t="shared" si="3"/>
        <v>45990.779999999984</v>
      </c>
      <c r="N14" s="14">
        <f>IF(+Profit!$J$67&gt;M14,N13,0)</f>
        <v>0</v>
      </c>
      <c r="O14" s="340"/>
      <c r="P14" s="12">
        <f t="shared" si="4"/>
        <v>45990.779999999984</v>
      </c>
      <c r="Q14" s="14">
        <f>IF(+Profit!$J$67&gt;P14,Q13,0)</f>
        <v>0</v>
      </c>
      <c r="R14" s="340"/>
      <c r="S14" s="12">
        <f t="shared" si="7"/>
        <v>48456</v>
      </c>
      <c r="T14" s="14">
        <f>IF(+Profit!$J$67&gt;S14,T13,0)</f>
        <v>0</v>
      </c>
      <c r="U14" s="344">
        <f t="shared" si="5"/>
        <v>0</v>
      </c>
    </row>
    <row r="15" spans="1:21" x14ac:dyDescent="0.25">
      <c r="A15" s="12">
        <f t="shared" si="0"/>
        <v>46021.199999999983</v>
      </c>
      <c r="B15" s="14"/>
      <c r="C15" s="340"/>
      <c r="D15" s="12">
        <f t="shared" si="6"/>
        <v>46021.199999999983</v>
      </c>
      <c r="E15" s="14">
        <f>IF(+Profit!$J$67&gt;D15,E14,0)</f>
        <v>1514.69</v>
      </c>
      <c r="F15" s="340"/>
      <c r="G15" s="12">
        <f t="shared" si="1"/>
        <v>46021.199999999983</v>
      </c>
      <c r="H15" s="510">
        <f>IF(_xlfn.DAYS(G15,$G$5)&lt;180,H14,IF(+Profit!$J$67&gt;G15,H14,""))</f>
        <v>0</v>
      </c>
      <c r="I15" s="340"/>
      <c r="J15" s="12">
        <f t="shared" si="2"/>
        <v>46021.199999999983</v>
      </c>
      <c r="K15" s="14">
        <f>IF(+Profit!$J$67&gt;J15,K14,0)</f>
        <v>0</v>
      </c>
      <c r="L15" s="340"/>
      <c r="M15" s="12">
        <f t="shared" si="3"/>
        <v>46021.199999999983</v>
      </c>
      <c r="N15" s="14">
        <f>IF(+Profit!$J$67&gt;M15,N14,0)</f>
        <v>0</v>
      </c>
      <c r="O15" s="340"/>
      <c r="P15" s="12">
        <f t="shared" si="4"/>
        <v>46021.199999999983</v>
      </c>
      <c r="Q15" s="14">
        <f>IF(+Profit!$J$67&gt;P15,Q14,0)</f>
        <v>0</v>
      </c>
      <c r="R15" s="340"/>
      <c r="S15" s="12">
        <f t="shared" si="7"/>
        <v>48821</v>
      </c>
      <c r="T15" s="14">
        <f>IF(+Profit!$J$67&gt;S15,T14,0)</f>
        <v>0</v>
      </c>
      <c r="U15" s="344">
        <f t="shared" si="5"/>
        <v>0</v>
      </c>
    </row>
    <row r="16" spans="1:21" x14ac:dyDescent="0.25">
      <c r="A16" s="12">
        <f t="shared" si="0"/>
        <v>46051.619999999981</v>
      </c>
      <c r="B16" s="14"/>
      <c r="C16" s="340"/>
      <c r="D16" s="12">
        <f t="shared" si="6"/>
        <v>46051.619999999981</v>
      </c>
      <c r="E16" s="14">
        <f>IF(+Profit!$J$67&gt;D16,E15,0)</f>
        <v>1514.69</v>
      </c>
      <c r="F16" s="340"/>
      <c r="G16" s="12">
        <f t="shared" si="1"/>
        <v>46051.619999999981</v>
      </c>
      <c r="H16" s="510">
        <f>IF(_xlfn.DAYS(G16,$G$5)&lt;180,H15,IF(+Profit!$J$67&gt;G16,H15,""))</f>
        <v>0</v>
      </c>
      <c r="I16" s="340"/>
      <c r="J16" s="12">
        <f t="shared" si="2"/>
        <v>46051.619999999981</v>
      </c>
      <c r="K16" s="14">
        <f>IF(+Profit!$J$67&gt;J16,K15,0)</f>
        <v>0</v>
      </c>
      <c r="L16" s="340"/>
      <c r="M16" s="12">
        <f t="shared" si="3"/>
        <v>46051.619999999981</v>
      </c>
      <c r="N16" s="14">
        <f>IF(+Profit!$J$67&gt;M16,N15,0)</f>
        <v>0</v>
      </c>
      <c r="O16" s="340"/>
      <c r="P16" s="12">
        <f t="shared" si="4"/>
        <v>46051.619999999981</v>
      </c>
      <c r="Q16" s="14">
        <f>IF(+Profit!$J$67&gt;P16,Q15,0)</f>
        <v>0</v>
      </c>
      <c r="R16" s="340"/>
      <c r="S16" s="12">
        <f t="shared" si="7"/>
        <v>49186</v>
      </c>
      <c r="T16" s="14">
        <f>IF(+Profit!$J$67&gt;S16,T15,0)</f>
        <v>0</v>
      </c>
      <c r="U16" s="344">
        <f t="shared" si="5"/>
        <v>0</v>
      </c>
    </row>
    <row r="17" spans="1:21" x14ac:dyDescent="0.25">
      <c r="A17" s="12">
        <f t="shared" si="0"/>
        <v>46082.039999999979</v>
      </c>
      <c r="B17" s="14">
        <f>IF(+Profit!$J$67&gt;A17,B16,0)</f>
        <v>0</v>
      </c>
      <c r="C17" s="340"/>
      <c r="D17" s="12">
        <f t="shared" si="6"/>
        <v>46082.039999999979</v>
      </c>
      <c r="E17" s="14">
        <f>IF(+Profit!$J$67&gt;D17,E16,0)</f>
        <v>0</v>
      </c>
      <c r="F17" s="340"/>
      <c r="G17" s="12">
        <f t="shared" si="1"/>
        <v>46082.039999999979</v>
      </c>
      <c r="H17" s="510" t="str">
        <f>IF(_xlfn.DAYS(G17,$G$5)&lt;180,H16,IF(+Profit!$J$67&gt;G17,H16,""))</f>
        <v/>
      </c>
      <c r="I17" s="340"/>
      <c r="J17" s="12">
        <f t="shared" si="2"/>
        <v>46082.039999999979</v>
      </c>
      <c r="K17" s="14">
        <f>IF(+Profit!$J$67&gt;J17,K16,0)</f>
        <v>0</v>
      </c>
      <c r="L17" s="340"/>
      <c r="M17" s="12">
        <f t="shared" si="3"/>
        <v>46082.039999999979</v>
      </c>
      <c r="N17" s="14">
        <f>IF(+Profit!$J$67&gt;M17,N16,0)</f>
        <v>0</v>
      </c>
      <c r="O17" s="340"/>
      <c r="P17" s="12">
        <f t="shared" si="4"/>
        <v>46082.039999999979</v>
      </c>
      <c r="Q17" s="14">
        <f>IF(+Profit!$J$67&gt;P17,Q16,0)</f>
        <v>0</v>
      </c>
      <c r="R17" s="340"/>
      <c r="S17" s="12">
        <f t="shared" si="7"/>
        <v>49551</v>
      </c>
      <c r="T17" s="14">
        <f>IF(+Profit!$J$67&gt;S17,T16,0)</f>
        <v>0</v>
      </c>
      <c r="U17" s="344">
        <f t="shared" si="5"/>
        <v>0</v>
      </c>
    </row>
    <row r="18" spans="1:21" x14ac:dyDescent="0.25">
      <c r="A18" s="12">
        <f t="shared" si="0"/>
        <v>46112.459999999977</v>
      </c>
      <c r="B18" s="14">
        <f>IF(+Profit!$J$67&gt;A18,B17,0)</f>
        <v>0</v>
      </c>
      <c r="C18" s="340"/>
      <c r="D18" s="12">
        <f t="shared" si="6"/>
        <v>46112.459999999977</v>
      </c>
      <c r="E18" s="14">
        <f>IF(+Profit!$J$67&gt;D18,E17,0)</f>
        <v>0</v>
      </c>
      <c r="F18" s="340"/>
      <c r="G18" s="12">
        <f t="shared" si="1"/>
        <v>46112.459999999977</v>
      </c>
      <c r="H18" s="510" t="str">
        <f>IF(_xlfn.DAYS(G18,$G$5)&lt;180,H17,IF(+Profit!$J$67&gt;G18,H17,""))</f>
        <v/>
      </c>
      <c r="I18" s="340"/>
      <c r="J18" s="12">
        <f t="shared" si="2"/>
        <v>46112.459999999977</v>
      </c>
      <c r="K18" s="14">
        <f>IF(+Profit!$J$67&gt;J18,K17,0)</f>
        <v>0</v>
      </c>
      <c r="L18" s="340"/>
      <c r="M18" s="12">
        <f t="shared" si="3"/>
        <v>46112.459999999977</v>
      </c>
      <c r="N18" s="14">
        <f>IF(+Profit!$J$67&gt;M18,N17,0)</f>
        <v>0</v>
      </c>
      <c r="O18" s="340"/>
      <c r="P18" s="12">
        <f t="shared" si="4"/>
        <v>46112.459999999977</v>
      </c>
      <c r="Q18" s="14">
        <f>IF(+Profit!$J$67&gt;P18,Q17,0)</f>
        <v>0</v>
      </c>
      <c r="R18" s="340"/>
      <c r="S18" s="12">
        <f t="shared" si="7"/>
        <v>49916</v>
      </c>
      <c r="T18" s="14">
        <f>IF(+Profit!$J$67&gt;S18,T17,0)</f>
        <v>0</v>
      </c>
      <c r="U18" s="344">
        <f t="shared" si="5"/>
        <v>0</v>
      </c>
    </row>
    <row r="19" spans="1:21" x14ac:dyDescent="0.25">
      <c r="A19" s="12">
        <f t="shared" si="0"/>
        <v>46142.879999999976</v>
      </c>
      <c r="B19" s="14">
        <f>IF(+Profit!$J$67&gt;A19,B18,0)</f>
        <v>0</v>
      </c>
      <c r="C19" s="340"/>
      <c r="D19" s="12">
        <f t="shared" si="6"/>
        <v>46142.879999999976</v>
      </c>
      <c r="E19" s="14">
        <f>IF(+Profit!$J$67&gt;D19,E18,0)</f>
        <v>0</v>
      </c>
      <c r="F19" s="340"/>
      <c r="G19" s="12">
        <f t="shared" si="1"/>
        <v>46142.879999999976</v>
      </c>
      <c r="H19" s="510" t="str">
        <f>IF(_xlfn.DAYS(G19,$G$5)&lt;180,H18,IF(+Profit!$J$67&gt;G19,H18,""))</f>
        <v/>
      </c>
      <c r="I19" s="340"/>
      <c r="J19" s="12">
        <f t="shared" si="2"/>
        <v>46142.879999999976</v>
      </c>
      <c r="K19" s="14">
        <f>IF(+Profit!$J$67&gt;J19,K18,0)</f>
        <v>0</v>
      </c>
      <c r="L19" s="340"/>
      <c r="M19" s="12">
        <f t="shared" si="3"/>
        <v>46142.879999999976</v>
      </c>
      <c r="N19" s="14">
        <f>IF(+Profit!$J$67&gt;M19,N18,0)</f>
        <v>0</v>
      </c>
      <c r="O19" s="340"/>
      <c r="P19" s="12">
        <f t="shared" si="4"/>
        <v>46142.879999999976</v>
      </c>
      <c r="Q19" s="14">
        <f>IF(+Profit!$J$67&gt;P19,Q18,0)</f>
        <v>0</v>
      </c>
      <c r="R19" s="340"/>
      <c r="S19" s="12">
        <f t="shared" si="7"/>
        <v>50281</v>
      </c>
      <c r="T19" s="14">
        <f>IF(+Profit!$J$67&gt;S19,T18,0)</f>
        <v>0</v>
      </c>
      <c r="U19" s="344">
        <f t="shared" si="5"/>
        <v>0</v>
      </c>
    </row>
    <row r="20" spans="1:21" x14ac:dyDescent="0.25">
      <c r="A20" s="12">
        <f t="shared" si="0"/>
        <v>46173.299999999974</v>
      </c>
      <c r="B20" s="14">
        <f>IF(+Profit!$J$67&gt;A20,B19,0)</f>
        <v>0</v>
      </c>
      <c r="C20" s="340"/>
      <c r="D20" s="12">
        <f t="shared" si="6"/>
        <v>46173.299999999974</v>
      </c>
      <c r="E20" s="14">
        <f>IF(+Profit!$J$67&gt;D20,E19,0)</f>
        <v>0</v>
      </c>
      <c r="F20" s="340"/>
      <c r="G20" s="12">
        <f t="shared" si="1"/>
        <v>46173.299999999974</v>
      </c>
      <c r="H20" s="510" t="str">
        <f>IF(_xlfn.DAYS(G20,$G$5)&lt;180,H19,IF(+Profit!$J$67&gt;G20,H19,""))</f>
        <v/>
      </c>
      <c r="I20" s="340"/>
      <c r="J20" s="12">
        <f t="shared" si="2"/>
        <v>46173.299999999974</v>
      </c>
      <c r="K20" s="14">
        <f>IF(+Profit!$J$67&gt;J20,K19,0)</f>
        <v>0</v>
      </c>
      <c r="L20" s="340"/>
      <c r="M20" s="12">
        <f t="shared" si="3"/>
        <v>46173.299999999974</v>
      </c>
      <c r="N20" s="14">
        <f>IF(+Profit!$J$67&gt;M20,N19,0)</f>
        <v>0</v>
      </c>
      <c r="O20" s="340"/>
      <c r="P20" s="12">
        <f t="shared" si="4"/>
        <v>46173.299999999974</v>
      </c>
      <c r="Q20" s="14">
        <f>IF(+Profit!$J$67&gt;P20,Q19,0)</f>
        <v>0</v>
      </c>
      <c r="R20" s="340"/>
      <c r="S20" s="12">
        <f t="shared" si="7"/>
        <v>50646</v>
      </c>
      <c r="T20" s="14">
        <f>IF(+Profit!$J$67&gt;S20,T19,0)</f>
        <v>0</v>
      </c>
      <c r="U20" s="344">
        <f t="shared" si="5"/>
        <v>0</v>
      </c>
    </row>
    <row r="21" spans="1:21" x14ac:dyDescent="0.25">
      <c r="A21" s="12">
        <f t="shared" si="0"/>
        <v>46203.719999999972</v>
      </c>
      <c r="B21" s="14">
        <f>IF(+Profit!$J$67&gt;A21,B20,0)</f>
        <v>0</v>
      </c>
      <c r="C21" s="340"/>
      <c r="D21" s="12">
        <f t="shared" si="6"/>
        <v>46203.719999999972</v>
      </c>
      <c r="E21" s="14">
        <f>IF(+Profit!$J$67&gt;D21,E20,0)</f>
        <v>0</v>
      </c>
      <c r="F21" s="340"/>
      <c r="G21" s="12">
        <f t="shared" si="1"/>
        <v>46203.719999999972</v>
      </c>
      <c r="H21" s="510" t="str">
        <f>IF(_xlfn.DAYS(G21,$G$5)&lt;180,H20,IF(+Profit!$J$67&gt;G21,H20,""))</f>
        <v/>
      </c>
      <c r="I21" s="340"/>
      <c r="J21" s="12">
        <f t="shared" si="2"/>
        <v>46203.719999999972</v>
      </c>
      <c r="K21" s="14">
        <f>IF(+Profit!$J$67&gt;J21,K20,0)</f>
        <v>0</v>
      </c>
      <c r="L21" s="340"/>
      <c r="M21" s="12">
        <f t="shared" si="3"/>
        <v>46203.719999999972</v>
      </c>
      <c r="N21" s="14">
        <f>IF(+Profit!$J$67&gt;M21,N20,0)</f>
        <v>0</v>
      </c>
      <c r="O21" s="340"/>
      <c r="P21" s="12">
        <f t="shared" si="4"/>
        <v>46203.719999999972</v>
      </c>
      <c r="Q21" s="14">
        <f>IF(+Profit!$J$67&gt;P21,Q20,0)</f>
        <v>0</v>
      </c>
      <c r="R21" s="340"/>
      <c r="S21" s="12">
        <f t="shared" si="7"/>
        <v>51011</v>
      </c>
      <c r="T21" s="14">
        <f>IF(+Profit!$J$67&gt;S21,T20,0)</f>
        <v>0</v>
      </c>
      <c r="U21" s="344">
        <f t="shared" si="5"/>
        <v>0</v>
      </c>
    </row>
    <row r="22" spans="1:21" x14ac:dyDescent="0.25">
      <c r="A22" s="12">
        <f t="shared" si="0"/>
        <v>46234.13999999997</v>
      </c>
      <c r="B22" s="14">
        <f>IF(+Profit!$J$67&gt;A22,B21,0)</f>
        <v>0</v>
      </c>
      <c r="C22" s="340"/>
      <c r="D22" s="12">
        <f t="shared" si="6"/>
        <v>46234.13999999997</v>
      </c>
      <c r="E22" s="14">
        <f>IF(+Profit!$J$67&gt;D22,E21,0)</f>
        <v>0</v>
      </c>
      <c r="F22" s="340"/>
      <c r="G22" s="12">
        <f t="shared" si="1"/>
        <v>46234.13999999997</v>
      </c>
      <c r="H22" s="510" t="str">
        <f>IF(_xlfn.DAYS(G22,$G$5)&lt;180,H21,IF(+Profit!$J$67&gt;G22,H21,""))</f>
        <v/>
      </c>
      <c r="I22" s="340"/>
      <c r="J22" s="12">
        <f t="shared" si="2"/>
        <v>46234.13999999997</v>
      </c>
      <c r="K22" s="14">
        <f>IF(+Profit!$J$67&gt;J22,K21,0)</f>
        <v>0</v>
      </c>
      <c r="L22" s="340"/>
      <c r="M22" s="12">
        <f t="shared" si="3"/>
        <v>46234.13999999997</v>
      </c>
      <c r="N22" s="14">
        <f>IF(+Profit!$J$67&gt;M22,N21,0)</f>
        <v>0</v>
      </c>
      <c r="O22" s="340"/>
      <c r="P22" s="12">
        <f t="shared" si="4"/>
        <v>46234.13999999997</v>
      </c>
      <c r="Q22" s="14">
        <f>IF(+Profit!$J$67&gt;P22,Q21,0)</f>
        <v>0</v>
      </c>
      <c r="R22" s="340"/>
      <c r="S22" s="12">
        <f t="shared" si="7"/>
        <v>51376</v>
      </c>
      <c r="T22" s="14">
        <f>IF(+Profit!$J$67&gt;S22,T21,0)</f>
        <v>0</v>
      </c>
      <c r="U22" s="344">
        <f t="shared" si="5"/>
        <v>0</v>
      </c>
    </row>
    <row r="23" spans="1:21" x14ac:dyDescent="0.25">
      <c r="A23" s="12">
        <f t="shared" si="0"/>
        <v>46264.559999999969</v>
      </c>
      <c r="B23" s="14">
        <f>IF(+Profit!$J$67&gt;A23,B22,0)</f>
        <v>0</v>
      </c>
      <c r="C23" s="340"/>
      <c r="D23" s="12">
        <f t="shared" si="6"/>
        <v>46264.559999999969</v>
      </c>
      <c r="E23" s="14">
        <f>IF(+Profit!$J$67&gt;D23,E22,0)</f>
        <v>0</v>
      </c>
      <c r="F23" s="340"/>
      <c r="G23" s="12">
        <f t="shared" si="1"/>
        <v>46264.559999999969</v>
      </c>
      <c r="H23" s="510" t="str">
        <f>IF(_xlfn.DAYS(G23,$G$5)&lt;180,H22,IF(+Profit!$J$67&gt;G23,H22,""))</f>
        <v/>
      </c>
      <c r="I23" s="340"/>
      <c r="J23" s="12">
        <f t="shared" si="2"/>
        <v>46264.559999999969</v>
      </c>
      <c r="K23" s="14">
        <f>IF(+Profit!$J$67&gt;J23,K22,0)</f>
        <v>0</v>
      </c>
      <c r="L23" s="340"/>
      <c r="M23" s="12">
        <f t="shared" si="3"/>
        <v>46264.559999999969</v>
      </c>
      <c r="N23" s="14">
        <f>IF(+Profit!$J$67&gt;M23,N22,0)</f>
        <v>0</v>
      </c>
      <c r="O23" s="340"/>
      <c r="P23" s="12">
        <f t="shared" si="4"/>
        <v>46264.559999999969</v>
      </c>
      <c r="Q23" s="14">
        <f>IF(+Profit!$J$67&gt;P23,Q22,0)</f>
        <v>0</v>
      </c>
      <c r="R23" s="340"/>
      <c r="S23" s="12">
        <f t="shared" si="7"/>
        <v>51741</v>
      </c>
      <c r="T23" s="14">
        <f>IF(+Profit!$J$67&gt;S23,T22,0)</f>
        <v>0</v>
      </c>
      <c r="U23" s="344">
        <f t="shared" si="5"/>
        <v>0</v>
      </c>
    </row>
    <row r="24" spans="1:21" ht="15.75" thickBot="1" x14ac:dyDescent="0.3">
      <c r="B24" s="23"/>
      <c r="C24" s="341"/>
      <c r="D24" s="343"/>
      <c r="F24" s="341"/>
      <c r="G24" s="343"/>
      <c r="I24" s="341"/>
      <c r="K24" s="23"/>
      <c r="L24" s="341"/>
      <c r="N24" s="23"/>
      <c r="O24" s="341"/>
      <c r="Q24" s="23"/>
      <c r="R24" s="341"/>
      <c r="T24" s="23"/>
      <c r="U24" s="341"/>
    </row>
    <row r="25" spans="1:21" ht="15.75" thickBot="1" x14ac:dyDescent="0.3">
      <c r="A25" s="23"/>
      <c r="B25" s="21"/>
      <c r="C25" s="346">
        <f>SUM(B4:B24)</f>
        <v>0</v>
      </c>
      <c r="D25" s="345"/>
      <c r="E25" s="23"/>
      <c r="F25" s="346">
        <f>SUM(E4:E24)</f>
        <v>18176.280000000002</v>
      </c>
      <c r="G25" s="345"/>
      <c r="H25" s="23"/>
      <c r="I25" s="346">
        <f>SUM(H4:H24)</f>
        <v>0</v>
      </c>
      <c r="J25" s="23"/>
      <c r="K25" s="21"/>
      <c r="L25" s="346">
        <f>SUM(K4:K27)</f>
        <v>0</v>
      </c>
      <c r="M25" s="23"/>
      <c r="N25" s="21"/>
      <c r="O25" s="346">
        <f>SUM(N4:N23)</f>
        <v>0</v>
      </c>
      <c r="P25" s="23"/>
      <c r="Q25" s="21"/>
      <c r="R25" s="346">
        <f>SUM(Q4:Q23)</f>
        <v>0</v>
      </c>
      <c r="S25" s="23"/>
      <c r="T25" s="21"/>
      <c r="U25" s="346">
        <f>SUM(T4:U23)</f>
        <v>0</v>
      </c>
    </row>
  </sheetData>
  <mergeCells count="8">
    <mergeCell ref="S1:U1"/>
    <mergeCell ref="U2:U3"/>
    <mergeCell ref="P1:R1"/>
    <mergeCell ref="A1:C1"/>
    <mergeCell ref="D1:F1"/>
    <mergeCell ref="J1:L1"/>
    <mergeCell ref="M1:O1"/>
    <mergeCell ref="G1:I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0" bestFit="1" customWidth="1"/>
    <col min="2" max="2" width="20.5703125" style="50" bestFit="1" customWidth="1"/>
    <col min="3" max="3" width="97.85546875" style="50" bestFit="1" customWidth="1"/>
    <col min="4" max="4" width="7.5703125" style="51" customWidth="1"/>
    <col min="5" max="5" width="14.140625" style="52" customWidth="1"/>
    <col min="6" max="6" width="9.140625" style="50"/>
    <col min="7" max="7" width="18.7109375" style="50" bestFit="1" customWidth="1"/>
    <col min="8" max="8" width="27.7109375" style="50" bestFit="1" customWidth="1"/>
    <col min="9" max="9" width="81.140625" style="50" bestFit="1" customWidth="1"/>
    <col min="10" max="10" width="6.28515625" style="50" bestFit="1" customWidth="1"/>
    <col min="11" max="12" width="12" style="50" bestFit="1" customWidth="1"/>
    <col min="13" max="254" width="9.140625" style="50"/>
    <col min="255" max="255" width="21.85546875" style="50" customWidth="1"/>
    <col min="256" max="256" width="35.85546875" style="50" customWidth="1"/>
    <col min="257" max="257" width="97.7109375" style="50" customWidth="1"/>
    <col min="258" max="258" width="31.7109375" style="50" customWidth="1"/>
    <col min="259" max="259" width="13.7109375" style="50" bestFit="1" customWidth="1"/>
    <col min="260" max="510" width="9.140625" style="50"/>
    <col min="511" max="511" width="21.85546875" style="50" customWidth="1"/>
    <col min="512" max="512" width="35.85546875" style="50" customWidth="1"/>
    <col min="513" max="513" width="97.7109375" style="50" customWidth="1"/>
    <col min="514" max="514" width="31.7109375" style="50" customWidth="1"/>
    <col min="515" max="515" width="13.7109375" style="50" bestFit="1" customWidth="1"/>
    <col min="516" max="766" width="9.140625" style="50"/>
    <col min="767" max="767" width="21.85546875" style="50" customWidth="1"/>
    <col min="768" max="768" width="35.85546875" style="50" customWidth="1"/>
    <col min="769" max="769" width="97.7109375" style="50" customWidth="1"/>
    <col min="770" max="770" width="31.7109375" style="50" customWidth="1"/>
    <col min="771" max="771" width="13.7109375" style="50" bestFit="1" customWidth="1"/>
    <col min="772" max="1022" width="9.140625" style="50"/>
    <col min="1023" max="1023" width="21.85546875" style="50" customWidth="1"/>
    <col min="1024" max="1024" width="35.85546875" style="50" customWidth="1"/>
    <col min="1025" max="1025" width="97.7109375" style="50" customWidth="1"/>
    <col min="1026" max="1026" width="31.7109375" style="50" customWidth="1"/>
    <col min="1027" max="1027" width="13.7109375" style="50" bestFit="1" customWidth="1"/>
    <col min="1028" max="1278" width="9.140625" style="50"/>
    <col min="1279" max="1279" width="21.85546875" style="50" customWidth="1"/>
    <col min="1280" max="1280" width="35.85546875" style="50" customWidth="1"/>
    <col min="1281" max="1281" width="97.7109375" style="50" customWidth="1"/>
    <col min="1282" max="1282" width="31.7109375" style="50" customWidth="1"/>
    <col min="1283" max="1283" width="13.7109375" style="50" bestFit="1" customWidth="1"/>
    <col min="1284" max="1534" width="9.140625" style="50"/>
    <col min="1535" max="1535" width="21.85546875" style="50" customWidth="1"/>
    <col min="1536" max="1536" width="35.85546875" style="50" customWidth="1"/>
    <col min="1537" max="1537" width="97.7109375" style="50" customWidth="1"/>
    <col min="1538" max="1538" width="31.7109375" style="50" customWidth="1"/>
    <col min="1539" max="1539" width="13.7109375" style="50" bestFit="1" customWidth="1"/>
    <col min="1540" max="1790" width="9.140625" style="50"/>
    <col min="1791" max="1791" width="21.85546875" style="50" customWidth="1"/>
    <col min="1792" max="1792" width="35.85546875" style="50" customWidth="1"/>
    <col min="1793" max="1793" width="97.7109375" style="50" customWidth="1"/>
    <col min="1794" max="1794" width="31.7109375" style="50" customWidth="1"/>
    <col min="1795" max="1795" width="13.7109375" style="50" bestFit="1" customWidth="1"/>
    <col min="1796" max="2046" width="9.140625" style="50"/>
    <col min="2047" max="2047" width="21.85546875" style="50" customWidth="1"/>
    <col min="2048" max="2048" width="35.85546875" style="50" customWidth="1"/>
    <col min="2049" max="2049" width="97.7109375" style="50" customWidth="1"/>
    <col min="2050" max="2050" width="31.7109375" style="50" customWidth="1"/>
    <col min="2051" max="2051" width="13.7109375" style="50" bestFit="1" customWidth="1"/>
    <col min="2052" max="2302" width="9.140625" style="50"/>
    <col min="2303" max="2303" width="21.85546875" style="50" customWidth="1"/>
    <col min="2304" max="2304" width="35.85546875" style="50" customWidth="1"/>
    <col min="2305" max="2305" width="97.7109375" style="50" customWidth="1"/>
    <col min="2306" max="2306" width="31.7109375" style="50" customWidth="1"/>
    <col min="2307" max="2307" width="13.7109375" style="50" bestFit="1" customWidth="1"/>
    <col min="2308" max="2558" width="9.140625" style="50"/>
    <col min="2559" max="2559" width="21.85546875" style="50" customWidth="1"/>
    <col min="2560" max="2560" width="35.85546875" style="50" customWidth="1"/>
    <col min="2561" max="2561" width="97.7109375" style="50" customWidth="1"/>
    <col min="2562" max="2562" width="31.7109375" style="50" customWidth="1"/>
    <col min="2563" max="2563" width="13.7109375" style="50" bestFit="1" customWidth="1"/>
    <col min="2564" max="2814" width="9.140625" style="50"/>
    <col min="2815" max="2815" width="21.85546875" style="50" customWidth="1"/>
    <col min="2816" max="2816" width="35.85546875" style="50" customWidth="1"/>
    <col min="2817" max="2817" width="97.7109375" style="50" customWidth="1"/>
    <col min="2818" max="2818" width="31.7109375" style="50" customWidth="1"/>
    <col min="2819" max="2819" width="13.7109375" style="50" bestFit="1" customWidth="1"/>
    <col min="2820" max="3070" width="9.140625" style="50"/>
    <col min="3071" max="3071" width="21.85546875" style="50" customWidth="1"/>
    <col min="3072" max="3072" width="35.85546875" style="50" customWidth="1"/>
    <col min="3073" max="3073" width="97.7109375" style="50" customWidth="1"/>
    <col min="3074" max="3074" width="31.7109375" style="50" customWidth="1"/>
    <col min="3075" max="3075" width="13.7109375" style="50" bestFit="1" customWidth="1"/>
    <col min="3076" max="3326" width="9.140625" style="50"/>
    <col min="3327" max="3327" width="21.85546875" style="50" customWidth="1"/>
    <col min="3328" max="3328" width="35.85546875" style="50" customWidth="1"/>
    <col min="3329" max="3329" width="97.7109375" style="50" customWidth="1"/>
    <col min="3330" max="3330" width="31.7109375" style="50" customWidth="1"/>
    <col min="3331" max="3331" width="13.7109375" style="50" bestFit="1" customWidth="1"/>
    <col min="3332" max="3582" width="9.140625" style="50"/>
    <col min="3583" max="3583" width="21.85546875" style="50" customWidth="1"/>
    <col min="3584" max="3584" width="35.85546875" style="50" customWidth="1"/>
    <col min="3585" max="3585" width="97.7109375" style="50" customWidth="1"/>
    <col min="3586" max="3586" width="31.7109375" style="50" customWidth="1"/>
    <col min="3587" max="3587" width="13.7109375" style="50" bestFit="1" customWidth="1"/>
    <col min="3588" max="3838" width="9.140625" style="50"/>
    <col min="3839" max="3839" width="21.85546875" style="50" customWidth="1"/>
    <col min="3840" max="3840" width="35.85546875" style="50" customWidth="1"/>
    <col min="3841" max="3841" width="97.7109375" style="50" customWidth="1"/>
    <col min="3842" max="3842" width="31.7109375" style="50" customWidth="1"/>
    <col min="3843" max="3843" width="13.7109375" style="50" bestFit="1" customWidth="1"/>
    <col min="3844" max="4094" width="9.140625" style="50"/>
    <col min="4095" max="4095" width="21.85546875" style="50" customWidth="1"/>
    <col min="4096" max="4096" width="35.85546875" style="50" customWidth="1"/>
    <col min="4097" max="4097" width="97.7109375" style="50" customWidth="1"/>
    <col min="4098" max="4098" width="31.7109375" style="50" customWidth="1"/>
    <col min="4099" max="4099" width="13.7109375" style="50" bestFit="1" customWidth="1"/>
    <col min="4100" max="4350" width="9.140625" style="50"/>
    <col min="4351" max="4351" width="21.85546875" style="50" customWidth="1"/>
    <col min="4352" max="4352" width="35.85546875" style="50" customWidth="1"/>
    <col min="4353" max="4353" width="97.7109375" style="50" customWidth="1"/>
    <col min="4354" max="4354" width="31.7109375" style="50" customWidth="1"/>
    <col min="4355" max="4355" width="13.7109375" style="50" bestFit="1" customWidth="1"/>
    <col min="4356" max="4606" width="9.140625" style="50"/>
    <col min="4607" max="4607" width="21.85546875" style="50" customWidth="1"/>
    <col min="4608" max="4608" width="35.85546875" style="50" customWidth="1"/>
    <col min="4609" max="4609" width="97.7109375" style="50" customWidth="1"/>
    <col min="4610" max="4610" width="31.7109375" style="50" customWidth="1"/>
    <col min="4611" max="4611" width="13.7109375" style="50" bestFit="1" customWidth="1"/>
    <col min="4612" max="4862" width="9.140625" style="50"/>
    <col min="4863" max="4863" width="21.85546875" style="50" customWidth="1"/>
    <col min="4864" max="4864" width="35.85546875" style="50" customWidth="1"/>
    <col min="4865" max="4865" width="97.7109375" style="50" customWidth="1"/>
    <col min="4866" max="4866" width="31.7109375" style="50" customWidth="1"/>
    <col min="4867" max="4867" width="13.7109375" style="50" bestFit="1" customWidth="1"/>
    <col min="4868" max="5118" width="9.140625" style="50"/>
    <col min="5119" max="5119" width="21.85546875" style="50" customWidth="1"/>
    <col min="5120" max="5120" width="35.85546875" style="50" customWidth="1"/>
    <col min="5121" max="5121" width="97.7109375" style="50" customWidth="1"/>
    <col min="5122" max="5122" width="31.7109375" style="50" customWidth="1"/>
    <col min="5123" max="5123" width="13.7109375" style="50" bestFit="1" customWidth="1"/>
    <col min="5124" max="5374" width="9.140625" style="50"/>
    <col min="5375" max="5375" width="21.85546875" style="50" customWidth="1"/>
    <col min="5376" max="5376" width="35.85546875" style="50" customWidth="1"/>
    <col min="5377" max="5377" width="97.7109375" style="50" customWidth="1"/>
    <col min="5378" max="5378" width="31.7109375" style="50" customWidth="1"/>
    <col min="5379" max="5379" width="13.7109375" style="50" bestFit="1" customWidth="1"/>
    <col min="5380" max="5630" width="9.140625" style="50"/>
    <col min="5631" max="5631" width="21.85546875" style="50" customWidth="1"/>
    <col min="5632" max="5632" width="35.85546875" style="50" customWidth="1"/>
    <col min="5633" max="5633" width="97.7109375" style="50" customWidth="1"/>
    <col min="5634" max="5634" width="31.7109375" style="50" customWidth="1"/>
    <col min="5635" max="5635" width="13.7109375" style="50" bestFit="1" customWidth="1"/>
    <col min="5636" max="5886" width="9.140625" style="50"/>
    <col min="5887" max="5887" width="21.85546875" style="50" customWidth="1"/>
    <col min="5888" max="5888" width="35.85546875" style="50" customWidth="1"/>
    <col min="5889" max="5889" width="97.7109375" style="50" customWidth="1"/>
    <col min="5890" max="5890" width="31.7109375" style="50" customWidth="1"/>
    <col min="5891" max="5891" width="13.7109375" style="50" bestFit="1" customWidth="1"/>
    <col min="5892" max="6142" width="9.140625" style="50"/>
    <col min="6143" max="6143" width="21.85546875" style="50" customWidth="1"/>
    <col min="6144" max="6144" width="35.85546875" style="50" customWidth="1"/>
    <col min="6145" max="6145" width="97.7109375" style="50" customWidth="1"/>
    <col min="6146" max="6146" width="31.7109375" style="50" customWidth="1"/>
    <col min="6147" max="6147" width="13.7109375" style="50" bestFit="1" customWidth="1"/>
    <col min="6148" max="6398" width="9.140625" style="50"/>
    <col min="6399" max="6399" width="21.85546875" style="50" customWidth="1"/>
    <col min="6400" max="6400" width="35.85546875" style="50" customWidth="1"/>
    <col min="6401" max="6401" width="97.7109375" style="50" customWidth="1"/>
    <col min="6402" max="6402" width="31.7109375" style="50" customWidth="1"/>
    <col min="6403" max="6403" width="13.7109375" style="50" bestFit="1" customWidth="1"/>
    <col min="6404" max="6654" width="9.140625" style="50"/>
    <col min="6655" max="6655" width="21.85546875" style="50" customWidth="1"/>
    <col min="6656" max="6656" width="35.85546875" style="50" customWidth="1"/>
    <col min="6657" max="6657" width="97.7109375" style="50" customWidth="1"/>
    <col min="6658" max="6658" width="31.7109375" style="50" customWidth="1"/>
    <col min="6659" max="6659" width="13.7109375" style="50" bestFit="1" customWidth="1"/>
    <col min="6660" max="6910" width="9.140625" style="50"/>
    <col min="6911" max="6911" width="21.85546875" style="50" customWidth="1"/>
    <col min="6912" max="6912" width="35.85546875" style="50" customWidth="1"/>
    <col min="6913" max="6913" width="97.7109375" style="50" customWidth="1"/>
    <col min="6914" max="6914" width="31.7109375" style="50" customWidth="1"/>
    <col min="6915" max="6915" width="13.7109375" style="50" bestFit="1" customWidth="1"/>
    <col min="6916" max="7166" width="9.140625" style="50"/>
    <col min="7167" max="7167" width="21.85546875" style="50" customWidth="1"/>
    <col min="7168" max="7168" width="35.85546875" style="50" customWidth="1"/>
    <col min="7169" max="7169" width="97.7109375" style="50" customWidth="1"/>
    <col min="7170" max="7170" width="31.7109375" style="50" customWidth="1"/>
    <col min="7171" max="7171" width="13.7109375" style="50" bestFit="1" customWidth="1"/>
    <col min="7172" max="7422" width="9.140625" style="50"/>
    <col min="7423" max="7423" width="21.85546875" style="50" customWidth="1"/>
    <col min="7424" max="7424" width="35.85546875" style="50" customWidth="1"/>
    <col min="7425" max="7425" width="97.7109375" style="50" customWidth="1"/>
    <col min="7426" max="7426" width="31.7109375" style="50" customWidth="1"/>
    <col min="7427" max="7427" width="13.7109375" style="50" bestFit="1" customWidth="1"/>
    <col min="7428" max="7678" width="9.140625" style="50"/>
    <col min="7679" max="7679" width="21.85546875" style="50" customWidth="1"/>
    <col min="7680" max="7680" width="35.85546875" style="50" customWidth="1"/>
    <col min="7681" max="7681" width="97.7109375" style="50" customWidth="1"/>
    <col min="7682" max="7682" width="31.7109375" style="50" customWidth="1"/>
    <col min="7683" max="7683" width="13.7109375" style="50" bestFit="1" customWidth="1"/>
    <col min="7684" max="7934" width="9.140625" style="50"/>
    <col min="7935" max="7935" width="21.85546875" style="50" customWidth="1"/>
    <col min="7936" max="7936" width="35.85546875" style="50" customWidth="1"/>
    <col min="7937" max="7937" width="97.7109375" style="50" customWidth="1"/>
    <col min="7938" max="7938" width="31.7109375" style="50" customWidth="1"/>
    <col min="7939" max="7939" width="13.7109375" style="50" bestFit="1" customWidth="1"/>
    <col min="7940" max="8190" width="9.140625" style="50"/>
    <col min="8191" max="8191" width="21.85546875" style="50" customWidth="1"/>
    <col min="8192" max="8192" width="35.85546875" style="50" customWidth="1"/>
    <col min="8193" max="8193" width="97.7109375" style="50" customWidth="1"/>
    <col min="8194" max="8194" width="31.7109375" style="50" customWidth="1"/>
    <col min="8195" max="8195" width="13.7109375" style="50" bestFit="1" customWidth="1"/>
    <col min="8196" max="8446" width="9.140625" style="50"/>
    <col min="8447" max="8447" width="21.85546875" style="50" customWidth="1"/>
    <col min="8448" max="8448" width="35.85546875" style="50" customWidth="1"/>
    <col min="8449" max="8449" width="97.7109375" style="50" customWidth="1"/>
    <col min="8450" max="8450" width="31.7109375" style="50" customWidth="1"/>
    <col min="8451" max="8451" width="13.7109375" style="50" bestFit="1" customWidth="1"/>
    <col min="8452" max="8702" width="9.140625" style="50"/>
    <col min="8703" max="8703" width="21.85546875" style="50" customWidth="1"/>
    <col min="8704" max="8704" width="35.85546875" style="50" customWidth="1"/>
    <col min="8705" max="8705" width="97.7109375" style="50" customWidth="1"/>
    <col min="8706" max="8706" width="31.7109375" style="50" customWidth="1"/>
    <col min="8707" max="8707" width="13.7109375" style="50" bestFit="1" customWidth="1"/>
    <col min="8708" max="8958" width="9.140625" style="50"/>
    <col min="8959" max="8959" width="21.85546875" style="50" customWidth="1"/>
    <col min="8960" max="8960" width="35.85546875" style="50" customWidth="1"/>
    <col min="8961" max="8961" width="97.7109375" style="50" customWidth="1"/>
    <col min="8962" max="8962" width="31.7109375" style="50" customWidth="1"/>
    <col min="8963" max="8963" width="13.7109375" style="50" bestFit="1" customWidth="1"/>
    <col min="8964" max="9214" width="9.140625" style="50"/>
    <col min="9215" max="9215" width="21.85546875" style="50" customWidth="1"/>
    <col min="9216" max="9216" width="35.85546875" style="50" customWidth="1"/>
    <col min="9217" max="9217" width="97.7109375" style="50" customWidth="1"/>
    <col min="9218" max="9218" width="31.7109375" style="50" customWidth="1"/>
    <col min="9219" max="9219" width="13.7109375" style="50" bestFit="1" customWidth="1"/>
    <col min="9220" max="9470" width="9.140625" style="50"/>
    <col min="9471" max="9471" width="21.85546875" style="50" customWidth="1"/>
    <col min="9472" max="9472" width="35.85546875" style="50" customWidth="1"/>
    <col min="9473" max="9473" width="97.7109375" style="50" customWidth="1"/>
    <col min="9474" max="9474" width="31.7109375" style="50" customWidth="1"/>
    <col min="9475" max="9475" width="13.7109375" style="50" bestFit="1" customWidth="1"/>
    <col min="9476" max="9726" width="9.140625" style="50"/>
    <col min="9727" max="9727" width="21.85546875" style="50" customWidth="1"/>
    <col min="9728" max="9728" width="35.85546875" style="50" customWidth="1"/>
    <col min="9729" max="9729" width="97.7109375" style="50" customWidth="1"/>
    <col min="9730" max="9730" width="31.7109375" style="50" customWidth="1"/>
    <col min="9731" max="9731" width="13.7109375" style="50" bestFit="1" customWidth="1"/>
    <col min="9732" max="9982" width="9.140625" style="50"/>
    <col min="9983" max="9983" width="21.85546875" style="50" customWidth="1"/>
    <col min="9984" max="9984" width="35.85546875" style="50" customWidth="1"/>
    <col min="9985" max="9985" width="97.7109375" style="50" customWidth="1"/>
    <col min="9986" max="9986" width="31.7109375" style="50" customWidth="1"/>
    <col min="9987" max="9987" width="13.7109375" style="50" bestFit="1" customWidth="1"/>
    <col min="9988" max="10238" width="9.140625" style="50"/>
    <col min="10239" max="10239" width="21.85546875" style="50" customWidth="1"/>
    <col min="10240" max="10240" width="35.85546875" style="50" customWidth="1"/>
    <col min="10241" max="10241" width="97.7109375" style="50" customWidth="1"/>
    <col min="10242" max="10242" width="31.7109375" style="50" customWidth="1"/>
    <col min="10243" max="10243" width="13.7109375" style="50" bestFit="1" customWidth="1"/>
    <col min="10244" max="10494" width="9.140625" style="50"/>
    <col min="10495" max="10495" width="21.85546875" style="50" customWidth="1"/>
    <col min="10496" max="10496" width="35.85546875" style="50" customWidth="1"/>
    <col min="10497" max="10497" width="97.7109375" style="50" customWidth="1"/>
    <col min="10498" max="10498" width="31.7109375" style="50" customWidth="1"/>
    <col min="10499" max="10499" width="13.7109375" style="50" bestFit="1" customWidth="1"/>
    <col min="10500" max="10750" width="9.140625" style="50"/>
    <col min="10751" max="10751" width="21.85546875" style="50" customWidth="1"/>
    <col min="10752" max="10752" width="35.85546875" style="50" customWidth="1"/>
    <col min="10753" max="10753" width="97.7109375" style="50" customWidth="1"/>
    <col min="10754" max="10754" width="31.7109375" style="50" customWidth="1"/>
    <col min="10755" max="10755" width="13.7109375" style="50" bestFit="1" customWidth="1"/>
    <col min="10756" max="11006" width="9.140625" style="50"/>
    <col min="11007" max="11007" width="21.85546875" style="50" customWidth="1"/>
    <col min="11008" max="11008" width="35.85546875" style="50" customWidth="1"/>
    <col min="11009" max="11009" width="97.7109375" style="50" customWidth="1"/>
    <col min="11010" max="11010" width="31.7109375" style="50" customWidth="1"/>
    <col min="11011" max="11011" width="13.7109375" style="50" bestFit="1" customWidth="1"/>
    <col min="11012" max="11262" width="9.140625" style="50"/>
    <col min="11263" max="11263" width="21.85546875" style="50" customWidth="1"/>
    <col min="11264" max="11264" width="35.85546875" style="50" customWidth="1"/>
    <col min="11265" max="11265" width="97.7109375" style="50" customWidth="1"/>
    <col min="11266" max="11266" width="31.7109375" style="50" customWidth="1"/>
    <col min="11267" max="11267" width="13.7109375" style="50" bestFit="1" customWidth="1"/>
    <col min="11268" max="11518" width="9.140625" style="50"/>
    <col min="11519" max="11519" width="21.85546875" style="50" customWidth="1"/>
    <col min="11520" max="11520" width="35.85546875" style="50" customWidth="1"/>
    <col min="11521" max="11521" width="97.7109375" style="50" customWidth="1"/>
    <col min="11522" max="11522" width="31.7109375" style="50" customWidth="1"/>
    <col min="11523" max="11523" width="13.7109375" style="50" bestFit="1" customWidth="1"/>
    <col min="11524" max="11774" width="9.140625" style="50"/>
    <col min="11775" max="11775" width="21.85546875" style="50" customWidth="1"/>
    <col min="11776" max="11776" width="35.85546875" style="50" customWidth="1"/>
    <col min="11777" max="11777" width="97.7109375" style="50" customWidth="1"/>
    <col min="11778" max="11778" width="31.7109375" style="50" customWidth="1"/>
    <col min="11779" max="11779" width="13.7109375" style="50" bestFit="1" customWidth="1"/>
    <col min="11780" max="12030" width="9.140625" style="50"/>
    <col min="12031" max="12031" width="21.85546875" style="50" customWidth="1"/>
    <col min="12032" max="12032" width="35.85546875" style="50" customWidth="1"/>
    <col min="12033" max="12033" width="97.7109375" style="50" customWidth="1"/>
    <col min="12034" max="12034" width="31.7109375" style="50" customWidth="1"/>
    <col min="12035" max="12035" width="13.7109375" style="50" bestFit="1" customWidth="1"/>
    <col min="12036" max="12286" width="9.140625" style="50"/>
    <col min="12287" max="12287" width="21.85546875" style="50" customWidth="1"/>
    <col min="12288" max="12288" width="35.85546875" style="50" customWidth="1"/>
    <col min="12289" max="12289" width="97.7109375" style="50" customWidth="1"/>
    <col min="12290" max="12290" width="31.7109375" style="50" customWidth="1"/>
    <col min="12291" max="12291" width="13.7109375" style="50" bestFit="1" customWidth="1"/>
    <col min="12292" max="12542" width="9.140625" style="50"/>
    <col min="12543" max="12543" width="21.85546875" style="50" customWidth="1"/>
    <col min="12544" max="12544" width="35.85546875" style="50" customWidth="1"/>
    <col min="12545" max="12545" width="97.7109375" style="50" customWidth="1"/>
    <col min="12546" max="12546" width="31.7109375" style="50" customWidth="1"/>
    <col min="12547" max="12547" width="13.7109375" style="50" bestFit="1" customWidth="1"/>
    <col min="12548" max="12798" width="9.140625" style="50"/>
    <col min="12799" max="12799" width="21.85546875" style="50" customWidth="1"/>
    <col min="12800" max="12800" width="35.85546875" style="50" customWidth="1"/>
    <col min="12801" max="12801" width="97.7109375" style="50" customWidth="1"/>
    <col min="12802" max="12802" width="31.7109375" style="50" customWidth="1"/>
    <col min="12803" max="12803" width="13.7109375" style="50" bestFit="1" customWidth="1"/>
    <col min="12804" max="13054" width="9.140625" style="50"/>
    <col min="13055" max="13055" width="21.85546875" style="50" customWidth="1"/>
    <col min="13056" max="13056" width="35.85546875" style="50" customWidth="1"/>
    <col min="13057" max="13057" width="97.7109375" style="50" customWidth="1"/>
    <col min="13058" max="13058" width="31.7109375" style="50" customWidth="1"/>
    <col min="13059" max="13059" width="13.7109375" style="50" bestFit="1" customWidth="1"/>
    <col min="13060" max="13310" width="9.140625" style="50"/>
    <col min="13311" max="13311" width="21.85546875" style="50" customWidth="1"/>
    <col min="13312" max="13312" width="35.85546875" style="50" customWidth="1"/>
    <col min="13313" max="13313" width="97.7109375" style="50" customWidth="1"/>
    <col min="13314" max="13314" width="31.7109375" style="50" customWidth="1"/>
    <col min="13315" max="13315" width="13.7109375" style="50" bestFit="1" customWidth="1"/>
    <col min="13316" max="13566" width="9.140625" style="50"/>
    <col min="13567" max="13567" width="21.85546875" style="50" customWidth="1"/>
    <col min="13568" max="13568" width="35.85546875" style="50" customWidth="1"/>
    <col min="13569" max="13569" width="97.7109375" style="50" customWidth="1"/>
    <col min="13570" max="13570" width="31.7109375" style="50" customWidth="1"/>
    <col min="13571" max="13571" width="13.7109375" style="50" bestFit="1" customWidth="1"/>
    <col min="13572" max="13822" width="9.140625" style="50"/>
    <col min="13823" max="13823" width="21.85546875" style="50" customWidth="1"/>
    <col min="13824" max="13824" width="35.85546875" style="50" customWidth="1"/>
    <col min="13825" max="13825" width="97.7109375" style="50" customWidth="1"/>
    <col min="13826" max="13826" width="31.7109375" style="50" customWidth="1"/>
    <col min="13827" max="13827" width="13.7109375" style="50" bestFit="1" customWidth="1"/>
    <col min="13828" max="14078" width="9.140625" style="50"/>
    <col min="14079" max="14079" width="21.85546875" style="50" customWidth="1"/>
    <col min="14080" max="14080" width="35.85546875" style="50" customWidth="1"/>
    <col min="14081" max="14081" width="97.7109375" style="50" customWidth="1"/>
    <col min="14082" max="14082" width="31.7109375" style="50" customWidth="1"/>
    <col min="14083" max="14083" width="13.7109375" style="50" bestFit="1" customWidth="1"/>
    <col min="14084" max="14334" width="9.140625" style="50"/>
    <col min="14335" max="14335" width="21.85546875" style="50" customWidth="1"/>
    <col min="14336" max="14336" width="35.85546875" style="50" customWidth="1"/>
    <col min="14337" max="14337" width="97.7109375" style="50" customWidth="1"/>
    <col min="14338" max="14338" width="31.7109375" style="50" customWidth="1"/>
    <col min="14339" max="14339" width="13.7109375" style="50" bestFit="1" customWidth="1"/>
    <col min="14340" max="14590" width="9.140625" style="50"/>
    <col min="14591" max="14591" width="21.85546875" style="50" customWidth="1"/>
    <col min="14592" max="14592" width="35.85546875" style="50" customWidth="1"/>
    <col min="14593" max="14593" width="97.7109375" style="50" customWidth="1"/>
    <col min="14594" max="14594" width="31.7109375" style="50" customWidth="1"/>
    <col min="14595" max="14595" width="13.7109375" style="50" bestFit="1" customWidth="1"/>
    <col min="14596" max="14846" width="9.140625" style="50"/>
    <col min="14847" max="14847" width="21.85546875" style="50" customWidth="1"/>
    <col min="14848" max="14848" width="35.85546875" style="50" customWidth="1"/>
    <col min="14849" max="14849" width="97.7109375" style="50" customWidth="1"/>
    <col min="14850" max="14850" width="31.7109375" style="50" customWidth="1"/>
    <col min="14851" max="14851" width="13.7109375" style="50" bestFit="1" customWidth="1"/>
    <col min="14852" max="15102" width="9.140625" style="50"/>
    <col min="15103" max="15103" width="21.85546875" style="50" customWidth="1"/>
    <col min="15104" max="15104" width="35.85546875" style="50" customWidth="1"/>
    <col min="15105" max="15105" width="97.7109375" style="50" customWidth="1"/>
    <col min="15106" max="15106" width="31.7109375" style="50" customWidth="1"/>
    <col min="15107" max="15107" width="13.7109375" style="50" bestFit="1" customWidth="1"/>
    <col min="15108" max="15358" width="9.140625" style="50"/>
    <col min="15359" max="15359" width="21.85546875" style="50" customWidth="1"/>
    <col min="15360" max="15360" width="35.85546875" style="50" customWidth="1"/>
    <col min="15361" max="15361" width="97.7109375" style="50" customWidth="1"/>
    <col min="15362" max="15362" width="31.7109375" style="50" customWidth="1"/>
    <col min="15363" max="15363" width="13.7109375" style="50" bestFit="1" customWidth="1"/>
    <col min="15364" max="15614" width="9.140625" style="50"/>
    <col min="15615" max="15615" width="21.85546875" style="50" customWidth="1"/>
    <col min="15616" max="15616" width="35.85546875" style="50" customWidth="1"/>
    <col min="15617" max="15617" width="97.7109375" style="50" customWidth="1"/>
    <col min="15618" max="15618" width="31.7109375" style="50" customWidth="1"/>
    <col min="15619" max="15619" width="13.7109375" style="50" bestFit="1" customWidth="1"/>
    <col min="15620" max="15870" width="9.140625" style="50"/>
    <col min="15871" max="15871" width="21.85546875" style="50" customWidth="1"/>
    <col min="15872" max="15872" width="35.85546875" style="50" customWidth="1"/>
    <col min="15873" max="15873" width="97.7109375" style="50" customWidth="1"/>
    <col min="15874" max="15874" width="31.7109375" style="50" customWidth="1"/>
    <col min="15875" max="15875" width="13.7109375" style="50" bestFit="1" customWidth="1"/>
    <col min="15876" max="16126" width="9.140625" style="50"/>
    <col min="16127" max="16127" width="21.85546875" style="50" customWidth="1"/>
    <col min="16128" max="16128" width="35.85546875" style="50" customWidth="1"/>
    <col min="16129" max="16129" width="97.7109375" style="50" customWidth="1"/>
    <col min="16130" max="16130" width="31.7109375" style="50" customWidth="1"/>
    <col min="16131" max="16131" width="13.7109375" style="50" bestFit="1" customWidth="1"/>
    <col min="16132" max="16384" width="9.140625" style="50"/>
  </cols>
  <sheetData>
    <row r="1" spans="1:13" ht="15.75" hidden="1" thickBot="1" x14ac:dyDescent="0.3"/>
    <row r="2" spans="1:13" hidden="1" x14ac:dyDescent="0.25">
      <c r="B2" s="845" t="str">
        <f>"Preassigned Rows Indicating Payment or Scheduling by " &amp;Profit!E1&amp;" Your Home"</f>
        <v>Preassigned Rows Indicating Payment or Scheduling by Buy Your Home</v>
      </c>
      <c r="C2" s="846"/>
      <c r="E2" s="50"/>
    </row>
    <row r="3" spans="1:13" ht="15.75" hidden="1" thickBot="1" x14ac:dyDescent="0.3">
      <c r="B3" s="847"/>
      <c r="C3" s="848"/>
      <c r="E3" s="50"/>
    </row>
    <row r="4" spans="1:13" hidden="1" x14ac:dyDescent="0.25">
      <c r="B4" s="853" t="s">
        <v>230</v>
      </c>
      <c r="C4" s="854"/>
      <c r="E4" s="50"/>
    </row>
    <row r="5" spans="1:13" ht="15.75" hidden="1" thickBot="1" x14ac:dyDescent="0.3">
      <c r="B5" s="855"/>
      <c r="C5" s="856"/>
      <c r="E5" s="50"/>
    </row>
    <row r="6" spans="1:13" hidden="1" x14ac:dyDescent="0.25">
      <c r="B6" s="849" t="s">
        <v>231</v>
      </c>
      <c r="C6" s="850"/>
      <c r="E6" s="50"/>
    </row>
    <row r="7" spans="1:13" ht="15.75" hidden="1" thickBot="1" x14ac:dyDescent="0.3">
      <c r="B7" s="851"/>
      <c r="C7" s="852"/>
    </row>
    <row r="8" spans="1:13" hidden="1" x14ac:dyDescent="0.25">
      <c r="B8" s="857" t="s">
        <v>232</v>
      </c>
      <c r="C8" s="858"/>
    </row>
    <row r="9" spans="1:13" ht="15.75" hidden="1" thickBot="1" x14ac:dyDescent="0.3">
      <c r="B9" s="859"/>
      <c r="C9" s="860"/>
    </row>
    <row r="10" spans="1:13" hidden="1" x14ac:dyDescent="0.25"/>
    <row r="11" spans="1:13" s="44" customFormat="1" ht="15.75" thickBot="1" x14ac:dyDescent="0.3">
      <c r="A11" s="43" t="s">
        <v>233</v>
      </c>
      <c r="B11" s="43" t="s">
        <v>234</v>
      </c>
      <c r="C11" s="43" t="s">
        <v>235</v>
      </c>
      <c r="D11" s="60" t="s">
        <v>236</v>
      </c>
      <c r="E11" s="61" t="s">
        <v>237</v>
      </c>
      <c r="G11" s="50"/>
      <c r="H11" s="50"/>
      <c r="I11" s="50"/>
      <c r="J11" s="50"/>
      <c r="K11" s="50"/>
      <c r="L11" s="50"/>
      <c r="M11" s="50"/>
    </row>
    <row r="12" spans="1:13" s="44" customFormat="1" ht="15.75" thickTop="1" x14ac:dyDescent="0.25">
      <c r="A12" s="46" t="s">
        <v>238</v>
      </c>
      <c r="B12" s="46" t="s">
        <v>238</v>
      </c>
      <c r="C12" s="46" t="s">
        <v>239</v>
      </c>
      <c r="D12" s="58">
        <v>0</v>
      </c>
      <c r="E12" s="59"/>
      <c r="G12" s="50"/>
      <c r="H12" s="50"/>
      <c r="I12" s="50"/>
      <c r="J12" s="50"/>
      <c r="K12" s="50"/>
      <c r="L12" s="50"/>
      <c r="M12" s="50"/>
    </row>
    <row r="13" spans="1:13" s="44" customFormat="1" x14ac:dyDescent="0.25">
      <c r="A13" s="46" t="s">
        <v>240</v>
      </c>
      <c r="B13" s="46" t="s">
        <v>241</v>
      </c>
      <c r="C13" s="46" t="s">
        <v>242</v>
      </c>
      <c r="D13" s="58">
        <v>0</v>
      </c>
      <c r="E13" s="59"/>
      <c r="G13" s="50"/>
      <c r="H13" s="50"/>
      <c r="I13" s="50"/>
      <c r="J13" s="50"/>
      <c r="K13" s="50"/>
      <c r="L13" s="50"/>
      <c r="M13" s="50"/>
    </row>
    <row r="14" spans="1:13" s="44" customFormat="1" x14ac:dyDescent="0.25">
      <c r="A14" s="46" t="s">
        <v>240</v>
      </c>
      <c r="B14" s="46" t="s">
        <v>243</v>
      </c>
      <c r="C14" s="46" t="s">
        <v>243</v>
      </c>
      <c r="D14" s="58">
        <v>0</v>
      </c>
      <c r="E14" s="59"/>
      <c r="G14" s="50"/>
      <c r="H14" s="50"/>
      <c r="I14" s="50"/>
      <c r="J14" s="50"/>
      <c r="K14" s="50"/>
      <c r="L14" s="50"/>
      <c r="M14" s="50"/>
    </row>
    <row r="15" spans="1:13" s="44" customFormat="1" x14ac:dyDescent="0.25">
      <c r="A15" s="46"/>
      <c r="B15" s="46" t="s">
        <v>244</v>
      </c>
      <c r="C15" s="46" t="s">
        <v>245</v>
      </c>
      <c r="D15" s="58">
        <v>6</v>
      </c>
      <c r="E15" s="59"/>
      <c r="G15" s="50"/>
      <c r="H15" s="50"/>
      <c r="I15" s="50"/>
      <c r="J15" s="50"/>
      <c r="K15" s="50"/>
      <c r="L15" s="50"/>
      <c r="M15" s="50"/>
    </row>
    <row r="16" spans="1:13" s="44" customFormat="1" x14ac:dyDescent="0.25">
      <c r="A16" s="47" t="s">
        <v>246</v>
      </c>
      <c r="B16" s="47" t="s">
        <v>247</v>
      </c>
      <c r="C16" s="47" t="s">
        <v>600</v>
      </c>
      <c r="D16" s="48">
        <v>0</v>
      </c>
      <c r="E16" s="49">
        <v>0</v>
      </c>
      <c r="G16" s="50"/>
      <c r="H16" s="50"/>
      <c r="I16" s="50"/>
      <c r="J16" s="50"/>
      <c r="K16" s="50"/>
      <c r="L16" s="50"/>
      <c r="M16" s="50"/>
    </row>
    <row r="17" spans="1:13" s="44" customFormat="1" x14ac:dyDescent="0.25">
      <c r="A17" s="47" t="s">
        <v>248</v>
      </c>
      <c r="B17" s="47" t="s">
        <v>247</v>
      </c>
      <c r="C17" s="47" t="s">
        <v>595</v>
      </c>
      <c r="D17" s="48">
        <v>0</v>
      </c>
      <c r="E17" s="49">
        <v>0</v>
      </c>
      <c r="G17" s="50"/>
      <c r="H17" s="50"/>
      <c r="I17" s="50"/>
      <c r="J17" s="50"/>
      <c r="K17" s="50"/>
      <c r="L17" s="50"/>
      <c r="M17" s="50"/>
    </row>
    <row r="18" spans="1:13" s="44" customFormat="1" x14ac:dyDescent="0.25">
      <c r="A18" s="47" t="s">
        <v>249</v>
      </c>
      <c r="B18" s="47" t="s">
        <v>247</v>
      </c>
      <c r="C18" s="47" t="s">
        <v>596</v>
      </c>
      <c r="D18" s="48">
        <v>0</v>
      </c>
      <c r="E18" s="49">
        <v>0</v>
      </c>
      <c r="G18" s="50"/>
      <c r="H18" s="50"/>
      <c r="I18" s="50"/>
      <c r="J18" s="50"/>
      <c r="K18" s="50"/>
      <c r="L18" s="50"/>
      <c r="M18" s="50"/>
    </row>
    <row r="19" spans="1:13" s="44" customFormat="1" x14ac:dyDescent="0.25">
      <c r="A19" s="47" t="s">
        <v>250</v>
      </c>
      <c r="B19" s="47" t="s">
        <v>247</v>
      </c>
      <c r="C19" s="47" t="s">
        <v>597</v>
      </c>
      <c r="D19" s="48">
        <v>0</v>
      </c>
      <c r="E19" s="49">
        <v>0</v>
      </c>
      <c r="G19" s="50"/>
      <c r="H19" s="50"/>
      <c r="I19" s="50"/>
      <c r="J19" s="50"/>
      <c r="K19" s="50"/>
      <c r="L19" s="50"/>
      <c r="M19" s="50"/>
    </row>
    <row r="20" spans="1:13" s="44" customFormat="1" x14ac:dyDescent="0.25">
      <c r="A20" s="47" t="s">
        <v>251</v>
      </c>
      <c r="B20" s="47" t="s">
        <v>247</v>
      </c>
      <c r="C20" s="47" t="s">
        <v>598</v>
      </c>
      <c r="D20" s="48">
        <v>0</v>
      </c>
      <c r="E20" s="49">
        <v>0</v>
      </c>
      <c r="G20" s="45"/>
    </row>
    <row r="21" spans="1:13" x14ac:dyDescent="0.25">
      <c r="A21" s="252"/>
      <c r="B21" s="252"/>
      <c r="C21" s="252"/>
      <c r="D21" s="273"/>
      <c r="E21" s="274"/>
    </row>
    <row r="22" spans="1:13" x14ac:dyDescent="0.25">
      <c r="A22" s="256"/>
      <c r="B22" s="256"/>
      <c r="C22" s="256"/>
      <c r="D22" s="258"/>
      <c r="E22" s="259"/>
    </row>
    <row r="23" spans="1:13" x14ac:dyDescent="0.25">
      <c r="A23" s="256"/>
      <c r="B23" s="252"/>
      <c r="C23" s="252"/>
      <c r="D23" s="273"/>
      <c r="E23" s="274"/>
    </row>
    <row r="24" spans="1:13" x14ac:dyDescent="0.25">
      <c r="A24" s="252"/>
      <c r="B24" s="252"/>
      <c r="C24" s="252"/>
      <c r="D24" s="273"/>
      <c r="E24" s="274"/>
    </row>
    <row r="25" spans="1:13" x14ac:dyDescent="0.25">
      <c r="A25" s="252"/>
      <c r="B25" s="252"/>
      <c r="C25" s="252"/>
      <c r="D25" s="273"/>
      <c r="E25" s="274"/>
    </row>
    <row r="26" spans="1:13" x14ac:dyDescent="0.25">
      <c r="A26" s="252"/>
      <c r="B26" s="252"/>
      <c r="C26" s="252"/>
      <c r="D26" s="273"/>
      <c r="E26" s="274"/>
    </row>
    <row r="27" spans="1:13" x14ac:dyDescent="0.25">
      <c r="A27" s="252"/>
      <c r="B27" s="252"/>
      <c r="C27" s="252"/>
      <c r="D27" s="273"/>
      <c r="E27" s="274"/>
    </row>
    <row r="28" spans="1:13" x14ac:dyDescent="0.25">
      <c r="A28" s="252"/>
      <c r="B28" s="252"/>
      <c r="C28" s="252"/>
      <c r="D28" s="273"/>
      <c r="E28" s="274"/>
    </row>
    <row r="29" spans="1:13" x14ac:dyDescent="0.25">
      <c r="A29" s="252"/>
      <c r="B29" s="252"/>
      <c r="C29" s="252"/>
      <c r="D29" s="273"/>
      <c r="E29" s="274"/>
    </row>
    <row r="30" spans="1:13" x14ac:dyDescent="0.25">
      <c r="A30" s="252"/>
      <c r="B30" s="252"/>
      <c r="C30" s="252"/>
      <c r="D30" s="273"/>
      <c r="E30" s="274"/>
    </row>
    <row r="31" spans="1:13" x14ac:dyDescent="0.25">
      <c r="A31" s="252"/>
      <c r="B31" s="252"/>
      <c r="C31" s="252"/>
      <c r="D31" s="273"/>
      <c r="E31" s="274"/>
    </row>
    <row r="32" spans="1:13" x14ac:dyDescent="0.25">
      <c r="A32" s="252"/>
      <c r="B32" s="252"/>
      <c r="C32" s="252"/>
      <c r="D32" s="273"/>
      <c r="E32" s="274"/>
    </row>
    <row r="33" spans="1:7" x14ac:dyDescent="0.25">
      <c r="A33" s="252"/>
      <c r="B33" s="252"/>
      <c r="C33" s="252"/>
      <c r="D33" s="273"/>
      <c r="E33" s="274"/>
    </row>
    <row r="34" spans="1:7" x14ac:dyDescent="0.25">
      <c r="A34" s="252"/>
      <c r="B34" s="252"/>
      <c r="C34" s="256"/>
      <c r="D34" s="273"/>
      <c r="E34" s="274"/>
    </row>
    <row r="35" spans="1:7" x14ac:dyDescent="0.25">
      <c r="A35" s="252"/>
      <c r="B35" s="252"/>
      <c r="C35" s="252"/>
      <c r="D35" s="273"/>
      <c r="E35" s="274"/>
    </row>
    <row r="36" spans="1:7" x14ac:dyDescent="0.25">
      <c r="A36" s="252"/>
      <c r="B36" s="252"/>
      <c r="C36" s="252"/>
      <c r="D36" s="273"/>
      <c r="E36" s="274"/>
    </row>
    <row r="37" spans="1:7" x14ac:dyDescent="0.25">
      <c r="A37" s="252"/>
      <c r="B37" s="252"/>
      <c r="C37" s="252"/>
      <c r="D37" s="273"/>
      <c r="E37" s="274"/>
    </row>
    <row r="38" spans="1:7" x14ac:dyDescent="0.25">
      <c r="A38" s="252"/>
      <c r="B38" s="252"/>
      <c r="C38" s="252"/>
      <c r="D38" s="273"/>
      <c r="E38" s="274"/>
    </row>
    <row r="39" spans="1:7" x14ac:dyDescent="0.25">
      <c r="A39" s="252"/>
      <c r="B39" s="252"/>
      <c r="C39" s="252"/>
      <c r="D39" s="273"/>
      <c r="E39" s="274"/>
    </row>
    <row r="40" spans="1:7" x14ac:dyDescent="0.25">
      <c r="A40" s="252"/>
      <c r="B40" s="252"/>
      <c r="C40" s="252"/>
      <c r="D40" s="273"/>
      <c r="E40" s="274"/>
    </row>
    <row r="41" spans="1:7" x14ac:dyDescent="0.25">
      <c r="A41" s="252"/>
      <c r="B41" s="252"/>
      <c r="C41" s="252"/>
      <c r="D41" s="273"/>
      <c r="E41" s="274"/>
    </row>
    <row r="42" spans="1:7" x14ac:dyDescent="0.25">
      <c r="A42" s="252"/>
      <c r="B42" s="252"/>
      <c r="C42" s="252"/>
      <c r="D42" s="273"/>
      <c r="E42" s="274"/>
    </row>
    <row r="43" spans="1:7" x14ac:dyDescent="0.25">
      <c r="A43" s="252"/>
      <c r="B43" s="252"/>
      <c r="C43" s="252"/>
      <c r="D43" s="273"/>
      <c r="E43" s="274"/>
    </row>
    <row r="44" spans="1:7" x14ac:dyDescent="0.25">
      <c r="A44" s="252"/>
      <c r="B44" s="252"/>
      <c r="C44" s="252"/>
      <c r="D44" s="273"/>
      <c r="E44" s="274"/>
    </row>
    <row r="45" spans="1:7" x14ac:dyDescent="0.25">
      <c r="A45" s="252"/>
      <c r="B45" s="252"/>
      <c r="C45" s="252"/>
      <c r="D45" s="273"/>
      <c r="E45" s="274"/>
    </row>
    <row r="46" spans="1:7" x14ac:dyDescent="0.25">
      <c r="A46" s="252"/>
      <c r="B46" s="252"/>
      <c r="C46" s="252"/>
      <c r="D46" s="273"/>
      <c r="E46" s="274"/>
    </row>
    <row r="47" spans="1:7" s="44" customFormat="1" x14ac:dyDescent="0.25">
      <c r="A47" s="47"/>
      <c r="B47" s="47"/>
      <c r="C47" s="47"/>
      <c r="D47" s="48"/>
      <c r="E47" s="49"/>
      <c r="G47" s="45"/>
    </row>
    <row r="48" spans="1:7" x14ac:dyDescent="0.25">
      <c r="A48" s="336"/>
      <c r="B48" s="336"/>
      <c r="C48" s="336"/>
      <c r="D48" s="337"/>
      <c r="E48" s="338"/>
    </row>
    <row r="49" spans="1:5" x14ac:dyDescent="0.25">
      <c r="A49" s="336"/>
      <c r="B49" s="336"/>
      <c r="C49" s="336"/>
      <c r="D49" s="337"/>
      <c r="E49" s="338"/>
    </row>
    <row r="50" spans="1:5" x14ac:dyDescent="0.25">
      <c r="A50" s="336"/>
      <c r="B50" s="336"/>
      <c r="C50" s="336"/>
      <c r="D50" s="337"/>
      <c r="E50" s="338"/>
    </row>
    <row r="51" spans="1:5" x14ac:dyDescent="0.25">
      <c r="A51" s="336"/>
      <c r="B51" s="336"/>
      <c r="C51" s="336"/>
      <c r="D51" s="337"/>
      <c r="E51" s="338"/>
    </row>
    <row r="52" spans="1:5" x14ac:dyDescent="0.25">
      <c r="A52" s="336"/>
      <c r="B52" s="336"/>
      <c r="C52" s="336"/>
      <c r="D52" s="337"/>
      <c r="E52" s="338"/>
    </row>
    <row r="53" spans="1:5" x14ac:dyDescent="0.25">
      <c r="A53" s="336"/>
      <c r="B53" s="336"/>
      <c r="C53" s="336"/>
      <c r="D53" s="337"/>
      <c r="E53" s="338"/>
    </row>
    <row r="54" spans="1:5" x14ac:dyDescent="0.25">
      <c r="A54" s="336"/>
      <c r="B54" s="336"/>
      <c r="C54" s="336"/>
      <c r="D54" s="337"/>
      <c r="E54" s="338"/>
    </row>
    <row r="55" spans="1:5" x14ac:dyDescent="0.25">
      <c r="A55" s="336"/>
      <c r="B55" s="336"/>
      <c r="C55" s="336"/>
      <c r="D55" s="337"/>
      <c r="E55" s="338"/>
    </row>
    <row r="56" spans="1:5" x14ac:dyDescent="0.25">
      <c r="A56" s="336"/>
      <c r="B56" s="336"/>
      <c r="C56" s="336"/>
      <c r="D56" s="337"/>
      <c r="E56" s="338"/>
    </row>
    <row r="57" spans="1:5" x14ac:dyDescent="0.25">
      <c r="A57" s="336"/>
      <c r="B57" s="336"/>
      <c r="C57" s="336"/>
      <c r="D57" s="337"/>
      <c r="E57" s="338"/>
    </row>
    <row r="58" spans="1:5" x14ac:dyDescent="0.25">
      <c r="A58" s="252"/>
      <c r="B58" s="252"/>
      <c r="C58" s="252"/>
      <c r="D58" s="273"/>
      <c r="E58" s="274"/>
    </row>
    <row r="59" spans="1:5" x14ac:dyDescent="0.25">
      <c r="A59" s="252"/>
      <c r="B59" s="252"/>
      <c r="C59" s="252"/>
      <c r="D59" s="273"/>
      <c r="E59" s="274"/>
    </row>
    <row r="60" spans="1:5" x14ac:dyDescent="0.25">
      <c r="A60" s="293"/>
      <c r="B60" s="293"/>
      <c r="C60" s="293"/>
      <c r="D60" s="294"/>
      <c r="E60" s="295"/>
    </row>
    <row r="61" spans="1:5" x14ac:dyDescent="0.25">
      <c r="A61" s="293"/>
      <c r="B61" s="293"/>
      <c r="C61" s="293"/>
      <c r="D61" s="294"/>
      <c r="E61" s="295"/>
    </row>
    <row r="62" spans="1:5" x14ac:dyDescent="0.25">
      <c r="A62" s="293"/>
      <c r="B62" s="293"/>
      <c r="C62" s="293"/>
      <c r="D62" s="294"/>
      <c r="E62" s="295"/>
    </row>
    <row r="63" spans="1:5" x14ac:dyDescent="0.25">
      <c r="A63" s="293"/>
      <c r="B63" s="293"/>
      <c r="C63" s="293"/>
      <c r="D63" s="294"/>
      <c r="E63" s="295"/>
    </row>
    <row r="64" spans="1:5" x14ac:dyDescent="0.25">
      <c r="A64" s="299"/>
      <c r="B64" s="299"/>
      <c r="C64" s="299"/>
      <c r="D64" s="294"/>
      <c r="E64" s="295"/>
    </row>
    <row r="65" spans="1:5" x14ac:dyDescent="0.25">
      <c r="A65" s="299"/>
      <c r="B65" s="299"/>
      <c r="C65" s="299"/>
      <c r="D65" s="300"/>
      <c r="E65" s="301"/>
    </row>
    <row r="66" spans="1:5" x14ac:dyDescent="0.25">
      <c r="A66" s="299"/>
      <c r="B66" s="299"/>
      <c r="C66" s="299"/>
      <c r="D66" s="294"/>
      <c r="E66" s="295"/>
    </row>
    <row r="67" spans="1:5" x14ac:dyDescent="0.25">
      <c r="A67" s="299"/>
      <c r="B67" s="299"/>
      <c r="C67" s="299"/>
      <c r="D67" s="300"/>
      <c r="E67" s="301"/>
    </row>
    <row r="68" spans="1:5" x14ac:dyDescent="0.25">
      <c r="A68" s="299"/>
      <c r="B68" s="299"/>
      <c r="C68" s="299"/>
      <c r="D68" s="294"/>
      <c r="E68" s="295"/>
    </row>
    <row r="69" spans="1:5" x14ac:dyDescent="0.25">
      <c r="A69" s="299"/>
      <c r="B69" s="299"/>
      <c r="C69" s="299"/>
      <c r="D69" s="300"/>
      <c r="E69" s="301"/>
    </row>
    <row r="70" spans="1:5" x14ac:dyDescent="0.25">
      <c r="A70" s="299"/>
      <c r="B70" s="299"/>
      <c r="C70" s="299"/>
      <c r="D70" s="294"/>
      <c r="E70" s="295"/>
    </row>
    <row r="71" spans="1:5" x14ac:dyDescent="0.25">
      <c r="A71" s="299"/>
      <c r="B71" s="299"/>
      <c r="C71" s="299"/>
      <c r="D71" s="300"/>
      <c r="E71" s="301"/>
    </row>
  </sheetData>
  <mergeCells count="4">
    <mergeCell ref="B2:C3"/>
    <mergeCell ref="B6:C7"/>
    <mergeCell ref="B4:C5"/>
    <mergeCell ref="B8:C9"/>
  </mergeCells>
  <phoneticPr fontId="22"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O1" sqref="O1:S3"/>
    </sheetView>
  </sheetViews>
  <sheetFormatPr defaultRowHeight="15" x14ac:dyDescent="0.25"/>
  <cols>
    <col min="1" max="1" width="14.140625" style="68" bestFit="1" customWidth="1"/>
    <col min="2" max="2" width="9.7109375" style="66" bestFit="1" customWidth="1"/>
    <col min="3" max="3" width="18.5703125" style="68" bestFit="1" customWidth="1"/>
    <col min="4" max="4" width="13.5703125" style="68" bestFit="1" customWidth="1"/>
    <col min="5" max="5" width="37.28515625" style="68" bestFit="1" customWidth="1"/>
    <col min="6" max="6" width="8.7109375" style="68" bestFit="1" customWidth="1"/>
    <col min="7" max="7" width="14.28515625" style="107" bestFit="1" customWidth="1"/>
    <col min="8" max="8" width="10" style="107" bestFit="1" customWidth="1"/>
    <col min="9" max="9" width="10.28515625" style="255" bestFit="1" customWidth="1"/>
    <col min="10" max="10" width="11.140625" style="66" bestFit="1" customWidth="1"/>
    <col min="11" max="11" width="14.28515625" style="103" bestFit="1" customWidth="1"/>
    <col min="12" max="12" width="9.7109375" style="67" bestFit="1" customWidth="1"/>
    <col min="13" max="13" width="9.42578125" style="66" bestFit="1" customWidth="1"/>
    <col min="14" max="14" width="19" style="68"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70" t="s">
        <v>253</v>
      </c>
      <c r="B1" s="871"/>
      <c r="C1" s="871"/>
      <c r="D1" s="871"/>
      <c r="E1" s="871"/>
      <c r="F1" s="871"/>
      <c r="G1" s="871"/>
      <c r="H1" s="872"/>
      <c r="I1" s="861" t="s">
        <v>254</v>
      </c>
      <c r="J1" s="862"/>
      <c r="K1" s="862"/>
      <c r="L1" s="862"/>
      <c r="M1" s="862"/>
      <c r="N1" s="863"/>
      <c r="P1" s="30" t="s">
        <v>255</v>
      </c>
      <c r="Q1" s="15">
        <v>1</v>
      </c>
      <c r="R1" s="55" t="s">
        <v>256</v>
      </c>
      <c r="S1" s="15">
        <v>4</v>
      </c>
    </row>
    <row r="2" spans="1:19" x14ac:dyDescent="0.25">
      <c r="A2" s="873"/>
      <c r="B2" s="751"/>
      <c r="C2" s="751"/>
      <c r="D2" s="751"/>
      <c r="E2" s="751"/>
      <c r="F2" s="751"/>
      <c r="G2" s="751"/>
      <c r="H2" s="874"/>
      <c r="I2" s="864"/>
      <c r="J2" s="865"/>
      <c r="K2" s="865"/>
      <c r="L2" s="865"/>
      <c r="M2" s="865"/>
      <c r="N2" s="866"/>
      <c r="P2" s="30" t="s">
        <v>257</v>
      </c>
      <c r="Q2" s="15">
        <v>2</v>
      </c>
      <c r="R2" s="30" t="s">
        <v>258</v>
      </c>
      <c r="S2" s="15">
        <v>0</v>
      </c>
    </row>
    <row r="3" spans="1:19" ht="15.75" thickBot="1" x14ac:dyDescent="0.3">
      <c r="A3" s="875"/>
      <c r="B3" s="876"/>
      <c r="C3" s="876"/>
      <c r="D3" s="876"/>
      <c r="E3" s="876"/>
      <c r="F3" s="876"/>
      <c r="G3" s="876"/>
      <c r="H3" s="877"/>
      <c r="I3" s="867"/>
      <c r="J3" s="868"/>
      <c r="K3" s="868"/>
      <c r="L3" s="868"/>
      <c r="M3" s="868"/>
      <c r="N3" s="869"/>
      <c r="P3" s="30" t="s">
        <v>599</v>
      </c>
      <c r="Q3" s="15">
        <v>3</v>
      </c>
      <c r="R3" s="15" t="s">
        <v>259</v>
      </c>
      <c r="S3" s="15">
        <v>5</v>
      </c>
    </row>
    <row r="4" spans="1:19" s="57" customFormat="1" ht="30.75" thickTop="1" x14ac:dyDescent="0.25">
      <c r="A4" s="104" t="s">
        <v>260</v>
      </c>
      <c r="B4" s="105" t="s">
        <v>261</v>
      </c>
      <c r="C4" s="104" t="s">
        <v>262</v>
      </c>
      <c r="D4" s="104" t="s">
        <v>263</v>
      </c>
      <c r="E4" s="104" t="s">
        <v>264</v>
      </c>
      <c r="F4" s="104" t="s">
        <v>236</v>
      </c>
      <c r="G4" s="106" t="s">
        <v>237</v>
      </c>
      <c r="H4" s="106" t="s">
        <v>265</v>
      </c>
      <c r="I4" s="253" t="s">
        <v>266</v>
      </c>
      <c r="J4" s="63" t="s">
        <v>267</v>
      </c>
      <c r="K4" s="268" t="s">
        <v>268</v>
      </c>
      <c r="L4" s="63" t="s">
        <v>269</v>
      </c>
      <c r="M4" s="63" t="s">
        <v>270</v>
      </c>
      <c r="N4" s="63" t="s">
        <v>142</v>
      </c>
    </row>
    <row r="5" spans="1:19" x14ac:dyDescent="0.25">
      <c r="A5" s="68" t="str">
        <f>+IF(FromProposal[[#This Row],[Cost Code]]&lt;&gt;0,+'Gnatt Chart'!$A$2,"")</f>
        <v xml:space="preserve">Tim Flemming </v>
      </c>
      <c r="B5" s="66">
        <v>1</v>
      </c>
      <c r="C5" s="68" t="s">
        <v>238</v>
      </c>
      <c r="D5" s="68" t="s">
        <v>238</v>
      </c>
      <c r="E5" s="68" t="s">
        <v>239</v>
      </c>
      <c r="F5" s="68">
        <v>0</v>
      </c>
      <c r="G5" s="307"/>
      <c r="H5" s="307"/>
      <c r="I5" s="254"/>
      <c r="J5" s="64">
        <v>4</v>
      </c>
      <c r="K5" s="272">
        <v>45363</v>
      </c>
      <c r="L5" s="64"/>
      <c r="M5" s="271"/>
      <c r="N5" s="65"/>
    </row>
    <row r="6" spans="1:19" x14ac:dyDescent="0.25">
      <c r="A6" s="68" t="str">
        <f>+IF(FromProposal[[#This Row],[Cost Code]]&lt;&gt;0,+'Gnatt Chart'!$A$2,"")</f>
        <v xml:space="preserve">Tim Flemming </v>
      </c>
      <c r="B6" s="66">
        <v>2</v>
      </c>
      <c r="C6" s="68" t="s">
        <v>240</v>
      </c>
      <c r="D6" s="68" t="s">
        <v>241</v>
      </c>
      <c r="E6" s="68" t="s">
        <v>242</v>
      </c>
      <c r="F6" s="68">
        <v>0</v>
      </c>
      <c r="G6" s="307"/>
      <c r="H6" s="307"/>
      <c r="I6" s="254"/>
      <c r="J6" s="64">
        <v>4</v>
      </c>
      <c r="K6" s="272"/>
      <c r="L6" s="64"/>
      <c r="M6" s="271"/>
      <c r="N6" s="65"/>
    </row>
    <row r="7" spans="1:19" x14ac:dyDescent="0.25">
      <c r="A7" s="68" t="str">
        <f>+IF(FromProposal[[#This Row],[Cost Code]]&lt;&gt;0,+'Gnatt Chart'!$A$2,"")</f>
        <v xml:space="preserve">Tim Flemming </v>
      </c>
      <c r="B7" s="66">
        <v>3</v>
      </c>
      <c r="C7" s="68" t="s">
        <v>240</v>
      </c>
      <c r="D7" s="68" t="s">
        <v>243</v>
      </c>
      <c r="E7" s="68" t="s">
        <v>243</v>
      </c>
      <c r="F7" s="68">
        <v>0</v>
      </c>
      <c r="G7" s="307"/>
      <c r="H7" s="307"/>
      <c r="I7" s="254"/>
      <c r="J7" s="64">
        <v>4</v>
      </c>
      <c r="K7" s="272"/>
      <c r="L7" s="64"/>
      <c r="M7" s="271"/>
      <c r="N7" s="65"/>
    </row>
    <row r="8" spans="1:19" x14ac:dyDescent="0.25">
      <c r="A8" s="68" t="str">
        <f>+IF(FromProposal[[#This Row],[Cost Code]]&lt;&gt;0,+'Gnatt Chart'!$A$2,"")</f>
        <v/>
      </c>
      <c r="B8" s="66">
        <v>4</v>
      </c>
      <c r="D8" s="68" t="s">
        <v>244</v>
      </c>
      <c r="E8" s="68" t="s">
        <v>245</v>
      </c>
      <c r="F8" s="68">
        <v>6</v>
      </c>
      <c r="G8" s="307"/>
      <c r="H8" s="307"/>
      <c r="I8" s="254"/>
      <c r="J8" s="64">
        <v>5</v>
      </c>
      <c r="K8" s="272"/>
      <c r="L8" s="64"/>
      <c r="M8" s="271"/>
      <c r="N8" s="65"/>
    </row>
    <row r="9" spans="1:19" x14ac:dyDescent="0.25">
      <c r="A9" s="68" t="str">
        <f>+IF(FromProposal[[#This Row],[Cost Code]]&lt;&gt;0,+'Gnatt Chart'!$A$2,"")</f>
        <v xml:space="preserve">Tim Flemming </v>
      </c>
      <c r="B9" s="66">
        <v>5</v>
      </c>
      <c r="C9" s="68" t="s">
        <v>246</v>
      </c>
      <c r="D9" s="68" t="s">
        <v>247</v>
      </c>
      <c r="E9" s="68" t="s">
        <v>600</v>
      </c>
      <c r="F9" s="68">
        <v>0</v>
      </c>
      <c r="G9" s="307">
        <v>0</v>
      </c>
      <c r="H9" s="307">
        <v>0</v>
      </c>
      <c r="I9" s="254"/>
      <c r="J9" s="64"/>
      <c r="K9" s="272"/>
      <c r="L9" s="64"/>
      <c r="M9" s="271"/>
      <c r="N9" s="65"/>
    </row>
    <row r="10" spans="1:19" x14ac:dyDescent="0.25">
      <c r="A10" s="68" t="str">
        <f>+IF(FromProposal[[#This Row],[Cost Code]]&lt;&gt;0,+'Gnatt Chart'!$A$2,"")</f>
        <v xml:space="preserve">Tim Flemming </v>
      </c>
      <c r="B10" s="66">
        <v>6</v>
      </c>
      <c r="C10" s="68" t="s">
        <v>248</v>
      </c>
      <c r="D10" s="68" t="s">
        <v>247</v>
      </c>
      <c r="E10" s="68" t="s">
        <v>595</v>
      </c>
      <c r="F10" s="68">
        <v>0</v>
      </c>
      <c r="G10" s="307">
        <v>0</v>
      </c>
      <c r="H10" s="307">
        <v>0</v>
      </c>
      <c r="I10" s="254"/>
      <c r="J10" s="64"/>
      <c r="K10" s="272"/>
      <c r="L10" s="64"/>
      <c r="M10" s="271"/>
      <c r="N10" s="65"/>
    </row>
    <row r="11" spans="1:19" x14ac:dyDescent="0.25">
      <c r="A11" s="68" t="str">
        <f>+IF(FromProposal[[#This Row],[Cost Code]]&lt;&gt;0,+'Gnatt Chart'!$A$2,"")</f>
        <v xml:space="preserve">Tim Flemming </v>
      </c>
      <c r="B11" s="66">
        <v>7</v>
      </c>
      <c r="C11" s="68" t="s">
        <v>249</v>
      </c>
      <c r="D11" s="68" t="s">
        <v>247</v>
      </c>
      <c r="E11" s="68" t="s">
        <v>596</v>
      </c>
      <c r="F11" s="68">
        <v>0</v>
      </c>
      <c r="G11" s="307">
        <v>0</v>
      </c>
      <c r="H11" s="307">
        <v>0</v>
      </c>
      <c r="I11" s="254"/>
      <c r="J11" s="64"/>
      <c r="K11" s="272"/>
      <c r="L11" s="64"/>
      <c r="M11" s="271"/>
      <c r="N11" s="65"/>
    </row>
    <row r="12" spans="1:19" x14ac:dyDescent="0.25">
      <c r="A12" s="68" t="str">
        <f>+IF(FromProposal[[#This Row],[Cost Code]]&lt;&gt;0,+'Gnatt Chart'!$A$2,"")</f>
        <v xml:space="preserve">Tim Flemming </v>
      </c>
      <c r="B12" s="66">
        <v>8</v>
      </c>
      <c r="C12" s="68" t="s">
        <v>250</v>
      </c>
      <c r="D12" s="68" t="s">
        <v>247</v>
      </c>
      <c r="E12" s="68" t="s">
        <v>597</v>
      </c>
      <c r="F12" s="68">
        <v>0</v>
      </c>
      <c r="G12" s="307">
        <v>0</v>
      </c>
      <c r="H12" s="307">
        <v>0</v>
      </c>
      <c r="I12" s="254"/>
      <c r="J12" s="64"/>
      <c r="K12" s="272"/>
      <c r="L12" s="64"/>
      <c r="M12" s="271"/>
      <c r="N12" s="65"/>
    </row>
    <row r="13" spans="1:19" x14ac:dyDescent="0.25">
      <c r="A13" s="68" t="str">
        <f>+IF(FromProposal[[#This Row],[Cost Code]]&lt;&gt;0,+'Gnatt Chart'!$A$2,"")</f>
        <v xml:space="preserve">Tim Flemming </v>
      </c>
      <c r="B13" s="66">
        <v>9</v>
      </c>
      <c r="C13" s="68" t="s">
        <v>251</v>
      </c>
      <c r="D13" s="68" t="s">
        <v>247</v>
      </c>
      <c r="E13" s="68" t="s">
        <v>598</v>
      </c>
      <c r="F13" s="68">
        <v>0</v>
      </c>
      <c r="G13" s="307">
        <v>0</v>
      </c>
      <c r="H13" s="307">
        <v>0</v>
      </c>
      <c r="I13" s="254"/>
      <c r="J13" s="64"/>
      <c r="K13" s="272"/>
      <c r="L13" s="64"/>
      <c r="M13" s="271"/>
      <c r="N13" s="65"/>
    </row>
    <row r="14" spans="1:19" x14ac:dyDescent="0.25">
      <c r="A14" s="68" t="str">
        <f>+IF(FromProposal[[#This Row],[Cost Code]]&lt;&gt;0,+'Gnatt Chart'!$A$2,"")</f>
        <v/>
      </c>
      <c r="B14" s="66">
        <v>10</v>
      </c>
      <c r="G14" s="306"/>
      <c r="H14" s="306"/>
      <c r="I14" s="254"/>
      <c r="J14" s="64"/>
      <c r="K14" s="272"/>
      <c r="L14" s="64"/>
      <c r="M14" s="271"/>
      <c r="N14" s="65"/>
    </row>
    <row r="15" spans="1:19" x14ac:dyDescent="0.25">
      <c r="A15" s="68" t="str">
        <f>+IF(FromProposal[[#This Row],[Cost Code]]&lt;&gt;0,+'Gnatt Chart'!$A$2,"")</f>
        <v/>
      </c>
      <c r="B15" s="66">
        <v>11</v>
      </c>
      <c r="G15" s="307"/>
      <c r="H15" s="307"/>
      <c r="I15" s="254"/>
      <c r="J15" s="64"/>
      <c r="K15" s="272"/>
      <c r="L15" s="64"/>
      <c r="M15" s="271"/>
      <c r="N15" s="65"/>
    </row>
    <row r="16" spans="1:19" x14ac:dyDescent="0.25">
      <c r="A16" s="68" t="str">
        <f>+IF(FromProposal[[#This Row],[Cost Code]]&lt;&gt;0,+'Gnatt Chart'!$A$2,"")</f>
        <v/>
      </c>
      <c r="B16" s="66">
        <v>12</v>
      </c>
      <c r="G16" s="307"/>
      <c r="H16" s="307"/>
      <c r="I16" s="254"/>
      <c r="J16" s="64"/>
      <c r="K16" s="272"/>
      <c r="L16" s="64"/>
      <c r="M16" s="271"/>
      <c r="N16" s="65"/>
    </row>
    <row r="17" spans="1:14" x14ac:dyDescent="0.25">
      <c r="A17" s="68" t="str">
        <f>+IF(FromProposal[[#This Row],[Cost Code]]&lt;&gt;0,+'Gnatt Chart'!$A$2,"")</f>
        <v/>
      </c>
      <c r="B17" s="66">
        <v>13</v>
      </c>
      <c r="G17" s="307"/>
      <c r="H17" s="307"/>
      <c r="I17" s="254"/>
      <c r="J17" s="64"/>
      <c r="K17" s="272"/>
      <c r="L17" s="64"/>
      <c r="M17" s="271"/>
      <c r="N17" s="65"/>
    </row>
    <row r="18" spans="1:14" x14ac:dyDescent="0.25">
      <c r="A18" s="68" t="str">
        <f>+IF(FromProposal[[#This Row],[Cost Code]]&lt;&gt;0,+'Gnatt Chart'!$A$2,"")</f>
        <v/>
      </c>
      <c r="B18" s="66">
        <v>14</v>
      </c>
      <c r="G18" s="307"/>
      <c r="H18" s="307"/>
      <c r="I18" s="254"/>
      <c r="J18" s="64"/>
      <c r="K18" s="272"/>
      <c r="L18" s="64"/>
      <c r="M18" s="271"/>
      <c r="N18" s="65"/>
    </row>
    <row r="19" spans="1:14" x14ac:dyDescent="0.25">
      <c r="A19" s="68" t="str">
        <f>+IF(FromProposal[[#This Row],[Cost Code]]&lt;&gt;0,+'Gnatt Chart'!$A$2,"")</f>
        <v/>
      </c>
      <c r="B19" s="66">
        <v>15</v>
      </c>
      <c r="G19" s="307"/>
      <c r="H19" s="307"/>
      <c r="I19" s="254"/>
      <c r="J19" s="64"/>
      <c r="K19" s="272"/>
      <c r="L19" s="64"/>
      <c r="M19" s="271"/>
      <c r="N19" s="65"/>
    </row>
    <row r="20" spans="1:14" x14ac:dyDescent="0.25">
      <c r="A20" s="68" t="str">
        <f>+IF(FromProposal[[#This Row],[Cost Code]]&lt;&gt;0,+'Gnatt Chart'!$A$2,"")</f>
        <v/>
      </c>
      <c r="B20" s="66">
        <v>16</v>
      </c>
      <c r="G20" s="307"/>
      <c r="H20" s="307"/>
      <c r="I20" s="254"/>
      <c r="J20" s="64"/>
      <c r="K20" s="272"/>
      <c r="L20" s="64"/>
      <c r="M20" s="271"/>
      <c r="N20" s="65"/>
    </row>
    <row r="21" spans="1:14" x14ac:dyDescent="0.25">
      <c r="A21" s="68" t="str">
        <f>+IF(FromProposal[[#This Row],[Cost Code]]&lt;&gt;0,+'Gnatt Chart'!$A$2,"")</f>
        <v/>
      </c>
      <c r="B21" s="66">
        <v>17</v>
      </c>
      <c r="G21" s="307"/>
      <c r="H21" s="307"/>
      <c r="I21" s="254"/>
      <c r="J21" s="64"/>
      <c r="K21" s="272"/>
      <c r="L21" s="64"/>
      <c r="M21" s="271"/>
      <c r="N21" s="65"/>
    </row>
    <row r="22" spans="1:14" x14ac:dyDescent="0.25">
      <c r="A22" s="68" t="str">
        <f>+IF(FromProposal[[#This Row],[Cost Code]]&lt;&gt;0,+'Gnatt Chart'!$A$2,"")</f>
        <v/>
      </c>
      <c r="B22" s="66">
        <v>18</v>
      </c>
      <c r="G22" s="307"/>
      <c r="H22" s="307"/>
      <c r="I22" s="254"/>
      <c r="J22" s="64"/>
      <c r="K22" s="272"/>
      <c r="L22" s="64"/>
      <c r="M22" s="271"/>
      <c r="N22" s="65" t="s">
        <v>632</v>
      </c>
    </row>
    <row r="23" spans="1:14" x14ac:dyDescent="0.25">
      <c r="A23" s="68" t="str">
        <f>+IF(FromProposal[[#This Row],[Cost Code]]&lt;&gt;0,+'Gnatt Chart'!$A$2,"")</f>
        <v/>
      </c>
      <c r="B23" s="66">
        <v>19</v>
      </c>
      <c r="G23" s="307"/>
      <c r="H23" s="307"/>
      <c r="I23" s="254"/>
      <c r="J23" s="64"/>
      <c r="K23" s="272"/>
      <c r="L23" s="64"/>
      <c r="M23" s="271"/>
      <c r="N23" s="65"/>
    </row>
    <row r="24" spans="1:14" x14ac:dyDescent="0.25">
      <c r="A24" s="68" t="str">
        <f>+IF(FromProposal[[#This Row],[Cost Code]]&lt;&gt;0,+'Gnatt Chart'!$A$2,"")</f>
        <v/>
      </c>
      <c r="B24" s="66">
        <v>20</v>
      </c>
      <c r="G24" s="307"/>
      <c r="H24" s="307"/>
      <c r="I24" s="254"/>
      <c r="J24" s="64"/>
      <c r="K24" s="272"/>
      <c r="L24" s="64"/>
      <c r="M24" s="271"/>
      <c r="N24" s="65"/>
    </row>
    <row r="25" spans="1:14" x14ac:dyDescent="0.25">
      <c r="A25" s="68" t="str">
        <f>+IF(FromProposal[[#This Row],[Cost Code]]&lt;&gt;0,+'Gnatt Chart'!$A$2,"")</f>
        <v/>
      </c>
      <c r="B25" s="66">
        <v>21</v>
      </c>
      <c r="G25" s="307"/>
      <c r="H25" s="307"/>
      <c r="I25" s="254"/>
      <c r="J25" s="64"/>
      <c r="K25" s="272"/>
      <c r="L25" s="64"/>
      <c r="M25" s="271"/>
      <c r="N25" s="65"/>
    </row>
    <row r="26" spans="1:14" x14ac:dyDescent="0.25">
      <c r="A26" s="68" t="str">
        <f>+IF(FromProposal[[#This Row],[Cost Code]]&lt;&gt;0,+'Gnatt Chart'!$A$2,"")</f>
        <v/>
      </c>
      <c r="B26" s="66">
        <v>22</v>
      </c>
      <c r="E26" s="284"/>
      <c r="F26" s="284"/>
      <c r="G26" s="308"/>
      <c r="H26" s="308"/>
      <c r="I26" s="254"/>
      <c r="J26" s="64"/>
      <c r="K26" s="272"/>
      <c r="L26" s="64"/>
      <c r="M26" s="271"/>
      <c r="N26" s="65"/>
    </row>
    <row r="27" spans="1:14" x14ac:dyDescent="0.25">
      <c r="A27" s="68" t="str">
        <f>+IF(FromProposal[[#This Row],[Cost Code]]&lt;&gt;0,+'Gnatt Chart'!$A$2,"")</f>
        <v/>
      </c>
      <c r="B27" s="66">
        <v>23</v>
      </c>
      <c r="G27" s="307"/>
      <c r="H27" s="307"/>
      <c r="I27" s="254"/>
      <c r="J27" s="64"/>
      <c r="K27" s="272"/>
      <c r="L27" s="64"/>
      <c r="M27" s="271"/>
      <c r="N27" s="65"/>
    </row>
    <row r="28" spans="1:14" x14ac:dyDescent="0.25">
      <c r="G28" s="68"/>
      <c r="H28" s="68"/>
      <c r="K28" s="269"/>
    </row>
    <row r="29" spans="1:14" x14ac:dyDescent="0.25">
      <c r="G29" s="68"/>
      <c r="H29" s="68"/>
      <c r="K29" s="269"/>
    </row>
    <row r="30" spans="1:14" x14ac:dyDescent="0.25">
      <c r="G30" s="68"/>
      <c r="H30" s="68"/>
      <c r="K30" s="269"/>
    </row>
    <row r="31" spans="1:14" x14ac:dyDescent="0.25">
      <c r="G31" s="68"/>
      <c r="H31" s="68"/>
      <c r="K31" s="269"/>
    </row>
    <row r="32" spans="1:14" x14ac:dyDescent="0.25">
      <c r="G32" s="68"/>
      <c r="H32" s="68"/>
      <c r="K32" s="269"/>
    </row>
    <row r="33" spans="7:11" x14ac:dyDescent="0.25">
      <c r="G33" s="68"/>
      <c r="H33" s="68"/>
      <c r="K33" s="269"/>
    </row>
    <row r="34" spans="7:11" x14ac:dyDescent="0.25">
      <c r="G34" s="68"/>
      <c r="H34" s="68"/>
      <c r="K34" s="269"/>
    </row>
    <row r="35" spans="7:11" x14ac:dyDescent="0.25">
      <c r="G35" s="68"/>
      <c r="H35" s="68"/>
      <c r="K35" s="269"/>
    </row>
    <row r="36" spans="7:11" x14ac:dyDescent="0.25">
      <c r="G36" s="68"/>
      <c r="H36" s="68"/>
      <c r="K36" s="269"/>
    </row>
    <row r="37" spans="7:11" x14ac:dyDescent="0.25">
      <c r="G37" s="68"/>
      <c r="H37" s="68"/>
      <c r="K37" s="269"/>
    </row>
    <row r="38" spans="7:11" x14ac:dyDescent="0.25">
      <c r="G38" s="68"/>
      <c r="H38" s="68"/>
      <c r="K38" s="269"/>
    </row>
    <row r="39" spans="7:11" x14ac:dyDescent="0.25">
      <c r="G39" s="68"/>
      <c r="H39" s="68"/>
      <c r="K39" s="269"/>
    </row>
    <row r="40" spans="7:11" x14ac:dyDescent="0.25">
      <c r="G40" s="68"/>
      <c r="H40" s="68"/>
      <c r="K40" s="269"/>
    </row>
    <row r="41" spans="7:11" x14ac:dyDescent="0.25">
      <c r="G41" s="68"/>
      <c r="H41" s="68"/>
      <c r="K41" s="269"/>
    </row>
    <row r="42" spans="7:11" x14ac:dyDescent="0.25">
      <c r="G42" s="68"/>
      <c r="H42" s="68"/>
      <c r="K42" s="269"/>
    </row>
    <row r="43" spans="7:11" x14ac:dyDescent="0.25">
      <c r="G43" s="68"/>
      <c r="H43" s="68"/>
      <c r="K43" s="269"/>
    </row>
    <row r="44" spans="7:11" x14ac:dyDescent="0.25">
      <c r="G44" s="68"/>
      <c r="H44" s="68"/>
      <c r="K44" s="269"/>
    </row>
    <row r="45" spans="7:11" x14ac:dyDescent="0.25">
      <c r="G45" s="68"/>
      <c r="H45" s="68"/>
      <c r="K45" s="269"/>
    </row>
    <row r="46" spans="7:11" x14ac:dyDescent="0.25">
      <c r="G46" s="68"/>
      <c r="H46" s="68"/>
      <c r="K46" s="269"/>
    </row>
    <row r="47" spans="7:11" x14ac:dyDescent="0.25">
      <c r="G47" s="68"/>
      <c r="H47" s="68"/>
      <c r="K47" s="269"/>
    </row>
    <row r="48" spans="7:11" x14ac:dyDescent="0.25">
      <c r="G48" s="68"/>
      <c r="H48" s="68"/>
      <c r="K48" s="269"/>
    </row>
    <row r="49" spans="7:11" x14ac:dyDescent="0.25">
      <c r="G49" s="68"/>
      <c r="H49" s="68"/>
      <c r="K49" s="269"/>
    </row>
    <row r="50" spans="7:11" x14ac:dyDescent="0.25">
      <c r="G50" s="68"/>
      <c r="H50" s="68"/>
      <c r="K50" s="269"/>
    </row>
    <row r="51" spans="7:11" x14ac:dyDescent="0.25">
      <c r="G51" s="68"/>
      <c r="H51" s="68"/>
      <c r="K51" s="269"/>
    </row>
    <row r="52" spans="7:11" x14ac:dyDescent="0.25">
      <c r="G52" s="68"/>
      <c r="H52" s="68"/>
      <c r="K52" s="269"/>
    </row>
    <row r="53" spans="7:11" x14ac:dyDescent="0.25">
      <c r="G53" s="68"/>
      <c r="H53" s="68"/>
      <c r="K53" s="269"/>
    </row>
    <row r="54" spans="7:11" x14ac:dyDescent="0.25">
      <c r="G54" s="68"/>
      <c r="H54" s="68"/>
      <c r="K54" s="269"/>
    </row>
    <row r="55" spans="7:11" x14ac:dyDescent="0.25">
      <c r="G55" s="68"/>
      <c r="H55" s="68"/>
      <c r="K55" s="269"/>
    </row>
    <row r="56" spans="7:11" x14ac:dyDescent="0.25">
      <c r="G56" s="68"/>
      <c r="H56" s="68"/>
      <c r="K56" s="269"/>
    </row>
    <row r="57" spans="7:11" x14ac:dyDescent="0.25">
      <c r="G57" s="68"/>
      <c r="H57" s="68"/>
      <c r="K57" s="269"/>
    </row>
    <row r="58" spans="7:11" x14ac:dyDescent="0.25">
      <c r="G58" s="68"/>
      <c r="H58" s="68"/>
      <c r="K58" s="269"/>
    </row>
    <row r="59" spans="7:11" x14ac:dyDescent="0.25">
      <c r="G59" s="68"/>
      <c r="H59" s="68"/>
      <c r="K59" s="269"/>
    </row>
    <row r="60" spans="7:11" x14ac:dyDescent="0.25">
      <c r="G60" s="68"/>
      <c r="H60" s="68"/>
      <c r="K60" s="269"/>
    </row>
    <row r="61" spans="7:11" x14ac:dyDescent="0.25">
      <c r="G61" s="68"/>
      <c r="H61" s="68"/>
      <c r="K61" s="269"/>
    </row>
    <row r="62" spans="7:11" x14ac:dyDescent="0.25">
      <c r="G62" s="68"/>
      <c r="H62" s="68"/>
      <c r="K62" s="269"/>
    </row>
    <row r="63" spans="7:11" x14ac:dyDescent="0.25">
      <c r="G63" s="68"/>
      <c r="H63" s="68"/>
      <c r="K63" s="269"/>
    </row>
    <row r="64" spans="7:11" x14ac:dyDescent="0.25">
      <c r="G64" s="68"/>
      <c r="H64" s="68"/>
      <c r="K64" s="269"/>
    </row>
    <row r="65" spans="7:11" x14ac:dyDescent="0.25">
      <c r="G65" s="68"/>
      <c r="H65" s="68"/>
      <c r="K65" s="269"/>
    </row>
    <row r="66" spans="7:11" x14ac:dyDescent="0.25">
      <c r="G66" s="68"/>
      <c r="H66" s="68"/>
      <c r="K66" s="269"/>
    </row>
    <row r="67" spans="7:11" x14ac:dyDescent="0.25">
      <c r="G67" s="68"/>
      <c r="H67" s="68"/>
      <c r="K67" s="269"/>
    </row>
    <row r="68" spans="7:11" x14ac:dyDescent="0.25">
      <c r="G68" s="68"/>
      <c r="H68" s="68"/>
      <c r="K68" s="269"/>
    </row>
    <row r="69" spans="7:11" x14ac:dyDescent="0.25">
      <c r="K69" s="269"/>
    </row>
    <row r="70" spans="7:11" x14ac:dyDescent="0.25">
      <c r="K70" s="269"/>
    </row>
    <row r="71" spans="7:11" x14ac:dyDescent="0.25">
      <c r="K71" s="269"/>
    </row>
    <row r="72" spans="7:11" x14ac:dyDescent="0.25">
      <c r="K72" s="269"/>
    </row>
    <row r="73" spans="7:11" x14ac:dyDescent="0.25">
      <c r="K73" s="269"/>
    </row>
    <row r="74" spans="7:11" x14ac:dyDescent="0.25">
      <c r="K74" s="269"/>
    </row>
    <row r="75" spans="7:11" x14ac:dyDescent="0.25">
      <c r="K75" s="269"/>
    </row>
    <row r="76" spans="7:11" x14ac:dyDescent="0.25">
      <c r="K76" s="269"/>
    </row>
    <row r="77" spans="7:11" x14ac:dyDescent="0.25">
      <c r="K77" s="269"/>
    </row>
    <row r="78" spans="7:11" x14ac:dyDescent="0.25">
      <c r="K78" s="269"/>
    </row>
    <row r="79" spans="7:11" x14ac:dyDescent="0.25">
      <c r="K79" s="269"/>
    </row>
    <row r="80" spans="7:11" x14ac:dyDescent="0.25">
      <c r="K80" s="269"/>
    </row>
    <row r="81" spans="11:11" x14ac:dyDescent="0.25">
      <c r="K81" s="269"/>
    </row>
    <row r="82" spans="11:11" x14ac:dyDescent="0.25">
      <c r="K82" s="269"/>
    </row>
    <row r="83" spans="11:11" x14ac:dyDescent="0.25">
      <c r="K83" s="269"/>
    </row>
    <row r="84" spans="11:11" x14ac:dyDescent="0.25">
      <c r="K84" s="269"/>
    </row>
    <row r="85" spans="11:11" x14ac:dyDescent="0.25">
      <c r="K85" s="269"/>
    </row>
    <row r="86" spans="11:11" x14ac:dyDescent="0.25">
      <c r="K86" s="269"/>
    </row>
    <row r="87" spans="11:11" x14ac:dyDescent="0.25">
      <c r="K87" s="269"/>
    </row>
    <row r="88" spans="11:11" x14ac:dyDescent="0.25">
      <c r="K88" s="269"/>
    </row>
    <row r="89" spans="11:11" x14ac:dyDescent="0.25">
      <c r="K89" s="269"/>
    </row>
    <row r="90" spans="11:11" x14ac:dyDescent="0.25">
      <c r="K90" s="269"/>
    </row>
    <row r="91" spans="11:11" x14ac:dyDescent="0.25">
      <c r="K91" s="269"/>
    </row>
    <row r="92" spans="11:11" x14ac:dyDescent="0.25">
      <c r="K92" s="269"/>
    </row>
    <row r="93" spans="11:11" x14ac:dyDescent="0.25">
      <c r="K93" s="269"/>
    </row>
    <row r="94" spans="11:11" x14ac:dyDescent="0.25">
      <c r="K94" s="269"/>
    </row>
    <row r="95" spans="11:11" x14ac:dyDescent="0.25">
      <c r="K95" s="269"/>
    </row>
    <row r="96" spans="11:11" x14ac:dyDescent="0.25">
      <c r="K96" s="269"/>
    </row>
    <row r="97" spans="11:11" x14ac:dyDescent="0.25">
      <c r="K97" s="269"/>
    </row>
    <row r="98" spans="11:11" x14ac:dyDescent="0.25">
      <c r="K98" s="269"/>
    </row>
    <row r="99" spans="11:11" x14ac:dyDescent="0.25">
      <c r="K99" s="269"/>
    </row>
    <row r="100" spans="11:11" x14ac:dyDescent="0.25">
      <c r="K100" s="269"/>
    </row>
    <row r="101" spans="11:11" x14ac:dyDescent="0.25">
      <c r="K101" s="269"/>
    </row>
    <row r="102" spans="11:11" x14ac:dyDescent="0.25">
      <c r="K102" s="269"/>
    </row>
    <row r="103" spans="11:11" x14ac:dyDescent="0.25">
      <c r="K103" s="269"/>
    </row>
    <row r="104" spans="11:11" x14ac:dyDescent="0.25">
      <c r="K104" s="269"/>
    </row>
    <row r="105" spans="11:11" x14ac:dyDescent="0.25">
      <c r="K105" s="269"/>
    </row>
    <row r="106" spans="11:11" x14ac:dyDescent="0.25">
      <c r="K106" s="269"/>
    </row>
    <row r="107" spans="11:11" x14ac:dyDescent="0.25">
      <c r="K107" s="269"/>
    </row>
    <row r="108" spans="11:11" x14ac:dyDescent="0.25">
      <c r="K108" s="269"/>
    </row>
    <row r="109" spans="11:11" x14ac:dyDescent="0.25">
      <c r="K109" s="269"/>
    </row>
    <row r="110" spans="11:11" x14ac:dyDescent="0.25">
      <c r="K110" s="269"/>
    </row>
    <row r="111" spans="11:11" x14ac:dyDescent="0.25">
      <c r="K111" s="269"/>
    </row>
    <row r="112" spans="11:11" x14ac:dyDescent="0.25">
      <c r="K112" s="269"/>
    </row>
    <row r="113" spans="11:11" x14ac:dyDescent="0.25">
      <c r="K113" s="269"/>
    </row>
    <row r="114" spans="11:11" x14ac:dyDescent="0.25">
      <c r="K114" s="269"/>
    </row>
    <row r="115" spans="11:11" x14ac:dyDescent="0.25">
      <c r="K115" s="269"/>
    </row>
    <row r="116" spans="11:11" x14ac:dyDescent="0.25">
      <c r="K116" s="269"/>
    </row>
    <row r="117" spans="11:11" x14ac:dyDescent="0.25">
      <c r="K117" s="269"/>
    </row>
    <row r="118" spans="11:11" x14ac:dyDescent="0.25">
      <c r="K118" s="269"/>
    </row>
    <row r="119" spans="11:11" x14ac:dyDescent="0.25">
      <c r="K119" s="269"/>
    </row>
    <row r="120" spans="11:11" x14ac:dyDescent="0.25">
      <c r="K120" s="269"/>
    </row>
    <row r="121" spans="11:11" x14ac:dyDescent="0.25">
      <c r="K121" s="269"/>
    </row>
    <row r="122" spans="11:11" x14ac:dyDescent="0.25">
      <c r="K122" s="269"/>
    </row>
    <row r="123" spans="11:11" x14ac:dyDescent="0.25">
      <c r="K123" s="269"/>
    </row>
    <row r="124" spans="11:11" x14ac:dyDescent="0.25">
      <c r="K124" s="269"/>
    </row>
    <row r="125" spans="11:11" x14ac:dyDescent="0.25">
      <c r="K125" s="269"/>
    </row>
    <row r="126" spans="11:11" x14ac:dyDescent="0.25">
      <c r="K126" s="269"/>
    </row>
    <row r="127" spans="11:11" x14ac:dyDescent="0.25">
      <c r="K127" s="269"/>
    </row>
    <row r="128" spans="11:11" x14ac:dyDescent="0.25">
      <c r="K128" s="269"/>
    </row>
    <row r="129" spans="11:11" x14ac:dyDescent="0.25">
      <c r="K129" s="269"/>
    </row>
    <row r="130" spans="11:11" x14ac:dyDescent="0.25">
      <c r="K130" s="269"/>
    </row>
    <row r="131" spans="11:11" x14ac:dyDescent="0.25">
      <c r="K131" s="269"/>
    </row>
    <row r="132" spans="11:11" x14ac:dyDescent="0.25">
      <c r="K132" s="269"/>
    </row>
    <row r="133" spans="11:11" x14ac:dyDescent="0.25">
      <c r="K133" s="269"/>
    </row>
    <row r="134" spans="11:11" x14ac:dyDescent="0.25">
      <c r="K134" s="269"/>
    </row>
    <row r="135" spans="11:11" x14ac:dyDescent="0.25">
      <c r="K135" s="269"/>
    </row>
    <row r="136" spans="11:11" x14ac:dyDescent="0.25">
      <c r="K136" s="269"/>
    </row>
    <row r="137" spans="11:11" x14ac:dyDescent="0.25">
      <c r="K137" s="269"/>
    </row>
    <row r="138" spans="11:11" x14ac:dyDescent="0.25">
      <c r="K138" s="269"/>
    </row>
    <row r="139" spans="11:11" x14ac:dyDescent="0.25">
      <c r="K139" s="269"/>
    </row>
    <row r="140" spans="11:11" x14ac:dyDescent="0.25">
      <c r="K140" s="269"/>
    </row>
    <row r="141" spans="11:11" x14ac:dyDescent="0.25">
      <c r="K141" s="269"/>
    </row>
    <row r="142" spans="11:11" x14ac:dyDescent="0.25">
      <c r="K142" s="269"/>
    </row>
    <row r="143" spans="11:11" x14ac:dyDescent="0.25">
      <c r="K143" s="269"/>
    </row>
    <row r="144" spans="11:11" x14ac:dyDescent="0.25">
      <c r="K144" s="269"/>
    </row>
    <row r="145" spans="11:11" x14ac:dyDescent="0.25">
      <c r="K145" s="269"/>
    </row>
    <row r="146" spans="11:11" x14ac:dyDescent="0.25">
      <c r="K146" s="269"/>
    </row>
    <row r="147" spans="11:11" x14ac:dyDescent="0.25">
      <c r="K147" s="269"/>
    </row>
    <row r="148" spans="11:11" x14ac:dyDescent="0.25">
      <c r="K148" s="269"/>
    </row>
    <row r="149" spans="11:11" x14ac:dyDescent="0.25">
      <c r="K149" s="269"/>
    </row>
    <row r="150" spans="11:11" x14ac:dyDescent="0.25">
      <c r="K150" s="269"/>
    </row>
    <row r="151" spans="11:11" x14ac:dyDescent="0.25">
      <c r="K151" s="269"/>
    </row>
    <row r="152" spans="11:11" x14ac:dyDescent="0.25">
      <c r="K152" s="269"/>
    </row>
    <row r="153" spans="11:11" x14ac:dyDescent="0.25">
      <c r="K153" s="269"/>
    </row>
    <row r="154" spans="11:11" x14ac:dyDescent="0.25">
      <c r="K154" s="269"/>
    </row>
    <row r="155" spans="11:11" x14ac:dyDescent="0.25">
      <c r="K155" s="269"/>
    </row>
    <row r="156" spans="11:11" x14ac:dyDescent="0.25">
      <c r="K156" s="269"/>
    </row>
    <row r="157" spans="11:11" x14ac:dyDescent="0.25">
      <c r="K157" s="269"/>
    </row>
    <row r="158" spans="11:11" x14ac:dyDescent="0.25">
      <c r="K158" s="269"/>
    </row>
    <row r="159" spans="11:11" x14ac:dyDescent="0.25">
      <c r="K159" s="269"/>
    </row>
    <row r="160" spans="11:11" x14ac:dyDescent="0.25">
      <c r="K160" s="269"/>
    </row>
    <row r="161" spans="11:11" x14ac:dyDescent="0.25">
      <c r="K161" s="269"/>
    </row>
    <row r="162" spans="11:11" x14ac:dyDescent="0.25">
      <c r="K162" s="269"/>
    </row>
    <row r="163" spans="11:11" x14ac:dyDescent="0.25">
      <c r="K163" s="269"/>
    </row>
    <row r="164" spans="11:11" x14ac:dyDescent="0.25">
      <c r="K164" s="269"/>
    </row>
    <row r="165" spans="11:11" x14ac:dyDescent="0.25">
      <c r="K165" s="269"/>
    </row>
    <row r="166" spans="11:11" x14ac:dyDescent="0.25">
      <c r="K166" s="269"/>
    </row>
    <row r="167" spans="11:11" x14ac:dyDescent="0.25">
      <c r="K167" s="269"/>
    </row>
    <row r="168" spans="11:11" x14ac:dyDescent="0.25">
      <c r="K168" s="269"/>
    </row>
    <row r="169" spans="11:11" x14ac:dyDescent="0.25">
      <c r="K169" s="269"/>
    </row>
  </sheetData>
  <mergeCells count="2">
    <mergeCell ref="I1:N3"/>
    <mergeCell ref="A1:H3"/>
  </mergeCells>
  <phoneticPr fontId="22"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topLeftCell="C1"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69" bestFit="1" customWidth="1"/>
    <col min="2" max="2" width="5.28515625" style="70" customWidth="1"/>
    <col min="3" max="3" width="18.5703125" style="71" bestFit="1" customWidth="1"/>
    <col min="4" max="4" width="21.140625" style="69" customWidth="1"/>
    <col min="5" max="5" width="69.140625" style="25" customWidth="1"/>
    <col min="6" max="6" width="5.5703125" style="34" customWidth="1"/>
    <col min="7" max="7" width="9.140625" style="309" bestFit="1" customWidth="1"/>
    <col min="8" max="8" width="10.140625" style="309" bestFit="1" customWidth="1"/>
    <col min="9" max="9" width="5.5703125" style="34" customWidth="1"/>
    <col min="10" max="10" width="6.28515625" style="34" customWidth="1"/>
    <col min="11" max="11" width="13" style="34" customWidth="1"/>
    <col min="12" max="12" width="5.28515625" style="34" customWidth="1"/>
    <col min="13" max="13" width="9.42578125" style="309" customWidth="1"/>
    <col min="14" max="14" width="9" style="309"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66"/>
      <c r="B1" s="167"/>
      <c r="C1" s="168"/>
      <c r="D1" s="169"/>
      <c r="E1" s="170"/>
      <c r="F1" s="171"/>
      <c r="G1" s="171"/>
      <c r="H1" s="171"/>
      <c r="I1" s="171"/>
      <c r="J1" s="900" t="s">
        <v>271</v>
      </c>
      <c r="K1" s="900"/>
      <c r="L1" s="171"/>
      <c r="M1" s="896" t="s">
        <v>272</v>
      </c>
      <c r="N1" s="897"/>
      <c r="O1" s="285" t="s">
        <v>273</v>
      </c>
    </row>
    <row r="2" spans="1:125" ht="30" customHeight="1" thickBot="1" x14ac:dyDescent="0.35">
      <c r="A2" s="895" t="s">
        <v>594</v>
      </c>
      <c r="B2" s="772"/>
      <c r="C2" s="893" t="str">
        <f>Profit!E1&amp; " Your Home"</f>
        <v>Buy Your Home</v>
      </c>
      <c r="D2" s="894"/>
      <c r="E2" s="180" t="s">
        <v>274</v>
      </c>
      <c r="F2" s="891">
        <f>+MIN(ProposalToGnatt[Start Date])</f>
        <v>45363</v>
      </c>
      <c r="G2" s="892"/>
      <c r="H2" s="903" t="s">
        <v>275</v>
      </c>
      <c r="I2" s="904"/>
      <c r="J2" s="881">
        <f>+SUM(H8:H20)</f>
        <v>8942.3114499999992</v>
      </c>
      <c r="K2" s="882"/>
      <c r="L2" s="172"/>
      <c r="M2" s="881">
        <f>+SUM(N8:N20)-SUM(M8:M20)</f>
        <v>0</v>
      </c>
      <c r="N2" s="909"/>
      <c r="O2" s="286">
        <f>+SUM(H8:H20)-SUM(M8:M20)</f>
        <v>8942.3114499999992</v>
      </c>
      <c r="R2" s="54"/>
      <c r="S2" s="54"/>
      <c r="T2" s="54"/>
      <c r="U2" s="54"/>
      <c r="V2" s="54"/>
      <c r="W2" s="54"/>
      <c r="X2" s="54"/>
      <c r="Y2" s="54"/>
      <c r="Z2" s="54"/>
      <c r="AA2" s="54"/>
      <c r="AB2" s="54"/>
      <c r="AC2" s="54"/>
      <c r="AD2" s="54"/>
      <c r="AE2" s="54"/>
      <c r="AF2" s="54"/>
      <c r="AG2" s="54"/>
      <c r="AH2" s="54"/>
      <c r="AI2" s="54"/>
      <c r="AJ2" s="55"/>
      <c r="AK2" s="55"/>
      <c r="AP2" s="15"/>
      <c r="AQ2" s="15"/>
      <c r="AR2" s="15"/>
    </row>
    <row r="3" spans="1:125" ht="30" customHeight="1" x14ac:dyDescent="0.3">
      <c r="A3" s="878"/>
      <c r="B3" s="879"/>
      <c r="C3" s="879"/>
      <c r="D3" s="879"/>
      <c r="E3" s="181"/>
      <c r="G3" s="34"/>
      <c r="H3" s="905" t="s">
        <v>276</v>
      </c>
      <c r="I3" s="906"/>
      <c r="J3" s="885">
        <f>SUM(H22:H25)</f>
        <v>0</v>
      </c>
      <c r="K3" s="886"/>
      <c r="L3" s="173"/>
      <c r="M3" s="885">
        <f>+J3-SUM(M22:M25)</f>
        <v>0</v>
      </c>
      <c r="N3" s="909"/>
      <c r="O3" s="287">
        <f>+SUM(H22:H25)-SUM(M22:M25)</f>
        <v>0</v>
      </c>
      <c r="AP3" s="15"/>
      <c r="AQ3" s="15"/>
      <c r="AR3" s="15"/>
    </row>
    <row r="4" spans="1:125" ht="30" customHeight="1" x14ac:dyDescent="0.3">
      <c r="A4" s="878" t="str">
        <f>+Profit!B2</f>
        <v>612 Britton Ct</v>
      </c>
      <c r="B4" s="879" t="str">
        <f>+Profit!B2</f>
        <v>612 Britton Ct</v>
      </c>
      <c r="C4" s="879"/>
      <c r="D4" s="879"/>
      <c r="E4" s="901" t="s">
        <v>277</v>
      </c>
      <c r="F4" s="902"/>
      <c r="G4" s="72">
        <v>1</v>
      </c>
      <c r="H4" s="907" t="str">
        <f>+A2 &amp; "Total:"</f>
        <v>Tim Flemming Total:</v>
      </c>
      <c r="I4" s="908"/>
      <c r="J4" s="887">
        <f>SUM(ProposalToGnatt[Price])</f>
        <v>0</v>
      </c>
      <c r="K4" s="888"/>
      <c r="L4" s="174"/>
      <c r="M4" s="887" cm="1">
        <f t="array" ref="M4">+SUM(ProposalToGnatt[Due]-ProposalToGnatt[Paid])</f>
        <v>0</v>
      </c>
      <c r="N4" s="909"/>
      <c r="O4" s="288">
        <f>+SUM(ProposalToGnatt[Price])-SUM(ProposalToGnatt[Paid])</f>
        <v>0</v>
      </c>
      <c r="AP4" s="15"/>
      <c r="AQ4" s="15"/>
      <c r="AR4" s="15"/>
    </row>
    <row r="5" spans="1:125" ht="18" customHeight="1" thickBot="1" x14ac:dyDescent="0.3">
      <c r="A5" s="175"/>
      <c r="B5" s="176" t="s">
        <v>278</v>
      </c>
      <c r="C5" s="177"/>
      <c r="D5" s="178"/>
      <c r="E5" s="883" t="s">
        <v>279</v>
      </c>
      <c r="F5" s="884"/>
      <c r="G5" s="179">
        <v>2</v>
      </c>
      <c r="H5" s="880" t="s">
        <v>280</v>
      </c>
      <c r="I5" s="880"/>
      <c r="J5" s="889">
        <f>+SUM(J2:K4)</f>
        <v>8942.3114499999992</v>
      </c>
      <c r="K5" s="890"/>
      <c r="L5" s="24"/>
      <c r="M5" s="910">
        <f>+SUM(M2:M4)</f>
        <v>0</v>
      </c>
      <c r="N5" s="911"/>
      <c r="O5" s="291">
        <f>+SUM(O2:Q4)</f>
        <v>8942.3114499999992</v>
      </c>
      <c r="BB5" s="15"/>
      <c r="BC5" s="15"/>
      <c r="BD5" s="15"/>
    </row>
    <row r="6" spans="1:125" s="22" customFormat="1" ht="30.75" customHeight="1" thickBot="1" x14ac:dyDescent="0.4">
      <c r="A6" s="73"/>
      <c r="B6" s="74"/>
      <c r="C6" s="75"/>
      <c r="D6" s="73"/>
      <c r="E6" s="76" t="str">
        <f>Profit!E1&amp;" Your Home Supplied Materials"</f>
        <v>Buy Your Home Supplied Materials</v>
      </c>
      <c r="F6" s="73"/>
      <c r="G6" s="77"/>
      <c r="H6" s="77"/>
      <c r="I6" s="73"/>
      <c r="J6" s="73"/>
      <c r="K6" s="78"/>
      <c r="L6" s="73"/>
      <c r="M6" s="73"/>
      <c r="N6" s="73"/>
      <c r="O6" s="73"/>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3" t="s">
        <v>281</v>
      </c>
      <c r="B7" s="74" t="s">
        <v>282</v>
      </c>
      <c r="C7" s="75" t="s">
        <v>262</v>
      </c>
      <c r="D7" s="73" t="s">
        <v>263</v>
      </c>
      <c r="E7" s="73" t="s">
        <v>264</v>
      </c>
      <c r="F7" s="73" t="s">
        <v>236</v>
      </c>
      <c r="G7" s="77" t="s">
        <v>237</v>
      </c>
      <c r="H7" s="77" t="s">
        <v>265</v>
      </c>
      <c r="I7" s="73" t="s">
        <v>266</v>
      </c>
      <c r="J7" s="73" t="s">
        <v>267</v>
      </c>
      <c r="K7" s="78" t="s">
        <v>268</v>
      </c>
      <c r="L7" s="73" t="s">
        <v>269</v>
      </c>
      <c r="M7" s="73" t="s">
        <v>270</v>
      </c>
      <c r="N7" s="73" t="s">
        <v>272</v>
      </c>
      <c r="O7" s="73" t="s">
        <v>142</v>
      </c>
      <c r="P7" s="56">
        <f t="shared" ref="P7:BR7" ca="1" si="1">+P27</f>
        <v>45363</v>
      </c>
      <c r="Q7" s="56">
        <f t="shared" ca="1" si="1"/>
        <v>45364</v>
      </c>
      <c r="R7" s="56">
        <f t="shared" ca="1" si="1"/>
        <v>45365</v>
      </c>
      <c r="S7" s="56">
        <f t="shared" ca="1" si="1"/>
        <v>45366</v>
      </c>
      <c r="T7" s="56">
        <f t="shared" ca="1" si="1"/>
        <v>45367</v>
      </c>
      <c r="U7" s="56">
        <f t="shared" ca="1" si="1"/>
        <v>45368</v>
      </c>
      <c r="V7" s="56">
        <f t="shared" ca="1" si="1"/>
        <v>45369</v>
      </c>
      <c r="W7" s="56">
        <f t="shared" ca="1" si="1"/>
        <v>45370</v>
      </c>
      <c r="X7" s="56">
        <f t="shared" ca="1" si="1"/>
        <v>45371</v>
      </c>
      <c r="Y7" s="56">
        <f t="shared" ca="1" si="1"/>
        <v>45372</v>
      </c>
      <c r="Z7" s="56">
        <f t="shared" ca="1" si="1"/>
        <v>45373</v>
      </c>
      <c r="AA7" s="56">
        <f t="shared" ca="1" si="1"/>
        <v>45374</v>
      </c>
      <c r="AB7" s="56">
        <f t="shared" ca="1" si="1"/>
        <v>45375</v>
      </c>
      <c r="AC7" s="56">
        <f t="shared" ca="1" si="1"/>
        <v>45376</v>
      </c>
      <c r="AD7" s="56">
        <f t="shared" ca="1" si="1"/>
        <v>45377</v>
      </c>
      <c r="AE7" s="56">
        <f t="shared" ca="1" si="1"/>
        <v>45378</v>
      </c>
      <c r="AF7" s="56">
        <f t="shared" ca="1" si="1"/>
        <v>45379</v>
      </c>
      <c r="AG7" s="56">
        <f t="shared" ca="1" si="1"/>
        <v>45380</v>
      </c>
      <c r="AH7" s="56">
        <f t="shared" ca="1" si="1"/>
        <v>45381</v>
      </c>
      <c r="AI7" s="56">
        <f t="shared" ca="1" si="1"/>
        <v>45382</v>
      </c>
      <c r="AJ7" s="56">
        <f t="shared" ca="1" si="1"/>
        <v>45383</v>
      </c>
      <c r="AK7" s="56">
        <f t="shared" ca="1" si="1"/>
        <v>45384</v>
      </c>
      <c r="AL7" s="56">
        <f t="shared" ca="1" si="1"/>
        <v>45385</v>
      </c>
      <c r="AM7" s="56">
        <f t="shared" ca="1" si="1"/>
        <v>45386</v>
      </c>
      <c r="AN7" s="56">
        <f t="shared" ca="1" si="1"/>
        <v>45387</v>
      </c>
      <c r="AO7" s="56">
        <f t="shared" ca="1" si="1"/>
        <v>45388</v>
      </c>
      <c r="AP7" s="56">
        <f t="shared" ca="1" si="1"/>
        <v>45389</v>
      </c>
      <c r="AQ7" s="56">
        <f t="shared" ca="1" si="1"/>
        <v>45390</v>
      </c>
      <c r="AR7" s="56">
        <f t="shared" ca="1" si="1"/>
        <v>45391</v>
      </c>
      <c r="AS7" s="56">
        <f t="shared" ca="1" si="1"/>
        <v>45392</v>
      </c>
      <c r="AT7" s="56">
        <f t="shared" ca="1" si="1"/>
        <v>45393</v>
      </c>
      <c r="AU7" s="56">
        <f t="shared" ca="1" si="1"/>
        <v>45394</v>
      </c>
      <c r="AV7" s="56">
        <f t="shared" ca="1" si="1"/>
        <v>45395</v>
      </c>
      <c r="AW7" s="56">
        <f t="shared" ca="1" si="1"/>
        <v>45396</v>
      </c>
      <c r="AX7" s="56">
        <f t="shared" ca="1" si="1"/>
        <v>45397</v>
      </c>
      <c r="AY7" s="56">
        <f t="shared" ca="1" si="1"/>
        <v>45398</v>
      </c>
      <c r="AZ7" s="56">
        <f t="shared" ca="1" si="1"/>
        <v>45399</v>
      </c>
      <c r="BA7" s="56">
        <f t="shared" ca="1" si="1"/>
        <v>45400</v>
      </c>
      <c r="BB7" s="56">
        <f t="shared" ca="1" si="1"/>
        <v>45401</v>
      </c>
      <c r="BC7" s="56">
        <f t="shared" ca="1" si="1"/>
        <v>45402</v>
      </c>
      <c r="BD7" s="56">
        <f t="shared" ca="1" si="1"/>
        <v>45403</v>
      </c>
      <c r="BE7" s="56">
        <f t="shared" ca="1" si="1"/>
        <v>45404</v>
      </c>
      <c r="BF7" s="56">
        <f t="shared" ca="1" si="1"/>
        <v>45405</v>
      </c>
      <c r="BG7" s="56">
        <f t="shared" ca="1" si="1"/>
        <v>45406</v>
      </c>
      <c r="BH7" s="56">
        <f t="shared" ca="1" si="1"/>
        <v>45407</v>
      </c>
      <c r="BI7" s="56">
        <f t="shared" ca="1" si="1"/>
        <v>45408</v>
      </c>
      <c r="BJ7" s="56">
        <f t="shared" ca="1" si="1"/>
        <v>45409</v>
      </c>
      <c r="BK7" s="56">
        <f t="shared" ca="1" si="1"/>
        <v>45410</v>
      </c>
      <c r="BL7" s="56">
        <f t="shared" ca="1" si="1"/>
        <v>45411</v>
      </c>
      <c r="BM7" s="56">
        <f t="shared" ca="1" si="1"/>
        <v>45412</v>
      </c>
      <c r="BN7" s="56">
        <f t="shared" ca="1" si="1"/>
        <v>45413</v>
      </c>
      <c r="BO7" s="56">
        <f t="shared" ca="1" si="1"/>
        <v>45414</v>
      </c>
      <c r="BP7" s="56">
        <f t="shared" ca="1" si="1"/>
        <v>45415</v>
      </c>
      <c r="BQ7" s="56">
        <f t="shared" ca="1" si="1"/>
        <v>45416</v>
      </c>
      <c r="BR7" s="56">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79" t="str">
        <f>Profit!$E$1&amp;" Your Home"</f>
        <v>Buy Your Home</v>
      </c>
      <c r="B8" s="80">
        <v>1</v>
      </c>
      <c r="C8" s="81"/>
      <c r="D8" s="79"/>
      <c r="E8" s="79" t="s">
        <v>283</v>
      </c>
      <c r="F8" s="80">
        <v>1</v>
      </c>
      <c r="G8" s="82">
        <f>+'Demo &amp; Trash Haul'!G24</f>
        <v>0</v>
      </c>
      <c r="H8" s="82">
        <f t="shared" ref="H8:H20" si="2">+F8*G8</f>
        <v>0</v>
      </c>
      <c r="I8" s="83"/>
      <c r="J8" s="82"/>
      <c r="K8" s="84"/>
      <c r="L8" s="82"/>
      <c r="M8" s="82"/>
      <c r="N8" s="82">
        <f t="shared" ref="N8:N19" si="3">IF(I8="Yes",H8,0)</f>
        <v>0</v>
      </c>
      <c r="O8" s="83"/>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79" t="str">
        <f>Profit!$E$1&amp;" Your Home"</f>
        <v>Buy Your Home</v>
      </c>
      <c r="B9" s="80">
        <f>+B8+1</f>
        <v>2</v>
      </c>
      <c r="C9" s="81"/>
      <c r="D9" s="79"/>
      <c r="E9" s="79" t="s">
        <v>284</v>
      </c>
      <c r="F9" s="80">
        <v>1</v>
      </c>
      <c r="G9" s="82">
        <f>+Appliances!H31</f>
        <v>0</v>
      </c>
      <c r="H9" s="82">
        <f t="shared" si="2"/>
        <v>0</v>
      </c>
      <c r="I9" s="83"/>
      <c r="J9" s="82"/>
      <c r="K9" s="84"/>
      <c r="L9" s="82"/>
      <c r="M9" s="82"/>
      <c r="N9" s="82">
        <f t="shared" si="3"/>
        <v>0</v>
      </c>
      <c r="O9" s="83"/>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79" t="str">
        <f>Profit!$E$1&amp;" Your Home"</f>
        <v>Buy Your Home</v>
      </c>
      <c r="B10" s="80">
        <f t="shared" ref="B10:B20" si="4">+B9+1</f>
        <v>3</v>
      </c>
      <c r="C10" s="81"/>
      <c r="D10" s="79"/>
      <c r="E10" s="79" t="s">
        <v>285</v>
      </c>
      <c r="F10" s="80">
        <v>1</v>
      </c>
      <c r="G10" s="82">
        <f>+'Plumbing Fixtures'!I31</f>
        <v>862.31145000000015</v>
      </c>
      <c r="H10" s="82">
        <f t="shared" si="2"/>
        <v>862.31145000000015</v>
      </c>
      <c r="I10" s="83"/>
      <c r="J10" s="82"/>
      <c r="K10" s="84"/>
      <c r="L10" s="82"/>
      <c r="M10" s="82"/>
      <c r="N10" s="82">
        <f t="shared" si="3"/>
        <v>0</v>
      </c>
      <c r="O10" s="83"/>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79" t="str">
        <f>Profit!$E$1&amp;" Your Home"</f>
        <v>Buy Your Home</v>
      </c>
      <c r="B11" s="80">
        <f t="shared" si="4"/>
        <v>4</v>
      </c>
      <c r="C11" s="81"/>
      <c r="D11" s="79"/>
      <c r="E11" s="79" t="s">
        <v>286</v>
      </c>
      <c r="F11" s="80">
        <v>1</v>
      </c>
      <c r="G11" s="82">
        <f>+'Windows &amp; Doors'!H38</f>
        <v>0</v>
      </c>
      <c r="H11" s="82">
        <f t="shared" si="2"/>
        <v>0</v>
      </c>
      <c r="I11" s="83"/>
      <c r="J11" s="82"/>
      <c r="K11" s="84"/>
      <c r="L11" s="82"/>
      <c r="M11" s="82"/>
      <c r="N11" s="82">
        <f t="shared" si="3"/>
        <v>0</v>
      </c>
      <c r="O11" s="83"/>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79" t="str">
        <f>Profit!$E$1&amp;" Your Home"</f>
        <v>Buy Your Home</v>
      </c>
      <c r="B12" s="80">
        <f t="shared" si="4"/>
        <v>5</v>
      </c>
      <c r="C12" s="81"/>
      <c r="D12" s="79"/>
      <c r="E12" s="79" t="s">
        <v>287</v>
      </c>
      <c r="F12" s="80">
        <v>1</v>
      </c>
      <c r="G12" s="82">
        <f>+Cabinets!H44</f>
        <v>0</v>
      </c>
      <c r="H12" s="82">
        <f t="shared" si="2"/>
        <v>0</v>
      </c>
      <c r="I12" s="83"/>
      <c r="J12" s="82"/>
      <c r="K12" s="84"/>
      <c r="L12" s="82"/>
      <c r="M12" s="82"/>
      <c r="N12" s="82">
        <f t="shared" si="3"/>
        <v>0</v>
      </c>
      <c r="O12" s="83"/>
      <c r="AQ12" s="35"/>
    </row>
    <row r="13" spans="1:125" s="40" customFormat="1" ht="20.100000000000001" customHeight="1" x14ac:dyDescent="0.25">
      <c r="A13" s="79" t="str">
        <f>Profit!$E$1&amp;" Your Home"</f>
        <v>Buy Your Home</v>
      </c>
      <c r="B13" s="80">
        <f t="shared" si="4"/>
        <v>6</v>
      </c>
      <c r="C13" s="81"/>
      <c r="D13" s="79"/>
      <c r="E13" s="79" t="s">
        <v>288</v>
      </c>
      <c r="F13" s="80">
        <v>1</v>
      </c>
      <c r="G13" s="82">
        <f>+Paint!K50</f>
        <v>0</v>
      </c>
      <c r="H13" s="82">
        <f t="shared" si="2"/>
        <v>0</v>
      </c>
      <c r="I13" s="83"/>
      <c r="J13" s="82"/>
      <c r="K13" s="84"/>
      <c r="L13" s="82"/>
      <c r="M13" s="82"/>
      <c r="N13" s="82">
        <f t="shared" si="3"/>
        <v>0</v>
      </c>
      <c r="O13" s="83"/>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79" t="str">
        <f>Profit!$E$1&amp;" Your Home"</f>
        <v>Buy Your Home</v>
      </c>
      <c r="B14" s="80">
        <f t="shared" si="4"/>
        <v>7</v>
      </c>
      <c r="C14" s="81"/>
      <c r="D14" s="79"/>
      <c r="E14" s="79" t="s">
        <v>289</v>
      </c>
      <c r="F14" s="80">
        <v>1</v>
      </c>
      <c r="G14" s="82">
        <f>+Flooring!I22</f>
        <v>0</v>
      </c>
      <c r="H14" s="82">
        <f t="shared" si="2"/>
        <v>0</v>
      </c>
      <c r="I14" s="83"/>
      <c r="J14" s="82"/>
      <c r="K14" s="84"/>
      <c r="L14" s="82"/>
      <c r="M14" s="82"/>
      <c r="N14" s="82">
        <f t="shared" si="3"/>
        <v>0</v>
      </c>
      <c r="O14" s="83"/>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79" t="str">
        <f>Profit!$E$1&amp;" Your Home"</f>
        <v>Buy Your Home</v>
      </c>
      <c r="B15" s="80">
        <f t="shared" si="4"/>
        <v>8</v>
      </c>
      <c r="C15" s="81"/>
      <c r="D15" s="79"/>
      <c r="E15" s="79" t="s">
        <v>290</v>
      </c>
      <c r="F15" s="80">
        <v>1</v>
      </c>
      <c r="G15" s="82">
        <f>+'Electrical Fixtures'!H36</f>
        <v>0</v>
      </c>
      <c r="H15" s="82">
        <f t="shared" si="2"/>
        <v>0</v>
      </c>
      <c r="I15" s="83"/>
      <c r="J15" s="82"/>
      <c r="K15" s="84"/>
      <c r="L15" s="82"/>
      <c r="M15" s="82"/>
      <c r="N15" s="82">
        <f t="shared" si="3"/>
        <v>0</v>
      </c>
      <c r="O15" s="83"/>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79" t="str">
        <f>Profit!$E$1&amp;" Your Home"</f>
        <v>Buy Your Home</v>
      </c>
      <c r="B16" s="80">
        <f t="shared" si="4"/>
        <v>9</v>
      </c>
      <c r="C16" s="81"/>
      <c r="D16" s="79"/>
      <c r="E16" s="79" t="s">
        <v>569</v>
      </c>
      <c r="F16" s="80">
        <v>1</v>
      </c>
      <c r="G16" s="82">
        <f>+Legal!G24</f>
        <v>0</v>
      </c>
      <c r="H16" s="82">
        <f>+F16*G16</f>
        <v>0</v>
      </c>
      <c r="I16" s="83"/>
      <c r="J16" s="82"/>
      <c r="K16" s="84"/>
      <c r="L16" s="82"/>
      <c r="M16" s="82"/>
      <c r="N16" s="82">
        <f>IF(I16="Yes",H16,0)</f>
        <v>0</v>
      </c>
      <c r="O16" s="83"/>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79" t="str">
        <f>Profit!$E$1&amp;" Your Home"</f>
        <v>Buy Your Home</v>
      </c>
      <c r="B17" s="80">
        <f>+B15+1</f>
        <v>9</v>
      </c>
      <c r="C17" s="81"/>
      <c r="D17" s="79"/>
      <c r="E17" s="79" t="s">
        <v>291</v>
      </c>
      <c r="F17" s="80">
        <v>1</v>
      </c>
      <c r="G17" s="82">
        <f>+Exterior!H25</f>
        <v>8079.9999999999991</v>
      </c>
      <c r="H17" s="82">
        <f t="shared" si="2"/>
        <v>8079.9999999999991</v>
      </c>
      <c r="I17" s="83"/>
      <c r="J17" s="82"/>
      <c r="K17" s="84"/>
      <c r="L17" s="82"/>
      <c r="M17" s="82"/>
      <c r="N17" s="82">
        <f t="shared" si="3"/>
        <v>0</v>
      </c>
      <c r="O17" s="83"/>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79" t="str">
        <f>Profit!$E$1&amp;" Your Home"</f>
        <v>Buy Your Home</v>
      </c>
      <c r="B18" s="80">
        <f t="shared" si="4"/>
        <v>10</v>
      </c>
      <c r="C18" s="81"/>
      <c r="D18" s="79"/>
      <c r="E18" s="79" t="s">
        <v>292</v>
      </c>
      <c r="F18" s="80">
        <v>1</v>
      </c>
      <c r="G18" s="82">
        <f>+Landscape!G17</f>
        <v>0</v>
      </c>
      <c r="H18" s="82">
        <f>+F18*G18</f>
        <v>0</v>
      </c>
      <c r="I18" s="83"/>
      <c r="J18" s="82"/>
      <c r="K18" s="84"/>
      <c r="L18" s="82"/>
      <c r="M18" s="82"/>
      <c r="N18" s="82">
        <f t="shared" si="3"/>
        <v>0</v>
      </c>
      <c r="O18" s="83"/>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79" t="str">
        <f>Profit!$E$1&amp;" Your Home"</f>
        <v>Buy Your Home</v>
      </c>
      <c r="B19" s="80">
        <f t="shared" si="4"/>
        <v>11</v>
      </c>
      <c r="C19" s="81"/>
      <c r="D19" s="79"/>
      <c r="E19" s="79" t="s">
        <v>293</v>
      </c>
      <c r="F19" s="80">
        <v>1</v>
      </c>
      <c r="G19" s="82">
        <f>+HVAC!I18</f>
        <v>0</v>
      </c>
      <c r="H19" s="82">
        <f t="shared" si="2"/>
        <v>0</v>
      </c>
      <c r="I19" s="83"/>
      <c r="J19" s="82"/>
      <c r="K19" s="84"/>
      <c r="L19" s="82"/>
      <c r="M19" s="82"/>
      <c r="N19" s="82">
        <f t="shared" si="3"/>
        <v>0</v>
      </c>
      <c r="O19" s="83"/>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79" t="str">
        <f>Profit!$E$1&amp;" Your Home"</f>
        <v>Buy Your Home</v>
      </c>
      <c r="B20" s="80">
        <f t="shared" si="4"/>
        <v>12</v>
      </c>
      <c r="C20" s="81"/>
      <c r="D20" s="79"/>
      <c r="E20" s="79" t="s">
        <v>699</v>
      </c>
      <c r="F20" s="80">
        <v>0</v>
      </c>
      <c r="G20" s="82">
        <f>+Furnishing!G18</f>
        <v>0</v>
      </c>
      <c r="H20" s="82">
        <f t="shared" si="2"/>
        <v>0</v>
      </c>
      <c r="I20" s="83"/>
      <c r="J20" s="82"/>
      <c r="K20" s="84"/>
      <c r="L20" s="82"/>
      <c r="M20" s="82"/>
      <c r="N20" s="82"/>
      <c r="O20" s="83"/>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5"/>
      <c r="B21" s="86"/>
      <c r="C21" s="87"/>
      <c r="D21" s="87"/>
      <c r="E21" s="88" t="str">
        <f>Profit!E1&amp;" Your Home's Paid Contractors"</f>
        <v>Buy Your Home's Paid Contractors</v>
      </c>
      <c r="F21" s="89"/>
      <c r="G21" s="87"/>
      <c r="H21" s="87"/>
      <c r="I21" s="87"/>
      <c r="J21" s="87"/>
      <c r="K21" s="90"/>
      <c r="L21" s="87"/>
      <c r="M21" s="87"/>
      <c r="N21" s="87"/>
      <c r="O21" s="87"/>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1" t="s">
        <v>295</v>
      </c>
      <c r="B22" s="92">
        <f>+B20+1</f>
        <v>13</v>
      </c>
      <c r="C22" s="93"/>
      <c r="D22" s="94"/>
      <c r="E22" s="95" t="s">
        <v>296</v>
      </c>
      <c r="F22" s="96">
        <v>0</v>
      </c>
      <c r="G22" s="97">
        <v>5000</v>
      </c>
      <c r="H22" s="97">
        <f>+F22*G22</f>
        <v>0</v>
      </c>
      <c r="I22" s="98"/>
      <c r="J22" s="98"/>
      <c r="K22" s="99"/>
      <c r="L22" s="98"/>
      <c r="M22" s="98"/>
      <c r="N22" s="98">
        <f>IF(I22="Yes",H22,0)</f>
        <v>0</v>
      </c>
      <c r="O22" s="98"/>
      <c r="R22" s="42"/>
      <c r="S22" s="42"/>
      <c r="T22" s="42"/>
      <c r="U22" s="42"/>
      <c r="V22" s="42"/>
      <c r="W22" s="42"/>
      <c r="X22" s="42"/>
      <c r="Y22" s="42"/>
      <c r="Z22" s="42"/>
      <c r="AA22" s="898" t="s">
        <v>297</v>
      </c>
      <c r="AB22" s="899"/>
      <c r="AC22" s="899"/>
      <c r="AD22" s="899"/>
      <c r="AE22" s="899"/>
      <c r="AF22" s="899"/>
      <c r="AG22" s="899"/>
      <c r="AH22" s="89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1" t="s">
        <v>295</v>
      </c>
      <c r="B23" s="92">
        <f>+B22+1</f>
        <v>14</v>
      </c>
      <c r="C23" s="93"/>
      <c r="D23" s="94"/>
      <c r="E23" s="95" t="s">
        <v>296</v>
      </c>
      <c r="F23" s="96">
        <v>0</v>
      </c>
      <c r="G23" s="97">
        <v>400</v>
      </c>
      <c r="H23" s="97">
        <f>+F23*G23</f>
        <v>0</v>
      </c>
      <c r="I23" s="98"/>
      <c r="J23" s="98"/>
      <c r="K23" s="99"/>
      <c r="L23" s="98"/>
      <c r="M23" s="98"/>
      <c r="N23" s="98">
        <f>IF(I23="Yes",H23,0)</f>
        <v>0</v>
      </c>
      <c r="O23" s="98"/>
      <c r="R23" s="42"/>
      <c r="S23" s="42"/>
      <c r="T23" s="42"/>
      <c r="U23" s="42"/>
      <c r="V23" s="42"/>
      <c r="W23" s="42"/>
      <c r="X23" s="42"/>
      <c r="Y23" s="42"/>
      <c r="Z23" s="42"/>
      <c r="AA23" s="899"/>
      <c r="AB23" s="899"/>
      <c r="AC23" s="899"/>
      <c r="AD23" s="899"/>
      <c r="AE23" s="899"/>
      <c r="AF23" s="899"/>
      <c r="AG23" s="899"/>
      <c r="AH23" s="89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1" t="s">
        <v>298</v>
      </c>
      <c r="B24" s="92">
        <f>+B23+1</f>
        <v>15</v>
      </c>
      <c r="C24" s="93"/>
      <c r="D24" s="94"/>
      <c r="E24" s="95" t="s">
        <v>299</v>
      </c>
      <c r="F24" s="96">
        <v>1</v>
      </c>
      <c r="G24" s="97">
        <f>+HVAC!I18</f>
        <v>0</v>
      </c>
      <c r="H24" s="97">
        <f>+F24*G24</f>
        <v>0</v>
      </c>
      <c r="I24" s="98"/>
      <c r="J24" s="98"/>
      <c r="K24" s="99"/>
      <c r="L24" s="98"/>
      <c r="M24" s="98"/>
      <c r="N24" s="98">
        <f>IF(I24="Yes",H24,0)</f>
        <v>0</v>
      </c>
      <c r="O24" s="98"/>
      <c r="R24" s="42"/>
      <c r="S24" s="42"/>
      <c r="T24" s="42"/>
      <c r="U24" s="42"/>
      <c r="V24" s="42"/>
      <c r="W24" s="42"/>
      <c r="X24" s="42"/>
      <c r="Y24" s="42"/>
      <c r="Z24" s="42"/>
      <c r="AB24" s="62">
        <v>0</v>
      </c>
      <c r="AC24" s="41"/>
      <c r="AD24" s="41"/>
      <c r="AE24" s="41"/>
      <c r="AF24" s="41"/>
      <c r="AG24" s="41"/>
      <c r="AH24" s="41"/>
      <c r="AI24" s="41"/>
      <c r="AJ24" s="41"/>
      <c r="AK24" s="41"/>
      <c r="AL24" s="41"/>
      <c r="AM24" s="41"/>
      <c r="AN24" s="41"/>
      <c r="AO24" s="41"/>
      <c r="AP24" s="41"/>
    </row>
    <row r="25" spans="1:125" s="40" customFormat="1" ht="20.100000000000001" customHeight="1" x14ac:dyDescent="0.25">
      <c r="A25" s="91" t="s">
        <v>298</v>
      </c>
      <c r="B25" s="92">
        <f>+B24+1</f>
        <v>16</v>
      </c>
      <c r="C25" s="93"/>
      <c r="D25" s="94"/>
      <c r="E25" s="95" t="s">
        <v>300</v>
      </c>
      <c r="F25" s="96">
        <v>0</v>
      </c>
      <c r="G25" s="97">
        <v>4598</v>
      </c>
      <c r="H25" s="97">
        <f>+F25*G25</f>
        <v>0</v>
      </c>
      <c r="I25" s="98"/>
      <c r="J25" s="98"/>
      <c r="K25" s="99"/>
      <c r="L25" s="98"/>
      <c r="M25" s="98"/>
      <c r="N25" s="98">
        <f>IF(I25="Yes",H25,0)</f>
        <v>0</v>
      </c>
      <c r="O25" s="98"/>
      <c r="R25" s="42"/>
      <c r="S25" s="42"/>
      <c r="T25" s="42"/>
      <c r="U25" s="42"/>
      <c r="V25" s="42"/>
      <c r="W25" s="42"/>
      <c r="X25" s="42"/>
      <c r="Y25" s="42"/>
      <c r="Z25" s="42"/>
    </row>
    <row r="26" spans="1:125" s="40" customFormat="1" ht="21.75" thickBot="1" x14ac:dyDescent="0.25">
      <c r="A26" s="100"/>
      <c r="B26" s="101"/>
      <c r="C26" s="100"/>
      <c r="D26" s="100"/>
      <c r="E26" s="88" t="str">
        <f>+A2 &amp; "Items (all items should be updated from Proposal or ProposalUpdate tab)"</f>
        <v>Tim Flemming Items (all items should be updated from Proposal or ProposalUpdate tab)</v>
      </c>
      <c r="F26" s="100"/>
      <c r="G26" s="100"/>
      <c r="H26" s="100"/>
      <c r="I26" s="100"/>
      <c r="J26" s="100"/>
      <c r="K26" s="102"/>
      <c r="L26" s="100"/>
      <c r="M26" s="100"/>
      <c r="N26" s="100"/>
      <c r="O26" s="100"/>
      <c r="P26" s="53" t="str">
        <f ca="1">IF(TEXT(Project_Start,"mmmm")=TEXT(P27,"mmmm"),"",TEXT(P27,"mmmm"))</f>
        <v/>
      </c>
      <c r="Q26" s="53" t="str">
        <f t="shared" ref="Q26:AV26" ca="1" si="5">IF(TEXT(P27,"mmmm")=TEXT(Q27,"mmmm"),"",TEXT(Q27,"mmmm"))</f>
        <v/>
      </c>
      <c r="R26" s="53" t="str">
        <f t="shared" ca="1" si="5"/>
        <v/>
      </c>
      <c r="S26" s="53" t="str">
        <f t="shared" ca="1" si="5"/>
        <v/>
      </c>
      <c r="T26" s="53" t="str">
        <f t="shared" ca="1" si="5"/>
        <v/>
      </c>
      <c r="U26" s="53" t="str">
        <f t="shared" ca="1" si="5"/>
        <v/>
      </c>
      <c r="V26" s="53" t="str">
        <f t="shared" ca="1" si="5"/>
        <v/>
      </c>
      <c r="W26" s="53" t="str">
        <f t="shared" ca="1" si="5"/>
        <v/>
      </c>
      <c r="X26" s="53" t="str">
        <f t="shared" ca="1" si="5"/>
        <v/>
      </c>
      <c r="Y26" s="53" t="str">
        <f t="shared" ca="1" si="5"/>
        <v/>
      </c>
      <c r="Z26" s="53" t="str">
        <f t="shared" ca="1" si="5"/>
        <v/>
      </c>
      <c r="AA26" s="53" t="str">
        <f t="shared" ca="1" si="5"/>
        <v/>
      </c>
      <c r="AB26" s="53" t="str">
        <f t="shared" ca="1" si="5"/>
        <v/>
      </c>
      <c r="AC26" s="53" t="str">
        <f t="shared" ca="1" si="5"/>
        <v/>
      </c>
      <c r="AD26" s="53" t="str">
        <f t="shared" ca="1" si="5"/>
        <v/>
      </c>
      <c r="AE26" s="53" t="str">
        <f t="shared" ca="1" si="5"/>
        <v/>
      </c>
      <c r="AF26" s="53" t="str">
        <f t="shared" ca="1" si="5"/>
        <v/>
      </c>
      <c r="AG26" s="53" t="str">
        <f t="shared" ca="1" si="5"/>
        <v/>
      </c>
      <c r="AH26" s="53" t="str">
        <f t="shared" ca="1" si="5"/>
        <v/>
      </c>
      <c r="AI26" s="53" t="str">
        <f t="shared" ca="1" si="5"/>
        <v/>
      </c>
      <c r="AJ26" s="53" t="str">
        <f t="shared" ca="1" si="5"/>
        <v>April</v>
      </c>
      <c r="AK26" s="53" t="str">
        <f t="shared" ca="1" si="5"/>
        <v/>
      </c>
      <c r="AL26" s="53" t="str">
        <f t="shared" ca="1" si="5"/>
        <v/>
      </c>
      <c r="AM26" s="53" t="str">
        <f t="shared" ca="1" si="5"/>
        <v/>
      </c>
      <c r="AN26" s="53" t="str">
        <f t="shared" ca="1" si="5"/>
        <v/>
      </c>
      <c r="AO26" s="53" t="str">
        <f t="shared" ca="1" si="5"/>
        <v/>
      </c>
      <c r="AP26" s="53" t="str">
        <f t="shared" ca="1" si="5"/>
        <v/>
      </c>
      <c r="AQ26" s="53" t="str">
        <f t="shared" ca="1" si="5"/>
        <v/>
      </c>
      <c r="AR26" s="53" t="str">
        <f t="shared" ca="1" si="5"/>
        <v/>
      </c>
      <c r="AS26" s="53" t="str">
        <f t="shared" ca="1" si="5"/>
        <v/>
      </c>
      <c r="AT26" s="53" t="str">
        <f t="shared" ca="1" si="5"/>
        <v/>
      </c>
      <c r="AU26" s="53" t="str">
        <f t="shared" ca="1" si="5"/>
        <v/>
      </c>
      <c r="AV26" s="53" t="str">
        <f t="shared" ca="1" si="5"/>
        <v/>
      </c>
      <c r="AW26" s="53" t="str">
        <f t="shared" ref="AW26:CB26" ca="1" si="6">IF(TEXT(AV27,"mmmm")=TEXT(AW27,"mmmm"),"",TEXT(AW27,"mmmm"))</f>
        <v/>
      </c>
      <c r="AX26" s="53" t="str">
        <f t="shared" ca="1" si="6"/>
        <v/>
      </c>
      <c r="AY26" s="53" t="str">
        <f t="shared" ca="1" si="6"/>
        <v/>
      </c>
      <c r="AZ26" s="53" t="str">
        <f t="shared" ca="1" si="6"/>
        <v/>
      </c>
      <c r="BA26" s="53" t="str">
        <f t="shared" ca="1" si="6"/>
        <v/>
      </c>
      <c r="BB26" s="53" t="str">
        <f t="shared" ca="1" si="6"/>
        <v/>
      </c>
      <c r="BC26" s="53" t="str">
        <f t="shared" ca="1" si="6"/>
        <v/>
      </c>
      <c r="BD26" s="53" t="str">
        <f t="shared" ca="1" si="6"/>
        <v/>
      </c>
      <c r="BE26" s="53" t="str">
        <f t="shared" ca="1" si="6"/>
        <v/>
      </c>
      <c r="BF26" s="53" t="str">
        <f t="shared" ca="1" si="6"/>
        <v/>
      </c>
      <c r="BG26" s="53" t="str">
        <f t="shared" ca="1" si="6"/>
        <v/>
      </c>
      <c r="BH26" s="53" t="str">
        <f t="shared" ca="1" si="6"/>
        <v/>
      </c>
      <c r="BI26" s="53" t="str">
        <f t="shared" ca="1" si="6"/>
        <v/>
      </c>
      <c r="BJ26" s="53" t="str">
        <f t="shared" ca="1" si="6"/>
        <v/>
      </c>
      <c r="BK26" s="53" t="str">
        <f t="shared" ca="1" si="6"/>
        <v/>
      </c>
      <c r="BL26" s="53" t="str">
        <f t="shared" ca="1" si="6"/>
        <v/>
      </c>
      <c r="BM26" s="53" t="str">
        <f t="shared" ca="1" si="6"/>
        <v/>
      </c>
      <c r="BN26" s="53" t="str">
        <f t="shared" ca="1" si="6"/>
        <v>May</v>
      </c>
      <c r="BO26" s="53" t="str">
        <f t="shared" ca="1" si="6"/>
        <v/>
      </c>
      <c r="BP26" s="53" t="str">
        <f t="shared" ca="1" si="6"/>
        <v/>
      </c>
      <c r="BQ26" s="53" t="str">
        <f t="shared" ca="1" si="6"/>
        <v/>
      </c>
      <c r="BR26" s="53" t="str">
        <f t="shared" ca="1" si="6"/>
        <v/>
      </c>
      <c r="BS26" s="53" t="str">
        <f t="shared" ca="1" si="6"/>
        <v/>
      </c>
      <c r="BT26" s="53" t="str">
        <f t="shared" ca="1" si="6"/>
        <v/>
      </c>
      <c r="BU26" s="53" t="str">
        <f t="shared" ca="1" si="6"/>
        <v/>
      </c>
      <c r="BV26" s="53" t="str">
        <f t="shared" ca="1" si="6"/>
        <v/>
      </c>
      <c r="BW26" s="53" t="str">
        <f t="shared" ca="1" si="6"/>
        <v/>
      </c>
      <c r="BX26" s="53" t="str">
        <f t="shared" ca="1" si="6"/>
        <v/>
      </c>
      <c r="BY26" s="53" t="str">
        <f t="shared" ca="1" si="6"/>
        <v/>
      </c>
      <c r="BZ26" s="53" t="str">
        <f t="shared" ca="1" si="6"/>
        <v/>
      </c>
      <c r="CA26" s="53" t="str">
        <f t="shared" ca="1" si="6"/>
        <v/>
      </c>
      <c r="CB26" s="53" t="str">
        <f t="shared" ca="1" si="6"/>
        <v/>
      </c>
      <c r="CC26" s="53" t="str">
        <f t="shared" ref="CC26:CU26" ca="1" si="7">IF(TEXT(CB27,"mmmm")=TEXT(CC27,"mmmm"),"",TEXT(CC27,"mmmm"))</f>
        <v/>
      </c>
      <c r="CD26" s="53" t="str">
        <f t="shared" ca="1" si="7"/>
        <v/>
      </c>
      <c r="CE26" s="53" t="str">
        <f t="shared" ca="1" si="7"/>
        <v/>
      </c>
      <c r="CF26" s="53" t="str">
        <f t="shared" ca="1" si="7"/>
        <v/>
      </c>
      <c r="CG26" s="53" t="str">
        <f t="shared" ca="1" si="7"/>
        <v/>
      </c>
      <c r="CH26" s="53" t="str">
        <f t="shared" ca="1" si="7"/>
        <v/>
      </c>
      <c r="CI26" s="53" t="str">
        <f t="shared" ca="1" si="7"/>
        <v/>
      </c>
      <c r="CJ26" s="53" t="str">
        <f t="shared" ca="1" si="7"/>
        <v/>
      </c>
      <c r="CK26" s="53" t="str">
        <f t="shared" ca="1" si="7"/>
        <v/>
      </c>
      <c r="CL26" s="53" t="str">
        <f t="shared" ca="1" si="7"/>
        <v/>
      </c>
      <c r="CM26" s="53" t="str">
        <f t="shared" ca="1" si="7"/>
        <v/>
      </c>
      <c r="CN26" s="53" t="str">
        <f t="shared" ca="1" si="7"/>
        <v/>
      </c>
      <c r="CO26" s="53" t="str">
        <f t="shared" ca="1" si="7"/>
        <v/>
      </c>
      <c r="CP26" s="53" t="str">
        <f t="shared" ca="1" si="7"/>
        <v/>
      </c>
      <c r="CQ26" s="53" t="str">
        <f t="shared" ca="1" si="7"/>
        <v/>
      </c>
      <c r="CR26" s="53" t="str">
        <f t="shared" ca="1" si="7"/>
        <v/>
      </c>
      <c r="CS26" s="53" t="str">
        <f t="shared" ca="1" si="7"/>
        <v>June</v>
      </c>
      <c r="CT26" s="53" t="str">
        <f t="shared" ca="1" si="7"/>
        <v/>
      </c>
      <c r="CU26" s="53" t="str">
        <f t="shared" ca="1" si="7"/>
        <v/>
      </c>
    </row>
    <row r="27" spans="1:125" s="50" customFormat="1" ht="34.5" customHeight="1" thickTop="1" x14ac:dyDescent="0.25">
      <c r="A27" s="270" t="s">
        <v>260</v>
      </c>
      <c r="B27" s="270" t="s">
        <v>261</v>
      </c>
      <c r="C27" s="270" t="s">
        <v>262</v>
      </c>
      <c r="D27" s="270" t="s">
        <v>263</v>
      </c>
      <c r="E27" s="270" t="s">
        <v>264</v>
      </c>
      <c r="F27" s="270" t="s">
        <v>236</v>
      </c>
      <c r="G27" s="289" t="s">
        <v>237</v>
      </c>
      <c r="H27" s="289" t="s">
        <v>265</v>
      </c>
      <c r="I27" s="270" t="s">
        <v>266</v>
      </c>
      <c r="J27" s="270" t="s">
        <v>267</v>
      </c>
      <c r="K27" s="290" t="s">
        <v>268</v>
      </c>
      <c r="L27" s="270" t="s">
        <v>269</v>
      </c>
      <c r="M27" s="270" t="s">
        <v>270</v>
      </c>
      <c r="N27" s="22" t="s">
        <v>272</v>
      </c>
      <c r="O27" s="22" t="s">
        <v>142</v>
      </c>
      <c r="P27" s="56">
        <f ca="1">IFERROR(Project_Start+Scrolling_Increment,TODAY())</f>
        <v>45363</v>
      </c>
      <c r="Q27" s="56">
        <f t="shared" ref="Q27:AV27" ca="1" si="8">+P27+1</f>
        <v>45364</v>
      </c>
      <c r="R27" s="56">
        <f t="shared" ca="1" si="8"/>
        <v>45365</v>
      </c>
      <c r="S27" s="56">
        <f t="shared" ca="1" si="8"/>
        <v>45366</v>
      </c>
      <c r="T27" s="56">
        <f t="shared" ca="1" si="8"/>
        <v>45367</v>
      </c>
      <c r="U27" s="56">
        <f t="shared" ca="1" si="8"/>
        <v>45368</v>
      </c>
      <c r="V27" s="56">
        <f t="shared" ca="1" si="8"/>
        <v>45369</v>
      </c>
      <c r="W27" s="56">
        <f t="shared" ca="1" si="8"/>
        <v>45370</v>
      </c>
      <c r="X27" s="56">
        <f t="shared" ca="1" si="8"/>
        <v>45371</v>
      </c>
      <c r="Y27" s="56">
        <f t="shared" ca="1" si="8"/>
        <v>45372</v>
      </c>
      <c r="Z27" s="56">
        <f t="shared" ca="1" si="8"/>
        <v>45373</v>
      </c>
      <c r="AA27" s="56">
        <f t="shared" ca="1" si="8"/>
        <v>45374</v>
      </c>
      <c r="AB27" s="56">
        <f t="shared" ca="1" si="8"/>
        <v>45375</v>
      </c>
      <c r="AC27" s="56">
        <f t="shared" ca="1" si="8"/>
        <v>45376</v>
      </c>
      <c r="AD27" s="56">
        <f t="shared" ca="1" si="8"/>
        <v>45377</v>
      </c>
      <c r="AE27" s="56">
        <f t="shared" ca="1" si="8"/>
        <v>45378</v>
      </c>
      <c r="AF27" s="56">
        <f t="shared" ca="1" si="8"/>
        <v>45379</v>
      </c>
      <c r="AG27" s="56">
        <f t="shared" ca="1" si="8"/>
        <v>45380</v>
      </c>
      <c r="AH27" s="56">
        <f t="shared" ca="1" si="8"/>
        <v>45381</v>
      </c>
      <c r="AI27" s="56">
        <f t="shared" ca="1" si="8"/>
        <v>45382</v>
      </c>
      <c r="AJ27" s="56">
        <f t="shared" ca="1" si="8"/>
        <v>45383</v>
      </c>
      <c r="AK27" s="56">
        <f t="shared" ca="1" si="8"/>
        <v>45384</v>
      </c>
      <c r="AL27" s="56">
        <f t="shared" ca="1" si="8"/>
        <v>45385</v>
      </c>
      <c r="AM27" s="56">
        <f t="shared" ca="1" si="8"/>
        <v>45386</v>
      </c>
      <c r="AN27" s="56">
        <f t="shared" ca="1" si="8"/>
        <v>45387</v>
      </c>
      <c r="AO27" s="56">
        <f t="shared" ca="1" si="8"/>
        <v>45388</v>
      </c>
      <c r="AP27" s="56">
        <f t="shared" ca="1" si="8"/>
        <v>45389</v>
      </c>
      <c r="AQ27" s="56">
        <f t="shared" ca="1" si="8"/>
        <v>45390</v>
      </c>
      <c r="AR27" s="56">
        <f t="shared" ca="1" si="8"/>
        <v>45391</v>
      </c>
      <c r="AS27" s="56">
        <f t="shared" ca="1" si="8"/>
        <v>45392</v>
      </c>
      <c r="AT27" s="56">
        <f t="shared" ca="1" si="8"/>
        <v>45393</v>
      </c>
      <c r="AU27" s="56">
        <f t="shared" ca="1" si="8"/>
        <v>45394</v>
      </c>
      <c r="AV27" s="56">
        <f t="shared" ca="1" si="8"/>
        <v>45395</v>
      </c>
      <c r="AW27" s="56">
        <f t="shared" ref="AW27:CB27" ca="1" si="9">+AV27+1</f>
        <v>45396</v>
      </c>
      <c r="AX27" s="56">
        <f t="shared" ca="1" si="9"/>
        <v>45397</v>
      </c>
      <c r="AY27" s="56">
        <f t="shared" ca="1" si="9"/>
        <v>45398</v>
      </c>
      <c r="AZ27" s="56">
        <f t="shared" ca="1" si="9"/>
        <v>45399</v>
      </c>
      <c r="BA27" s="56">
        <f t="shared" ca="1" si="9"/>
        <v>45400</v>
      </c>
      <c r="BB27" s="56">
        <f t="shared" ca="1" si="9"/>
        <v>45401</v>
      </c>
      <c r="BC27" s="56">
        <f t="shared" ca="1" si="9"/>
        <v>45402</v>
      </c>
      <c r="BD27" s="56">
        <f t="shared" ca="1" si="9"/>
        <v>45403</v>
      </c>
      <c r="BE27" s="56">
        <f t="shared" ca="1" si="9"/>
        <v>45404</v>
      </c>
      <c r="BF27" s="56">
        <f t="shared" ca="1" si="9"/>
        <v>45405</v>
      </c>
      <c r="BG27" s="56">
        <f t="shared" ca="1" si="9"/>
        <v>45406</v>
      </c>
      <c r="BH27" s="56">
        <f t="shared" ca="1" si="9"/>
        <v>45407</v>
      </c>
      <c r="BI27" s="56">
        <f t="shared" ca="1" si="9"/>
        <v>45408</v>
      </c>
      <c r="BJ27" s="56">
        <f t="shared" ca="1" si="9"/>
        <v>45409</v>
      </c>
      <c r="BK27" s="56">
        <f t="shared" ca="1" si="9"/>
        <v>45410</v>
      </c>
      <c r="BL27" s="56">
        <f t="shared" ca="1" si="9"/>
        <v>45411</v>
      </c>
      <c r="BM27" s="56">
        <f t="shared" ca="1" si="9"/>
        <v>45412</v>
      </c>
      <c r="BN27" s="56">
        <f t="shared" ca="1" si="9"/>
        <v>45413</v>
      </c>
      <c r="BO27" s="56">
        <f t="shared" ca="1" si="9"/>
        <v>45414</v>
      </c>
      <c r="BP27" s="56">
        <f t="shared" ca="1" si="9"/>
        <v>45415</v>
      </c>
      <c r="BQ27" s="56">
        <f t="shared" ca="1" si="9"/>
        <v>45416</v>
      </c>
      <c r="BR27" s="56">
        <f t="shared" ca="1" si="9"/>
        <v>45417</v>
      </c>
      <c r="BS27" s="56">
        <f t="shared" ca="1" si="9"/>
        <v>45418</v>
      </c>
      <c r="BT27" s="56">
        <f t="shared" ca="1" si="9"/>
        <v>45419</v>
      </c>
      <c r="BU27" s="56">
        <f t="shared" ca="1" si="9"/>
        <v>45420</v>
      </c>
      <c r="BV27" s="56">
        <f t="shared" ca="1" si="9"/>
        <v>45421</v>
      </c>
      <c r="BW27" s="56">
        <f t="shared" ca="1" si="9"/>
        <v>45422</v>
      </c>
      <c r="BX27" s="56">
        <f t="shared" ca="1" si="9"/>
        <v>45423</v>
      </c>
      <c r="BY27" s="56">
        <f t="shared" ca="1" si="9"/>
        <v>45424</v>
      </c>
      <c r="BZ27" s="56">
        <f t="shared" ca="1" si="9"/>
        <v>45425</v>
      </c>
      <c r="CA27" s="56">
        <f t="shared" ca="1" si="9"/>
        <v>45426</v>
      </c>
      <c r="CB27" s="56">
        <f t="shared" ca="1" si="9"/>
        <v>45427</v>
      </c>
      <c r="CC27" s="56">
        <f t="shared" ref="CC27:CU27" ca="1" si="10">+CB27+1</f>
        <v>45428</v>
      </c>
      <c r="CD27" s="56">
        <f t="shared" ca="1" si="10"/>
        <v>45429</v>
      </c>
      <c r="CE27" s="56">
        <f t="shared" ca="1" si="10"/>
        <v>45430</v>
      </c>
      <c r="CF27" s="56">
        <f t="shared" ca="1" si="10"/>
        <v>45431</v>
      </c>
      <c r="CG27" s="56">
        <f t="shared" ca="1" si="10"/>
        <v>45432</v>
      </c>
      <c r="CH27" s="56">
        <f t="shared" ca="1" si="10"/>
        <v>45433</v>
      </c>
      <c r="CI27" s="56">
        <f t="shared" ca="1" si="10"/>
        <v>45434</v>
      </c>
      <c r="CJ27" s="56">
        <f t="shared" ca="1" si="10"/>
        <v>45435</v>
      </c>
      <c r="CK27" s="56">
        <f t="shared" ca="1" si="10"/>
        <v>45436</v>
      </c>
      <c r="CL27" s="56">
        <f t="shared" ca="1" si="10"/>
        <v>45437</v>
      </c>
      <c r="CM27" s="56">
        <f t="shared" ca="1" si="10"/>
        <v>45438</v>
      </c>
      <c r="CN27" s="56">
        <f t="shared" ca="1" si="10"/>
        <v>45439</v>
      </c>
      <c r="CO27" s="56">
        <f t="shared" ca="1" si="10"/>
        <v>45440</v>
      </c>
      <c r="CP27" s="56">
        <f t="shared" ca="1" si="10"/>
        <v>45441</v>
      </c>
      <c r="CQ27" s="56">
        <f t="shared" ca="1" si="10"/>
        <v>45442</v>
      </c>
      <c r="CR27" s="56">
        <f t="shared" ca="1" si="10"/>
        <v>45443</v>
      </c>
      <c r="CS27" s="56">
        <f t="shared" ca="1" si="10"/>
        <v>45444</v>
      </c>
      <c r="CT27" s="56">
        <f t="shared" ca="1" si="10"/>
        <v>45445</v>
      </c>
      <c r="CU27" s="56">
        <f t="shared" ca="1" si="10"/>
        <v>45446</v>
      </c>
    </row>
    <row r="28" spans="1:125" s="40" customFormat="1" ht="20.100000000000001" customHeight="1" x14ac:dyDescent="0.25">
      <c r="A28" t="s">
        <v>594</v>
      </c>
      <c r="B28">
        <v>1</v>
      </c>
      <c r="C28" t="s">
        <v>238</v>
      </c>
      <c r="D28" t="s">
        <v>238</v>
      </c>
      <c r="E28" t="s">
        <v>239</v>
      </c>
      <c r="F28">
        <v>0</v>
      </c>
      <c r="G28" s="14"/>
      <c r="H28" s="14"/>
      <c r="I28"/>
      <c r="J28">
        <v>4</v>
      </c>
      <c r="K28" s="257">
        <v>45363</v>
      </c>
      <c r="L28"/>
      <c r="M28" s="14"/>
      <c r="N28" s="310"/>
      <c r="O28" s="292"/>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594</v>
      </c>
      <c r="B29">
        <v>2</v>
      </c>
      <c r="C29" t="s">
        <v>240</v>
      </c>
      <c r="D29" t="s">
        <v>241</v>
      </c>
      <c r="E29" t="s">
        <v>242</v>
      </c>
      <c r="F29">
        <v>0</v>
      </c>
      <c r="G29" s="14"/>
      <c r="H29" s="14"/>
      <c r="I29"/>
      <c r="J29">
        <v>4</v>
      </c>
      <c r="K29" s="257"/>
      <c r="L29"/>
      <c r="M29" s="14"/>
      <c r="N29" s="310"/>
      <c r="O29" s="292"/>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594</v>
      </c>
      <c r="B30">
        <v>3</v>
      </c>
      <c r="C30" t="s">
        <v>240</v>
      </c>
      <c r="D30" t="s">
        <v>243</v>
      </c>
      <c r="E30" t="s">
        <v>243</v>
      </c>
      <c r="F30">
        <v>0</v>
      </c>
      <c r="G30" s="14"/>
      <c r="H30" s="14"/>
      <c r="I30"/>
      <c r="J30">
        <v>4</v>
      </c>
      <c r="K30" s="257"/>
      <c r="L30"/>
      <c r="M30" s="14"/>
      <c r="N30" s="310"/>
      <c r="O30" s="292"/>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301</v>
      </c>
      <c r="B31">
        <v>4</v>
      </c>
      <c r="C31"/>
      <c r="D31" t="s">
        <v>244</v>
      </c>
      <c r="E31" t="s">
        <v>245</v>
      </c>
      <c r="F31">
        <v>6</v>
      </c>
      <c r="G31" s="14"/>
      <c r="H31" s="14"/>
      <c r="I31"/>
      <c r="J31">
        <v>5</v>
      </c>
      <c r="K31" s="257"/>
      <c r="L31"/>
      <c r="M31" s="14"/>
      <c r="N31" s="310"/>
      <c r="O31" s="292"/>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594</v>
      </c>
      <c r="B32">
        <v>5</v>
      </c>
      <c r="C32" t="s">
        <v>246</v>
      </c>
      <c r="D32" t="s">
        <v>247</v>
      </c>
      <c r="E32" t="s">
        <v>600</v>
      </c>
      <c r="F32">
        <v>0</v>
      </c>
      <c r="G32" s="14">
        <v>0</v>
      </c>
      <c r="H32" s="14">
        <v>0</v>
      </c>
      <c r="I32"/>
      <c r="J32"/>
      <c r="K32" s="257"/>
      <c r="L32"/>
      <c r="M32" s="14"/>
      <c r="N32" s="310"/>
      <c r="O32" s="292"/>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594</v>
      </c>
      <c r="B33">
        <v>6</v>
      </c>
      <c r="C33" t="s">
        <v>248</v>
      </c>
      <c r="D33" t="s">
        <v>247</v>
      </c>
      <c r="E33" t="s">
        <v>595</v>
      </c>
      <c r="F33">
        <v>0</v>
      </c>
      <c r="G33" s="14">
        <v>0</v>
      </c>
      <c r="H33" s="14">
        <v>0</v>
      </c>
      <c r="I33"/>
      <c r="J33"/>
      <c r="K33" s="257"/>
      <c r="L33"/>
      <c r="M33" s="14"/>
      <c r="N33" s="310"/>
      <c r="O33" s="292"/>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594</v>
      </c>
      <c r="B34">
        <v>7</v>
      </c>
      <c r="C34" t="s">
        <v>249</v>
      </c>
      <c r="D34" t="s">
        <v>247</v>
      </c>
      <c r="E34" t="s">
        <v>596</v>
      </c>
      <c r="F34">
        <v>0</v>
      </c>
      <c r="G34" s="14">
        <v>0</v>
      </c>
      <c r="H34" s="14">
        <v>0</v>
      </c>
      <c r="I34"/>
      <c r="J34"/>
      <c r="K34" s="257"/>
      <c r="L34"/>
      <c r="M34" s="14"/>
      <c r="N34" s="310"/>
      <c r="O34" s="292"/>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594</v>
      </c>
      <c r="B35">
        <v>8</v>
      </c>
      <c r="C35" t="s">
        <v>250</v>
      </c>
      <c r="D35" t="s">
        <v>247</v>
      </c>
      <c r="E35" t="s">
        <v>597</v>
      </c>
      <c r="F35">
        <v>0</v>
      </c>
      <c r="G35" s="14">
        <v>0</v>
      </c>
      <c r="H35" s="14">
        <v>0</v>
      </c>
      <c r="I35"/>
      <c r="J35"/>
      <c r="K35" s="257"/>
      <c r="L35"/>
      <c r="M35" s="14"/>
      <c r="N35" s="310"/>
      <c r="O35" s="292"/>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594</v>
      </c>
      <c r="B36">
        <v>9</v>
      </c>
      <c r="C36" t="s">
        <v>251</v>
      </c>
      <c r="D36" t="s">
        <v>247</v>
      </c>
      <c r="E36" t="s">
        <v>598</v>
      </c>
      <c r="F36">
        <v>0</v>
      </c>
      <c r="G36" s="14">
        <v>0</v>
      </c>
      <c r="H36" s="14">
        <v>0</v>
      </c>
      <c r="I36"/>
      <c r="J36"/>
      <c r="K36" s="257"/>
      <c r="L36"/>
      <c r="M36" s="14"/>
      <c r="N36" s="310"/>
      <c r="O36" s="292"/>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301</v>
      </c>
      <c r="B37">
        <v>10</v>
      </c>
      <c r="C37"/>
      <c r="D37"/>
      <c r="E37"/>
      <c r="F37"/>
      <c r="G37" s="14"/>
      <c r="H37" s="14"/>
      <c r="I37"/>
      <c r="J37"/>
      <c r="K37" s="257"/>
      <c r="L37"/>
      <c r="M37" s="14"/>
      <c r="N37" s="310"/>
      <c r="O37" s="292"/>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301</v>
      </c>
      <c r="B38">
        <v>11</v>
      </c>
      <c r="C38"/>
      <c r="D38"/>
      <c r="E38"/>
      <c r="F38"/>
      <c r="G38" s="14"/>
      <c r="H38" s="14"/>
      <c r="I38"/>
      <c r="J38"/>
      <c r="K38" s="257"/>
      <c r="L38"/>
      <c r="M38" s="14"/>
      <c r="N38" s="310"/>
      <c r="O38" s="292"/>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301</v>
      </c>
      <c r="B39">
        <v>12</v>
      </c>
      <c r="C39"/>
      <c r="D39"/>
      <c r="E39"/>
      <c r="F39"/>
      <c r="G39" s="14"/>
      <c r="H39" s="14"/>
      <c r="I39"/>
      <c r="J39"/>
      <c r="K39" s="257"/>
      <c r="L39"/>
      <c r="M39" s="14"/>
      <c r="N39" s="310"/>
      <c r="O39" s="292"/>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301</v>
      </c>
      <c r="B40">
        <v>13</v>
      </c>
      <c r="C40"/>
      <c r="D40"/>
      <c r="E40"/>
      <c r="F40"/>
      <c r="G40" s="14"/>
      <c r="H40" s="14"/>
      <c r="I40"/>
      <c r="J40"/>
      <c r="K40" s="257"/>
      <c r="L40"/>
      <c r="M40" s="14"/>
      <c r="N40" s="310"/>
      <c r="O40" s="292"/>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301</v>
      </c>
      <c r="B41">
        <v>14</v>
      </c>
      <c r="C41"/>
      <c r="D41"/>
      <c r="E41"/>
      <c r="F41"/>
      <c r="G41" s="14"/>
      <c r="H41" s="14"/>
      <c r="I41"/>
      <c r="J41"/>
      <c r="K41" s="257"/>
      <c r="L41"/>
      <c r="M41" s="14"/>
      <c r="N41" s="310"/>
      <c r="O41" s="292"/>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301</v>
      </c>
      <c r="B42">
        <v>15</v>
      </c>
      <c r="C42"/>
      <c r="D42"/>
      <c r="E42"/>
      <c r="F42"/>
      <c r="G42" s="14"/>
      <c r="H42" s="14"/>
      <c r="I42"/>
      <c r="J42"/>
      <c r="K42" s="257"/>
      <c r="L42"/>
      <c r="M42" s="14"/>
      <c r="N42" s="310"/>
      <c r="O42" s="292"/>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301</v>
      </c>
      <c r="B43">
        <v>16</v>
      </c>
      <c r="C43"/>
      <c r="D43"/>
      <c r="E43"/>
      <c r="F43"/>
      <c r="G43" s="14"/>
      <c r="H43" s="14"/>
      <c r="I43"/>
      <c r="J43"/>
      <c r="K43" s="257"/>
      <c r="L43"/>
      <c r="M43" s="14"/>
      <c r="N43" s="310"/>
      <c r="O43" s="292"/>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301</v>
      </c>
      <c r="B44">
        <v>17</v>
      </c>
      <c r="C44"/>
      <c r="D44"/>
      <c r="E44"/>
      <c r="F44"/>
      <c r="G44" s="14"/>
      <c r="H44" s="14"/>
      <c r="I44"/>
      <c r="J44"/>
      <c r="K44" s="257"/>
      <c r="L44"/>
      <c r="M44" s="14"/>
      <c r="N44" s="310"/>
      <c r="O44" s="292"/>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301</v>
      </c>
      <c r="B45">
        <v>18</v>
      </c>
      <c r="C45"/>
      <c r="D45"/>
      <c r="E45"/>
      <c r="F45"/>
      <c r="G45" s="14"/>
      <c r="H45" s="14"/>
      <c r="I45"/>
      <c r="J45"/>
      <c r="K45" s="257"/>
      <c r="L45"/>
      <c r="M45" s="14"/>
      <c r="N45" s="310"/>
      <c r="O45" s="292" t="s">
        <v>632</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301</v>
      </c>
      <c r="B46">
        <v>19</v>
      </c>
      <c r="C46"/>
      <c r="D46"/>
      <c r="E46"/>
      <c r="F46"/>
      <c r="G46" s="14"/>
      <c r="H46" s="14"/>
      <c r="I46"/>
      <c r="J46"/>
      <c r="K46" s="257"/>
      <c r="L46"/>
      <c r="M46" s="14"/>
      <c r="N46" s="310"/>
      <c r="O46" s="292"/>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301</v>
      </c>
      <c r="B47">
        <v>20</v>
      </c>
      <c r="C47"/>
      <c r="D47"/>
      <c r="E47"/>
      <c r="F47"/>
      <c r="G47" s="14"/>
      <c r="H47" s="14"/>
      <c r="I47"/>
      <c r="J47"/>
      <c r="K47" s="257"/>
      <c r="L47"/>
      <c r="M47" s="14"/>
      <c r="N47" s="310"/>
      <c r="O47" s="292"/>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301</v>
      </c>
      <c r="B48">
        <v>21</v>
      </c>
      <c r="C48"/>
      <c r="D48"/>
      <c r="E48"/>
      <c r="F48"/>
      <c r="G48" s="14"/>
      <c r="H48" s="14"/>
      <c r="I48"/>
      <c r="J48"/>
      <c r="K48" s="257"/>
      <c r="L48"/>
      <c r="M48" s="14"/>
      <c r="N48" s="310"/>
      <c r="O48" s="292"/>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301</v>
      </c>
      <c r="B49">
        <v>22</v>
      </c>
      <c r="C49"/>
      <c r="D49"/>
      <c r="E49"/>
      <c r="F49"/>
      <c r="G49" s="14"/>
      <c r="H49" s="14"/>
      <c r="I49"/>
      <c r="J49"/>
      <c r="K49" s="257"/>
      <c r="L49"/>
      <c r="M49" s="14"/>
      <c r="N49" s="310"/>
      <c r="O49" s="292"/>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301</v>
      </c>
      <c r="B50">
        <v>23</v>
      </c>
      <c r="C50"/>
      <c r="D50"/>
      <c r="E50"/>
      <c r="F50"/>
      <c r="G50" s="14"/>
      <c r="H50" s="14"/>
      <c r="I50"/>
      <c r="J50"/>
      <c r="K50" s="257"/>
      <c r="L50"/>
      <c r="M50" s="14"/>
      <c r="N50" s="310"/>
      <c r="O50" s="292"/>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c r="B51"/>
      <c r="C51"/>
      <c r="D51"/>
      <c r="E51"/>
      <c r="F51"/>
      <c r="G51" s="14"/>
      <c r="H51" s="14"/>
      <c r="I51"/>
      <c r="J51"/>
      <c r="K51" s="257"/>
      <c r="L51"/>
      <c r="M51" s="14"/>
      <c r="N51" s="310"/>
      <c r="O51" s="292"/>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c r="B52"/>
      <c r="C52"/>
      <c r="D52"/>
      <c r="E52"/>
      <c r="F52"/>
      <c r="G52" s="14"/>
      <c r="H52" s="14"/>
      <c r="I52"/>
      <c r="J52"/>
      <c r="K52" s="257"/>
      <c r="L52"/>
      <c r="M52" s="14"/>
      <c r="N52" s="310"/>
      <c r="O52" s="292"/>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c r="B53"/>
      <c r="C53"/>
      <c r="D53"/>
      <c r="E53"/>
      <c r="F53"/>
      <c r="G53" s="14"/>
      <c r="H53" s="14"/>
      <c r="I53"/>
      <c r="J53"/>
      <c r="K53" s="257"/>
      <c r="L53"/>
      <c r="M53" s="14"/>
      <c r="N53" s="310"/>
      <c r="O53" s="292"/>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c r="B54"/>
      <c r="C54"/>
      <c r="D54"/>
      <c r="E54"/>
      <c r="F54"/>
      <c r="G54" s="14"/>
      <c r="H54" s="14"/>
      <c r="I54"/>
      <c r="J54"/>
      <c r="K54" s="257"/>
      <c r="L54"/>
      <c r="M54" s="14"/>
      <c r="N54" s="310"/>
      <c r="O54" s="292"/>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c r="B55"/>
      <c r="C55"/>
      <c r="D55"/>
      <c r="E55"/>
      <c r="F55"/>
      <c r="G55" s="14"/>
      <c r="H55" s="14"/>
      <c r="I55"/>
      <c r="J55"/>
      <c r="K55" s="257"/>
      <c r="L55"/>
      <c r="M55" s="14"/>
      <c r="N55" s="310"/>
      <c r="O55" s="292"/>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c r="B56"/>
      <c r="C56"/>
      <c r="D56"/>
      <c r="E56"/>
      <c r="F56"/>
      <c r="G56" s="14"/>
      <c r="H56" s="14"/>
      <c r="I56"/>
      <c r="J56"/>
      <c r="K56" s="257"/>
      <c r="L56"/>
      <c r="M56" s="14"/>
      <c r="N56" s="310"/>
      <c r="O56" s="292"/>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c r="B57"/>
      <c r="C57"/>
      <c r="D57"/>
      <c r="E57"/>
      <c r="F57"/>
      <c r="G57" s="14"/>
      <c r="H57" s="14"/>
      <c r="I57"/>
      <c r="J57"/>
      <c r="K57" s="257"/>
      <c r="L57"/>
      <c r="M57" s="14"/>
      <c r="N57" s="310"/>
      <c r="O57" s="292"/>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c r="B58"/>
      <c r="C58"/>
      <c r="D58"/>
      <c r="E58"/>
      <c r="F58"/>
      <c r="G58" s="14"/>
      <c r="H58" s="14"/>
      <c r="I58"/>
      <c r="J58"/>
      <c r="K58" s="257"/>
      <c r="L58"/>
      <c r="M58" s="14"/>
      <c r="N58" s="310"/>
      <c r="O58" s="292"/>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c r="B59"/>
      <c r="C59"/>
      <c r="D59"/>
      <c r="E59"/>
      <c r="F59"/>
      <c r="G59" s="14"/>
      <c r="H59" s="14"/>
      <c r="I59"/>
      <c r="J59"/>
      <c r="K59" s="257"/>
      <c r="L59"/>
      <c r="M59" s="14"/>
      <c r="N59" s="310"/>
      <c r="O59" s="292"/>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c r="B60"/>
      <c r="C60"/>
      <c r="D60"/>
      <c r="E60"/>
      <c r="F60"/>
      <c r="G60" s="14"/>
      <c r="H60" s="14"/>
      <c r="I60"/>
      <c r="J60"/>
      <c r="K60" s="257"/>
      <c r="L60"/>
      <c r="M60" s="14"/>
      <c r="N60" s="310"/>
      <c r="O60" s="292"/>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c r="B61"/>
      <c r="C61"/>
      <c r="D61"/>
      <c r="E61"/>
      <c r="F61"/>
      <c r="G61" s="14"/>
      <c r="H61" s="14"/>
      <c r="I61"/>
      <c r="J61"/>
      <c r="K61" s="257"/>
      <c r="L61"/>
      <c r="M61" s="14"/>
      <c r="N61" s="310"/>
      <c r="O61" s="292"/>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c r="B62"/>
      <c r="C62"/>
      <c r="D62"/>
      <c r="E62"/>
      <c r="F62"/>
      <c r="G62" s="14"/>
      <c r="H62" s="14"/>
      <c r="I62"/>
      <c r="J62"/>
      <c r="K62" s="257"/>
      <c r="L62"/>
      <c r="M62" s="14"/>
      <c r="N62" s="310"/>
      <c r="O62" s="292"/>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c r="B63"/>
      <c r="C63"/>
      <c r="D63"/>
      <c r="E63"/>
      <c r="F63"/>
      <c r="G63" s="14"/>
      <c r="H63" s="14"/>
      <c r="I63"/>
      <c r="J63"/>
      <c r="K63" s="257"/>
      <c r="L63"/>
      <c r="M63" s="14"/>
      <c r="N63" s="310"/>
      <c r="O63" s="292"/>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c r="B64"/>
      <c r="C64"/>
      <c r="D64"/>
      <c r="E64"/>
      <c r="F64"/>
      <c r="G64" s="14"/>
      <c r="H64" s="14"/>
      <c r="I64"/>
      <c r="J64"/>
      <c r="K64" s="257"/>
      <c r="L64"/>
      <c r="M64" s="14"/>
      <c r="N64" s="310"/>
      <c r="O64" s="292"/>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c r="B65"/>
      <c r="C65"/>
      <c r="D65"/>
      <c r="E65"/>
      <c r="F65"/>
      <c r="G65" s="14"/>
      <c r="H65" s="14"/>
      <c r="I65"/>
      <c r="J65"/>
      <c r="K65" s="257"/>
      <c r="L65"/>
      <c r="M65" s="14"/>
      <c r="N65" s="310"/>
      <c r="O65" s="292"/>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c r="B66"/>
      <c r="C66"/>
      <c r="D66"/>
      <c r="E66"/>
      <c r="F66"/>
      <c r="G66" s="14"/>
      <c r="H66" s="14"/>
      <c r="I66"/>
      <c r="J66"/>
      <c r="K66" s="257"/>
      <c r="L66"/>
      <c r="M66" s="14"/>
      <c r="N66" s="310"/>
      <c r="O66" s="292"/>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c r="B67"/>
      <c r="C67"/>
      <c r="D67"/>
      <c r="E67"/>
      <c r="F67"/>
      <c r="G67" s="14"/>
      <c r="H67" s="14"/>
      <c r="I67"/>
      <c r="J67"/>
      <c r="K67" s="257"/>
      <c r="L67"/>
      <c r="M67" s="14"/>
      <c r="N67" s="310"/>
      <c r="O67" s="292"/>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c r="B68"/>
      <c r="C68"/>
      <c r="D68"/>
      <c r="E68"/>
      <c r="F68"/>
      <c r="G68" s="14"/>
      <c r="H68" s="14"/>
      <c r="I68"/>
      <c r="J68"/>
      <c r="K68" s="257"/>
      <c r="L68"/>
      <c r="M68" s="14"/>
      <c r="N68" s="310"/>
      <c r="O68" s="292"/>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c r="B69"/>
      <c r="C69"/>
      <c r="D69"/>
      <c r="E69"/>
      <c r="F69"/>
      <c r="G69" s="14"/>
      <c r="H69" s="14"/>
      <c r="I69"/>
      <c r="J69"/>
      <c r="K69" s="257"/>
      <c r="L69"/>
      <c r="M69" s="14"/>
      <c r="N69" s="310"/>
      <c r="O69" s="292"/>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c r="B70"/>
      <c r="C70"/>
      <c r="D70"/>
      <c r="E70"/>
      <c r="F70"/>
      <c r="G70" s="14"/>
      <c r="H70" s="14"/>
      <c r="I70"/>
      <c r="J70"/>
      <c r="K70" s="257"/>
      <c r="L70"/>
      <c r="M70" s="14"/>
      <c r="N70" s="310"/>
      <c r="O70" s="292"/>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c r="B71"/>
      <c r="C71"/>
      <c r="D71"/>
      <c r="E71"/>
      <c r="F71"/>
      <c r="G71" s="14"/>
      <c r="H71" s="14"/>
      <c r="I71"/>
      <c r="J71"/>
      <c r="K71" s="257"/>
      <c r="L71"/>
      <c r="M71" s="14"/>
      <c r="N71" s="310"/>
      <c r="O71" s="292"/>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57"/>
      <c r="L72"/>
      <c r="M72" s="14"/>
      <c r="N72" s="310"/>
      <c r="O72" s="292"/>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57"/>
      <c r="L73"/>
      <c r="M73" s="14"/>
      <c r="N73" s="310"/>
      <c r="O73" s="292"/>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57"/>
      <c r="L74"/>
      <c r="M74" s="14"/>
      <c r="N74" s="310"/>
      <c r="O74" s="292"/>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57"/>
      <c r="L75"/>
      <c r="M75" s="14"/>
      <c r="N75" s="310"/>
      <c r="O75" s="292"/>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57"/>
      <c r="L76"/>
      <c r="M76" s="14"/>
      <c r="N76" s="310"/>
      <c r="O76" s="292"/>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57"/>
      <c r="L77"/>
      <c r="M77" s="14"/>
      <c r="N77" s="310"/>
      <c r="O77" s="292"/>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57"/>
      <c r="L78"/>
      <c r="M78" s="14"/>
      <c r="N78" s="310"/>
      <c r="O78" s="292"/>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57"/>
      <c r="L79"/>
      <c r="M79" s="14"/>
      <c r="N79" s="310"/>
      <c r="O79" s="292"/>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57"/>
      <c r="L80"/>
      <c r="M80" s="14"/>
      <c r="N80" s="310"/>
      <c r="O80" s="292"/>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57"/>
      <c r="L81"/>
      <c r="M81" s="14"/>
      <c r="N81" s="310"/>
      <c r="O81" s="292"/>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57"/>
      <c r="L82"/>
      <c r="M82" s="14"/>
      <c r="N82" s="310"/>
      <c r="O82" s="292"/>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57"/>
      <c r="L83"/>
      <c r="M83" s="14"/>
      <c r="N83" s="310"/>
      <c r="O83" s="292"/>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57"/>
      <c r="L84"/>
      <c r="M84" s="14"/>
      <c r="N84" s="310"/>
      <c r="O84" s="292"/>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57"/>
      <c r="L85"/>
      <c r="M85" s="14"/>
      <c r="N85" s="310"/>
      <c r="O85" s="292"/>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57"/>
      <c r="L86"/>
      <c r="M86" s="14"/>
      <c r="N86" s="310"/>
      <c r="O86" s="292"/>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57"/>
      <c r="L87"/>
      <c r="M87" s="14"/>
      <c r="N87" s="310"/>
      <c r="O87" s="292"/>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2"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A5" sqref="A5:G27"/>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67" bestFit="1" customWidth="1"/>
    <col min="6" max="6" width="10" style="267" bestFit="1" customWidth="1"/>
    <col min="7" max="8" width="10.28515625" style="267" bestFit="1" customWidth="1"/>
    <col min="9" max="9" width="5.42578125" style="267" customWidth="1"/>
    <col min="10" max="10" width="50.7109375" bestFit="1" customWidth="1"/>
    <col min="11" max="12" width="9.7109375" bestFit="1" customWidth="1"/>
    <col min="13" max="13" width="8.7109375" style="257"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57" bestFit="1" customWidth="1"/>
    <col min="24" max="25" width="14.28515625" bestFit="1" customWidth="1"/>
  </cols>
  <sheetData>
    <row r="1" spans="1:23" x14ac:dyDescent="0.25">
      <c r="A1" s="926" t="s">
        <v>302</v>
      </c>
      <c r="B1" s="927"/>
      <c r="C1" s="882"/>
      <c r="D1" s="882"/>
      <c r="E1" s="882"/>
      <c r="F1" s="882"/>
      <c r="G1" s="751"/>
      <c r="I1" s="922" t="s">
        <v>303</v>
      </c>
      <c r="J1" s="923"/>
      <c r="K1" s="924"/>
      <c r="L1" s="925"/>
      <c r="M1"/>
      <c r="N1" s="912" t="s">
        <v>304</v>
      </c>
      <c r="O1" s="913"/>
      <c r="P1" s="913"/>
      <c r="Q1" s="913"/>
      <c r="R1" s="913"/>
      <c r="S1" s="914"/>
      <c r="W1"/>
    </row>
    <row r="2" spans="1:23" ht="15.75" thickBot="1" x14ac:dyDescent="0.3">
      <c r="A2" s="926" t="s">
        <v>305</v>
      </c>
      <c r="B2" s="927"/>
      <c r="C2" s="882"/>
      <c r="D2" s="882"/>
      <c r="E2" s="882"/>
      <c r="F2" s="882"/>
      <c r="G2" s="751"/>
      <c r="I2" s="918" t="s">
        <v>306</v>
      </c>
      <c r="J2" s="919"/>
      <c r="K2" s="920"/>
      <c r="L2" s="921"/>
      <c r="M2"/>
      <c r="N2" s="915" t="str">
        <f>"Recap Summary Table - " &amp; +Profit!B2</f>
        <v>Recap Summary Table - 612 Britton Ct</v>
      </c>
      <c r="O2" s="916"/>
      <c r="P2" s="916"/>
      <c r="Q2" s="916"/>
      <c r="R2" s="916"/>
      <c r="S2" s="917"/>
      <c r="W2"/>
    </row>
    <row r="4" spans="1:23" s="57" customFormat="1" x14ac:dyDescent="0.25">
      <c r="A4" s="57" t="s">
        <v>261</v>
      </c>
      <c r="B4" s="22" t="s">
        <v>263</v>
      </c>
      <c r="C4" s="57" t="s">
        <v>264</v>
      </c>
      <c r="D4" s="3" t="s">
        <v>307</v>
      </c>
      <c r="E4" s="296" t="s">
        <v>268</v>
      </c>
      <c r="F4" s="3" t="s">
        <v>265</v>
      </c>
      <c r="G4" s="57" t="s">
        <v>266</v>
      </c>
      <c r="I4" s="57" t="s">
        <v>261</v>
      </c>
      <c r="J4" s="57" t="s">
        <v>308</v>
      </c>
      <c r="K4" s="297" t="s">
        <v>309</v>
      </c>
      <c r="L4" s="57" t="s">
        <v>266</v>
      </c>
      <c r="N4" s="3" t="s">
        <v>261</v>
      </c>
      <c r="O4" s="22" t="s">
        <v>263</v>
      </c>
      <c r="P4" s="3" t="s">
        <v>264</v>
      </c>
      <c r="Q4" s="3" t="s">
        <v>308</v>
      </c>
      <c r="R4" s="3" t="s">
        <v>309</v>
      </c>
      <c r="S4" s="3" t="s">
        <v>266</v>
      </c>
    </row>
    <row r="5" spans="1:23" x14ac:dyDescent="0.25">
      <c r="A5">
        <v>5</v>
      </c>
      <c r="B5" t="s">
        <v>247</v>
      </c>
      <c r="C5" t="s">
        <v>600</v>
      </c>
      <c r="F5" s="298">
        <v>0</v>
      </c>
      <c r="G5"/>
      <c r="H5"/>
      <c r="I5"/>
      <c r="K5" s="257"/>
      <c r="M5"/>
      <c r="R5" s="257"/>
      <c r="W5"/>
    </row>
    <row r="6" spans="1:23" x14ac:dyDescent="0.25">
      <c r="A6">
        <v>6</v>
      </c>
      <c r="B6" t="s">
        <v>247</v>
      </c>
      <c r="C6" t="s">
        <v>595</v>
      </c>
      <c r="F6" s="298">
        <v>0</v>
      </c>
      <c r="G6"/>
      <c r="H6"/>
      <c r="I6"/>
      <c r="K6" s="257"/>
      <c r="M6"/>
      <c r="W6"/>
    </row>
    <row r="7" spans="1:23" x14ac:dyDescent="0.25">
      <c r="A7">
        <v>7</v>
      </c>
      <c r="B7" t="s">
        <v>247</v>
      </c>
      <c r="C7" t="s">
        <v>596</v>
      </c>
      <c r="F7" s="298">
        <v>0</v>
      </c>
      <c r="G7"/>
      <c r="H7"/>
      <c r="I7"/>
      <c r="K7" s="257"/>
      <c r="M7"/>
      <c r="W7"/>
    </row>
    <row r="8" spans="1:23" x14ac:dyDescent="0.25">
      <c r="A8">
        <v>8</v>
      </c>
      <c r="B8" t="s">
        <v>247</v>
      </c>
      <c r="C8" t="s">
        <v>597</v>
      </c>
      <c r="F8" s="298">
        <v>0</v>
      </c>
      <c r="G8"/>
      <c r="H8"/>
      <c r="I8"/>
      <c r="K8" s="257"/>
      <c r="M8"/>
      <c r="W8"/>
    </row>
    <row r="9" spans="1:23" x14ac:dyDescent="0.25">
      <c r="A9">
        <v>9</v>
      </c>
      <c r="B9" t="s">
        <v>247</v>
      </c>
      <c r="C9" t="s">
        <v>598</v>
      </c>
      <c r="F9" s="298">
        <v>0</v>
      </c>
      <c r="G9"/>
      <c r="H9"/>
      <c r="I9"/>
      <c r="K9" s="257"/>
      <c r="M9"/>
      <c r="W9"/>
    </row>
    <row r="10" spans="1:23" x14ac:dyDescent="0.25">
      <c r="A10">
        <v>10</v>
      </c>
      <c r="F10" s="298"/>
      <c r="G10"/>
      <c r="H10"/>
      <c r="I10"/>
      <c r="K10" s="257"/>
      <c r="M10"/>
      <c r="W10"/>
    </row>
    <row r="11" spans="1:23" x14ac:dyDescent="0.25">
      <c r="A11">
        <v>11</v>
      </c>
      <c r="F11" s="298"/>
      <c r="G11"/>
      <c r="H11"/>
      <c r="I11"/>
      <c r="K11" s="257"/>
      <c r="M11"/>
      <c r="W11"/>
    </row>
    <row r="12" spans="1:23" x14ac:dyDescent="0.25">
      <c r="A12">
        <v>12</v>
      </c>
      <c r="F12" s="298"/>
      <c r="G12"/>
      <c r="H12"/>
      <c r="I12"/>
      <c r="K12" s="257"/>
      <c r="M12"/>
      <c r="W12"/>
    </row>
    <row r="13" spans="1:23" x14ac:dyDescent="0.25">
      <c r="A13">
        <v>13</v>
      </c>
      <c r="F13" s="298"/>
      <c r="G13"/>
      <c r="H13"/>
      <c r="I13"/>
      <c r="K13" s="257"/>
      <c r="M13"/>
      <c r="U13" s="257"/>
      <c r="W13"/>
    </row>
    <row r="14" spans="1:23" x14ac:dyDescent="0.25">
      <c r="A14">
        <v>14</v>
      </c>
      <c r="F14" s="298"/>
      <c r="G14"/>
      <c r="H14"/>
      <c r="I14"/>
      <c r="K14" s="257"/>
      <c r="M14"/>
      <c r="U14" s="257"/>
      <c r="W14"/>
    </row>
    <row r="15" spans="1:23" x14ac:dyDescent="0.25">
      <c r="A15">
        <v>15</v>
      </c>
      <c r="F15" s="298"/>
      <c r="G15"/>
      <c r="H15"/>
      <c r="I15"/>
      <c r="K15" s="257"/>
      <c r="M15"/>
      <c r="U15" s="257"/>
      <c r="W15"/>
    </row>
    <row r="16" spans="1:23" x14ac:dyDescent="0.25">
      <c r="A16">
        <v>16</v>
      </c>
      <c r="F16" s="298"/>
      <c r="G16"/>
      <c r="H16"/>
      <c r="I16"/>
      <c r="K16" s="257"/>
      <c r="M16"/>
      <c r="U16" s="257"/>
      <c r="W16"/>
    </row>
    <row r="17" spans="1:23" x14ac:dyDescent="0.25">
      <c r="A17">
        <v>17</v>
      </c>
      <c r="F17" s="298"/>
      <c r="G17"/>
      <c r="H17"/>
      <c r="I17"/>
      <c r="K17" s="257"/>
      <c r="M17"/>
      <c r="U17" s="257"/>
      <c r="W17"/>
    </row>
    <row r="18" spans="1:23" x14ac:dyDescent="0.25">
      <c r="A18">
        <v>18</v>
      </c>
      <c r="F18" s="298"/>
      <c r="G18"/>
      <c r="H18"/>
      <c r="I18"/>
      <c r="K18" s="257"/>
      <c r="M18"/>
      <c r="U18" s="257"/>
      <c r="W18"/>
    </row>
    <row r="19" spans="1:23" x14ac:dyDescent="0.25">
      <c r="A19">
        <v>19</v>
      </c>
      <c r="F19" s="298"/>
      <c r="G19"/>
      <c r="H19"/>
      <c r="I19"/>
      <c r="K19" s="257"/>
      <c r="M19"/>
      <c r="U19" s="257"/>
      <c r="W19"/>
    </row>
    <row r="20" spans="1:23" x14ac:dyDescent="0.25">
      <c r="A20">
        <v>20</v>
      </c>
      <c r="F20" s="298"/>
      <c r="G20"/>
      <c r="H20"/>
      <c r="I20"/>
      <c r="K20" s="257"/>
      <c r="M20"/>
      <c r="U20" s="257"/>
      <c r="W20"/>
    </row>
    <row r="21" spans="1:23" x14ac:dyDescent="0.25">
      <c r="A21">
        <v>21</v>
      </c>
      <c r="F21" s="298"/>
      <c r="G21"/>
      <c r="H21"/>
      <c r="I21"/>
      <c r="K21" s="257"/>
      <c r="M21"/>
      <c r="U21" s="257"/>
      <c r="W21"/>
    </row>
    <row r="22" spans="1:23" x14ac:dyDescent="0.25">
      <c r="A22">
        <v>22</v>
      </c>
      <c r="F22" s="298"/>
      <c r="G22"/>
      <c r="H22"/>
      <c r="I22"/>
      <c r="K22" s="257"/>
      <c r="M22"/>
      <c r="U22" s="257"/>
      <c r="W22"/>
    </row>
    <row r="23" spans="1:23" x14ac:dyDescent="0.25">
      <c r="A23">
        <v>23</v>
      </c>
      <c r="F23" s="298"/>
      <c r="G23"/>
      <c r="H23"/>
      <c r="I23"/>
      <c r="K23" s="257"/>
      <c r="M23"/>
      <c r="U23" s="257"/>
      <c r="W23"/>
    </row>
    <row r="24" spans="1:23" x14ac:dyDescent="0.25">
      <c r="A24">
        <v>2</v>
      </c>
      <c r="B24" t="s">
        <v>242</v>
      </c>
      <c r="C24" t="s">
        <v>242</v>
      </c>
      <c r="D24">
        <v>4</v>
      </c>
      <c r="F24" s="298"/>
      <c r="G24"/>
      <c r="H24"/>
      <c r="I24"/>
      <c r="K24" s="257"/>
      <c r="L24" s="257"/>
      <c r="M24"/>
      <c r="U24" s="257"/>
      <c r="W24"/>
    </row>
    <row r="25" spans="1:23" x14ac:dyDescent="0.25">
      <c r="A25">
        <v>3</v>
      </c>
      <c r="B25" t="s">
        <v>243</v>
      </c>
      <c r="C25" t="s">
        <v>243</v>
      </c>
      <c r="D25">
        <v>4</v>
      </c>
      <c r="F25" s="298"/>
      <c r="G25"/>
      <c r="H25"/>
      <c r="I25"/>
      <c r="K25" s="257"/>
      <c r="L25" s="257"/>
      <c r="M25"/>
      <c r="U25" s="257"/>
      <c r="W25"/>
    </row>
    <row r="26" spans="1:23" x14ac:dyDescent="0.25">
      <c r="A26">
        <v>1</v>
      </c>
      <c r="B26" t="s">
        <v>238</v>
      </c>
      <c r="C26" t="s">
        <v>239</v>
      </c>
      <c r="D26">
        <v>4</v>
      </c>
      <c r="E26" s="267">
        <v>45363</v>
      </c>
      <c r="F26" s="298"/>
      <c r="G26"/>
      <c r="H26"/>
      <c r="I26"/>
      <c r="K26" s="257"/>
      <c r="M26"/>
      <c r="U26" s="257"/>
      <c r="W26"/>
    </row>
    <row r="27" spans="1:23" x14ac:dyDescent="0.25">
      <c r="A27">
        <v>4</v>
      </c>
      <c r="B27" t="s">
        <v>244</v>
      </c>
      <c r="C27" t="s">
        <v>245</v>
      </c>
      <c r="D27">
        <v>5</v>
      </c>
      <c r="F27" s="298"/>
      <c r="G27"/>
      <c r="H27"/>
      <c r="I27"/>
      <c r="K27" s="257"/>
      <c r="M27"/>
      <c r="U27" s="257"/>
      <c r="W27"/>
    </row>
    <row r="28" spans="1:23" x14ac:dyDescent="0.25">
      <c r="H28"/>
      <c r="I28"/>
      <c r="K28" s="257"/>
      <c r="M28"/>
      <c r="U28" s="257"/>
      <c r="W28"/>
    </row>
    <row r="29" spans="1:23" x14ac:dyDescent="0.25">
      <c r="H29"/>
      <c r="I29"/>
      <c r="K29" s="257"/>
      <c r="M29"/>
      <c r="U29" s="257"/>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10" sqref="G10"/>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570</v>
      </c>
    </row>
    <row r="2" spans="1:11" x14ac:dyDescent="0.25">
      <c r="I2" s="930" t="s">
        <v>2</v>
      </c>
      <c r="J2" s="930" t="str">
        <f>IF(Profit!$Q$6,IF(K2="No","No","Yes"),"No")</f>
        <v>Yes</v>
      </c>
      <c r="K2" s="932"/>
    </row>
    <row r="3" spans="1:11" s="3" customFormat="1" ht="15.75" thickBot="1" x14ac:dyDescent="0.3">
      <c r="A3" s="3" t="s">
        <v>361</v>
      </c>
      <c r="B3" s="3" t="s">
        <v>309</v>
      </c>
      <c r="C3" s="13" t="s">
        <v>362</v>
      </c>
      <c r="D3" s="3" t="s">
        <v>363</v>
      </c>
      <c r="E3" s="13" t="s">
        <v>364</v>
      </c>
      <c r="F3" s="3" t="s">
        <v>365</v>
      </c>
      <c r="I3" s="931"/>
      <c r="J3" s="931"/>
      <c r="K3" s="933"/>
    </row>
    <row r="4" spans="1:11" s="3" customFormat="1" x14ac:dyDescent="0.25">
      <c r="C4" s="13"/>
      <c r="E4" s="13"/>
    </row>
    <row r="5" spans="1:11" s="3" customFormat="1" x14ac:dyDescent="0.25">
      <c r="A5" s="2" t="s">
        <v>567</v>
      </c>
      <c r="B5" s="12">
        <v>45719</v>
      </c>
      <c r="C5" s="329"/>
      <c r="D5">
        <v>1</v>
      </c>
      <c r="E5" s="14">
        <v>195</v>
      </c>
      <c r="F5" s="14">
        <f>+D5*E5</f>
        <v>195</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195</v>
      </c>
    </row>
    <row r="9" spans="1:11" x14ac:dyDescent="0.25">
      <c r="B9"/>
      <c r="C9" s="14"/>
      <c r="D9"/>
      <c r="E9" s="14"/>
      <c r="F9" s="14">
        <f t="shared" ref="F9:F12" si="0">+D9*E9</f>
        <v>0</v>
      </c>
    </row>
    <row r="10" spans="1:11" s="22" customFormat="1" x14ac:dyDescent="0.25">
      <c r="A10" s="2" t="s">
        <v>567</v>
      </c>
      <c r="B10" s="12" t="s">
        <v>160</v>
      </c>
      <c r="C10" s="329"/>
      <c r="D10">
        <v>0</v>
      </c>
      <c r="E10" s="14">
        <v>0</v>
      </c>
      <c r="F10" s="14">
        <f t="shared" si="0"/>
        <v>0</v>
      </c>
      <c r="G10" t="s">
        <v>160</v>
      </c>
      <c r="H10" s="3"/>
      <c r="I10" s="3"/>
    </row>
    <row r="11" spans="1:11" x14ac:dyDescent="0.25">
      <c r="A11" s="2" t="s">
        <v>567</v>
      </c>
      <c r="B11" s="12" t="s">
        <v>160</v>
      </c>
      <c r="C11" s="329"/>
      <c r="D11">
        <v>0</v>
      </c>
      <c r="E11" s="14">
        <v>55</v>
      </c>
      <c r="F11" s="14">
        <f t="shared" si="0"/>
        <v>0</v>
      </c>
    </row>
    <row r="12" spans="1:11" x14ac:dyDescent="0.25">
      <c r="A12" s="2" t="s">
        <v>568</v>
      </c>
      <c r="B12" s="12"/>
      <c r="C12" s="329"/>
      <c r="D12">
        <v>0</v>
      </c>
      <c r="E12" s="14"/>
      <c r="F12" s="14">
        <f t="shared" si="0"/>
        <v>0</v>
      </c>
    </row>
    <row r="13" spans="1:11" x14ac:dyDescent="0.25">
      <c r="A13" s="2" t="s">
        <v>635</v>
      </c>
      <c r="B13" s="12" t="s">
        <v>160</v>
      </c>
      <c r="C13" s="329"/>
      <c r="D13">
        <v>0</v>
      </c>
      <c r="E13" s="14">
        <v>201.25</v>
      </c>
      <c r="F13" s="14">
        <f>+D13*E13</f>
        <v>0</v>
      </c>
    </row>
    <row r="14" spans="1:11" x14ac:dyDescent="0.25">
      <c r="A14" s="2" t="s">
        <v>636</v>
      </c>
      <c r="B14" s="12" t="s">
        <v>160</v>
      </c>
      <c r="C14" s="329"/>
      <c r="D14">
        <v>0</v>
      </c>
      <c r="E14" s="14">
        <v>46</v>
      </c>
      <c r="F14" s="14">
        <f>+D14*E14</f>
        <v>0</v>
      </c>
    </row>
    <row r="15" spans="1:11" x14ac:dyDescent="0.25">
      <c r="A15" s="2" t="s">
        <v>637</v>
      </c>
      <c r="B15" s="12" t="s">
        <v>160</v>
      </c>
      <c r="C15" s="329"/>
      <c r="D15">
        <v>0</v>
      </c>
      <c r="E15" s="14">
        <v>10</v>
      </c>
      <c r="F15" s="14">
        <f>+D15*E15</f>
        <v>0</v>
      </c>
    </row>
    <row r="16" spans="1:11" x14ac:dyDescent="0.25">
      <c r="B16" s="12"/>
      <c r="C16" s="329"/>
      <c r="D16">
        <v>1</v>
      </c>
      <c r="E16" s="14"/>
      <c r="F16" s="14">
        <f>+D16*E16</f>
        <v>0</v>
      </c>
    </row>
    <row r="17" spans="1:10" x14ac:dyDescent="0.25">
      <c r="B17" s="12"/>
      <c r="C17" s="329"/>
      <c r="D17">
        <v>1</v>
      </c>
      <c r="E17" s="14"/>
      <c r="F17" s="14">
        <f>+D17*E17</f>
        <v>0</v>
      </c>
    </row>
    <row r="18" spans="1:10" x14ac:dyDescent="0.25">
      <c r="B18" s="186"/>
      <c r="C18" s="14"/>
      <c r="D18"/>
      <c r="E18" s="14"/>
      <c r="F18" s="14">
        <f t="shared" ref="F18:F21" si="1">+D18*E18</f>
        <v>0</v>
      </c>
    </row>
    <row r="19" spans="1:10" x14ac:dyDescent="0.25">
      <c r="B19" s="18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28"/>
      <c r="D28" s="929"/>
      <c r="E28" s="929"/>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311</v>
      </c>
      <c r="B1" s="7" t="s">
        <v>312</v>
      </c>
    </row>
    <row r="2" spans="1:5" x14ac:dyDescent="0.25">
      <c r="A2" s="3" t="s">
        <v>313</v>
      </c>
      <c r="B2" s="6"/>
      <c r="C2" s="4"/>
    </row>
    <row r="4" spans="1:5" x14ac:dyDescent="0.25">
      <c r="A4" s="2" t="s">
        <v>314</v>
      </c>
      <c r="B4" s="1">
        <v>0</v>
      </c>
      <c r="C4" s="1">
        <v>0</v>
      </c>
    </row>
    <row r="5" spans="1:5" x14ac:dyDescent="0.25">
      <c r="A5" s="2" t="s">
        <v>315</v>
      </c>
      <c r="B5" s="1">
        <v>33</v>
      </c>
      <c r="C5"/>
      <c r="D5" s="1"/>
    </row>
    <row r="6" spans="1:5" ht="15.75" thickBot="1" x14ac:dyDescent="0.3">
      <c r="A6" s="2" t="s">
        <v>316</v>
      </c>
      <c r="B6" s="20">
        <v>0</v>
      </c>
      <c r="C6" s="20">
        <f>B5*B6</f>
        <v>0</v>
      </c>
      <c r="D6" s="29"/>
    </row>
    <row r="7" spans="1:5" x14ac:dyDescent="0.25">
      <c r="C7" s="9" t="s">
        <v>317</v>
      </c>
      <c r="D7" s="1">
        <f>SUM(C4:C6)</f>
        <v>0</v>
      </c>
    </row>
    <row r="8" spans="1:5" x14ac:dyDescent="0.25">
      <c r="D8" s="1"/>
    </row>
    <row r="10" spans="1:5" ht="15.75" thickBot="1" x14ac:dyDescent="0.3">
      <c r="D10" s="29"/>
    </row>
    <row r="11" spans="1:5" x14ac:dyDescent="0.25">
      <c r="D11" s="30" t="s">
        <v>318</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45"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319</v>
      </c>
    </row>
    <row r="2" spans="1:7" s="3" customFormat="1" x14ac:dyDescent="0.25">
      <c r="B2" s="3" t="s">
        <v>320</v>
      </c>
      <c r="C2" s="3" t="s">
        <v>321</v>
      </c>
      <c r="D2" s="8" t="s">
        <v>322</v>
      </c>
      <c r="E2" s="3" t="s">
        <v>323</v>
      </c>
      <c r="F2" s="8" t="s">
        <v>310</v>
      </c>
      <c r="G2" s="3" t="s">
        <v>324</v>
      </c>
    </row>
    <row r="3" spans="1:7" x14ac:dyDescent="0.25">
      <c r="A3" s="195" t="s">
        <v>325</v>
      </c>
      <c r="B3" s="195"/>
      <c r="C3" s="196">
        <v>0</v>
      </c>
      <c r="D3" s="197">
        <v>0</v>
      </c>
      <c r="E3">
        <f>+C3*D3</f>
        <v>0</v>
      </c>
      <c r="F3" s="26">
        <f t="shared" ref="F3:F44" si="0">+E3*0.0725</f>
        <v>0</v>
      </c>
    </row>
    <row r="4" spans="1:7" x14ac:dyDescent="0.25">
      <c r="A4" s="195" t="s">
        <v>326</v>
      </c>
      <c r="B4" s="195"/>
      <c r="C4" s="196">
        <v>0</v>
      </c>
      <c r="D4" s="197">
        <v>0</v>
      </c>
      <c r="E4">
        <f t="shared" ref="E4:E61" si="1">+C4*D4</f>
        <v>0</v>
      </c>
      <c r="F4" s="26">
        <f t="shared" si="0"/>
        <v>0</v>
      </c>
    </row>
    <row r="5" spans="1:7" x14ac:dyDescent="0.25">
      <c r="A5" s="195" t="s">
        <v>327</v>
      </c>
      <c r="B5" s="195"/>
      <c r="C5" s="196">
        <v>0</v>
      </c>
      <c r="D5" s="197">
        <v>0</v>
      </c>
      <c r="E5">
        <f t="shared" si="1"/>
        <v>0</v>
      </c>
      <c r="F5" s="26">
        <f t="shared" si="0"/>
        <v>0</v>
      </c>
    </row>
    <row r="6" spans="1:7" x14ac:dyDescent="0.25">
      <c r="A6" s="195" t="s">
        <v>328</v>
      </c>
      <c r="B6" s="195"/>
      <c r="C6" s="196">
        <v>0</v>
      </c>
      <c r="D6" s="197">
        <v>0</v>
      </c>
      <c r="E6">
        <f t="shared" si="1"/>
        <v>0</v>
      </c>
      <c r="F6" s="26">
        <f t="shared" si="0"/>
        <v>0</v>
      </c>
    </row>
    <row r="7" spans="1:7" x14ac:dyDescent="0.25">
      <c r="A7" s="195" t="s">
        <v>329</v>
      </c>
      <c r="B7" s="195"/>
      <c r="C7" s="196">
        <v>0</v>
      </c>
      <c r="D7" s="197">
        <v>0</v>
      </c>
      <c r="E7">
        <f t="shared" si="1"/>
        <v>0</v>
      </c>
      <c r="F7" s="26">
        <f t="shared" si="0"/>
        <v>0</v>
      </c>
    </row>
    <row r="8" spans="1:7" x14ac:dyDescent="0.25">
      <c r="A8" s="195" t="s">
        <v>330</v>
      </c>
      <c r="B8" s="195"/>
      <c r="C8" s="196">
        <v>0</v>
      </c>
      <c r="D8" s="197">
        <v>0</v>
      </c>
      <c r="E8">
        <f t="shared" si="1"/>
        <v>0</v>
      </c>
      <c r="F8" s="26">
        <f t="shared" si="0"/>
        <v>0</v>
      </c>
    </row>
    <row r="9" spans="1:7" x14ac:dyDescent="0.25">
      <c r="A9" s="195" t="s">
        <v>331</v>
      </c>
      <c r="B9" s="195"/>
      <c r="C9" s="196">
        <v>0</v>
      </c>
      <c r="D9" s="197">
        <v>0</v>
      </c>
      <c r="E9">
        <f t="shared" si="1"/>
        <v>0</v>
      </c>
      <c r="F9" s="26">
        <f t="shared" si="0"/>
        <v>0</v>
      </c>
    </row>
    <row r="10" spans="1:7" x14ac:dyDescent="0.25">
      <c r="A10" s="195" t="s">
        <v>160</v>
      </c>
      <c r="B10" s="195"/>
      <c r="C10" s="196">
        <v>0</v>
      </c>
      <c r="D10" s="197">
        <v>0</v>
      </c>
      <c r="E10">
        <f t="shared" si="1"/>
        <v>0</v>
      </c>
      <c r="F10" s="26">
        <f t="shared" si="0"/>
        <v>0</v>
      </c>
    </row>
    <row r="11" spans="1:7" x14ac:dyDescent="0.25">
      <c r="A11" s="195"/>
      <c r="B11" s="195"/>
      <c r="C11" s="196">
        <v>0</v>
      </c>
      <c r="D11" s="197">
        <v>0</v>
      </c>
      <c r="E11">
        <f t="shared" si="1"/>
        <v>0</v>
      </c>
      <c r="F11" s="26">
        <f t="shared" si="0"/>
        <v>0</v>
      </c>
    </row>
    <row r="12" spans="1:7" x14ac:dyDescent="0.25">
      <c r="A12" s="195" t="s">
        <v>332</v>
      </c>
      <c r="B12" s="195"/>
      <c r="C12" s="196">
        <v>0</v>
      </c>
      <c r="D12" s="197">
        <v>0</v>
      </c>
      <c r="E12">
        <f t="shared" si="1"/>
        <v>0</v>
      </c>
      <c r="F12" s="26">
        <f t="shared" si="0"/>
        <v>0</v>
      </c>
    </row>
    <row r="13" spans="1:7" x14ac:dyDescent="0.25">
      <c r="A13" s="195" t="s">
        <v>333</v>
      </c>
      <c r="B13" s="195"/>
      <c r="C13" s="196">
        <v>0</v>
      </c>
      <c r="D13" s="197">
        <v>0</v>
      </c>
      <c r="E13">
        <f t="shared" si="1"/>
        <v>0</v>
      </c>
      <c r="F13" s="26">
        <f t="shared" si="0"/>
        <v>0</v>
      </c>
    </row>
    <row r="14" spans="1:7" x14ac:dyDescent="0.25">
      <c r="A14" s="195" t="s">
        <v>334</v>
      </c>
      <c r="B14" s="195"/>
      <c r="C14" s="196">
        <v>0</v>
      </c>
      <c r="D14" s="197">
        <v>0</v>
      </c>
      <c r="E14">
        <f t="shared" si="1"/>
        <v>0</v>
      </c>
      <c r="F14" s="26">
        <f t="shared" si="0"/>
        <v>0</v>
      </c>
    </row>
    <row r="15" spans="1:7" x14ac:dyDescent="0.25">
      <c r="A15" s="195" t="s">
        <v>335</v>
      </c>
      <c r="B15" s="195"/>
      <c r="C15" s="196">
        <v>0</v>
      </c>
      <c r="D15" s="197">
        <v>0</v>
      </c>
      <c r="E15">
        <f t="shared" si="1"/>
        <v>0</v>
      </c>
      <c r="F15" s="26">
        <f t="shared" si="0"/>
        <v>0</v>
      </c>
    </row>
    <row r="16" spans="1:7" x14ac:dyDescent="0.25">
      <c r="A16" s="195"/>
      <c r="B16" s="195"/>
      <c r="C16" s="196">
        <v>0</v>
      </c>
      <c r="D16" s="197">
        <v>0</v>
      </c>
      <c r="E16">
        <f t="shared" si="1"/>
        <v>0</v>
      </c>
      <c r="F16" s="26">
        <f t="shared" si="0"/>
        <v>0</v>
      </c>
    </row>
    <row r="17" spans="1:6" x14ac:dyDescent="0.25">
      <c r="A17" s="195" t="s">
        <v>336</v>
      </c>
      <c r="B17" s="195"/>
      <c r="C17" s="196">
        <v>0</v>
      </c>
      <c r="D17" s="197">
        <v>0</v>
      </c>
      <c r="E17">
        <f t="shared" si="1"/>
        <v>0</v>
      </c>
      <c r="F17" s="26">
        <f t="shared" si="0"/>
        <v>0</v>
      </c>
    </row>
    <row r="18" spans="1:6" x14ac:dyDescent="0.25">
      <c r="A18" s="195" t="s">
        <v>337</v>
      </c>
      <c r="B18" s="195"/>
      <c r="C18" s="196">
        <v>0</v>
      </c>
      <c r="D18" s="197">
        <v>0</v>
      </c>
      <c r="E18">
        <f t="shared" si="1"/>
        <v>0</v>
      </c>
      <c r="F18" s="26">
        <f t="shared" si="0"/>
        <v>0</v>
      </c>
    </row>
    <row r="19" spans="1:6" x14ac:dyDescent="0.25">
      <c r="A19" s="195"/>
      <c r="B19" s="195"/>
      <c r="C19" s="196">
        <v>0</v>
      </c>
      <c r="D19" s="197">
        <v>0</v>
      </c>
      <c r="E19">
        <f t="shared" si="1"/>
        <v>0</v>
      </c>
      <c r="F19" s="26">
        <f t="shared" si="0"/>
        <v>0</v>
      </c>
    </row>
    <row r="20" spans="1:6" x14ac:dyDescent="0.25">
      <c r="A20" s="195" t="s">
        <v>338</v>
      </c>
      <c r="B20" s="195"/>
      <c r="C20" s="196">
        <v>0</v>
      </c>
      <c r="D20" s="197">
        <v>0</v>
      </c>
      <c r="E20">
        <f t="shared" si="1"/>
        <v>0</v>
      </c>
      <c r="F20" s="26">
        <f t="shared" si="0"/>
        <v>0</v>
      </c>
    </row>
    <row r="21" spans="1:6" x14ac:dyDescent="0.25">
      <c r="A21" s="195" t="s">
        <v>339</v>
      </c>
      <c r="B21" s="195"/>
      <c r="C21" s="196">
        <v>0</v>
      </c>
      <c r="D21" s="197">
        <v>0</v>
      </c>
      <c r="E21">
        <f t="shared" si="1"/>
        <v>0</v>
      </c>
      <c r="F21" s="26">
        <f t="shared" si="0"/>
        <v>0</v>
      </c>
    </row>
    <row r="22" spans="1:6" x14ac:dyDescent="0.25">
      <c r="A22" s="195"/>
      <c r="B22" s="195"/>
      <c r="C22" s="196">
        <v>0</v>
      </c>
      <c r="D22" s="197">
        <v>0</v>
      </c>
      <c r="E22">
        <f t="shared" si="1"/>
        <v>0</v>
      </c>
      <c r="F22" s="26">
        <f t="shared" si="0"/>
        <v>0</v>
      </c>
    </row>
    <row r="23" spans="1:6" x14ac:dyDescent="0.25">
      <c r="A23" s="195" t="s">
        <v>340</v>
      </c>
      <c r="B23" s="195"/>
      <c r="C23" s="196">
        <v>0</v>
      </c>
      <c r="D23" s="197">
        <v>0</v>
      </c>
      <c r="E23">
        <f t="shared" si="1"/>
        <v>0</v>
      </c>
      <c r="F23" s="26">
        <f t="shared" si="0"/>
        <v>0</v>
      </c>
    </row>
    <row r="24" spans="1:6" x14ac:dyDescent="0.25">
      <c r="A24" s="195"/>
      <c r="B24" s="195"/>
      <c r="C24" s="196">
        <v>0</v>
      </c>
      <c r="D24" s="197">
        <v>0</v>
      </c>
      <c r="E24">
        <f t="shared" si="1"/>
        <v>0</v>
      </c>
      <c r="F24" s="26">
        <f t="shared" si="0"/>
        <v>0</v>
      </c>
    </row>
    <row r="25" spans="1:6" x14ac:dyDescent="0.25">
      <c r="A25" s="195"/>
      <c r="B25" s="195"/>
      <c r="C25" s="196">
        <v>0</v>
      </c>
      <c r="D25" s="197">
        <v>0</v>
      </c>
      <c r="E25">
        <f t="shared" si="1"/>
        <v>0</v>
      </c>
      <c r="F25" s="26">
        <f t="shared" si="0"/>
        <v>0</v>
      </c>
    </row>
    <row r="26" spans="1:6" x14ac:dyDescent="0.25">
      <c r="A26" s="195" t="s">
        <v>341</v>
      </c>
      <c r="B26" s="195"/>
      <c r="C26" s="196">
        <v>0</v>
      </c>
      <c r="D26" s="197">
        <v>0</v>
      </c>
      <c r="E26">
        <f t="shared" si="1"/>
        <v>0</v>
      </c>
      <c r="F26" s="26">
        <f t="shared" si="0"/>
        <v>0</v>
      </c>
    </row>
    <row r="27" spans="1:6" x14ac:dyDescent="0.25">
      <c r="A27" s="195" t="s">
        <v>342</v>
      </c>
      <c r="B27" s="195"/>
      <c r="C27" s="196">
        <v>0</v>
      </c>
      <c r="D27" s="197">
        <v>0</v>
      </c>
      <c r="E27">
        <f t="shared" si="1"/>
        <v>0</v>
      </c>
      <c r="F27" s="26">
        <f t="shared" si="0"/>
        <v>0</v>
      </c>
    </row>
    <row r="28" spans="1:6" x14ac:dyDescent="0.25">
      <c r="A28" s="195" t="s">
        <v>343</v>
      </c>
      <c r="B28" s="195"/>
      <c r="C28" s="196">
        <v>0</v>
      </c>
      <c r="D28" s="197">
        <v>0</v>
      </c>
      <c r="E28">
        <f t="shared" si="1"/>
        <v>0</v>
      </c>
      <c r="F28" s="26">
        <f t="shared" si="0"/>
        <v>0</v>
      </c>
    </row>
    <row r="29" spans="1:6" x14ac:dyDescent="0.25">
      <c r="A29" s="195" t="s">
        <v>344</v>
      </c>
      <c r="B29" s="195"/>
      <c r="C29" s="196">
        <v>0</v>
      </c>
      <c r="D29" s="197">
        <v>0</v>
      </c>
      <c r="E29">
        <f t="shared" si="1"/>
        <v>0</v>
      </c>
      <c r="F29" s="26">
        <f t="shared" si="0"/>
        <v>0</v>
      </c>
    </row>
    <row r="30" spans="1:6" x14ac:dyDescent="0.25">
      <c r="A30" s="195" t="s">
        <v>345</v>
      </c>
      <c r="B30" s="195"/>
      <c r="C30" s="196">
        <v>0</v>
      </c>
      <c r="D30" s="197">
        <v>0</v>
      </c>
      <c r="E30">
        <f t="shared" si="1"/>
        <v>0</v>
      </c>
      <c r="F30" s="26">
        <f t="shared" si="0"/>
        <v>0</v>
      </c>
    </row>
    <row r="31" spans="1:6" x14ac:dyDescent="0.25">
      <c r="A31" s="195" t="s">
        <v>346</v>
      </c>
      <c r="B31" s="195"/>
      <c r="C31" s="196">
        <v>0</v>
      </c>
      <c r="D31" s="197">
        <v>0</v>
      </c>
      <c r="E31">
        <f t="shared" si="1"/>
        <v>0</v>
      </c>
      <c r="F31" s="26">
        <f t="shared" si="0"/>
        <v>0</v>
      </c>
    </row>
    <row r="32" spans="1:6" x14ac:dyDescent="0.25">
      <c r="A32" s="195" t="s">
        <v>347</v>
      </c>
      <c r="B32" s="195"/>
      <c r="C32" s="196">
        <v>0</v>
      </c>
      <c r="D32" s="197">
        <v>0</v>
      </c>
      <c r="E32">
        <f t="shared" si="1"/>
        <v>0</v>
      </c>
      <c r="F32" s="26">
        <f t="shared" si="0"/>
        <v>0</v>
      </c>
    </row>
    <row r="33" spans="1:6" x14ac:dyDescent="0.25">
      <c r="A33" s="195" t="s">
        <v>348</v>
      </c>
      <c r="B33" s="195"/>
      <c r="C33" s="196">
        <v>0</v>
      </c>
      <c r="D33" s="197">
        <v>0</v>
      </c>
      <c r="E33">
        <f t="shared" si="1"/>
        <v>0</v>
      </c>
      <c r="F33" s="26">
        <f t="shared" si="0"/>
        <v>0</v>
      </c>
    </row>
    <row r="34" spans="1:6" x14ac:dyDescent="0.25">
      <c r="A34" s="195" t="s">
        <v>349</v>
      </c>
      <c r="B34" s="195"/>
      <c r="C34" s="196">
        <v>0</v>
      </c>
      <c r="D34" s="197">
        <v>0</v>
      </c>
      <c r="E34">
        <f t="shared" si="1"/>
        <v>0</v>
      </c>
      <c r="F34" s="26">
        <f t="shared" si="0"/>
        <v>0</v>
      </c>
    </row>
    <row r="35" spans="1:6" x14ac:dyDescent="0.25">
      <c r="A35" s="195" t="s">
        <v>350</v>
      </c>
      <c r="B35" s="195"/>
      <c r="C35" s="196">
        <v>0</v>
      </c>
      <c r="D35" s="197">
        <v>0</v>
      </c>
      <c r="E35">
        <f t="shared" si="1"/>
        <v>0</v>
      </c>
      <c r="F35" s="26">
        <f t="shared" si="0"/>
        <v>0</v>
      </c>
    </row>
    <row r="36" spans="1:6" x14ac:dyDescent="0.25">
      <c r="A36" s="195" t="s">
        <v>351</v>
      </c>
      <c r="B36" s="195"/>
      <c r="C36" s="196">
        <v>0</v>
      </c>
      <c r="D36" s="197">
        <v>0</v>
      </c>
      <c r="E36">
        <f t="shared" si="1"/>
        <v>0</v>
      </c>
      <c r="F36" s="26">
        <f t="shared" si="0"/>
        <v>0</v>
      </c>
    </row>
    <row r="37" spans="1:6" x14ac:dyDescent="0.25">
      <c r="A37" s="195"/>
      <c r="B37" s="195"/>
      <c r="C37" s="196">
        <v>0</v>
      </c>
      <c r="D37" s="197">
        <v>0</v>
      </c>
      <c r="E37">
        <f t="shared" si="1"/>
        <v>0</v>
      </c>
      <c r="F37" s="26">
        <f t="shared" si="0"/>
        <v>0</v>
      </c>
    </row>
    <row r="38" spans="1:6" x14ac:dyDescent="0.25">
      <c r="A38" s="195" t="s">
        <v>352</v>
      </c>
      <c r="B38" s="195"/>
      <c r="C38" s="196">
        <v>0</v>
      </c>
      <c r="D38" s="197">
        <v>0</v>
      </c>
      <c r="E38">
        <f t="shared" si="1"/>
        <v>0</v>
      </c>
      <c r="F38" s="26">
        <f t="shared" si="0"/>
        <v>0</v>
      </c>
    </row>
    <row r="39" spans="1:6" x14ac:dyDescent="0.25">
      <c r="A39" s="195" t="s">
        <v>353</v>
      </c>
      <c r="B39" s="195"/>
      <c r="C39" s="196">
        <v>0</v>
      </c>
      <c r="D39" s="197">
        <v>0</v>
      </c>
      <c r="E39">
        <f t="shared" si="1"/>
        <v>0</v>
      </c>
      <c r="F39" s="26">
        <f t="shared" si="0"/>
        <v>0</v>
      </c>
    </row>
    <row r="40" spans="1:6" x14ac:dyDescent="0.25">
      <c r="A40" s="195" t="s">
        <v>354</v>
      </c>
      <c r="B40" s="195"/>
      <c r="C40" s="196">
        <v>0</v>
      </c>
      <c r="D40" s="197">
        <v>0</v>
      </c>
      <c r="E40">
        <f t="shared" si="1"/>
        <v>0</v>
      </c>
      <c r="F40" s="26">
        <f t="shared" si="0"/>
        <v>0</v>
      </c>
    </row>
    <row r="41" spans="1:6" x14ac:dyDescent="0.25">
      <c r="A41" s="195" t="s">
        <v>355</v>
      </c>
      <c r="B41" s="195"/>
      <c r="C41" s="196">
        <v>0</v>
      </c>
      <c r="D41" s="197">
        <v>0</v>
      </c>
      <c r="E41">
        <f t="shared" si="1"/>
        <v>0</v>
      </c>
      <c r="F41" s="26">
        <f t="shared" si="0"/>
        <v>0</v>
      </c>
    </row>
    <row r="42" spans="1:6" x14ac:dyDescent="0.25">
      <c r="A42" s="195"/>
      <c r="B42" s="195"/>
      <c r="C42" s="196">
        <v>0</v>
      </c>
      <c r="D42" s="197">
        <v>0</v>
      </c>
      <c r="E42">
        <f t="shared" si="1"/>
        <v>0</v>
      </c>
      <c r="F42" s="26">
        <f t="shared" si="0"/>
        <v>0</v>
      </c>
    </row>
    <row r="43" spans="1:6" x14ac:dyDescent="0.25">
      <c r="A43" s="195" t="s">
        <v>356</v>
      </c>
      <c r="B43" s="195"/>
      <c r="C43" s="196">
        <v>0</v>
      </c>
      <c r="D43" s="197">
        <v>0</v>
      </c>
      <c r="E43">
        <f t="shared" ref="E43:E57" si="2">+C43*D43</f>
        <v>0</v>
      </c>
      <c r="F43" s="26">
        <f t="shared" si="0"/>
        <v>0</v>
      </c>
    </row>
    <row r="44" spans="1:6" x14ac:dyDescent="0.25">
      <c r="A44" s="195" t="s">
        <v>357</v>
      </c>
      <c r="B44" s="195"/>
      <c r="C44" s="196">
        <v>0</v>
      </c>
      <c r="D44" s="197">
        <v>0</v>
      </c>
      <c r="E44">
        <f t="shared" si="2"/>
        <v>0</v>
      </c>
      <c r="F44" s="26">
        <f t="shared" si="0"/>
        <v>0</v>
      </c>
    </row>
    <row r="45" spans="1:6" x14ac:dyDescent="0.25">
      <c r="A45" s="195" t="s">
        <v>358</v>
      </c>
      <c r="B45" s="195">
        <v>6973242570225</v>
      </c>
      <c r="C45" s="196">
        <v>0</v>
      </c>
      <c r="D45" s="197">
        <v>49.97</v>
      </c>
      <c r="E45">
        <f t="shared" si="2"/>
        <v>0</v>
      </c>
      <c r="F45" s="26">
        <f>+E45*0.0725</f>
        <v>0</v>
      </c>
    </row>
    <row r="46" spans="1:6" x14ac:dyDescent="0.25">
      <c r="A46" s="195" t="s">
        <v>359</v>
      </c>
      <c r="B46" s="195"/>
      <c r="C46" s="196">
        <v>0</v>
      </c>
      <c r="D46" s="197">
        <v>69.989999999999995</v>
      </c>
      <c r="E46">
        <f t="shared" si="2"/>
        <v>0</v>
      </c>
      <c r="F46" s="26">
        <f t="shared" ref="F46:F60" si="3">+E46*0.0725</f>
        <v>0</v>
      </c>
    </row>
    <row r="47" spans="1:6" x14ac:dyDescent="0.25">
      <c r="A47" s="195"/>
      <c r="B47" s="195"/>
      <c r="C47" s="196">
        <v>0</v>
      </c>
      <c r="D47" s="197">
        <v>0</v>
      </c>
      <c r="E47">
        <f t="shared" si="2"/>
        <v>0</v>
      </c>
      <c r="F47" s="26">
        <f t="shared" si="3"/>
        <v>0</v>
      </c>
    </row>
    <row r="48" spans="1:6" x14ac:dyDescent="0.25">
      <c r="A48" s="195"/>
      <c r="B48" s="195"/>
      <c r="C48" s="196">
        <v>0</v>
      </c>
      <c r="D48" s="197">
        <v>0</v>
      </c>
      <c r="E48">
        <f t="shared" si="2"/>
        <v>0</v>
      </c>
      <c r="F48" s="26">
        <f t="shared" si="3"/>
        <v>0</v>
      </c>
    </row>
    <row r="49" spans="1:7" x14ac:dyDescent="0.25">
      <c r="A49" s="195"/>
      <c r="B49" s="195"/>
      <c r="C49" s="196">
        <v>0</v>
      </c>
      <c r="D49" s="197">
        <v>0</v>
      </c>
      <c r="E49">
        <f t="shared" si="2"/>
        <v>0</v>
      </c>
      <c r="F49" s="26">
        <f t="shared" si="3"/>
        <v>0</v>
      </c>
    </row>
    <row r="50" spans="1:7" x14ac:dyDescent="0.25">
      <c r="A50" s="195"/>
      <c r="B50" s="195"/>
      <c r="C50" s="196">
        <v>0</v>
      </c>
      <c r="D50" s="197">
        <v>0</v>
      </c>
      <c r="E50">
        <f t="shared" si="2"/>
        <v>0</v>
      </c>
      <c r="F50" s="26">
        <f t="shared" si="3"/>
        <v>0</v>
      </c>
    </row>
    <row r="51" spans="1:7" x14ac:dyDescent="0.25">
      <c r="A51" s="195"/>
      <c r="B51" s="195"/>
      <c r="C51" s="196">
        <v>0</v>
      </c>
      <c r="D51" s="197">
        <v>0</v>
      </c>
      <c r="E51">
        <f t="shared" si="2"/>
        <v>0</v>
      </c>
      <c r="F51" s="26">
        <f t="shared" si="3"/>
        <v>0</v>
      </c>
    </row>
    <row r="52" spans="1:7" x14ac:dyDescent="0.25">
      <c r="A52" s="195"/>
      <c r="B52" s="195"/>
      <c r="C52" s="196">
        <v>0</v>
      </c>
      <c r="D52" s="197">
        <v>0</v>
      </c>
      <c r="E52">
        <f t="shared" si="2"/>
        <v>0</v>
      </c>
      <c r="F52" s="26">
        <f t="shared" si="3"/>
        <v>0</v>
      </c>
    </row>
    <row r="53" spans="1:7" x14ac:dyDescent="0.25">
      <c r="A53" s="195"/>
      <c r="B53" s="195"/>
      <c r="C53" s="196">
        <v>0</v>
      </c>
      <c r="D53" s="197">
        <v>0</v>
      </c>
      <c r="E53">
        <f t="shared" si="2"/>
        <v>0</v>
      </c>
      <c r="F53" s="26">
        <f t="shared" si="3"/>
        <v>0</v>
      </c>
    </row>
    <row r="54" spans="1:7" x14ac:dyDescent="0.25">
      <c r="A54" s="195"/>
      <c r="B54" s="195"/>
      <c r="C54" s="196">
        <v>0</v>
      </c>
      <c r="D54" s="197">
        <v>0</v>
      </c>
      <c r="E54">
        <f t="shared" si="2"/>
        <v>0</v>
      </c>
      <c r="F54" s="26">
        <f t="shared" si="3"/>
        <v>0</v>
      </c>
    </row>
    <row r="55" spans="1:7" x14ac:dyDescent="0.25">
      <c r="A55" s="195"/>
      <c r="B55" s="195"/>
      <c r="C55" s="196">
        <v>0</v>
      </c>
      <c r="D55" s="197">
        <v>0</v>
      </c>
      <c r="E55">
        <f t="shared" si="2"/>
        <v>0</v>
      </c>
      <c r="F55" s="26">
        <f t="shared" si="3"/>
        <v>0</v>
      </c>
    </row>
    <row r="56" spans="1:7" x14ac:dyDescent="0.25">
      <c r="A56" s="195"/>
      <c r="B56" s="195"/>
      <c r="C56" s="196">
        <v>0</v>
      </c>
      <c r="D56" s="197">
        <v>0</v>
      </c>
      <c r="E56">
        <f t="shared" si="2"/>
        <v>0</v>
      </c>
      <c r="F56" s="26">
        <f t="shared" si="3"/>
        <v>0</v>
      </c>
    </row>
    <row r="57" spans="1:7" x14ac:dyDescent="0.25">
      <c r="A57" s="195"/>
      <c r="B57" s="195"/>
      <c r="C57" s="196">
        <v>0</v>
      </c>
      <c r="D57" s="197">
        <v>0</v>
      </c>
      <c r="E57">
        <f t="shared" si="2"/>
        <v>0</v>
      </c>
      <c r="F57" s="26">
        <f t="shared" si="3"/>
        <v>0</v>
      </c>
    </row>
    <row r="58" spans="1:7" x14ac:dyDescent="0.25">
      <c r="A58" s="195"/>
      <c r="B58" s="195"/>
      <c r="C58" s="196">
        <v>0</v>
      </c>
      <c r="D58" s="197">
        <v>0</v>
      </c>
      <c r="E58">
        <f t="shared" si="1"/>
        <v>0</v>
      </c>
      <c r="F58" s="26">
        <f t="shared" si="3"/>
        <v>0</v>
      </c>
    </row>
    <row r="59" spans="1:7" x14ac:dyDescent="0.25">
      <c r="A59" s="195" t="s">
        <v>360</v>
      </c>
      <c r="B59" s="195"/>
      <c r="C59" s="196">
        <v>0</v>
      </c>
      <c r="D59" s="197">
        <v>0</v>
      </c>
      <c r="E59">
        <f t="shared" si="1"/>
        <v>0</v>
      </c>
      <c r="F59" s="26">
        <f t="shared" si="3"/>
        <v>0</v>
      </c>
    </row>
    <row r="60" spans="1:7" x14ac:dyDescent="0.25">
      <c r="A60" s="194"/>
      <c r="B60" s="195"/>
      <c r="C60" s="196">
        <v>0</v>
      </c>
      <c r="D60" s="197">
        <v>0</v>
      </c>
      <c r="E60">
        <f t="shared" si="1"/>
        <v>0</v>
      </c>
      <c r="F60" s="26">
        <f t="shared" si="3"/>
        <v>0</v>
      </c>
    </row>
    <row r="61" spans="1:7" ht="15.75" thickBot="1" x14ac:dyDescent="0.3">
      <c r="A61" s="194"/>
      <c r="B61" s="195"/>
      <c r="C61" s="196">
        <v>0</v>
      </c>
      <c r="D61" s="197">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5" sqref="D15:E15"/>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361</v>
      </c>
      <c r="B1" s="3" t="s">
        <v>309</v>
      </c>
      <c r="C1" s="13" t="s">
        <v>362</v>
      </c>
      <c r="D1" s="3" t="s">
        <v>363</v>
      </c>
      <c r="E1" s="13" t="s">
        <v>364</v>
      </c>
      <c r="F1" s="3" t="s">
        <v>365</v>
      </c>
    </row>
    <row r="2" spans="1:10" ht="15.75" thickBot="1" x14ac:dyDescent="0.3">
      <c r="A2" s="461" t="s">
        <v>770</v>
      </c>
      <c r="B2" s="462"/>
      <c r="C2" s="463"/>
      <c r="D2" s="462"/>
      <c r="E2" s="463"/>
      <c r="F2" s="463">
        <v>0</v>
      </c>
    </row>
    <row r="3" spans="1:10" x14ac:dyDescent="0.25">
      <c r="A3" s="461" t="s">
        <v>366</v>
      </c>
      <c r="B3" s="464"/>
      <c r="C3" s="463" t="s">
        <v>718</v>
      </c>
      <c r="D3" s="462">
        <v>0</v>
      </c>
      <c r="E3" s="463">
        <v>75</v>
      </c>
      <c r="F3" s="463">
        <f>IF($I$3="Yes",+D3*E3,0)</f>
        <v>0</v>
      </c>
      <c r="H3" s="930" t="s">
        <v>2</v>
      </c>
      <c r="I3" s="930" t="str">
        <f>IF(Profit!$Q$6,IF(J3,"Yes","N0"),"no")</f>
        <v>N0</v>
      </c>
      <c r="J3" s="934" t="b">
        <v>0</v>
      </c>
    </row>
    <row r="4" spans="1:10" ht="15.75" thickBot="1" x14ac:dyDescent="0.3">
      <c r="A4" s="461" t="s">
        <v>366</v>
      </c>
      <c r="B4" s="465"/>
      <c r="C4" s="463" t="s">
        <v>367</v>
      </c>
      <c r="D4" s="462">
        <v>0</v>
      </c>
      <c r="E4" s="463">
        <v>325</v>
      </c>
      <c r="F4" s="463">
        <f t="shared" ref="F4:F5" si="0">IF($I$3="Yes",+D4*E4,0)</f>
        <v>0</v>
      </c>
      <c r="H4" s="931"/>
      <c r="I4" s="931"/>
      <c r="J4" s="935"/>
    </row>
    <row r="5" spans="1:10" x14ac:dyDescent="0.25">
      <c r="A5" s="461" t="s">
        <v>366</v>
      </c>
      <c r="B5" s="462"/>
      <c r="C5" s="463" t="s">
        <v>368</v>
      </c>
      <c r="D5" s="462">
        <v>0</v>
      </c>
      <c r="E5" s="463">
        <v>104</v>
      </c>
      <c r="F5" s="463">
        <f t="shared" si="0"/>
        <v>0</v>
      </c>
      <c r="G5">
        <f>IF(I3="yes",+SUM(F2:F5),0)</f>
        <v>0</v>
      </c>
    </row>
    <row r="6" spans="1:10" s="22" customFormat="1" x14ac:dyDescent="0.25">
      <c r="A6" s="149" t="s">
        <v>366</v>
      </c>
      <c r="B6" s="501">
        <v>45579</v>
      </c>
      <c r="C6" s="502" t="s">
        <v>718</v>
      </c>
      <c r="D6" s="275">
        <v>0</v>
      </c>
      <c r="E6" s="502">
        <v>75</v>
      </c>
      <c r="F6" s="502">
        <f>IF($I$3="Yes",0,+D6*E6)</f>
        <v>0</v>
      </c>
      <c r="G6"/>
    </row>
    <row r="7" spans="1:10" x14ac:dyDescent="0.25">
      <c r="A7" s="149" t="s">
        <v>366</v>
      </c>
      <c r="B7" s="503">
        <v>45211</v>
      </c>
      <c r="C7" s="502" t="s">
        <v>367</v>
      </c>
      <c r="D7" s="275">
        <v>0</v>
      </c>
      <c r="E7" s="502">
        <v>325</v>
      </c>
      <c r="F7" s="502">
        <f t="shared" ref="F7:F19" si="1">IF($I$3="Yes",0,+D7*E7)</f>
        <v>0</v>
      </c>
    </row>
    <row r="8" spans="1:10" x14ac:dyDescent="0.25">
      <c r="A8" s="149" t="s">
        <v>366</v>
      </c>
      <c r="B8" s="275"/>
      <c r="C8" s="502" t="s">
        <v>368</v>
      </c>
      <c r="D8" s="275">
        <v>0</v>
      </c>
      <c r="E8" s="502">
        <v>104</v>
      </c>
      <c r="F8" s="502">
        <f t="shared" si="1"/>
        <v>0</v>
      </c>
    </row>
    <row r="9" spans="1:10" x14ac:dyDescent="0.25">
      <c r="A9" s="149" t="s">
        <v>366</v>
      </c>
      <c r="B9" s="275"/>
      <c r="C9" s="502" t="s">
        <v>369</v>
      </c>
      <c r="D9" s="275">
        <v>0</v>
      </c>
      <c r="E9" s="502">
        <f>+(12.13+31.46+41.63)/3</f>
        <v>28.406666666666666</v>
      </c>
      <c r="F9" s="502">
        <f t="shared" si="1"/>
        <v>0</v>
      </c>
    </row>
    <row r="10" spans="1:10" x14ac:dyDescent="0.25">
      <c r="A10" s="149" t="s">
        <v>366</v>
      </c>
      <c r="B10" s="275"/>
      <c r="C10" s="502" t="s">
        <v>370</v>
      </c>
      <c r="D10" s="275">
        <v>0</v>
      </c>
      <c r="E10" s="502">
        <v>6.35</v>
      </c>
      <c r="F10" s="502">
        <f t="shared" si="1"/>
        <v>0</v>
      </c>
    </row>
    <row r="11" spans="1:10" x14ac:dyDescent="0.25">
      <c r="A11" s="149" t="s">
        <v>366</v>
      </c>
      <c r="B11" s="275"/>
      <c r="C11" s="502" t="s">
        <v>371</v>
      </c>
      <c r="D11" s="275"/>
      <c r="E11" s="502">
        <v>2.5</v>
      </c>
      <c r="F11" s="502">
        <f t="shared" si="1"/>
        <v>0</v>
      </c>
    </row>
    <row r="12" spans="1:10" x14ac:dyDescent="0.25">
      <c r="A12" s="149" t="s">
        <v>366</v>
      </c>
      <c r="B12" s="275"/>
      <c r="C12" s="502" t="s">
        <v>372</v>
      </c>
      <c r="D12" s="275">
        <v>0</v>
      </c>
      <c r="E12" s="502">
        <f>(8.5+10+17.34)/3</f>
        <v>11.946666666666667</v>
      </c>
      <c r="F12" s="502">
        <f t="shared" si="1"/>
        <v>0</v>
      </c>
    </row>
    <row r="13" spans="1:10" x14ac:dyDescent="0.25">
      <c r="A13" s="149" t="s">
        <v>366</v>
      </c>
      <c r="B13" s="503"/>
      <c r="C13" s="502" t="s">
        <v>373</v>
      </c>
      <c r="D13" s="275">
        <v>0</v>
      </c>
      <c r="E13" s="502">
        <v>73.13</v>
      </c>
      <c r="F13" s="502">
        <f t="shared" si="1"/>
        <v>0</v>
      </c>
    </row>
    <row r="14" spans="1:10" x14ac:dyDescent="0.25">
      <c r="A14" s="149" t="s">
        <v>366</v>
      </c>
      <c r="B14" s="503"/>
      <c r="C14" s="502" t="s">
        <v>374</v>
      </c>
      <c r="D14" s="275">
        <v>0</v>
      </c>
      <c r="E14" s="502">
        <v>472</v>
      </c>
      <c r="F14" s="502">
        <f t="shared" si="1"/>
        <v>0</v>
      </c>
    </row>
    <row r="15" spans="1:10" x14ac:dyDescent="0.25">
      <c r="A15" s="149" t="s">
        <v>375</v>
      </c>
      <c r="B15" s="503">
        <v>45694</v>
      </c>
      <c r="C15" s="502"/>
      <c r="D15" s="275">
        <v>0</v>
      </c>
      <c r="E15" s="502">
        <v>600</v>
      </c>
      <c r="F15" s="502">
        <f t="shared" si="1"/>
        <v>0</v>
      </c>
    </row>
    <row r="16" spans="1:10" x14ac:dyDescent="0.25">
      <c r="A16" s="149" t="s">
        <v>668</v>
      </c>
      <c r="B16" s="503"/>
      <c r="C16" s="149" t="s">
        <v>631</v>
      </c>
      <c r="D16" s="275">
        <v>0</v>
      </c>
      <c r="E16" s="502">
        <v>300</v>
      </c>
      <c r="F16" s="502">
        <f t="shared" si="1"/>
        <v>0</v>
      </c>
    </row>
    <row r="17" spans="1:10" x14ac:dyDescent="0.25">
      <c r="A17" s="149" t="s">
        <v>375</v>
      </c>
      <c r="B17" s="504"/>
      <c r="C17" s="149" t="s">
        <v>667</v>
      </c>
      <c r="D17" s="275">
        <v>0</v>
      </c>
      <c r="E17" s="502">
        <v>450</v>
      </c>
      <c r="F17" s="502">
        <f t="shared" si="1"/>
        <v>0</v>
      </c>
    </row>
    <row r="18" spans="1:10" x14ac:dyDescent="0.25">
      <c r="A18" s="149" t="s">
        <v>375</v>
      </c>
      <c r="B18" s="503"/>
      <c r="C18" s="502" t="s">
        <v>669</v>
      </c>
      <c r="D18" s="275">
        <v>0</v>
      </c>
      <c r="E18" s="502">
        <v>100</v>
      </c>
      <c r="F18" s="502">
        <f t="shared" si="1"/>
        <v>0</v>
      </c>
      <c r="I18" s="3"/>
    </row>
    <row r="19" spans="1:10" x14ac:dyDescent="0.25">
      <c r="A19" s="149" t="s">
        <v>375</v>
      </c>
      <c r="B19" s="503"/>
      <c r="C19" s="502" t="s">
        <v>670</v>
      </c>
      <c r="D19" s="275">
        <v>0</v>
      </c>
      <c r="E19" s="502">
        <v>150</v>
      </c>
      <c r="F19" s="502">
        <f t="shared" si="1"/>
        <v>0</v>
      </c>
      <c r="I19" s="3"/>
    </row>
    <row r="20" spans="1:10" x14ac:dyDescent="0.25">
      <c r="B20" s="186"/>
      <c r="C20" s="14"/>
      <c r="D20"/>
      <c r="E20" s="14"/>
      <c r="F20" s="14"/>
      <c r="G20">
        <f>IF(I4="yes",0,+SUM(F6:F19))</f>
        <v>0</v>
      </c>
      <c r="I20" s="3"/>
    </row>
    <row r="21" spans="1:10" x14ac:dyDescent="0.25">
      <c r="B21" s="186"/>
      <c r="C21" s="14"/>
      <c r="D21"/>
      <c r="E21" s="14"/>
      <c r="F21" s="14"/>
      <c r="I21" s="3"/>
    </row>
    <row r="22" spans="1:10" x14ac:dyDescent="0.25">
      <c r="B22" s="186"/>
      <c r="C22" s="14"/>
      <c r="D22"/>
      <c r="E22" s="14"/>
      <c r="F22" s="14"/>
      <c r="I22" s="3"/>
    </row>
    <row r="23" spans="1:10" ht="15.75" thickBot="1" x14ac:dyDescent="0.3">
      <c r="B23"/>
      <c r="C23" s="14"/>
      <c r="D23"/>
      <c r="E23" s="14"/>
      <c r="F23" s="23"/>
      <c r="G23" s="23"/>
    </row>
    <row r="24" spans="1:10" x14ac:dyDescent="0.25">
      <c r="B24"/>
      <c r="C24" s="14"/>
      <c r="D24"/>
      <c r="E24" s="14"/>
      <c r="F24" s="14"/>
      <c r="G24" s="5">
        <f>+SUM(G2:G23)</f>
        <v>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376</v>
      </c>
      <c r="B1" s="3"/>
      <c r="D1" s="5"/>
      <c r="E1" s="14"/>
      <c r="F1" s="14"/>
      <c r="G1" s="14"/>
    </row>
    <row r="2" spans="1:11" x14ac:dyDescent="0.25">
      <c r="A2" s="2"/>
      <c r="B2" s="2"/>
      <c r="C2" s="3"/>
      <c r="D2" s="8"/>
      <c r="E2" s="13"/>
      <c r="F2" s="13"/>
      <c r="G2" s="13"/>
    </row>
    <row r="3" spans="1:11" ht="15.75" thickBot="1" x14ac:dyDescent="0.3">
      <c r="A3" s="3" t="s">
        <v>264</v>
      </c>
      <c r="B3" s="3" t="s">
        <v>377</v>
      </c>
      <c r="C3" s="3" t="s">
        <v>321</v>
      </c>
      <c r="D3" s="8" t="s">
        <v>322</v>
      </c>
      <c r="E3" s="13" t="s">
        <v>323</v>
      </c>
      <c r="F3" s="13" t="s">
        <v>310</v>
      </c>
      <c r="G3" s="13" t="s">
        <v>324</v>
      </c>
    </row>
    <row r="4" spans="1:11" x14ac:dyDescent="0.25">
      <c r="A4" s="466" t="s">
        <v>773</v>
      </c>
      <c r="B4" s="466"/>
      <c r="C4" s="466"/>
      <c r="D4" s="467"/>
      <c r="E4" s="468"/>
      <c r="F4" s="468"/>
      <c r="G4" s="468"/>
      <c r="I4" s="930" t="s">
        <v>2</v>
      </c>
      <c r="J4" s="930" t="str">
        <f>IF(Profit!$Q$6,IF(K4,"Yes","N0"),"no")</f>
        <v>N0</v>
      </c>
      <c r="K4" s="934" t="b">
        <v>0</v>
      </c>
    </row>
    <row r="5" spans="1:11" ht="15.75" thickBot="1" x14ac:dyDescent="0.3">
      <c r="A5" s="461" t="s">
        <v>776</v>
      </c>
      <c r="B5" s="461">
        <v>977057</v>
      </c>
      <c r="C5" s="462">
        <v>1</v>
      </c>
      <c r="D5" s="469">
        <v>149</v>
      </c>
      <c r="E5" s="463">
        <f>+C5*D5</f>
        <v>149</v>
      </c>
      <c r="F5" s="470">
        <f>+E5*0.0725</f>
        <v>10.802499999999998</v>
      </c>
      <c r="G5" s="468"/>
      <c r="I5" s="931"/>
      <c r="J5" s="931"/>
      <c r="K5" s="935"/>
    </row>
    <row r="6" spans="1:11" x14ac:dyDescent="0.25">
      <c r="A6" s="461" t="s">
        <v>775</v>
      </c>
      <c r="B6" s="461">
        <v>3648606</v>
      </c>
      <c r="C6" s="462">
        <v>1</v>
      </c>
      <c r="D6" s="469">
        <v>700</v>
      </c>
      <c r="E6" s="463">
        <f>+C6*D6</f>
        <v>700</v>
      </c>
      <c r="F6" s="470">
        <f t="shared" ref="F6" si="0">+E6*0.0725</f>
        <v>50.75</v>
      </c>
      <c r="G6" s="468"/>
    </row>
    <row r="7" spans="1:11" ht="15.75" thickBot="1" x14ac:dyDescent="0.3">
      <c r="A7" s="461" t="s">
        <v>774</v>
      </c>
      <c r="B7" s="461">
        <v>1654366</v>
      </c>
      <c r="C7" s="462">
        <v>1</v>
      </c>
      <c r="D7" s="469">
        <v>450</v>
      </c>
      <c r="E7" s="463">
        <f>+C7*D7</f>
        <v>450</v>
      </c>
      <c r="F7" s="470">
        <f t="shared" ref="F7" si="1">+E7*0.0725</f>
        <v>32.625</v>
      </c>
      <c r="G7" s="471"/>
    </row>
    <row r="8" spans="1:11" x14ac:dyDescent="0.25">
      <c r="A8" s="466"/>
      <c r="B8" s="466"/>
      <c r="C8" s="466"/>
      <c r="D8" s="246" t="s">
        <v>772</v>
      </c>
      <c r="E8" s="463"/>
      <c r="F8" s="463"/>
      <c r="G8" s="463">
        <f>IF(J4="yes",+SUM(E5:E7)+SUM(F5:F7),0)</f>
        <v>0</v>
      </c>
    </row>
    <row r="9" spans="1:11" x14ac:dyDescent="0.25">
      <c r="A9" s="149" t="s">
        <v>378</v>
      </c>
      <c r="B9" s="149">
        <v>977057</v>
      </c>
      <c r="C9" s="275">
        <v>0</v>
      </c>
      <c r="D9" s="261">
        <v>149</v>
      </c>
      <c r="E9" s="14">
        <f>+C9*D9</f>
        <v>0</v>
      </c>
      <c r="F9" s="26">
        <f>+E9*0.0725</f>
        <v>0</v>
      </c>
      <c r="G9" s="13"/>
    </row>
    <row r="10" spans="1:11" x14ac:dyDescent="0.25">
      <c r="A10" s="149" t="s">
        <v>379</v>
      </c>
      <c r="B10" s="149"/>
      <c r="C10" s="275">
        <v>0</v>
      </c>
      <c r="D10" s="261">
        <v>400</v>
      </c>
      <c r="E10" s="14">
        <f>+C10*D10</f>
        <v>0</v>
      </c>
      <c r="F10" s="26">
        <f>+E10*0.0725</f>
        <v>0</v>
      </c>
      <c r="G10" s="14"/>
    </row>
    <row r="11" spans="1:11" x14ac:dyDescent="0.25">
      <c r="A11" s="149" t="s">
        <v>380</v>
      </c>
      <c r="B11" s="149">
        <v>1008246199</v>
      </c>
      <c r="C11" s="275">
        <v>0</v>
      </c>
      <c r="D11" s="261">
        <v>448</v>
      </c>
      <c r="E11" s="14">
        <f>+C11*D11</f>
        <v>0</v>
      </c>
      <c r="F11" s="26">
        <f>+E11*0.0725</f>
        <v>0</v>
      </c>
      <c r="G11" s="14"/>
    </row>
    <row r="12" spans="1:11" ht="15.75" thickBot="1" x14ac:dyDescent="0.3">
      <c r="A12" s="149" t="s">
        <v>671</v>
      </c>
      <c r="B12" s="149">
        <v>205954</v>
      </c>
      <c r="C12" s="275">
        <v>0</v>
      </c>
      <c r="D12" s="261">
        <v>0</v>
      </c>
      <c r="E12" s="21"/>
      <c r="F12" s="21"/>
      <c r="G12" s="21"/>
    </row>
    <row r="13" spans="1:11" x14ac:dyDescent="0.25">
      <c r="A13" s="149"/>
      <c r="B13" s="149"/>
      <c r="C13" s="275"/>
      <c r="D13" s="276" t="s">
        <v>381</v>
      </c>
      <c r="E13" s="14"/>
      <c r="F13" s="14"/>
      <c r="G13" s="14">
        <f>IF(J4="yes",0,+SUM(E9:E12)+SUM(F9:F12))</f>
        <v>0</v>
      </c>
    </row>
    <row r="14" spans="1:11" x14ac:dyDescent="0.25">
      <c r="A14" s="149" t="s">
        <v>382</v>
      </c>
      <c r="B14" s="149">
        <v>206436</v>
      </c>
      <c r="C14" s="275">
        <v>0</v>
      </c>
      <c r="D14" s="276">
        <v>12.98</v>
      </c>
      <c r="E14" s="14">
        <v>0</v>
      </c>
      <c r="F14" s="26">
        <f>+E14*0.0725</f>
        <v>0</v>
      </c>
      <c r="G14" s="14">
        <v>0</v>
      </c>
    </row>
    <row r="15" spans="1:11" x14ac:dyDescent="0.25">
      <c r="A15" s="149" t="s">
        <v>672</v>
      </c>
      <c r="B15" s="149">
        <v>1006760329</v>
      </c>
      <c r="C15" s="275">
        <v>0</v>
      </c>
      <c r="D15" s="261">
        <v>698</v>
      </c>
      <c r="E15" s="14" t="s">
        <v>160</v>
      </c>
      <c r="F15" s="14"/>
      <c r="G15" s="14"/>
    </row>
    <row r="16" spans="1:11" x14ac:dyDescent="0.25">
      <c r="A16" s="149" t="s">
        <v>382</v>
      </c>
      <c r="B16" s="149">
        <v>1630551</v>
      </c>
      <c r="C16" s="275">
        <v>0</v>
      </c>
      <c r="D16" s="261">
        <v>32.979999999999997</v>
      </c>
      <c r="E16" s="14">
        <f>+C16*D16</f>
        <v>0</v>
      </c>
      <c r="F16" s="26">
        <f>+E16*0.0725</f>
        <v>0</v>
      </c>
      <c r="G16" s="14"/>
    </row>
    <row r="17" spans="1:8" x14ac:dyDescent="0.25">
      <c r="A17" s="149" t="s">
        <v>771</v>
      </c>
      <c r="B17" s="149">
        <v>3648606</v>
      </c>
      <c r="C17" s="275">
        <v>0</v>
      </c>
      <c r="D17" s="261">
        <v>700</v>
      </c>
      <c r="E17" s="14">
        <f>+C17*D17</f>
        <v>0</v>
      </c>
      <c r="F17" s="26">
        <f t="shared" ref="F17:F29" si="2">+E17*0.0725</f>
        <v>0</v>
      </c>
      <c r="G17" s="14"/>
    </row>
    <row r="18" spans="1:8" x14ac:dyDescent="0.25">
      <c r="A18" s="149" t="s">
        <v>383</v>
      </c>
      <c r="B18" s="149">
        <v>1654366</v>
      </c>
      <c r="C18" s="275">
        <v>0</v>
      </c>
      <c r="D18" s="261">
        <v>374.29</v>
      </c>
      <c r="E18" s="14">
        <f>+C18*D18</f>
        <v>0</v>
      </c>
      <c r="F18" s="26">
        <f t="shared" si="2"/>
        <v>0</v>
      </c>
      <c r="G18" s="14"/>
    </row>
    <row r="19" spans="1:8" x14ac:dyDescent="0.25">
      <c r="A19" s="149" t="s">
        <v>384</v>
      </c>
      <c r="B19" s="149">
        <v>118694</v>
      </c>
      <c r="C19" s="275">
        <v>0</v>
      </c>
      <c r="D19" s="261">
        <v>39.28</v>
      </c>
      <c r="E19" s="14">
        <f>+C19*D19</f>
        <v>0</v>
      </c>
      <c r="F19" s="26">
        <f t="shared" si="2"/>
        <v>0</v>
      </c>
      <c r="G19" s="14"/>
    </row>
    <row r="20" spans="1:8" x14ac:dyDescent="0.25">
      <c r="A20" s="149" t="s">
        <v>385</v>
      </c>
      <c r="B20" s="277"/>
      <c r="C20" s="275">
        <v>0</v>
      </c>
      <c r="D20" s="261">
        <v>189</v>
      </c>
      <c r="E20" s="14">
        <f>+C20*D20</f>
        <v>0</v>
      </c>
      <c r="F20" s="26">
        <f t="shared" si="2"/>
        <v>0</v>
      </c>
      <c r="G20" s="14"/>
    </row>
    <row r="21" spans="1:8" x14ac:dyDescent="0.25">
      <c r="A21" s="149" t="s">
        <v>673</v>
      </c>
      <c r="B21" s="277">
        <v>206332</v>
      </c>
      <c r="C21" s="275">
        <v>0</v>
      </c>
      <c r="D21" s="261">
        <v>32.85</v>
      </c>
      <c r="E21" s="14" t="s">
        <v>160</v>
      </c>
      <c r="F21" s="26"/>
      <c r="G21" s="14"/>
    </row>
    <row r="22" spans="1:8" x14ac:dyDescent="0.25">
      <c r="A22" s="149" t="s">
        <v>386</v>
      </c>
      <c r="B22" s="277"/>
      <c r="C22" s="275">
        <v>0</v>
      </c>
      <c r="D22" s="261">
        <v>169</v>
      </c>
      <c r="E22" s="14">
        <f t="shared" ref="E22:E29" si="3">+C22*D22</f>
        <v>0</v>
      </c>
      <c r="F22" s="26">
        <f t="shared" si="2"/>
        <v>0</v>
      </c>
      <c r="G22" s="14"/>
    </row>
    <row r="23" spans="1:8" x14ac:dyDescent="0.25">
      <c r="A23" s="277" t="s">
        <v>387</v>
      </c>
      <c r="B23" s="277">
        <v>1692925</v>
      </c>
      <c r="C23" s="275">
        <v>0</v>
      </c>
      <c r="D23" s="261">
        <v>170.39</v>
      </c>
      <c r="E23" s="14">
        <f t="shared" si="3"/>
        <v>0</v>
      </c>
      <c r="F23" s="26">
        <f t="shared" si="2"/>
        <v>0</v>
      </c>
      <c r="G23" s="14"/>
    </row>
    <row r="24" spans="1:8" x14ac:dyDescent="0.25">
      <c r="A24" s="277" t="s">
        <v>708</v>
      </c>
      <c r="B24" s="277"/>
      <c r="C24" s="275">
        <v>0</v>
      </c>
      <c r="D24" s="261">
        <v>900</v>
      </c>
      <c r="E24" s="14">
        <f t="shared" si="3"/>
        <v>0</v>
      </c>
      <c r="F24" s="26">
        <f>+E24*0.0725</f>
        <v>0</v>
      </c>
      <c r="G24" s="14"/>
    </row>
    <row r="25" spans="1:8" x14ac:dyDescent="0.25">
      <c r="A25" s="277" t="s">
        <v>709</v>
      </c>
      <c r="B25" s="277"/>
      <c r="C25" s="275">
        <v>0</v>
      </c>
      <c r="D25" s="261">
        <v>900</v>
      </c>
      <c r="E25" s="14">
        <f t="shared" si="3"/>
        <v>0</v>
      </c>
      <c r="F25" s="26">
        <f>+E25*0.0725</f>
        <v>0</v>
      </c>
      <c r="G25" s="14"/>
    </row>
    <row r="26" spans="1:8" x14ac:dyDescent="0.25">
      <c r="A26" s="277"/>
      <c r="B26" s="277"/>
      <c r="C26" s="275">
        <v>0</v>
      </c>
      <c r="D26" s="261">
        <v>170.39</v>
      </c>
      <c r="E26" s="14">
        <f t="shared" si="3"/>
        <v>0</v>
      </c>
      <c r="F26" s="26">
        <f>+E26*0.0725</f>
        <v>0</v>
      </c>
      <c r="G26" s="14"/>
    </row>
    <row r="27" spans="1:8" x14ac:dyDescent="0.25">
      <c r="A27" s="277"/>
      <c r="B27" s="277"/>
      <c r="C27" s="275">
        <v>0</v>
      </c>
      <c r="D27" s="261">
        <v>170.39</v>
      </c>
      <c r="E27" s="14">
        <f t="shared" si="3"/>
        <v>0</v>
      </c>
      <c r="F27" s="26">
        <f>+E27*0.0725</f>
        <v>0</v>
      </c>
      <c r="G27" s="14"/>
    </row>
    <row r="28" spans="1:8" x14ac:dyDescent="0.25">
      <c r="A28" s="277"/>
      <c r="B28" s="277"/>
      <c r="C28" s="275">
        <v>0</v>
      </c>
      <c r="D28" s="261">
        <v>170.39</v>
      </c>
      <c r="E28" s="14">
        <f t="shared" si="3"/>
        <v>0</v>
      </c>
      <c r="F28" s="26">
        <f>+E28*0.0725</f>
        <v>0</v>
      </c>
      <c r="G28" s="14"/>
    </row>
    <row r="29" spans="1:8" ht="15.75" thickBot="1" x14ac:dyDescent="0.3">
      <c r="A29" s="149" t="s">
        <v>674</v>
      </c>
      <c r="B29" s="277"/>
      <c r="C29" s="275">
        <v>0</v>
      </c>
      <c r="D29" s="261">
        <v>0</v>
      </c>
      <c r="E29" s="14">
        <f t="shared" si="3"/>
        <v>0</v>
      </c>
      <c r="F29" s="26">
        <f t="shared" si="2"/>
        <v>0</v>
      </c>
      <c r="G29" s="21"/>
    </row>
    <row r="30" spans="1:8" x14ac:dyDescent="0.25">
      <c r="B30" s="2"/>
      <c r="C30" s="929" t="s">
        <v>388</v>
      </c>
      <c r="D30" s="929"/>
      <c r="E30" s="929"/>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7" sqref="B17"/>
    </sheetView>
  </sheetViews>
  <sheetFormatPr defaultColWidth="9.140625" defaultRowHeight="15" x14ac:dyDescent="0.2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x14ac:dyDescent="0.25">
      <c r="B1" s="3" t="s">
        <v>389</v>
      </c>
      <c r="C1" s="3"/>
    </row>
    <row r="2" spans="1:12" x14ac:dyDescent="0.25">
      <c r="D2" s="3"/>
      <c r="E2" s="8"/>
      <c r="F2" s="13"/>
      <c r="G2" s="13"/>
      <c r="H2" s="13"/>
    </row>
    <row r="3" spans="1:12" x14ac:dyDescent="0.25">
      <c r="A3" t="s">
        <v>309</v>
      </c>
      <c r="B3" s="3" t="s">
        <v>264</v>
      </c>
      <c r="C3" s="3" t="s">
        <v>377</v>
      </c>
      <c r="D3" s="3" t="s">
        <v>321</v>
      </c>
      <c r="E3" s="8" t="s">
        <v>322</v>
      </c>
      <c r="F3" s="13" t="s">
        <v>323</v>
      </c>
      <c r="G3" s="13" t="s">
        <v>310</v>
      </c>
      <c r="H3" s="13" t="s">
        <v>324</v>
      </c>
    </row>
    <row r="4" spans="1:12" ht="15.75" thickBot="1" x14ac:dyDescent="0.3">
      <c r="B4" s="3" t="s">
        <v>773</v>
      </c>
      <c r="C4" s="3"/>
      <c r="D4" s="3"/>
      <c r="E4" s="8"/>
      <c r="F4" s="13"/>
      <c r="G4" s="13"/>
      <c r="H4" s="13"/>
    </row>
    <row r="5" spans="1:12" x14ac:dyDescent="0.25">
      <c r="B5" s="472" t="s">
        <v>395</v>
      </c>
      <c r="C5" s="472"/>
      <c r="D5" s="462">
        <v>1</v>
      </c>
      <c r="E5" s="469">
        <v>179</v>
      </c>
      <c r="F5" s="463">
        <f>+D5*E5</f>
        <v>179</v>
      </c>
      <c r="G5" s="470">
        <f t="shared" ref="G5:G9" si="0">+F5*0.0725</f>
        <v>12.977499999999999</v>
      </c>
      <c r="H5" s="468"/>
      <c r="J5" s="930" t="s">
        <v>2</v>
      </c>
      <c r="K5" s="930" t="str">
        <f>IF(Profit!Q6,IF(L5,"Yes","No"),"No")</f>
        <v>No</v>
      </c>
      <c r="L5" s="934" t="b">
        <v>0</v>
      </c>
    </row>
    <row r="6" spans="1:12" ht="15.75" thickBot="1" x14ac:dyDescent="0.3">
      <c r="B6" s="472" t="s">
        <v>777</v>
      </c>
      <c r="C6" s="472"/>
      <c r="D6" s="462">
        <v>1</v>
      </c>
      <c r="E6" s="469">
        <v>53.98</v>
      </c>
      <c r="F6" s="463">
        <f>+D6*E6</f>
        <v>53.98</v>
      </c>
      <c r="G6" s="470">
        <f t="shared" si="0"/>
        <v>3.9135499999999994</v>
      </c>
      <c r="H6" s="468"/>
      <c r="J6" s="931"/>
      <c r="K6" s="931"/>
      <c r="L6" s="935"/>
    </row>
    <row r="7" spans="1:12" x14ac:dyDescent="0.25">
      <c r="B7" s="472" t="s">
        <v>344</v>
      </c>
      <c r="C7" s="472"/>
      <c r="D7" s="462">
        <v>2</v>
      </c>
      <c r="E7" s="469">
        <v>15.47</v>
      </c>
      <c r="F7" s="463">
        <f>+D7*E7</f>
        <v>30.94</v>
      </c>
      <c r="G7" s="470">
        <f t="shared" si="0"/>
        <v>2.24315</v>
      </c>
      <c r="H7" s="468"/>
    </row>
    <row r="8" spans="1:12" x14ac:dyDescent="0.25">
      <c r="B8" s="472" t="s">
        <v>778</v>
      </c>
      <c r="C8" s="472"/>
      <c r="D8" s="462">
        <v>5</v>
      </c>
      <c r="E8" s="469">
        <v>39.979999999999997</v>
      </c>
      <c r="F8" s="463">
        <v>0</v>
      </c>
      <c r="G8" s="470">
        <f t="shared" si="0"/>
        <v>0</v>
      </c>
      <c r="H8" s="468"/>
    </row>
    <row r="9" spans="1:12" ht="15.75" thickBot="1" x14ac:dyDescent="0.3">
      <c r="B9" s="472" t="s">
        <v>392</v>
      </c>
      <c r="C9" s="472">
        <v>732291231619</v>
      </c>
      <c r="D9" s="462">
        <v>3</v>
      </c>
      <c r="E9" s="469">
        <v>99</v>
      </c>
      <c r="F9" s="471">
        <f>+D9*E9</f>
        <v>297</v>
      </c>
      <c r="G9" s="471">
        <f t="shared" si="0"/>
        <v>21.532499999999999</v>
      </c>
      <c r="H9" s="471"/>
    </row>
    <row r="10" spans="1:12" x14ac:dyDescent="0.25">
      <c r="B10" s="472"/>
      <c r="C10" s="472"/>
      <c r="D10" s="462"/>
      <c r="E10" s="469"/>
      <c r="F10" s="463"/>
      <c r="G10" s="463"/>
      <c r="H10" s="463">
        <f>IF(K5="Yes",+SUM(F5:F9)+SUM(G5:G9),0)</f>
        <v>0</v>
      </c>
    </row>
    <row r="11" spans="1:12" x14ac:dyDescent="0.25">
      <c r="B11" s="277"/>
      <c r="C11" s="277"/>
      <c r="D11" s="275"/>
      <c r="E11" s="261"/>
      <c r="G11" s="26"/>
      <c r="H11" s="13"/>
    </row>
    <row r="12" spans="1:12" x14ac:dyDescent="0.25">
      <c r="B12" s="277"/>
      <c r="C12" s="277"/>
      <c r="D12" s="275"/>
      <c r="E12" s="261"/>
      <c r="G12" s="26"/>
      <c r="H12" s="13"/>
    </row>
    <row r="13" spans="1:12" x14ac:dyDescent="0.25">
      <c r="B13" s="277"/>
      <c r="C13" s="277"/>
      <c r="D13" s="275">
        <v>0</v>
      </c>
      <c r="E13" s="261">
        <v>107.1</v>
      </c>
      <c r="F13" s="14">
        <f>+D13*E13</f>
        <v>0</v>
      </c>
      <c r="G13" s="26">
        <f t="shared" ref="G13:G30" si="1">+F13*0.0725</f>
        <v>0</v>
      </c>
      <c r="H13" s="13"/>
    </row>
    <row r="14" spans="1:12" x14ac:dyDescent="0.25">
      <c r="A14" s="186">
        <v>45881</v>
      </c>
      <c r="B14" s="349" t="s">
        <v>1101</v>
      </c>
      <c r="C14" s="277" t="s">
        <v>625</v>
      </c>
      <c r="D14" s="275">
        <v>1</v>
      </c>
      <c r="E14" s="261">
        <v>743.7</v>
      </c>
      <c r="F14" s="14">
        <f>+D14*E14</f>
        <v>743.7</v>
      </c>
      <c r="G14" s="26">
        <f t="shared" si="1"/>
        <v>53.91825</v>
      </c>
    </row>
    <row r="15" spans="1:12" x14ac:dyDescent="0.25">
      <c r="A15" s="186">
        <v>45881</v>
      </c>
      <c r="B15" s="277" t="s">
        <v>392</v>
      </c>
      <c r="C15" s="277">
        <v>2131173</v>
      </c>
      <c r="D15" s="275">
        <v>0</v>
      </c>
      <c r="E15" s="261">
        <v>53.98</v>
      </c>
      <c r="F15" s="14">
        <f t="shared" ref="F15:F29" si="2">+D15*E15</f>
        <v>0</v>
      </c>
      <c r="G15" s="26">
        <f t="shared" si="1"/>
        <v>0</v>
      </c>
    </row>
    <row r="16" spans="1:12" x14ac:dyDescent="0.25">
      <c r="A16" s="186">
        <v>45881</v>
      </c>
      <c r="B16" s="277" t="s">
        <v>393</v>
      </c>
      <c r="C16" s="277">
        <v>1227792</v>
      </c>
      <c r="D16" s="275">
        <v>0</v>
      </c>
      <c r="E16" s="261">
        <v>15.47</v>
      </c>
      <c r="F16" s="14">
        <f t="shared" si="2"/>
        <v>0</v>
      </c>
      <c r="G16" s="26">
        <f t="shared" si="1"/>
        <v>0</v>
      </c>
    </row>
    <row r="17" spans="1:11" x14ac:dyDescent="0.25">
      <c r="A17" s="186">
        <v>45857</v>
      </c>
      <c r="B17" s="277" t="s">
        <v>1102</v>
      </c>
      <c r="C17" s="277">
        <v>1233228</v>
      </c>
      <c r="D17" s="275">
        <v>1</v>
      </c>
      <c r="E17" s="261">
        <v>60.32</v>
      </c>
      <c r="F17" s="14">
        <f t="shared" si="2"/>
        <v>60.32</v>
      </c>
      <c r="G17" s="26">
        <f t="shared" si="1"/>
        <v>4.3731999999999998</v>
      </c>
    </row>
    <row r="18" spans="1:11" x14ac:dyDescent="0.25">
      <c r="B18" s="277" t="s">
        <v>390</v>
      </c>
      <c r="C18" s="277" t="s">
        <v>160</v>
      </c>
      <c r="D18" s="275">
        <v>0</v>
      </c>
      <c r="E18" s="261">
        <v>6.99</v>
      </c>
      <c r="F18" s="14">
        <f t="shared" si="2"/>
        <v>0</v>
      </c>
      <c r="G18" s="26">
        <f t="shared" si="1"/>
        <v>0</v>
      </c>
    </row>
    <row r="19" spans="1:11" x14ac:dyDescent="0.25">
      <c r="B19" s="277" t="s">
        <v>391</v>
      </c>
      <c r="C19" s="277"/>
      <c r="D19" s="275">
        <v>0</v>
      </c>
      <c r="E19" s="261">
        <v>24.4</v>
      </c>
      <c r="F19" s="14">
        <f t="shared" si="2"/>
        <v>0</v>
      </c>
      <c r="G19" s="26">
        <f t="shared" si="1"/>
        <v>0</v>
      </c>
    </row>
    <row r="20" spans="1:11" x14ac:dyDescent="0.25">
      <c r="B20" s="277" t="s">
        <v>392</v>
      </c>
      <c r="C20" s="277" t="s">
        <v>627</v>
      </c>
      <c r="D20" s="275">
        <v>0</v>
      </c>
      <c r="E20" s="261">
        <v>89.1</v>
      </c>
      <c r="F20" s="14">
        <f t="shared" si="2"/>
        <v>0</v>
      </c>
      <c r="G20" s="26">
        <f t="shared" si="1"/>
        <v>0</v>
      </c>
    </row>
    <row r="21" spans="1:11" x14ac:dyDescent="0.25">
      <c r="B21" s="277" t="s">
        <v>393</v>
      </c>
      <c r="C21" s="302">
        <v>26508261804</v>
      </c>
      <c r="D21" s="275">
        <v>0</v>
      </c>
      <c r="E21" s="261">
        <v>114</v>
      </c>
      <c r="F21" s="14">
        <f t="shared" si="2"/>
        <v>0</v>
      </c>
      <c r="G21" s="26">
        <f t="shared" si="1"/>
        <v>0</v>
      </c>
    </row>
    <row r="22" spans="1:11" x14ac:dyDescent="0.25">
      <c r="B22" s="277" t="s">
        <v>344</v>
      </c>
      <c r="C22" s="277">
        <v>6925699939094</v>
      </c>
      <c r="D22" s="275">
        <v>0</v>
      </c>
      <c r="E22" s="261">
        <v>34.979999999999997</v>
      </c>
      <c r="F22" s="14">
        <f t="shared" si="2"/>
        <v>0</v>
      </c>
      <c r="G22" s="26">
        <f t="shared" si="1"/>
        <v>0</v>
      </c>
    </row>
    <row r="23" spans="1:11" x14ac:dyDescent="0.25">
      <c r="B23" s="277" t="s">
        <v>394</v>
      </c>
      <c r="C23" s="277"/>
      <c r="D23" s="275">
        <v>0</v>
      </c>
      <c r="E23" s="261"/>
      <c r="F23" s="14">
        <f t="shared" si="2"/>
        <v>0</v>
      </c>
      <c r="G23" s="26">
        <f t="shared" si="1"/>
        <v>0</v>
      </c>
    </row>
    <row r="24" spans="1:11" x14ac:dyDescent="0.25">
      <c r="B24" s="277" t="s">
        <v>395</v>
      </c>
      <c r="C24" s="277">
        <v>38877656754</v>
      </c>
      <c r="D24" s="275">
        <v>0</v>
      </c>
      <c r="E24" s="261">
        <v>169</v>
      </c>
      <c r="F24" s="14">
        <f t="shared" si="2"/>
        <v>0</v>
      </c>
      <c r="G24" s="26">
        <f t="shared" si="1"/>
        <v>0</v>
      </c>
    </row>
    <row r="25" spans="1:11" x14ac:dyDescent="0.25">
      <c r="B25" s="277" t="s">
        <v>392</v>
      </c>
      <c r="C25" s="277">
        <v>732291231619</v>
      </c>
      <c r="D25" s="275">
        <v>0</v>
      </c>
      <c r="E25" s="261">
        <v>99</v>
      </c>
      <c r="F25" s="14">
        <f t="shared" si="2"/>
        <v>0</v>
      </c>
      <c r="G25" s="26">
        <f t="shared" si="1"/>
        <v>0</v>
      </c>
    </row>
    <row r="26" spans="1:11" x14ac:dyDescent="0.25">
      <c r="B26" s="277" t="s">
        <v>396</v>
      </c>
      <c r="C26" s="277"/>
      <c r="D26" s="275">
        <v>0</v>
      </c>
      <c r="E26" s="261">
        <v>-29.7</v>
      </c>
      <c r="F26" s="14">
        <f t="shared" si="2"/>
        <v>0</v>
      </c>
      <c r="G26" s="26">
        <f t="shared" si="1"/>
        <v>0</v>
      </c>
    </row>
    <row r="27" spans="1:11" x14ac:dyDescent="0.25">
      <c r="B27" s="277"/>
      <c r="C27" s="277"/>
      <c r="D27" s="275"/>
      <c r="E27" s="261"/>
      <c r="F27" s="14">
        <f t="shared" si="2"/>
        <v>0</v>
      </c>
      <c r="G27" s="26">
        <f t="shared" si="1"/>
        <v>0</v>
      </c>
    </row>
    <row r="28" spans="1:11" x14ac:dyDescent="0.25">
      <c r="B28" s="277"/>
      <c r="C28" s="277"/>
      <c r="D28" s="275"/>
      <c r="E28" s="261"/>
      <c r="F28" s="14">
        <f t="shared" si="2"/>
        <v>0</v>
      </c>
      <c r="G28" s="26">
        <f t="shared" si="1"/>
        <v>0</v>
      </c>
    </row>
    <row r="29" spans="1:11" x14ac:dyDescent="0.25">
      <c r="B29" s="277"/>
      <c r="C29" s="277"/>
      <c r="D29" s="275"/>
      <c r="E29" s="261"/>
      <c r="F29" s="14">
        <f t="shared" si="2"/>
        <v>0</v>
      </c>
      <c r="G29" s="26">
        <f t="shared" si="1"/>
        <v>0</v>
      </c>
    </row>
    <row r="30" spans="1:11" ht="15.75" thickBot="1" x14ac:dyDescent="0.3">
      <c r="B30" s="277"/>
      <c r="C30" s="277"/>
      <c r="D30" s="275"/>
      <c r="E30" s="261"/>
      <c r="F30" s="21">
        <f>+D30*E30</f>
        <v>0</v>
      </c>
      <c r="G30" s="21">
        <f t="shared" si="1"/>
        <v>0</v>
      </c>
      <c r="H30" s="21"/>
    </row>
    <row r="31" spans="1:11" x14ac:dyDescent="0.25">
      <c r="H31" s="14">
        <f>IF(K5="No",+SUM(F13:F30)+SUM(G13:G30),0)</f>
        <v>862.31145000000015</v>
      </c>
      <c r="I31" s="14">
        <f>SUM(H10:H31)</f>
        <v>862.31145000000015</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9"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397</v>
      </c>
      <c r="B1" s="32"/>
      <c r="C1" s="32"/>
    </row>
    <row r="2" spans="1:13" x14ac:dyDescent="0.25">
      <c r="D2" s="3"/>
      <c r="E2" s="8"/>
      <c r="F2" s="13"/>
      <c r="G2" s="13"/>
      <c r="H2" s="13"/>
      <c r="K2" s="930" t="s">
        <v>2</v>
      </c>
      <c r="L2" s="930" t="str">
        <f>IF(Profit!Q6,IF(M2,"Yes","No"),"No")</f>
        <v>No</v>
      </c>
      <c r="M2" s="934" t="b">
        <v>0</v>
      </c>
    </row>
    <row r="3" spans="1:13" s="22" customFormat="1" ht="14.25" customHeight="1" thickBot="1" x14ac:dyDescent="0.3">
      <c r="A3" s="3" t="s">
        <v>264</v>
      </c>
      <c r="B3" s="3" t="s">
        <v>309</v>
      </c>
      <c r="C3" s="3" t="s">
        <v>377</v>
      </c>
      <c r="D3" s="3" t="s">
        <v>321</v>
      </c>
      <c r="E3" s="8" t="s">
        <v>322</v>
      </c>
      <c r="F3" s="13" t="s">
        <v>323</v>
      </c>
      <c r="G3" s="13"/>
      <c r="H3" s="13" t="s">
        <v>324</v>
      </c>
      <c r="K3" s="931"/>
      <c r="L3" s="931"/>
      <c r="M3" s="935"/>
    </row>
    <row r="4" spans="1:13" s="22" customFormat="1" ht="14.25" customHeight="1" x14ac:dyDescent="0.25">
      <c r="A4" s="3"/>
      <c r="B4" s="3"/>
      <c r="C4" s="3"/>
      <c r="D4" s="3"/>
      <c r="E4" s="8"/>
      <c r="F4" s="13"/>
      <c r="G4" s="13"/>
      <c r="H4" s="13"/>
      <c r="K4"/>
      <c r="L4"/>
      <c r="M4"/>
    </row>
    <row r="5" spans="1:13" s="22" customFormat="1" ht="14.25" customHeight="1" x14ac:dyDescent="0.25">
      <c r="A5" s="3" t="s">
        <v>799</v>
      </c>
      <c r="B5" s="505">
        <v>45694</v>
      </c>
      <c r="C5" s="3"/>
      <c r="D5" s="3">
        <v>0</v>
      </c>
      <c r="E5" s="8">
        <v>2500</v>
      </c>
      <c r="F5" s="14" t="s">
        <v>160</v>
      </c>
      <c r="G5" s="14"/>
      <c r="H5" s="13"/>
      <c r="K5"/>
      <c r="L5"/>
      <c r="M5"/>
    </row>
    <row r="6" spans="1:13" s="22" customFormat="1" ht="14.25" customHeight="1" x14ac:dyDescent="0.25">
      <c r="A6" s="3" t="s">
        <v>677</v>
      </c>
      <c r="B6" s="3"/>
      <c r="C6" s="3"/>
      <c r="D6" s="3">
        <v>0</v>
      </c>
      <c r="E6" s="8">
        <v>350</v>
      </c>
      <c r="F6" s="14">
        <f t="shared" ref="F6:F18" si="0">+D6*E6</f>
        <v>0</v>
      </c>
      <c r="G6" s="14">
        <f>+F6*0.0725</f>
        <v>0</v>
      </c>
      <c r="H6" s="13"/>
      <c r="K6"/>
      <c r="L6"/>
      <c r="M6"/>
    </row>
    <row r="7" spans="1:13" ht="14.25" customHeight="1" x14ac:dyDescent="0.25">
      <c r="A7" s="32" t="s">
        <v>398</v>
      </c>
      <c r="B7" s="32"/>
      <c r="C7" s="32">
        <v>935605</v>
      </c>
      <c r="D7" s="277">
        <v>0</v>
      </c>
      <c r="E7" s="261">
        <v>209</v>
      </c>
      <c r="F7" s="14">
        <f t="shared" si="0"/>
        <v>0</v>
      </c>
      <c r="G7" s="14">
        <f t="shared" ref="G7:G37" si="1">+F7*0.0725</f>
        <v>0</v>
      </c>
      <c r="H7" s="13"/>
    </row>
    <row r="8" spans="1:13" ht="14.25" customHeight="1" x14ac:dyDescent="0.25">
      <c r="A8" s="32" t="s">
        <v>399</v>
      </c>
      <c r="B8" s="32"/>
      <c r="C8" s="32">
        <v>935604</v>
      </c>
      <c r="D8" s="277">
        <v>0</v>
      </c>
      <c r="E8" s="261">
        <v>209</v>
      </c>
      <c r="F8" s="14">
        <f t="shared" si="0"/>
        <v>0</v>
      </c>
      <c r="G8" s="14">
        <f t="shared" si="1"/>
        <v>0</v>
      </c>
      <c r="H8" s="13"/>
    </row>
    <row r="9" spans="1:13" ht="14.25" customHeight="1" x14ac:dyDescent="0.25">
      <c r="A9" s="32" t="s">
        <v>400</v>
      </c>
      <c r="B9" s="32"/>
      <c r="C9" s="32">
        <v>935599</v>
      </c>
      <c r="D9" s="277">
        <v>0</v>
      </c>
      <c r="E9" s="261">
        <v>198.56</v>
      </c>
      <c r="F9" s="14">
        <f>+D9*E9</f>
        <v>0</v>
      </c>
      <c r="G9" s="14">
        <f t="shared" si="1"/>
        <v>0</v>
      </c>
      <c r="H9" s="13"/>
    </row>
    <row r="10" spans="1:13" ht="14.25" customHeight="1" x14ac:dyDescent="0.25">
      <c r="A10" s="32" t="s">
        <v>401</v>
      </c>
      <c r="B10" s="32"/>
      <c r="C10" s="32">
        <v>14005</v>
      </c>
      <c r="D10" s="275">
        <v>0</v>
      </c>
      <c r="E10" s="261">
        <v>179</v>
      </c>
      <c r="F10" s="14">
        <f t="shared" si="0"/>
        <v>0</v>
      </c>
      <c r="G10" s="14">
        <f t="shared" si="1"/>
        <v>0</v>
      </c>
    </row>
    <row r="11" spans="1:13" ht="14.25" customHeight="1" x14ac:dyDescent="0.25">
      <c r="A11" s="32" t="s">
        <v>402</v>
      </c>
      <c r="B11" s="32"/>
      <c r="C11" s="32">
        <v>14006</v>
      </c>
      <c r="D11" s="275">
        <v>0</v>
      </c>
      <c r="E11" s="261">
        <v>179</v>
      </c>
      <c r="F11" s="14">
        <f t="shared" si="0"/>
        <v>0</v>
      </c>
      <c r="G11" s="14">
        <f t="shared" si="1"/>
        <v>0</v>
      </c>
    </row>
    <row r="12" spans="1:13" ht="14.25" customHeight="1" x14ac:dyDescent="0.25">
      <c r="A12" s="32" t="s">
        <v>403</v>
      </c>
      <c r="B12" s="32"/>
      <c r="C12" s="32">
        <v>935587</v>
      </c>
      <c r="D12" s="275">
        <v>0</v>
      </c>
      <c r="E12" s="261">
        <v>198.55</v>
      </c>
      <c r="F12" s="14">
        <f>+D12*E12</f>
        <v>0</v>
      </c>
      <c r="G12" s="14">
        <f t="shared" si="1"/>
        <v>0</v>
      </c>
    </row>
    <row r="13" spans="1:13" ht="14.25" customHeight="1" x14ac:dyDescent="0.25">
      <c r="A13" s="32" t="s">
        <v>404</v>
      </c>
      <c r="B13" s="32"/>
      <c r="C13" s="32">
        <v>49504</v>
      </c>
      <c r="D13" s="275">
        <v>0</v>
      </c>
      <c r="E13" s="261">
        <v>103</v>
      </c>
      <c r="F13" s="14">
        <f t="shared" si="0"/>
        <v>0</v>
      </c>
      <c r="G13" s="14">
        <f t="shared" si="1"/>
        <v>0</v>
      </c>
    </row>
    <row r="14" spans="1:13" ht="14.25" customHeight="1" x14ac:dyDescent="0.25">
      <c r="A14" s="32" t="s">
        <v>405</v>
      </c>
      <c r="B14" s="32"/>
      <c r="C14" s="32">
        <v>49706</v>
      </c>
      <c r="D14" s="275">
        <v>0</v>
      </c>
      <c r="E14" s="261">
        <v>103</v>
      </c>
      <c r="F14" s="14">
        <f t="shared" si="0"/>
        <v>0</v>
      </c>
      <c r="G14" s="14">
        <f t="shared" si="1"/>
        <v>0</v>
      </c>
    </row>
    <row r="15" spans="1:13" ht="14.25" customHeight="1" x14ac:dyDescent="0.25">
      <c r="A15" s="32" t="s">
        <v>406</v>
      </c>
      <c r="B15" s="32"/>
      <c r="C15" s="32">
        <v>47025</v>
      </c>
      <c r="D15" s="275">
        <v>0</v>
      </c>
      <c r="E15" s="261">
        <v>99</v>
      </c>
      <c r="F15" s="14">
        <f t="shared" si="0"/>
        <v>0</v>
      </c>
      <c r="G15" s="14">
        <f t="shared" si="1"/>
        <v>0</v>
      </c>
    </row>
    <row r="16" spans="1:13" ht="14.25" customHeight="1" x14ac:dyDescent="0.25">
      <c r="A16" s="32" t="s">
        <v>407</v>
      </c>
      <c r="B16" s="32"/>
      <c r="C16" s="32">
        <v>47422</v>
      </c>
      <c r="D16" s="275">
        <v>0</v>
      </c>
      <c r="E16" s="261">
        <v>99</v>
      </c>
      <c r="F16" s="14">
        <f t="shared" si="0"/>
        <v>0</v>
      </c>
      <c r="G16" s="14">
        <f t="shared" si="1"/>
        <v>0</v>
      </c>
    </row>
    <row r="17" spans="1:7" ht="14.25" customHeight="1" x14ac:dyDescent="0.25">
      <c r="A17" s="32" t="s">
        <v>408</v>
      </c>
      <c r="B17" s="32"/>
      <c r="C17" s="32">
        <v>43359</v>
      </c>
      <c r="D17" s="275">
        <v>0</v>
      </c>
      <c r="E17" s="261">
        <v>95</v>
      </c>
      <c r="F17" s="14">
        <f t="shared" si="0"/>
        <v>0</v>
      </c>
      <c r="G17" s="14">
        <f t="shared" si="1"/>
        <v>0</v>
      </c>
    </row>
    <row r="18" spans="1:7" ht="14.25" customHeight="1" x14ac:dyDescent="0.25">
      <c r="A18" s="32" t="s">
        <v>409</v>
      </c>
      <c r="B18" s="32"/>
      <c r="C18" s="32">
        <v>44035</v>
      </c>
      <c r="D18" s="275">
        <v>0</v>
      </c>
      <c r="E18" s="261">
        <v>95</v>
      </c>
      <c r="F18" s="14">
        <f t="shared" si="0"/>
        <v>0</v>
      </c>
      <c r="G18" s="14">
        <f t="shared" si="1"/>
        <v>0</v>
      </c>
    </row>
    <row r="19" spans="1:7" ht="14.25" customHeight="1" x14ac:dyDescent="0.25">
      <c r="A19" s="349" t="s">
        <v>664</v>
      </c>
      <c r="B19" s="349"/>
      <c r="C19" s="349">
        <v>25598</v>
      </c>
      <c r="D19" s="275">
        <v>0</v>
      </c>
      <c r="E19" s="261">
        <v>101</v>
      </c>
      <c r="F19" s="14">
        <f t="shared" ref="F19:F37" si="2">+D19*E19</f>
        <v>0</v>
      </c>
      <c r="G19" s="14">
        <f t="shared" si="1"/>
        <v>0</v>
      </c>
    </row>
    <row r="20" spans="1:7" ht="14.25" customHeight="1" x14ac:dyDescent="0.25">
      <c r="A20" s="349" t="s">
        <v>626</v>
      </c>
      <c r="B20" s="349"/>
      <c r="C20" s="349">
        <v>30151125574</v>
      </c>
      <c r="D20" s="275">
        <v>0</v>
      </c>
      <c r="E20" s="261">
        <v>91.46</v>
      </c>
      <c r="F20" s="14">
        <f t="shared" si="2"/>
        <v>0</v>
      </c>
      <c r="G20" s="14">
        <f t="shared" si="1"/>
        <v>0</v>
      </c>
    </row>
    <row r="21" spans="1:7" ht="14.25" customHeight="1" x14ac:dyDescent="0.25">
      <c r="A21" s="32" t="s">
        <v>410</v>
      </c>
      <c r="B21" s="32"/>
      <c r="C21" s="32"/>
      <c r="D21" s="275">
        <v>0</v>
      </c>
      <c r="E21" s="261">
        <v>284.56</v>
      </c>
      <c r="F21" s="14">
        <f t="shared" si="2"/>
        <v>0</v>
      </c>
      <c r="G21" s="14">
        <f t="shared" si="1"/>
        <v>0</v>
      </c>
    </row>
    <row r="22" spans="1:7" ht="14.25" customHeight="1" x14ac:dyDescent="0.25">
      <c r="A22" s="32" t="s">
        <v>411</v>
      </c>
      <c r="B22" s="32"/>
      <c r="C22" s="32">
        <v>72904</v>
      </c>
      <c r="D22" s="275">
        <v>0</v>
      </c>
      <c r="E22" s="261">
        <v>429.62</v>
      </c>
      <c r="F22" s="14">
        <f>+D22*E22</f>
        <v>0</v>
      </c>
      <c r="G22" s="14">
        <f t="shared" si="1"/>
        <v>0</v>
      </c>
    </row>
    <row r="23" spans="1:7" ht="14.25" customHeight="1" x14ac:dyDescent="0.25">
      <c r="A23" s="32" t="s">
        <v>412</v>
      </c>
      <c r="B23" s="32"/>
      <c r="C23" s="32" t="s">
        <v>681</v>
      </c>
      <c r="D23" s="275">
        <v>0</v>
      </c>
      <c r="E23" s="261">
        <v>8.77</v>
      </c>
      <c r="F23" s="14">
        <f t="shared" si="2"/>
        <v>0</v>
      </c>
      <c r="G23" s="14">
        <f t="shared" si="1"/>
        <v>0</v>
      </c>
    </row>
    <row r="24" spans="1:7" ht="14.25" customHeight="1" x14ac:dyDescent="0.25">
      <c r="A24" s="349" t="s">
        <v>678</v>
      </c>
      <c r="B24" s="349"/>
      <c r="C24" s="349" t="s">
        <v>683</v>
      </c>
      <c r="D24" s="275">
        <v>0</v>
      </c>
      <c r="E24" s="261">
        <v>18.88</v>
      </c>
      <c r="F24" s="14">
        <f t="shared" si="2"/>
        <v>0</v>
      </c>
      <c r="G24" s="14">
        <f t="shared" si="1"/>
        <v>0</v>
      </c>
    </row>
    <row r="25" spans="1:7" ht="14.25" customHeight="1" x14ac:dyDescent="0.25">
      <c r="A25" s="349" t="s">
        <v>679</v>
      </c>
      <c r="B25" s="349"/>
      <c r="C25" s="349" t="s">
        <v>682</v>
      </c>
      <c r="D25" s="275">
        <v>0</v>
      </c>
      <c r="E25" s="261">
        <v>47.14</v>
      </c>
      <c r="F25" s="14">
        <f t="shared" si="2"/>
        <v>0</v>
      </c>
      <c r="G25" s="14">
        <f t="shared" si="1"/>
        <v>0</v>
      </c>
    </row>
    <row r="26" spans="1:7" ht="14.25" customHeight="1" x14ac:dyDescent="0.25">
      <c r="A26" s="349" t="s">
        <v>679</v>
      </c>
      <c r="B26" s="349"/>
      <c r="C26" s="349" t="s">
        <v>680</v>
      </c>
      <c r="D26" s="275">
        <v>0</v>
      </c>
      <c r="E26" s="261">
        <v>27.73</v>
      </c>
      <c r="F26" s="14">
        <f t="shared" si="2"/>
        <v>0</v>
      </c>
      <c r="G26" s="14">
        <f t="shared" si="1"/>
        <v>0</v>
      </c>
    </row>
    <row r="27" spans="1:7" ht="14.25" customHeight="1" x14ac:dyDescent="0.25">
      <c r="A27" s="32" t="s">
        <v>413</v>
      </c>
      <c r="B27" s="32"/>
      <c r="C27" s="32">
        <v>100619</v>
      </c>
      <c r="D27" s="275">
        <v>0</v>
      </c>
      <c r="E27" s="261">
        <v>79.98</v>
      </c>
      <c r="F27" s="14">
        <f t="shared" si="2"/>
        <v>0</v>
      </c>
      <c r="G27" s="14">
        <f t="shared" si="1"/>
        <v>0</v>
      </c>
    </row>
    <row r="28" spans="1:7" ht="14.25" customHeight="1" x14ac:dyDescent="0.25">
      <c r="A28" s="32" t="s">
        <v>414</v>
      </c>
      <c r="B28" s="32"/>
      <c r="C28" s="32">
        <v>287027</v>
      </c>
      <c r="D28" s="275">
        <v>0</v>
      </c>
      <c r="E28" s="261">
        <v>50.48</v>
      </c>
      <c r="F28" s="14">
        <f t="shared" si="2"/>
        <v>0</v>
      </c>
      <c r="G28" s="14">
        <f t="shared" si="1"/>
        <v>0</v>
      </c>
    </row>
    <row r="29" spans="1:7" ht="14.25" customHeight="1" x14ac:dyDescent="0.25">
      <c r="A29" s="32"/>
      <c r="B29" s="32"/>
      <c r="C29" s="32"/>
      <c r="D29" s="275"/>
      <c r="E29" s="261"/>
    </row>
    <row r="30" spans="1:7" ht="14.25" customHeight="1" x14ac:dyDescent="0.25">
      <c r="A30" s="32" t="s">
        <v>415</v>
      </c>
      <c r="B30" s="32"/>
      <c r="C30" s="32" t="s">
        <v>662</v>
      </c>
      <c r="D30" s="275">
        <v>0</v>
      </c>
      <c r="E30" s="261">
        <v>69.97</v>
      </c>
      <c r="F30" s="14">
        <f t="shared" si="2"/>
        <v>0</v>
      </c>
      <c r="G30" s="14">
        <f t="shared" si="1"/>
        <v>0</v>
      </c>
    </row>
    <row r="31" spans="1:7" ht="14.25" customHeight="1" x14ac:dyDescent="0.25">
      <c r="A31" s="32" t="s">
        <v>416</v>
      </c>
      <c r="B31" s="32"/>
      <c r="C31" s="32" t="s">
        <v>417</v>
      </c>
      <c r="D31" s="275">
        <v>0</v>
      </c>
      <c r="E31" s="261">
        <v>289</v>
      </c>
      <c r="F31" s="14">
        <f t="shared" si="2"/>
        <v>0</v>
      </c>
      <c r="G31" s="14">
        <f t="shared" si="1"/>
        <v>0</v>
      </c>
    </row>
    <row r="32" spans="1:7" ht="14.25" customHeight="1" x14ac:dyDescent="0.25">
      <c r="A32" s="32" t="s">
        <v>418</v>
      </c>
      <c r="B32" s="32"/>
      <c r="C32" s="32" t="s">
        <v>419</v>
      </c>
      <c r="D32" s="275">
        <v>0</v>
      </c>
      <c r="E32" s="261">
        <v>12.97</v>
      </c>
      <c r="F32" s="14">
        <f t="shared" si="2"/>
        <v>0</v>
      </c>
      <c r="G32" s="14">
        <f t="shared" si="1"/>
        <v>0</v>
      </c>
    </row>
    <row r="33" spans="1:11" ht="14.25" customHeight="1" x14ac:dyDescent="0.25">
      <c r="A33" s="32" t="s">
        <v>420</v>
      </c>
      <c r="B33" s="32"/>
      <c r="C33" s="32"/>
      <c r="D33" s="275"/>
      <c r="E33" s="261"/>
      <c r="F33" s="14">
        <f t="shared" si="2"/>
        <v>0</v>
      </c>
      <c r="G33" s="14">
        <f t="shared" si="1"/>
        <v>0</v>
      </c>
    </row>
    <row r="34" spans="1:11" ht="14.25" customHeight="1" x14ac:dyDescent="0.25">
      <c r="A34" s="32" t="s">
        <v>421</v>
      </c>
      <c r="B34" s="32"/>
      <c r="C34" s="32">
        <v>30699285174</v>
      </c>
      <c r="D34" s="275">
        <v>0</v>
      </c>
      <c r="E34" s="261">
        <v>12.93</v>
      </c>
      <c r="F34" s="14">
        <f t="shared" si="2"/>
        <v>0</v>
      </c>
      <c r="G34" s="14">
        <f t="shared" si="1"/>
        <v>0</v>
      </c>
    </row>
    <row r="35" spans="1:11" ht="14.25" customHeight="1" x14ac:dyDescent="0.25">
      <c r="A35" s="32" t="s">
        <v>422</v>
      </c>
      <c r="B35" s="32"/>
      <c r="C35" s="303">
        <v>883351469845</v>
      </c>
      <c r="D35" s="275">
        <v>0</v>
      </c>
      <c r="E35" s="261">
        <v>47.97</v>
      </c>
      <c r="F35" s="14">
        <f t="shared" si="2"/>
        <v>0</v>
      </c>
      <c r="G35" s="14">
        <f t="shared" si="1"/>
        <v>0</v>
      </c>
    </row>
    <row r="36" spans="1:11" ht="14.25" customHeight="1" x14ac:dyDescent="0.25">
      <c r="A36" s="32" t="s">
        <v>423</v>
      </c>
      <c r="B36" s="32"/>
      <c r="C36" s="303">
        <v>883351891448</v>
      </c>
      <c r="D36" s="275">
        <v>0</v>
      </c>
      <c r="E36" s="261">
        <v>77.569999999999993</v>
      </c>
      <c r="F36" s="14">
        <f t="shared" si="2"/>
        <v>0</v>
      </c>
      <c r="G36" s="14">
        <f t="shared" si="1"/>
        <v>0</v>
      </c>
    </row>
    <row r="37" spans="1:11" ht="14.25" customHeight="1" thickBot="1" x14ac:dyDescent="0.3">
      <c r="A37" s="32" t="s">
        <v>424</v>
      </c>
      <c r="B37" s="32"/>
      <c r="C37" s="303">
        <v>883351396332</v>
      </c>
      <c r="D37" s="275">
        <v>0</v>
      </c>
      <c r="E37" s="261">
        <v>139</v>
      </c>
      <c r="F37" s="14">
        <f t="shared" si="2"/>
        <v>0</v>
      </c>
      <c r="G37" s="14">
        <f t="shared" si="1"/>
        <v>0</v>
      </c>
      <c r="H37" s="21"/>
    </row>
    <row r="38" spans="1:11" ht="14.25" customHeight="1" x14ac:dyDescent="0.25">
      <c r="A38" s="32"/>
      <c r="B38" s="32"/>
      <c r="C38" s="303"/>
      <c r="D38" s="305"/>
      <c r="E38" s="304"/>
      <c r="F38" s="14">
        <f>+D38*E38</f>
        <v>0</v>
      </c>
      <c r="H38" s="14">
        <f>IF(L2="no",SUM(F5:G37),0)</f>
        <v>0</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L2" sqref="L2:L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425</v>
      </c>
      <c r="B1" s="3"/>
    </row>
    <row r="2" spans="1:12" x14ac:dyDescent="0.25">
      <c r="C2" s="3"/>
      <c r="D2" s="8"/>
      <c r="E2" s="13"/>
      <c r="F2" s="13"/>
      <c r="G2" s="13"/>
      <c r="J2" s="930" t="s">
        <v>2</v>
      </c>
      <c r="K2" s="930" t="str">
        <f>IF(Profit!Q6,IF(L2,"Yes","No"),"No")</f>
        <v>No</v>
      </c>
      <c r="L2" s="934" t="b">
        <v>0</v>
      </c>
    </row>
    <row r="3" spans="1:12" ht="15.75" thickBot="1" x14ac:dyDescent="0.3">
      <c r="A3" s="31" t="s">
        <v>264</v>
      </c>
      <c r="B3" s="31" t="s">
        <v>377</v>
      </c>
      <c r="C3" s="31" t="s">
        <v>321</v>
      </c>
      <c r="D3" s="281" t="s">
        <v>322</v>
      </c>
      <c r="E3" s="282" t="s">
        <v>323</v>
      </c>
      <c r="F3" s="282" t="s">
        <v>310</v>
      </c>
      <c r="G3" s="282" t="s">
        <v>324</v>
      </c>
      <c r="J3" s="931"/>
      <c r="K3" s="931"/>
      <c r="L3" s="935"/>
    </row>
    <row r="4" spans="1:12" x14ac:dyDescent="0.25">
      <c r="A4" s="279"/>
      <c r="B4" s="279" t="s">
        <v>426</v>
      </c>
      <c r="C4" s="277">
        <v>0</v>
      </c>
      <c r="D4" s="280">
        <v>154</v>
      </c>
      <c r="E4" s="1">
        <f>C4*D4</f>
        <v>0</v>
      </c>
      <c r="F4" s="26">
        <f t="shared" ref="F4:F22" si="0">+E4*0.0725</f>
        <v>0</v>
      </c>
      <c r="G4" s="13"/>
    </row>
    <row r="5" spans="1:12" x14ac:dyDescent="0.25">
      <c r="A5" s="277" t="s">
        <v>427</v>
      </c>
      <c r="B5" s="277">
        <v>795984</v>
      </c>
      <c r="C5" s="275">
        <v>0</v>
      </c>
      <c r="D5" s="261">
        <v>144</v>
      </c>
      <c r="E5" s="1">
        <f>C5*D5</f>
        <v>0</v>
      </c>
      <c r="F5" s="26">
        <f t="shared" si="0"/>
        <v>0</v>
      </c>
    </row>
    <row r="6" spans="1:12" x14ac:dyDescent="0.25">
      <c r="A6" s="277" t="s">
        <v>428</v>
      </c>
      <c r="B6" s="277" t="s">
        <v>428</v>
      </c>
      <c r="C6" s="275">
        <v>0</v>
      </c>
      <c r="D6" s="261">
        <v>224</v>
      </c>
      <c r="E6" s="1">
        <f t="shared" ref="E6:E22" si="1">C6*D6</f>
        <v>0</v>
      </c>
      <c r="F6" s="26">
        <f t="shared" si="0"/>
        <v>0</v>
      </c>
    </row>
    <row r="7" spans="1:12" x14ac:dyDescent="0.25">
      <c r="A7" s="277" t="s">
        <v>429</v>
      </c>
      <c r="B7" s="277" t="s">
        <v>430</v>
      </c>
      <c r="C7" s="275">
        <v>0</v>
      </c>
      <c r="D7" s="261">
        <v>152</v>
      </c>
      <c r="E7" s="1">
        <f t="shared" si="1"/>
        <v>0</v>
      </c>
      <c r="F7" s="26">
        <f t="shared" si="0"/>
        <v>0</v>
      </c>
    </row>
    <row r="8" spans="1:12" x14ac:dyDescent="0.25">
      <c r="A8" s="277" t="s">
        <v>431</v>
      </c>
      <c r="B8" s="277" t="s">
        <v>432</v>
      </c>
      <c r="C8" s="275">
        <v>0</v>
      </c>
      <c r="D8" s="261">
        <v>50</v>
      </c>
      <c r="E8" s="1">
        <f t="shared" si="1"/>
        <v>0</v>
      </c>
      <c r="F8" s="26">
        <f t="shared" si="0"/>
        <v>0</v>
      </c>
    </row>
    <row r="9" spans="1:12" x14ac:dyDescent="0.25">
      <c r="A9" s="277" t="s">
        <v>433</v>
      </c>
      <c r="B9" s="277" t="s">
        <v>434</v>
      </c>
      <c r="C9" s="275">
        <v>0</v>
      </c>
      <c r="D9" s="261">
        <v>166</v>
      </c>
      <c r="E9" s="1">
        <f t="shared" si="1"/>
        <v>0</v>
      </c>
      <c r="F9" s="26">
        <f t="shared" si="0"/>
        <v>0</v>
      </c>
    </row>
    <row r="10" spans="1:12" x14ac:dyDescent="0.25">
      <c r="A10" s="277" t="s">
        <v>435</v>
      </c>
      <c r="B10" s="277" t="s">
        <v>436</v>
      </c>
      <c r="C10" s="275">
        <v>0</v>
      </c>
      <c r="D10" s="261">
        <v>104</v>
      </c>
      <c r="E10" s="1">
        <f t="shared" si="1"/>
        <v>0</v>
      </c>
      <c r="F10" s="26">
        <f t="shared" si="0"/>
        <v>0</v>
      </c>
    </row>
    <row r="11" spans="1:12" x14ac:dyDescent="0.25">
      <c r="A11" s="277" t="s">
        <v>437</v>
      </c>
      <c r="B11" s="277" t="s">
        <v>438</v>
      </c>
      <c r="C11" s="275">
        <v>0</v>
      </c>
      <c r="D11" s="261">
        <v>81.98</v>
      </c>
      <c r="E11" s="1">
        <f t="shared" si="1"/>
        <v>0</v>
      </c>
      <c r="F11" s="26">
        <f t="shared" si="0"/>
        <v>0</v>
      </c>
    </row>
    <row r="12" spans="1:12" x14ac:dyDescent="0.25">
      <c r="A12" s="277" t="s">
        <v>437</v>
      </c>
      <c r="B12" s="277" t="s">
        <v>439</v>
      </c>
      <c r="C12" s="275">
        <v>0</v>
      </c>
      <c r="D12" s="261">
        <v>143</v>
      </c>
      <c r="E12" s="1">
        <f t="shared" si="1"/>
        <v>0</v>
      </c>
      <c r="F12" s="26">
        <f t="shared" si="0"/>
        <v>0</v>
      </c>
    </row>
    <row r="13" spans="1:12" x14ac:dyDescent="0.25">
      <c r="A13" s="277" t="s">
        <v>437</v>
      </c>
      <c r="B13" s="277" t="s">
        <v>440</v>
      </c>
      <c r="C13" s="275">
        <v>0</v>
      </c>
      <c r="D13" s="261">
        <v>98.98</v>
      </c>
      <c r="E13" s="1">
        <f t="shared" si="1"/>
        <v>0</v>
      </c>
      <c r="F13" s="26">
        <f t="shared" si="0"/>
        <v>0</v>
      </c>
    </row>
    <row r="14" spans="1:12" x14ac:dyDescent="0.25">
      <c r="A14" s="277" t="s">
        <v>441</v>
      </c>
      <c r="B14" s="277" t="s">
        <v>442</v>
      </c>
      <c r="C14" s="275">
        <v>0</v>
      </c>
      <c r="D14" s="261">
        <v>165</v>
      </c>
      <c r="E14" s="1">
        <f t="shared" si="1"/>
        <v>0</v>
      </c>
      <c r="F14" s="26">
        <f t="shared" si="0"/>
        <v>0</v>
      </c>
    </row>
    <row r="15" spans="1:12" x14ac:dyDescent="0.25">
      <c r="A15" s="277" t="s">
        <v>443</v>
      </c>
      <c r="B15" s="277">
        <v>795984</v>
      </c>
      <c r="C15" s="275">
        <v>0</v>
      </c>
      <c r="D15" s="261">
        <v>144</v>
      </c>
      <c r="E15" s="1">
        <f t="shared" si="1"/>
        <v>0</v>
      </c>
      <c r="F15" s="26">
        <f t="shared" si="0"/>
        <v>0</v>
      </c>
    </row>
    <row r="16" spans="1:12" x14ac:dyDescent="0.25">
      <c r="A16" s="277"/>
      <c r="B16" s="277" t="s">
        <v>444</v>
      </c>
      <c r="C16" s="275">
        <v>0</v>
      </c>
      <c r="D16" s="261">
        <v>107</v>
      </c>
      <c r="E16" s="1">
        <f t="shared" si="1"/>
        <v>0</v>
      </c>
      <c r="F16" s="26">
        <f t="shared" si="0"/>
        <v>0</v>
      </c>
    </row>
    <row r="17" spans="1:10" x14ac:dyDescent="0.25">
      <c r="A17" s="277" t="s">
        <v>437</v>
      </c>
      <c r="B17" s="277" t="s">
        <v>445</v>
      </c>
      <c r="C17" s="275">
        <v>0</v>
      </c>
      <c r="D17" s="261">
        <v>112</v>
      </c>
      <c r="E17" s="1">
        <f t="shared" si="1"/>
        <v>0</v>
      </c>
      <c r="F17" s="26">
        <f t="shared" si="0"/>
        <v>0</v>
      </c>
    </row>
    <row r="18" spans="1:10" x14ac:dyDescent="0.25">
      <c r="A18" s="277" t="s">
        <v>446</v>
      </c>
      <c r="B18" s="277" t="s">
        <v>446</v>
      </c>
      <c r="C18" s="275">
        <v>0</v>
      </c>
      <c r="D18" s="261">
        <v>40.96</v>
      </c>
      <c r="E18" s="1">
        <f t="shared" si="1"/>
        <v>0</v>
      </c>
      <c r="F18" s="26">
        <f t="shared" si="0"/>
        <v>0</v>
      </c>
    </row>
    <row r="19" spans="1:10" x14ac:dyDescent="0.25">
      <c r="A19" s="277"/>
      <c r="B19" s="277" t="s">
        <v>447</v>
      </c>
      <c r="C19" s="275">
        <v>0</v>
      </c>
      <c r="D19" s="261">
        <v>18.28</v>
      </c>
      <c r="E19" s="1">
        <f t="shared" si="1"/>
        <v>0</v>
      </c>
      <c r="F19" s="26">
        <f t="shared" si="0"/>
        <v>0</v>
      </c>
    </row>
    <row r="20" spans="1:10" x14ac:dyDescent="0.25">
      <c r="A20" s="277" t="s">
        <v>665</v>
      </c>
      <c r="B20" s="277" t="s">
        <v>666</v>
      </c>
      <c r="C20" s="275">
        <v>0</v>
      </c>
      <c r="D20" s="261">
        <v>13.48</v>
      </c>
      <c r="E20" s="1">
        <f t="shared" si="1"/>
        <v>0</v>
      </c>
      <c r="F20" s="26">
        <f t="shared" si="0"/>
        <v>0</v>
      </c>
    </row>
    <row r="21" spans="1:10" x14ac:dyDescent="0.25">
      <c r="A21" s="277" t="s">
        <v>448</v>
      </c>
      <c r="B21" s="277"/>
      <c r="C21" s="275">
        <v>0</v>
      </c>
      <c r="D21" s="261">
        <v>0</v>
      </c>
      <c r="E21" s="1">
        <f t="shared" si="1"/>
        <v>0</v>
      </c>
      <c r="F21" s="26">
        <f t="shared" si="0"/>
        <v>0</v>
      </c>
    </row>
    <row r="22" spans="1:10" ht="15.75" thickBot="1" x14ac:dyDescent="0.3">
      <c r="A22" s="277" t="s">
        <v>449</v>
      </c>
      <c r="B22" s="277"/>
      <c r="C22" s="275">
        <v>0</v>
      </c>
      <c r="D22" s="261">
        <v>935.09</v>
      </c>
      <c r="E22" s="1">
        <f t="shared" si="1"/>
        <v>0</v>
      </c>
      <c r="F22" s="21">
        <f t="shared" si="0"/>
        <v>0</v>
      </c>
      <c r="G22" s="21"/>
    </row>
    <row r="23" spans="1:10" x14ac:dyDescent="0.25">
      <c r="G23" s="14">
        <f>+SUM(E4:E22)+SUM(F4:F22)</f>
        <v>0</v>
      </c>
      <c r="J23" s="1"/>
    </row>
    <row r="24" spans="1:10" x14ac:dyDescent="0.25">
      <c r="A24" s="32" t="s">
        <v>450</v>
      </c>
    </row>
    <row r="25" spans="1:10" x14ac:dyDescent="0.25">
      <c r="A25" s="3" t="s">
        <v>264</v>
      </c>
      <c r="B25" s="3" t="s">
        <v>377</v>
      </c>
      <c r="C25" s="3" t="s">
        <v>321</v>
      </c>
      <c r="D25" s="8" t="s">
        <v>322</v>
      </c>
      <c r="E25" s="13" t="s">
        <v>323</v>
      </c>
      <c r="F25" s="13"/>
      <c r="G25" s="13" t="s">
        <v>324</v>
      </c>
    </row>
    <row r="26" spans="1:10" x14ac:dyDescent="0.25">
      <c r="A26" s="149"/>
      <c r="B26" s="149" t="s">
        <v>451</v>
      </c>
      <c r="C26" s="275">
        <v>0</v>
      </c>
      <c r="D26" s="261">
        <v>2000</v>
      </c>
      <c r="E26" s="1">
        <f>C26*D26</f>
        <v>0</v>
      </c>
      <c r="F26" s="26">
        <f>+E26*0.0725</f>
        <v>0</v>
      </c>
    </row>
    <row r="27" spans="1:10" x14ac:dyDescent="0.25">
      <c r="A27" s="149"/>
      <c r="B27" s="149" t="s">
        <v>452</v>
      </c>
      <c r="C27" s="275">
        <v>0</v>
      </c>
      <c r="D27" s="261">
        <v>0</v>
      </c>
      <c r="E27" s="1">
        <f>C27*D27</f>
        <v>0</v>
      </c>
      <c r="F27" s="26">
        <f>+E27*0.0725</f>
        <v>0</v>
      </c>
    </row>
    <row r="28" spans="1:10" x14ac:dyDescent="0.25">
      <c r="A28" s="149"/>
      <c r="B28" s="149" t="s">
        <v>453</v>
      </c>
      <c r="C28" s="275">
        <v>0</v>
      </c>
      <c r="D28" s="261">
        <v>0</v>
      </c>
      <c r="E28" s="1">
        <f>C28*D28</f>
        <v>0</v>
      </c>
      <c r="F28" s="26">
        <f>+E28*0.0725</f>
        <v>0</v>
      </c>
    </row>
    <row r="29" spans="1:10" x14ac:dyDescent="0.25">
      <c r="A29" s="28" t="s">
        <v>676</v>
      </c>
      <c r="B29" s="149"/>
      <c r="C29" s="275">
        <v>0</v>
      </c>
      <c r="D29" s="261">
        <v>8800</v>
      </c>
      <c r="E29" s="1">
        <f>C29*D29</f>
        <v>0</v>
      </c>
      <c r="F29" s="26">
        <f>+E29*0.0725</f>
        <v>0</v>
      </c>
    </row>
    <row r="30" spans="1:10" x14ac:dyDescent="0.25">
      <c r="A30" s="149"/>
      <c r="B30" s="149"/>
      <c r="C30" s="275">
        <v>0</v>
      </c>
      <c r="D30" s="261">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454</v>
      </c>
    </row>
    <row r="35" spans="1:10" x14ac:dyDescent="0.25">
      <c r="A35" s="3" t="s">
        <v>264</v>
      </c>
      <c r="B35" s="3" t="s">
        <v>377</v>
      </c>
      <c r="C35" s="3" t="s">
        <v>321</v>
      </c>
      <c r="D35" s="8" t="s">
        <v>322</v>
      </c>
      <c r="E35" s="13" t="s">
        <v>323</v>
      </c>
      <c r="F35" s="13"/>
      <c r="G35" s="13" t="s">
        <v>324</v>
      </c>
    </row>
    <row r="36" spans="1:10" x14ac:dyDescent="0.25">
      <c r="A36" s="279" t="s">
        <v>455</v>
      </c>
      <c r="B36" s="279"/>
      <c r="C36" s="279">
        <v>0</v>
      </c>
      <c r="D36" s="280">
        <v>1100</v>
      </c>
      <c r="E36" s="14">
        <f t="shared" ref="E36:E41" si="2">+C36*D36</f>
        <v>0</v>
      </c>
      <c r="F36" s="26">
        <f t="shared" ref="F36:F41" si="3">+E36*0.0725</f>
        <v>0</v>
      </c>
      <c r="G36" s="13"/>
    </row>
    <row r="37" spans="1:10" x14ac:dyDescent="0.25">
      <c r="A37" s="149" t="s">
        <v>456</v>
      </c>
      <c r="B37" s="149">
        <v>400390</v>
      </c>
      <c r="C37" s="275">
        <v>0</v>
      </c>
      <c r="D37" s="261">
        <v>2.0499999999999998</v>
      </c>
      <c r="E37" s="14">
        <f t="shared" si="2"/>
        <v>0</v>
      </c>
      <c r="F37" s="26">
        <f t="shared" si="3"/>
        <v>0</v>
      </c>
    </row>
    <row r="38" spans="1:10" x14ac:dyDescent="0.25">
      <c r="A38" s="149" t="s">
        <v>457</v>
      </c>
      <c r="B38" s="149">
        <v>376787</v>
      </c>
      <c r="C38" s="275">
        <v>0</v>
      </c>
      <c r="D38" s="261">
        <v>4.9800000000000004</v>
      </c>
      <c r="E38" s="14">
        <f t="shared" si="2"/>
        <v>0</v>
      </c>
      <c r="F38" s="26">
        <f t="shared" si="3"/>
        <v>0</v>
      </c>
    </row>
    <row r="39" spans="1:10" x14ac:dyDescent="0.25">
      <c r="A39" s="149" t="s">
        <v>160</v>
      </c>
      <c r="B39" s="149" t="s">
        <v>160</v>
      </c>
      <c r="C39" s="275">
        <v>0</v>
      </c>
      <c r="D39" s="261">
        <v>0</v>
      </c>
      <c r="E39" s="14">
        <f t="shared" si="2"/>
        <v>0</v>
      </c>
      <c r="F39" s="26">
        <f t="shared" si="3"/>
        <v>0</v>
      </c>
    </row>
    <row r="40" spans="1:10" x14ac:dyDescent="0.25">
      <c r="A40" s="149" t="s">
        <v>458</v>
      </c>
      <c r="B40" s="149">
        <v>2280072</v>
      </c>
      <c r="C40" s="275">
        <v>0</v>
      </c>
      <c r="D40" s="261">
        <v>18.97</v>
      </c>
      <c r="E40" s="14">
        <f t="shared" si="2"/>
        <v>0</v>
      </c>
      <c r="F40" s="26">
        <f t="shared" si="3"/>
        <v>0</v>
      </c>
    </row>
    <row r="41" spans="1:10" ht="15.75" thickBot="1" x14ac:dyDescent="0.3">
      <c r="A41" s="149" t="s">
        <v>459</v>
      </c>
      <c r="B41" s="149">
        <v>1000707539</v>
      </c>
      <c r="C41" s="275">
        <v>0</v>
      </c>
      <c r="D41" s="261">
        <v>1.98</v>
      </c>
      <c r="E41" s="21">
        <f t="shared" si="2"/>
        <v>0</v>
      </c>
      <c r="F41" s="21">
        <f t="shared" si="3"/>
        <v>0</v>
      </c>
      <c r="G41" s="21"/>
    </row>
    <row r="42" spans="1:10" x14ac:dyDescent="0.25">
      <c r="G42" s="14">
        <f>+SUM(E36:E41)+SUM(F36:F41)</f>
        <v>0</v>
      </c>
    </row>
    <row r="43" spans="1:10" ht="15.75" thickBot="1" x14ac:dyDescent="0.3">
      <c r="H43" s="21"/>
      <c r="J43" s="3" t="s">
        <v>160</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27" activePane="bottomLeft" state="frozen"/>
      <selection pane="bottomLeft" activeCell="M1" sqref="M1:M2"/>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252</v>
      </c>
      <c r="C1" s="32"/>
      <c r="D1" s="32"/>
      <c r="K1" s="930" t="s">
        <v>2</v>
      </c>
      <c r="L1" s="930" t="str">
        <f>IF(Profit!Q6,IF(M1,"Yes","No"),"No")</f>
        <v>No</v>
      </c>
      <c r="M1" s="934" t="b">
        <v>0</v>
      </c>
    </row>
    <row r="2" spans="1:13" s="3" customFormat="1" ht="15.75" thickBot="1" x14ac:dyDescent="0.3">
      <c r="B2" s="3" t="s">
        <v>264</v>
      </c>
      <c r="C2" s="3" t="s">
        <v>650</v>
      </c>
      <c r="D2" s="3" t="s">
        <v>460</v>
      </c>
      <c r="E2" s="3" t="s">
        <v>282</v>
      </c>
      <c r="F2" s="3" t="s">
        <v>236</v>
      </c>
      <c r="G2" s="8" t="s">
        <v>322</v>
      </c>
      <c r="H2" s="6" t="s">
        <v>323</v>
      </c>
      <c r="I2" s="13" t="s">
        <v>310</v>
      </c>
      <c r="J2" s="3" t="s">
        <v>324</v>
      </c>
      <c r="K2" s="931"/>
      <c r="L2" s="931"/>
      <c r="M2" s="935"/>
    </row>
    <row r="3" spans="1:13" s="3" customFormat="1" x14ac:dyDescent="0.25">
      <c r="A3" s="466"/>
      <c r="B3" s="466" t="s">
        <v>773</v>
      </c>
      <c r="C3" s="466"/>
      <c r="D3" s="473">
        <f>+Profit!K9</f>
        <v>2360</v>
      </c>
      <c r="E3" s="466"/>
      <c r="F3" s="466"/>
      <c r="G3" s="467"/>
      <c r="H3" s="477"/>
      <c r="I3" s="468"/>
      <c r="K3"/>
      <c r="L3"/>
      <c r="M3" s="5"/>
    </row>
    <row r="4" spans="1:13" s="3" customFormat="1" x14ac:dyDescent="0.25">
      <c r="A4" s="461" t="s">
        <v>461</v>
      </c>
      <c r="B4" s="461" t="s">
        <v>462</v>
      </c>
      <c r="C4" s="461"/>
      <c r="D4" s="461"/>
      <c r="E4" s="461" t="s">
        <v>463</v>
      </c>
      <c r="F4" s="475">
        <v>8.0000000000000002E-3</v>
      </c>
      <c r="G4" s="469">
        <v>68.540000000000006</v>
      </c>
      <c r="H4" s="469">
        <f>G4*F4*$D$3</f>
        <v>1294.0352</v>
      </c>
      <c r="I4" s="470">
        <f>+H4*0.0725</f>
        <v>93.817551999999992</v>
      </c>
      <c r="K4"/>
      <c r="L4"/>
      <c r="M4" s="5"/>
    </row>
    <row r="5" spans="1:13" s="3" customFormat="1" x14ac:dyDescent="0.25">
      <c r="A5" s="461" t="s">
        <v>646</v>
      </c>
      <c r="B5" s="461" t="s">
        <v>638</v>
      </c>
      <c r="C5" s="461"/>
      <c r="D5" s="461"/>
      <c r="E5" s="461" t="s">
        <v>639</v>
      </c>
      <c r="F5" s="475">
        <v>4.0000000000000001E-3</v>
      </c>
      <c r="G5" s="469">
        <v>33.99</v>
      </c>
      <c r="H5" s="469">
        <f>G5*F5*$D$3</f>
        <v>320.86559999999997</v>
      </c>
      <c r="I5" s="470">
        <f t="shared" ref="I5" si="0">+H5*0.0725</f>
        <v>23.262755999999996</v>
      </c>
      <c r="K5"/>
      <c r="L5"/>
      <c r="M5" s="5"/>
    </row>
    <row r="6" spans="1:13" s="3" customFormat="1" x14ac:dyDescent="0.25">
      <c r="A6" s="461" t="s">
        <v>647</v>
      </c>
      <c r="B6" s="461" t="s">
        <v>468</v>
      </c>
      <c r="C6" s="461"/>
      <c r="D6" s="461"/>
      <c r="E6" s="461">
        <v>185342</v>
      </c>
      <c r="F6" s="475">
        <f>10/2526</f>
        <v>3.95882818685669E-3</v>
      </c>
      <c r="G6" s="462">
        <f>147/5</f>
        <v>29.4</v>
      </c>
      <c r="H6" s="469">
        <f>G6*F6*$D$3</f>
        <v>274.67933491686455</v>
      </c>
      <c r="I6" s="470">
        <f>+H6*0.0725</f>
        <v>19.914251781472679</v>
      </c>
      <c r="K6"/>
      <c r="L6"/>
      <c r="M6" s="5"/>
    </row>
    <row r="7" spans="1:13" x14ac:dyDescent="0.25">
      <c r="A7" s="461" t="s">
        <v>648</v>
      </c>
      <c r="B7" s="461" t="s">
        <v>470</v>
      </c>
      <c r="C7" s="461"/>
      <c r="D7" s="461"/>
      <c r="E7" s="461">
        <v>985007</v>
      </c>
      <c r="F7" s="475">
        <f>3/2526</f>
        <v>1.1876484560570072E-3</v>
      </c>
      <c r="G7" s="469">
        <v>52.23</v>
      </c>
      <c r="H7" s="469">
        <f>G7*F7*$D$3</f>
        <v>146.39287410926366</v>
      </c>
      <c r="I7" s="470">
        <f t="shared" ref="I7" si="1">+H7*0.0725</f>
        <v>10.613483372921614</v>
      </c>
      <c r="J7"/>
    </row>
    <row r="8" spans="1:13" x14ac:dyDescent="0.25">
      <c r="A8" s="461" t="s">
        <v>483</v>
      </c>
      <c r="B8" s="461"/>
      <c r="C8" s="461"/>
      <c r="D8" s="473">
        <f>+$D$3</f>
        <v>2360</v>
      </c>
      <c r="E8" s="461" t="s">
        <v>485</v>
      </c>
      <c r="F8" s="476">
        <v>5.1528384279475983</v>
      </c>
      <c r="G8" s="469">
        <v>2.41</v>
      </c>
      <c r="H8" s="469">
        <f>F8*$D$3</f>
        <v>12160.698689956333</v>
      </c>
      <c r="I8" s="474"/>
      <c r="J8"/>
    </row>
    <row r="9" spans="1:13" s="3" customFormat="1" x14ac:dyDescent="0.25">
      <c r="F9" s="928" t="s">
        <v>779</v>
      </c>
      <c r="G9" s="929"/>
      <c r="H9" s="929"/>
      <c r="I9" s="30"/>
      <c r="J9" s="1">
        <f>IF(L1="Yes",SUM(H4:H8)+SUM(I4:I8),0)</f>
        <v>0</v>
      </c>
      <c r="K9"/>
      <c r="L9"/>
      <c r="M9" s="5"/>
    </row>
    <row r="10" spans="1:13" s="3" customFormat="1" x14ac:dyDescent="0.25">
      <c r="K10"/>
      <c r="L10"/>
      <c r="M10" s="5"/>
    </row>
    <row r="11" spans="1:13" s="3" customFormat="1" x14ac:dyDescent="0.25">
      <c r="A11" t="s">
        <v>461</v>
      </c>
      <c r="C11" s="32"/>
      <c r="K11"/>
      <c r="L11"/>
      <c r="M11" s="5"/>
    </row>
    <row r="12" spans="1:13" x14ac:dyDescent="0.25">
      <c r="B12" s="149" t="s">
        <v>462</v>
      </c>
      <c r="C12" s="149"/>
      <c r="E12" s="149" t="s">
        <v>463</v>
      </c>
      <c r="F12" s="275">
        <v>0</v>
      </c>
      <c r="G12" s="261">
        <v>68.540000000000006</v>
      </c>
      <c r="H12" s="5">
        <f t="shared" ref="H12:H18" si="2">+F12*G12</f>
        <v>0</v>
      </c>
      <c r="I12" s="26">
        <f t="shared" ref="I12:I18" si="3">+H12*0.0725</f>
        <v>0</v>
      </c>
      <c r="J12"/>
      <c r="M12" s="5"/>
    </row>
    <row r="13" spans="1:13" x14ac:dyDescent="0.25">
      <c r="B13" s="149" t="s">
        <v>654</v>
      </c>
      <c r="C13" s="149" t="s">
        <v>655</v>
      </c>
      <c r="E13" s="149" t="s">
        <v>653</v>
      </c>
      <c r="F13" s="275">
        <v>0</v>
      </c>
      <c r="G13" s="261">
        <f>35.99*5</f>
        <v>179.95000000000002</v>
      </c>
      <c r="H13" s="5">
        <f t="shared" si="2"/>
        <v>0</v>
      </c>
      <c r="I13" s="26">
        <f t="shared" si="3"/>
        <v>0</v>
      </c>
      <c r="J13"/>
      <c r="M13" s="5"/>
    </row>
    <row r="14" spans="1:13" x14ac:dyDescent="0.25">
      <c r="B14" s="149" t="s">
        <v>654</v>
      </c>
      <c r="C14" s="149" t="s">
        <v>656</v>
      </c>
      <c r="E14" s="149" t="s">
        <v>653</v>
      </c>
      <c r="F14" s="275">
        <v>0</v>
      </c>
      <c r="G14" s="261">
        <f>35.99*5</f>
        <v>179.95000000000002</v>
      </c>
      <c r="H14" s="5">
        <f t="shared" si="2"/>
        <v>0</v>
      </c>
      <c r="I14" s="26">
        <f t="shared" si="3"/>
        <v>0</v>
      </c>
      <c r="J14"/>
      <c r="M14" s="5"/>
    </row>
    <row r="15" spans="1:13" x14ac:dyDescent="0.25">
      <c r="B15" s="149" t="s">
        <v>462</v>
      </c>
      <c r="C15" s="149"/>
      <c r="E15" s="149" t="s">
        <v>464</v>
      </c>
      <c r="F15" s="275">
        <v>0</v>
      </c>
      <c r="G15" s="261">
        <v>85.89</v>
      </c>
      <c r="H15" s="5">
        <f t="shared" si="2"/>
        <v>0</v>
      </c>
      <c r="I15" s="26">
        <f t="shared" si="3"/>
        <v>0</v>
      </c>
      <c r="J15"/>
    </row>
    <row r="16" spans="1:13" x14ac:dyDescent="0.25">
      <c r="A16" t="s">
        <v>646</v>
      </c>
      <c r="B16" s="149"/>
      <c r="C16" s="149"/>
      <c r="E16" s="149"/>
      <c r="F16" s="275"/>
      <c r="G16" s="261"/>
      <c r="H16" s="5">
        <f t="shared" si="2"/>
        <v>0</v>
      </c>
      <c r="I16" s="26">
        <f t="shared" si="3"/>
        <v>0</v>
      </c>
      <c r="J16"/>
    </row>
    <row r="17" spans="1:10" x14ac:dyDescent="0.25">
      <c r="B17" s="149" t="s">
        <v>643</v>
      </c>
      <c r="C17" s="149"/>
      <c r="E17" s="149" t="s">
        <v>465</v>
      </c>
      <c r="F17" s="275">
        <v>0</v>
      </c>
      <c r="G17" s="261">
        <v>109.95</v>
      </c>
      <c r="H17" s="5">
        <f t="shared" si="2"/>
        <v>0</v>
      </c>
      <c r="I17" s="26">
        <f t="shared" si="3"/>
        <v>0</v>
      </c>
      <c r="J17"/>
    </row>
    <row r="18" spans="1:10" x14ac:dyDescent="0.25">
      <c r="B18" s="149" t="s">
        <v>466</v>
      </c>
      <c r="C18" s="149"/>
      <c r="E18" s="149" t="s">
        <v>467</v>
      </c>
      <c r="F18" s="275">
        <v>0</v>
      </c>
      <c r="G18" s="261">
        <v>65.64</v>
      </c>
      <c r="H18" s="5">
        <f t="shared" si="2"/>
        <v>0</v>
      </c>
      <c r="I18" s="26">
        <f t="shared" si="3"/>
        <v>0</v>
      </c>
      <c r="J18"/>
    </row>
    <row r="20" spans="1:10" x14ac:dyDescent="0.25">
      <c r="J20"/>
    </row>
    <row r="21" spans="1:10" x14ac:dyDescent="0.25">
      <c r="B21" s="149" t="s">
        <v>640</v>
      </c>
      <c r="C21" s="149"/>
      <c r="E21" s="149" t="s">
        <v>639</v>
      </c>
      <c r="F21" s="275"/>
      <c r="G21" s="261">
        <v>33.99</v>
      </c>
      <c r="H21" s="5">
        <f>+F21*G21</f>
        <v>0</v>
      </c>
      <c r="I21" s="26">
        <f>+H21*0.0725</f>
        <v>0</v>
      </c>
      <c r="J21"/>
    </row>
    <row r="22" spans="1:10" x14ac:dyDescent="0.25">
      <c r="B22" s="149" t="s">
        <v>638</v>
      </c>
      <c r="C22" s="149"/>
      <c r="E22" s="149" t="s">
        <v>639</v>
      </c>
      <c r="F22" s="275"/>
      <c r="G22" s="261">
        <v>33.99</v>
      </c>
      <c r="H22" s="5">
        <f t="shared" ref="H22:H31" si="4">+F22*G22</f>
        <v>0</v>
      </c>
      <c r="I22" s="26">
        <f t="shared" ref="I22:I31" si="5">+H22*0.0725</f>
        <v>0</v>
      </c>
      <c r="J22"/>
    </row>
    <row r="23" spans="1:10" x14ac:dyDescent="0.25">
      <c r="A23" t="s">
        <v>647</v>
      </c>
      <c r="B23" s="149" t="s">
        <v>468</v>
      </c>
      <c r="C23" s="149"/>
      <c r="E23" s="149">
        <v>185342</v>
      </c>
      <c r="F23" s="275"/>
      <c r="G23" s="275">
        <f>147/5</f>
        <v>29.4</v>
      </c>
      <c r="H23" s="5">
        <f t="shared" si="4"/>
        <v>0</v>
      </c>
      <c r="I23" s="26">
        <f t="shared" si="5"/>
        <v>0</v>
      </c>
      <c r="J23"/>
    </row>
    <row r="24" spans="1:10" x14ac:dyDescent="0.25">
      <c r="B24" s="149" t="s">
        <v>641</v>
      </c>
      <c r="C24" s="149"/>
      <c r="E24" s="149" t="s">
        <v>642</v>
      </c>
      <c r="F24" s="275">
        <v>0</v>
      </c>
      <c r="G24" s="261">
        <f>5*25.79</f>
        <v>128.94999999999999</v>
      </c>
      <c r="H24" s="5">
        <f t="shared" si="4"/>
        <v>0</v>
      </c>
      <c r="I24" s="26">
        <f t="shared" si="5"/>
        <v>0</v>
      </c>
      <c r="J24"/>
    </row>
    <row r="25" spans="1:10" x14ac:dyDescent="0.25">
      <c r="A25" t="s">
        <v>648</v>
      </c>
      <c r="B25" s="149"/>
      <c r="C25" s="149"/>
      <c r="E25" s="149"/>
      <c r="F25" s="275"/>
      <c r="G25" s="261"/>
      <c r="H25" s="5">
        <f t="shared" si="4"/>
        <v>0</v>
      </c>
      <c r="I25" s="26">
        <f t="shared" si="5"/>
        <v>0</v>
      </c>
      <c r="J25"/>
    </row>
    <row r="26" spans="1:10" x14ac:dyDescent="0.25">
      <c r="B26" s="149" t="s">
        <v>644</v>
      </c>
      <c r="C26" s="149"/>
      <c r="E26" s="149" t="s">
        <v>645</v>
      </c>
      <c r="F26" s="275">
        <v>0</v>
      </c>
      <c r="G26" s="261">
        <f>5*63.05</f>
        <v>315.25</v>
      </c>
      <c r="H26" s="5">
        <f t="shared" si="4"/>
        <v>0</v>
      </c>
      <c r="I26" s="26">
        <f t="shared" si="5"/>
        <v>0</v>
      </c>
      <c r="J26"/>
    </row>
    <row r="27" spans="1:10" x14ac:dyDescent="0.25">
      <c r="B27" s="149" t="s">
        <v>469</v>
      </c>
      <c r="C27" s="149"/>
      <c r="E27" s="149">
        <v>389832</v>
      </c>
      <c r="F27" s="275">
        <v>0</v>
      </c>
      <c r="G27" s="261">
        <v>39.979999999999997</v>
      </c>
      <c r="H27" s="5">
        <f t="shared" si="4"/>
        <v>0</v>
      </c>
      <c r="I27" s="26">
        <f t="shared" si="5"/>
        <v>0</v>
      </c>
      <c r="J27"/>
    </row>
    <row r="28" spans="1:10" x14ac:dyDescent="0.25">
      <c r="B28" s="149" t="s">
        <v>470</v>
      </c>
      <c r="C28" s="149"/>
      <c r="E28" s="149">
        <v>985007</v>
      </c>
      <c r="F28" s="275"/>
      <c r="G28" s="261">
        <v>52.23</v>
      </c>
      <c r="H28" s="5">
        <f t="shared" si="4"/>
        <v>0</v>
      </c>
      <c r="I28" s="26">
        <f t="shared" si="5"/>
        <v>0</v>
      </c>
      <c r="J28"/>
    </row>
    <row r="29" spans="1:10" x14ac:dyDescent="0.25">
      <c r="B29" s="149" t="s">
        <v>471</v>
      </c>
      <c r="C29" s="149"/>
      <c r="E29" s="149">
        <v>814917</v>
      </c>
      <c r="F29" s="275"/>
      <c r="G29" s="261">
        <f>109/5</f>
        <v>21.8</v>
      </c>
      <c r="H29" s="5">
        <f t="shared" si="4"/>
        <v>0</v>
      </c>
      <c r="I29" s="26">
        <f t="shared" si="5"/>
        <v>0</v>
      </c>
      <c r="J29"/>
    </row>
    <row r="30" spans="1:10" x14ac:dyDescent="0.25">
      <c r="B30" s="149" t="s">
        <v>472</v>
      </c>
      <c r="C30" s="149"/>
      <c r="E30" s="149" t="s">
        <v>473</v>
      </c>
      <c r="F30" s="275">
        <v>0</v>
      </c>
      <c r="G30" s="261">
        <v>40</v>
      </c>
      <c r="H30" s="5">
        <f t="shared" si="4"/>
        <v>0</v>
      </c>
      <c r="I30" s="26">
        <f t="shared" si="5"/>
        <v>0</v>
      </c>
      <c r="J30"/>
    </row>
    <row r="31" spans="1:10" x14ac:dyDescent="0.25">
      <c r="B31" s="2" t="s">
        <v>474</v>
      </c>
      <c r="E31" s="149" t="s">
        <v>475</v>
      </c>
      <c r="F31" s="275">
        <v>0</v>
      </c>
      <c r="G31" s="261">
        <v>50.24</v>
      </c>
      <c r="H31" s="5">
        <f t="shared" si="4"/>
        <v>0</v>
      </c>
      <c r="I31" s="26">
        <f t="shared" si="5"/>
        <v>0</v>
      </c>
    </row>
    <row r="32" spans="1:10" x14ac:dyDescent="0.25">
      <c r="A32" t="s">
        <v>425</v>
      </c>
      <c r="C32" s="32"/>
      <c r="D32" s="150">
        <v>0</v>
      </c>
      <c r="F32"/>
      <c r="G32" s="5"/>
      <c r="I32" s="1"/>
      <c r="J32"/>
    </row>
    <row r="33" spans="1:15" x14ac:dyDescent="0.25">
      <c r="B33" s="149" t="s">
        <v>658</v>
      </c>
      <c r="C33" s="149" t="s">
        <v>659</v>
      </c>
      <c r="D33" s="277"/>
      <c r="E33" s="149" t="s">
        <v>657</v>
      </c>
      <c r="F33" s="275">
        <v>0</v>
      </c>
      <c r="G33" s="261">
        <v>74.37</v>
      </c>
      <c r="H33" s="5">
        <f t="shared" ref="H33:H34" si="6">+F33*G33</f>
        <v>0</v>
      </c>
      <c r="I33" s="26">
        <f t="shared" ref="I33:I34" si="7">+H33*0.0725</f>
        <v>0</v>
      </c>
      <c r="J33"/>
    </row>
    <row r="34" spans="1:15" x14ac:dyDescent="0.25">
      <c r="B34" s="149" t="s">
        <v>476</v>
      </c>
      <c r="C34" s="149"/>
      <c r="E34" s="149"/>
      <c r="F34" s="275"/>
      <c r="G34" s="261"/>
      <c r="H34" s="5">
        <f t="shared" si="6"/>
        <v>0</v>
      </c>
      <c r="I34" s="26">
        <f t="shared" si="7"/>
        <v>0</v>
      </c>
      <c r="J34"/>
    </row>
    <row r="35" spans="1:15" x14ac:dyDescent="0.25">
      <c r="D35" s="200">
        <f>+D3</f>
        <v>2360</v>
      </c>
      <c r="F35"/>
      <c r="G35" s="5"/>
      <c r="I35" s="1"/>
      <c r="J35"/>
    </row>
    <row r="36" spans="1:15" x14ac:dyDescent="0.25">
      <c r="A36" t="s">
        <v>661</v>
      </c>
      <c r="C36" s="32"/>
      <c r="D36" s="150">
        <v>0</v>
      </c>
      <c r="F36"/>
      <c r="G36" s="5"/>
      <c r="I36" s="1"/>
      <c r="J36"/>
    </row>
    <row r="37" spans="1:15" x14ac:dyDescent="0.25">
      <c r="B37" s="149" t="s">
        <v>652</v>
      </c>
      <c r="C37" s="149" t="s">
        <v>651</v>
      </c>
      <c r="D37" s="277"/>
      <c r="E37" s="149" t="s">
        <v>649</v>
      </c>
      <c r="F37" s="275"/>
      <c r="G37" s="261">
        <v>55.99</v>
      </c>
      <c r="H37" s="5">
        <f t="shared" ref="H37:H41" si="8">+F37*G37</f>
        <v>0</v>
      </c>
      <c r="I37" s="26">
        <f t="shared" ref="I37:I41" si="9">+H37*0.0725</f>
        <v>0</v>
      </c>
      <c r="J37"/>
    </row>
    <row r="38" spans="1:15" x14ac:dyDescent="0.25">
      <c r="A38" t="s">
        <v>477</v>
      </c>
      <c r="C38" s="32"/>
      <c r="D38" s="150">
        <v>500</v>
      </c>
      <c r="F38" s="275"/>
      <c r="G38" s="261"/>
      <c r="H38" s="5">
        <f t="shared" si="8"/>
        <v>0</v>
      </c>
      <c r="I38" s="26">
        <f t="shared" si="9"/>
        <v>0</v>
      </c>
      <c r="J38"/>
    </row>
    <row r="39" spans="1:15" x14ac:dyDescent="0.25">
      <c r="B39" s="149" t="s">
        <v>478</v>
      </c>
      <c r="C39" s="149"/>
      <c r="E39" s="149" t="s">
        <v>479</v>
      </c>
      <c r="F39" s="275">
        <v>0</v>
      </c>
      <c r="G39" s="261">
        <v>47.98</v>
      </c>
      <c r="H39" s="5">
        <f t="shared" si="8"/>
        <v>0</v>
      </c>
      <c r="I39" s="26">
        <f t="shared" si="9"/>
        <v>0</v>
      </c>
      <c r="J39"/>
    </row>
    <row r="40" spans="1:15" x14ac:dyDescent="0.25">
      <c r="B40" s="2" t="s">
        <v>480</v>
      </c>
      <c r="E40" s="149" t="s">
        <v>481</v>
      </c>
      <c r="F40" s="275">
        <v>0</v>
      </c>
      <c r="G40" s="261">
        <v>48.98</v>
      </c>
      <c r="H40" s="5">
        <f t="shared" si="8"/>
        <v>0</v>
      </c>
      <c r="I40" s="26">
        <f t="shared" si="9"/>
        <v>0</v>
      </c>
      <c r="J40"/>
      <c r="K40" s="2"/>
    </row>
    <row r="41" spans="1:15" x14ac:dyDescent="0.25">
      <c r="F41" s="275">
        <v>0</v>
      </c>
      <c r="G41" s="261"/>
      <c r="H41" s="5">
        <f t="shared" si="8"/>
        <v>0</v>
      </c>
      <c r="I41" s="26">
        <f t="shared" si="9"/>
        <v>0</v>
      </c>
      <c r="K41" s="2"/>
    </row>
    <row r="42" spans="1:15" ht="15.75" thickBot="1" x14ac:dyDescent="0.3">
      <c r="F42"/>
      <c r="G42" s="5"/>
      <c r="H42" s="339"/>
      <c r="I42" s="278"/>
      <c r="J42" s="29"/>
    </row>
    <row r="43" spans="1:15" x14ac:dyDescent="0.25">
      <c r="F43" s="928" t="s">
        <v>482</v>
      </c>
      <c r="G43" s="929"/>
      <c r="H43" s="929"/>
      <c r="I43" s="30"/>
      <c r="J43" s="1">
        <f>IF($L$1="No",SUM(H12:H42)+SUM(I12:I42),0)</f>
        <v>0</v>
      </c>
      <c r="O43" s="2"/>
    </row>
    <row r="45" spans="1:15" x14ac:dyDescent="0.25">
      <c r="B45" s="2" t="s">
        <v>483</v>
      </c>
      <c r="F45"/>
      <c r="G45" s="5"/>
      <c r="H45" s="1"/>
      <c r="I45" s="1"/>
      <c r="J45"/>
    </row>
    <row r="46" spans="1:15" x14ac:dyDescent="0.25">
      <c r="B46" s="149" t="s">
        <v>484</v>
      </c>
      <c r="C46" s="149"/>
      <c r="D46" s="200">
        <f>+$D$3</f>
        <v>2360</v>
      </c>
      <c r="E46" s="149" t="s">
        <v>485</v>
      </c>
      <c r="F46" s="275">
        <v>0</v>
      </c>
      <c r="G46" s="261">
        <v>0</v>
      </c>
      <c r="H46" s="1">
        <f>IF(F46="yes",D46*#REF!,G46)</f>
        <v>0</v>
      </c>
      <c r="I46" s="1"/>
      <c r="J46"/>
    </row>
    <row r="47" spans="1:15" x14ac:dyDescent="0.25">
      <c r="B47" s="149" t="s">
        <v>483</v>
      </c>
      <c r="C47" s="149"/>
      <c r="D47" s="200">
        <v>200</v>
      </c>
      <c r="E47" s="149" t="s">
        <v>660</v>
      </c>
      <c r="F47" s="275">
        <v>0</v>
      </c>
      <c r="G47" s="261">
        <v>0</v>
      </c>
      <c r="H47" s="1">
        <f>IF(F47="yes",D47*#REF!,G47)</f>
        <v>0</v>
      </c>
      <c r="I47" s="1"/>
      <c r="J47"/>
    </row>
    <row r="48" spans="1:15" ht="15.75" thickBot="1" x14ac:dyDescent="0.3">
      <c r="B48" s="149" t="s">
        <v>483</v>
      </c>
      <c r="C48" s="149"/>
      <c r="D48" s="200">
        <f>+$D$3</f>
        <v>2360</v>
      </c>
      <c r="E48" s="149" t="s">
        <v>486</v>
      </c>
      <c r="F48" s="275">
        <v>0</v>
      </c>
      <c r="G48" s="261">
        <v>0</v>
      </c>
      <c r="H48" s="1">
        <f>IF(F48="yes",D48*#REF!,G48)</f>
        <v>0</v>
      </c>
      <c r="I48" s="1"/>
      <c r="J48" s="23"/>
      <c r="L48" s="3"/>
    </row>
    <row r="49" spans="6:12" x14ac:dyDescent="0.25">
      <c r="F49"/>
      <c r="G49" s="5"/>
      <c r="H49" s="1"/>
      <c r="I49" s="1"/>
      <c r="J49" s="1">
        <f>IF($L$1="No",SUM(H46:H48)+SUM(I46:I48),0)</f>
        <v>0</v>
      </c>
      <c r="L49" s="1"/>
    </row>
    <row r="50" spans="6:12" x14ac:dyDescent="0.25">
      <c r="F50"/>
      <c r="G50" s="5"/>
      <c r="H50" s="5" t="s">
        <v>780</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E10" sqref="E10"/>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487</v>
      </c>
      <c r="B1" s="32"/>
      <c r="J1" s="930" t="s">
        <v>2</v>
      </c>
      <c r="K1" s="930" t="str">
        <f>IF(Profit!Q6,IF(L1,"Yes","No"),"No")</f>
        <v>No</v>
      </c>
      <c r="L1" s="934" t="b">
        <v>0</v>
      </c>
    </row>
    <row r="2" spans="1:12" s="3" customFormat="1" ht="15.75" thickBot="1" x14ac:dyDescent="0.3">
      <c r="A2" s="282" t="s">
        <v>264</v>
      </c>
      <c r="B2" s="282" t="s">
        <v>460</v>
      </c>
      <c r="C2" s="282" t="s">
        <v>282</v>
      </c>
      <c r="D2" s="282" t="s">
        <v>236</v>
      </c>
      <c r="E2" s="282" t="s">
        <v>322</v>
      </c>
      <c r="F2" s="282" t="s">
        <v>323</v>
      </c>
      <c r="G2" s="282" t="s">
        <v>310</v>
      </c>
      <c r="H2" s="282" t="s">
        <v>324</v>
      </c>
      <c r="J2" s="931"/>
      <c r="K2" s="931"/>
      <c r="L2" s="935"/>
    </row>
    <row r="3" spans="1:12" x14ac:dyDescent="0.25">
      <c r="A3" s="466" t="s">
        <v>773</v>
      </c>
      <c r="B3" s="473">
        <f>+Profit!K9</f>
        <v>2360</v>
      </c>
      <c r="C3" s="461"/>
      <c r="D3" s="462"/>
      <c r="E3" s="469"/>
      <c r="F3" s="474"/>
      <c r="G3" s="470"/>
      <c r="H3" s="462"/>
      <c r="J3" s="3"/>
    </row>
    <row r="4" spans="1:12" x14ac:dyDescent="0.25">
      <c r="A4" s="461" t="s">
        <v>488</v>
      </c>
      <c r="B4" s="473">
        <v>1000</v>
      </c>
      <c r="C4" s="461" t="s">
        <v>485</v>
      </c>
      <c r="D4" s="462">
        <v>0</v>
      </c>
      <c r="E4" s="469">
        <f>8146/2526</f>
        <v>3.2248614410134602</v>
      </c>
      <c r="F4" s="474">
        <f>B4*E4*D4</f>
        <v>0</v>
      </c>
      <c r="G4" s="470">
        <f t="shared" ref="G4:G5" si="0">+F4*0.0725</f>
        <v>0</v>
      </c>
      <c r="H4" s="462"/>
      <c r="J4" s="3"/>
    </row>
    <row r="5" spans="1:12" ht="15.75" thickBot="1" x14ac:dyDescent="0.3">
      <c r="A5" s="461" t="s">
        <v>489</v>
      </c>
      <c r="B5" s="473">
        <f>+B3</f>
        <v>2360</v>
      </c>
      <c r="C5" s="461"/>
      <c r="D5" s="462">
        <v>0</v>
      </c>
      <c r="E5" s="469">
        <v>6.3751677852348996</v>
      </c>
      <c r="F5" s="474">
        <f>B5*E5*D5</f>
        <v>0</v>
      </c>
      <c r="G5" s="470">
        <f t="shared" si="0"/>
        <v>0</v>
      </c>
      <c r="H5" s="449"/>
      <c r="J5" s="3"/>
    </row>
    <row r="6" spans="1:12" x14ac:dyDescent="0.25">
      <c r="A6" s="461"/>
      <c r="B6" s="473"/>
      <c r="C6" s="461"/>
      <c r="D6" s="462"/>
      <c r="E6" s="469"/>
      <c r="F6" s="474"/>
      <c r="G6" s="470"/>
      <c r="H6" s="463">
        <f>IF(K1="Yes",SUM(F4:G5),0)</f>
        <v>0</v>
      </c>
      <c r="J6" s="3"/>
    </row>
    <row r="7" spans="1:12" x14ac:dyDescent="0.25">
      <c r="B7" s="200"/>
      <c r="D7"/>
      <c r="E7" s="5"/>
      <c r="F7" s="1"/>
      <c r="G7" s="26"/>
      <c r="H7"/>
      <c r="J7" s="3"/>
    </row>
    <row r="8" spans="1:12" x14ac:dyDescent="0.25">
      <c r="A8" s="149" t="s">
        <v>488</v>
      </c>
      <c r="B8" s="216">
        <v>300</v>
      </c>
      <c r="C8" s="149" t="s">
        <v>485</v>
      </c>
      <c r="D8" s="275">
        <v>0</v>
      </c>
      <c r="E8" s="261">
        <f>8146/2526</f>
        <v>3.2248614410134602</v>
      </c>
      <c r="F8" s="474">
        <f t="shared" ref="F8:F20" si="1">B8*E8*D8</f>
        <v>0</v>
      </c>
      <c r="G8" s="26">
        <f t="shared" ref="G8:G20" si="2">+F8*0.0725</f>
        <v>0</v>
      </c>
      <c r="H8"/>
      <c r="I8" s="266"/>
    </row>
    <row r="9" spans="1:12" x14ac:dyDescent="0.25">
      <c r="A9" s="149" t="s">
        <v>601</v>
      </c>
      <c r="B9" s="216">
        <v>800</v>
      </c>
      <c r="C9" s="149"/>
      <c r="D9" s="275">
        <v>0</v>
      </c>
      <c r="E9" s="261">
        <v>6.22</v>
      </c>
      <c r="F9" s="474">
        <f t="shared" si="1"/>
        <v>0</v>
      </c>
      <c r="G9" s="26">
        <f t="shared" si="2"/>
        <v>0</v>
      </c>
      <c r="H9"/>
    </row>
    <row r="10" spans="1:12" x14ac:dyDescent="0.25">
      <c r="A10" s="149" t="s">
        <v>602</v>
      </c>
      <c r="B10" s="216">
        <v>1800</v>
      </c>
      <c r="C10" s="149"/>
      <c r="D10" s="275">
        <v>0</v>
      </c>
      <c r="E10" s="261">
        <v>3</v>
      </c>
      <c r="F10" s="474">
        <f t="shared" si="1"/>
        <v>0</v>
      </c>
      <c r="G10" s="26">
        <f t="shared" si="2"/>
        <v>0</v>
      </c>
      <c r="H10"/>
    </row>
    <row r="11" spans="1:12" x14ac:dyDescent="0.25">
      <c r="A11" s="149"/>
      <c r="B11" s="216"/>
      <c r="C11" s="149"/>
      <c r="D11" s="275"/>
      <c r="E11" s="261"/>
      <c r="F11" s="474">
        <f t="shared" si="1"/>
        <v>0</v>
      </c>
      <c r="G11" s="26">
        <f t="shared" si="2"/>
        <v>0</v>
      </c>
      <c r="H11"/>
    </row>
    <row r="12" spans="1:12" x14ac:dyDescent="0.25">
      <c r="A12" s="149"/>
      <c r="B12" s="216"/>
      <c r="C12" s="149"/>
      <c r="D12" s="275"/>
      <c r="E12" s="261"/>
      <c r="F12" s="474">
        <f t="shared" si="1"/>
        <v>0</v>
      </c>
      <c r="G12" s="26">
        <f t="shared" si="2"/>
        <v>0</v>
      </c>
      <c r="H12"/>
    </row>
    <row r="13" spans="1:12" x14ac:dyDescent="0.25">
      <c r="A13" s="149"/>
      <c r="B13" s="216"/>
      <c r="C13" s="149"/>
      <c r="D13" s="275"/>
      <c r="E13" s="261"/>
      <c r="F13" s="474">
        <f t="shared" si="1"/>
        <v>0</v>
      </c>
      <c r="G13" s="26">
        <f t="shared" si="2"/>
        <v>0</v>
      </c>
      <c r="H13"/>
    </row>
    <row r="14" spans="1:12" x14ac:dyDescent="0.25">
      <c r="A14" s="149"/>
      <c r="B14" s="216"/>
      <c r="C14" s="149"/>
      <c r="D14" s="275"/>
      <c r="E14" s="261"/>
      <c r="F14" s="474">
        <f t="shared" si="1"/>
        <v>0</v>
      </c>
      <c r="G14" s="26">
        <f t="shared" si="2"/>
        <v>0</v>
      </c>
      <c r="H14"/>
    </row>
    <row r="15" spans="1:12" x14ac:dyDescent="0.25">
      <c r="A15" s="149"/>
      <c r="B15" s="216"/>
      <c r="C15" s="149"/>
      <c r="D15" s="275"/>
      <c r="E15" s="261"/>
      <c r="F15" s="474">
        <f t="shared" si="1"/>
        <v>0</v>
      </c>
      <c r="G15" s="26">
        <f t="shared" si="2"/>
        <v>0</v>
      </c>
      <c r="H15"/>
    </row>
    <row r="16" spans="1:12" x14ac:dyDescent="0.25">
      <c r="A16" s="149" t="s">
        <v>675</v>
      </c>
      <c r="B16" s="216"/>
      <c r="C16" s="149"/>
      <c r="D16" s="275">
        <v>0</v>
      </c>
      <c r="E16" s="261">
        <v>0</v>
      </c>
      <c r="F16" s="474">
        <f t="shared" si="1"/>
        <v>0</v>
      </c>
      <c r="G16" s="26">
        <f t="shared" si="2"/>
        <v>0</v>
      </c>
      <c r="H16"/>
    </row>
    <row r="17" spans="1:11" x14ac:dyDescent="0.25">
      <c r="A17" s="149" t="s">
        <v>675</v>
      </c>
      <c r="B17" s="216"/>
      <c r="C17" s="149"/>
      <c r="D17" s="275">
        <v>0</v>
      </c>
      <c r="E17" s="261"/>
      <c r="F17" s="474">
        <f t="shared" si="1"/>
        <v>0</v>
      </c>
      <c r="G17" s="26">
        <f t="shared" si="2"/>
        <v>0</v>
      </c>
      <c r="H17"/>
    </row>
    <row r="18" spans="1:11" x14ac:dyDescent="0.25">
      <c r="A18" s="149" t="s">
        <v>675</v>
      </c>
      <c r="B18" s="216"/>
      <c r="C18" s="149"/>
      <c r="D18" s="275">
        <v>0</v>
      </c>
      <c r="E18" s="261"/>
      <c r="F18" s="474">
        <f t="shared" si="1"/>
        <v>0</v>
      </c>
      <c r="G18" s="26">
        <f t="shared" si="2"/>
        <v>0</v>
      </c>
      <c r="H18"/>
    </row>
    <row r="19" spans="1:11" x14ac:dyDescent="0.25">
      <c r="A19" s="149" t="s">
        <v>675</v>
      </c>
      <c r="B19" s="216"/>
      <c r="C19" s="149"/>
      <c r="D19" s="275">
        <v>0</v>
      </c>
      <c r="E19" s="261"/>
      <c r="F19" s="474">
        <f t="shared" si="1"/>
        <v>0</v>
      </c>
      <c r="G19" s="26">
        <f t="shared" si="2"/>
        <v>0</v>
      </c>
      <c r="H19"/>
    </row>
    <row r="20" spans="1:11" ht="15.75" thickBot="1" x14ac:dyDescent="0.3">
      <c r="A20" s="149" t="s">
        <v>489</v>
      </c>
      <c r="B20" s="216">
        <f>+$B$3</f>
        <v>2360</v>
      </c>
      <c r="C20" s="149"/>
      <c r="D20" s="275">
        <v>0</v>
      </c>
      <c r="E20" s="261">
        <v>1</v>
      </c>
      <c r="F20" s="474">
        <f t="shared" si="1"/>
        <v>0</v>
      </c>
      <c r="G20" s="26">
        <f t="shared" si="2"/>
        <v>0</v>
      </c>
      <c r="H20" s="23"/>
      <c r="K20" s="3"/>
    </row>
    <row r="21" spans="1:11" x14ac:dyDescent="0.25">
      <c r="D21"/>
      <c r="E21" s="5"/>
      <c r="F21" s="1"/>
      <c r="G21" s="1"/>
      <c r="H21" s="14">
        <f>IF(K1="No",SUM(F8:G20),0)</f>
        <v>0</v>
      </c>
      <c r="J21" s="2"/>
    </row>
    <row r="22" spans="1:11" x14ac:dyDescent="0.25">
      <c r="A22" s="2" t="s">
        <v>490</v>
      </c>
      <c r="D22"/>
      <c r="F22" s="5">
        <v>0</v>
      </c>
      <c r="I22" s="14">
        <f>SUM(H6:H21)</f>
        <v>0</v>
      </c>
      <c r="J22" s="2"/>
    </row>
    <row r="23" spans="1:11" x14ac:dyDescent="0.25">
      <c r="A23" s="2" t="s">
        <v>160</v>
      </c>
      <c r="D23" t="s">
        <v>160</v>
      </c>
      <c r="E23" s="5" t="s">
        <v>160</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F16" sqref="F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30" t="s">
        <v>2</v>
      </c>
      <c r="K1" s="930" t="str">
        <f>IF(Profit!Q6,IF(L1,"Yes","No"),"No")</f>
        <v>No</v>
      </c>
      <c r="L1" s="934" t="b">
        <v>0</v>
      </c>
    </row>
    <row r="2" spans="1:16" ht="15.75" thickBot="1" x14ac:dyDescent="0.3">
      <c r="A2" s="32" t="s">
        <v>246</v>
      </c>
      <c r="B2" s="32"/>
      <c r="C2" s="32"/>
      <c r="J2" s="931"/>
      <c r="K2" s="931"/>
      <c r="L2" s="935"/>
    </row>
    <row r="3" spans="1:16" s="22" customFormat="1" x14ac:dyDescent="0.25">
      <c r="A3" s="3" t="s">
        <v>361</v>
      </c>
      <c r="B3" s="3" t="s">
        <v>264</v>
      </c>
      <c r="C3" s="3" t="s">
        <v>309</v>
      </c>
      <c r="D3" s="3" t="s">
        <v>491</v>
      </c>
      <c r="E3" s="3" t="s">
        <v>321</v>
      </c>
      <c r="F3" s="8" t="s">
        <v>322</v>
      </c>
      <c r="G3" s="16" t="s">
        <v>365</v>
      </c>
      <c r="H3" s="3" t="s">
        <v>324</v>
      </c>
      <c r="J3" s="3"/>
      <c r="K3" s="3"/>
    </row>
    <row r="4" spans="1:16" s="22" customFormat="1" ht="15.75" thickBot="1" x14ac:dyDescent="0.3">
      <c r="A4" s="462"/>
      <c r="B4" s="462" t="s">
        <v>492</v>
      </c>
      <c r="C4" s="462"/>
      <c r="D4" s="461" t="s">
        <v>493</v>
      </c>
      <c r="E4" s="478">
        <v>0</v>
      </c>
      <c r="F4" s="469">
        <v>7000</v>
      </c>
      <c r="G4" s="470">
        <f>+E4*F4</f>
        <v>0</v>
      </c>
      <c r="H4" s="479"/>
      <c r="J4" s="3"/>
      <c r="K4" s="3"/>
    </row>
    <row r="5" spans="1:16" s="22" customFormat="1" x14ac:dyDescent="0.25">
      <c r="A5" s="466"/>
      <c r="B5" s="466"/>
      <c r="C5" s="466"/>
      <c r="D5" s="466"/>
      <c r="E5" s="466"/>
      <c r="F5" s="467"/>
      <c r="G5" s="480"/>
      <c r="H5" s="481">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492</v>
      </c>
      <c r="C8"/>
      <c r="D8" s="2" t="s">
        <v>493</v>
      </c>
      <c r="E8" s="11">
        <v>0</v>
      </c>
      <c r="F8" s="5">
        <v>6000</v>
      </c>
      <c r="G8" s="26">
        <f>+E8*F8</f>
        <v>0</v>
      </c>
    </row>
    <row r="9" spans="1:16" x14ac:dyDescent="0.25">
      <c r="A9"/>
      <c r="B9" t="s">
        <v>494</v>
      </c>
      <c r="C9"/>
      <c r="D9" s="2" t="s">
        <v>495</v>
      </c>
      <c r="E9" s="11">
        <v>0</v>
      </c>
      <c r="F9" s="5">
        <v>8.98</v>
      </c>
      <c r="G9" s="26">
        <f>+E9*F9</f>
        <v>0</v>
      </c>
    </row>
    <row r="10" spans="1:16" x14ac:dyDescent="0.25">
      <c r="A10"/>
      <c r="B10" t="s">
        <v>611</v>
      </c>
      <c r="C10"/>
      <c r="D10" s="2" t="s">
        <v>610</v>
      </c>
      <c r="E10" s="11">
        <v>0</v>
      </c>
      <c r="F10" s="5">
        <v>22.97</v>
      </c>
      <c r="G10" s="26">
        <f t="shared" ref="G10:G15" si="0">+E10*F10</f>
        <v>0</v>
      </c>
    </row>
    <row r="11" spans="1:16" x14ac:dyDescent="0.25">
      <c r="A11"/>
      <c r="B11" t="s">
        <v>496</v>
      </c>
      <c r="C11"/>
      <c r="D11" s="2" t="s">
        <v>497</v>
      </c>
      <c r="E11" s="11">
        <v>0</v>
      </c>
      <c r="F11" s="5">
        <v>44.93</v>
      </c>
      <c r="G11" s="26">
        <f t="shared" si="0"/>
        <v>0</v>
      </c>
    </row>
    <row r="12" spans="1:16" x14ac:dyDescent="0.25">
      <c r="A12"/>
      <c r="B12" t="s">
        <v>498</v>
      </c>
      <c r="C12"/>
      <c r="D12" s="2" t="s">
        <v>612</v>
      </c>
      <c r="E12" s="11">
        <v>0</v>
      </c>
      <c r="F12" s="5">
        <v>5.98</v>
      </c>
      <c r="G12" s="26">
        <f t="shared" si="0"/>
        <v>0</v>
      </c>
    </row>
    <row r="13" spans="1:16" x14ac:dyDescent="0.25">
      <c r="A13"/>
      <c r="B13" t="s">
        <v>498</v>
      </c>
      <c r="C13"/>
      <c r="D13" s="2" t="s">
        <v>499</v>
      </c>
      <c r="E13" s="11">
        <v>0</v>
      </c>
      <c r="F13" s="5">
        <v>4.97</v>
      </c>
      <c r="G13" s="26">
        <f t="shared" si="0"/>
        <v>0</v>
      </c>
      <c r="K13" s="32"/>
      <c r="L13" s="2"/>
      <c r="N13" s="5"/>
      <c r="O13" s="26"/>
    </row>
    <row r="14" spans="1:16" x14ac:dyDescent="0.25">
      <c r="A14"/>
      <c r="B14" t="s">
        <v>500</v>
      </c>
      <c r="C14"/>
      <c r="D14" s="2" t="s">
        <v>501</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801</v>
      </c>
      <c r="B16" s="2" t="s">
        <v>502</v>
      </c>
      <c r="C16" s="513">
        <v>45700</v>
      </c>
      <c r="E16">
        <v>0</v>
      </c>
      <c r="F16" s="5">
        <v>254.72</v>
      </c>
      <c r="G16" s="29">
        <f>+E16*F16</f>
        <v>0</v>
      </c>
      <c r="H16" s="29"/>
      <c r="L16" s="2"/>
      <c r="M16" s="11"/>
      <c r="N16" s="5"/>
      <c r="O16" s="26"/>
    </row>
    <row r="17" spans="5:16" x14ac:dyDescent="0.25">
      <c r="E17" s="928"/>
      <c r="F17" s="929"/>
      <c r="G17" s="929"/>
      <c r="H17">
        <f>IF(K1="No",+SUM(G8:G16),0)</f>
        <v>0</v>
      </c>
      <c r="L17" s="2"/>
      <c r="M17" s="11"/>
      <c r="N17" s="5"/>
      <c r="O17" s="26"/>
    </row>
    <row r="18" spans="5:16" x14ac:dyDescent="0.25">
      <c r="I18" s="1">
        <f>SUM(H5:H17)</f>
        <v>0</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28"/>
      <c r="N24" s="929"/>
      <c r="O24" s="929"/>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9"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503</v>
      </c>
      <c r="B1" s="3"/>
      <c r="I1" s="930" t="s">
        <v>2</v>
      </c>
      <c r="J1" s="930" t="str">
        <f>IF(Profit!Q6,IF(K1,"Yes","No"),"No")</f>
        <v>No</v>
      </c>
      <c r="K1" s="934" t="b">
        <v>0</v>
      </c>
    </row>
    <row r="2" spans="1:11" ht="15.75" thickBot="1" x14ac:dyDescent="0.3">
      <c r="C2" s="3"/>
      <c r="D2" s="8"/>
      <c r="E2" s="13"/>
      <c r="F2" s="13"/>
      <c r="G2" s="13"/>
      <c r="I2" s="931"/>
      <c r="J2" s="931"/>
      <c r="K2" s="935"/>
    </row>
    <row r="3" spans="1:11" x14ac:dyDescent="0.25">
      <c r="A3" s="3" t="s">
        <v>264</v>
      </c>
      <c r="B3" s="3" t="s">
        <v>377</v>
      </c>
      <c r="C3" s="3" t="s">
        <v>321</v>
      </c>
      <c r="D3" s="8" t="s">
        <v>322</v>
      </c>
      <c r="E3" s="13" t="s">
        <v>323</v>
      </c>
      <c r="F3" s="13" t="s">
        <v>310</v>
      </c>
      <c r="G3" s="13" t="s">
        <v>324</v>
      </c>
    </row>
    <row r="4" spans="1:11" x14ac:dyDescent="0.25">
      <c r="A4" s="472" t="s">
        <v>605</v>
      </c>
      <c r="B4" s="472" t="s">
        <v>663</v>
      </c>
      <c r="C4" s="462">
        <v>4</v>
      </c>
      <c r="D4" s="469">
        <v>21.97</v>
      </c>
      <c r="E4" s="463">
        <f>+C4*D4</f>
        <v>87.88</v>
      </c>
      <c r="F4" s="470">
        <f t="shared" ref="F4:F7" si="0">+E4*0.0725</f>
        <v>6.3712999999999989</v>
      </c>
      <c r="G4" s="468"/>
    </row>
    <row r="5" spans="1:11" x14ac:dyDescent="0.25">
      <c r="A5" s="472" t="s">
        <v>617</v>
      </c>
      <c r="B5" s="472" t="s">
        <v>618</v>
      </c>
      <c r="C5" s="462">
        <v>2</v>
      </c>
      <c r="D5" s="469">
        <v>79.97</v>
      </c>
      <c r="E5" s="463">
        <f t="shared" ref="E5:E7" si="1">+C5*D5</f>
        <v>159.94</v>
      </c>
      <c r="F5" s="470">
        <f t="shared" si="0"/>
        <v>11.595649999999999</v>
      </c>
      <c r="G5" s="463"/>
    </row>
    <row r="6" spans="1:11" x14ac:dyDescent="0.25">
      <c r="A6" s="472" t="s">
        <v>619</v>
      </c>
      <c r="B6" s="472" t="s">
        <v>620</v>
      </c>
      <c r="C6" s="462">
        <v>1</v>
      </c>
      <c r="D6" s="469">
        <v>123</v>
      </c>
      <c r="E6" s="463">
        <f t="shared" si="1"/>
        <v>123</v>
      </c>
      <c r="F6" s="470">
        <f t="shared" si="0"/>
        <v>8.9174999999999986</v>
      </c>
      <c r="G6" s="463"/>
    </row>
    <row r="7" spans="1:11" ht="15.75" thickBot="1" x14ac:dyDescent="0.3">
      <c r="A7" s="472" t="s">
        <v>623</v>
      </c>
      <c r="B7" s="472" t="s">
        <v>624</v>
      </c>
      <c r="C7" s="462">
        <v>2</v>
      </c>
      <c r="D7" s="469">
        <v>54.98</v>
      </c>
      <c r="E7" s="463">
        <f t="shared" si="1"/>
        <v>109.96</v>
      </c>
      <c r="F7" s="470">
        <f t="shared" si="0"/>
        <v>7.9720999999999993</v>
      </c>
      <c r="G7" s="471"/>
    </row>
    <row r="8" spans="1:11" x14ac:dyDescent="0.25">
      <c r="A8" s="466"/>
      <c r="B8" s="466"/>
      <c r="C8" s="466"/>
      <c r="D8" s="467"/>
      <c r="E8" s="468"/>
      <c r="F8" s="468"/>
      <c r="G8" s="46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603</v>
      </c>
      <c r="B11" s="3" t="s">
        <v>604</v>
      </c>
      <c r="C11" s="30">
        <v>0</v>
      </c>
      <c r="D11" s="8">
        <v>39.97</v>
      </c>
      <c r="E11" s="14">
        <f>+C11*D11</f>
        <v>0</v>
      </c>
      <c r="F11" s="26">
        <f t="shared" ref="F11:F33" si="2">+E11*0.0725</f>
        <v>0</v>
      </c>
      <c r="G11" s="13"/>
    </row>
    <row r="12" spans="1:11" x14ac:dyDescent="0.25">
      <c r="A12" s="30" t="s">
        <v>605</v>
      </c>
      <c r="B12" s="30" t="s">
        <v>663</v>
      </c>
      <c r="C12">
        <v>0</v>
      </c>
      <c r="D12" s="5">
        <v>21.97</v>
      </c>
      <c r="E12" s="14">
        <f>+C12*D12</f>
        <v>0</v>
      </c>
      <c r="F12" s="26">
        <f t="shared" si="2"/>
        <v>0</v>
      </c>
    </row>
    <row r="13" spans="1:11" x14ac:dyDescent="0.25">
      <c r="A13" s="30" t="s">
        <v>605</v>
      </c>
      <c r="B13" s="30" t="s">
        <v>606</v>
      </c>
      <c r="C13">
        <v>0</v>
      </c>
      <c r="D13" s="5">
        <v>29.97</v>
      </c>
      <c r="E13" s="14">
        <f>+C13*D13</f>
        <v>0</v>
      </c>
      <c r="F13" s="26">
        <f t="shared" si="2"/>
        <v>0</v>
      </c>
    </row>
    <row r="14" spans="1:11" x14ac:dyDescent="0.25">
      <c r="A14" s="30" t="s">
        <v>605</v>
      </c>
      <c r="B14" s="30" t="s">
        <v>607</v>
      </c>
      <c r="C14">
        <v>0</v>
      </c>
      <c r="D14" s="5">
        <v>21.97</v>
      </c>
      <c r="E14" s="14">
        <f>+C14*D14</f>
        <v>0</v>
      </c>
      <c r="F14" s="26">
        <f t="shared" si="2"/>
        <v>0</v>
      </c>
    </row>
    <row r="15" spans="1:11" x14ac:dyDescent="0.25">
      <c r="A15" s="30" t="s">
        <v>605</v>
      </c>
      <c r="B15" s="30" t="s">
        <v>609</v>
      </c>
      <c r="C15">
        <v>0</v>
      </c>
      <c r="D15" s="5">
        <v>69.97</v>
      </c>
      <c r="E15" s="14">
        <f>+C15*D15</f>
        <v>0</v>
      </c>
      <c r="F15" s="26">
        <f t="shared" si="2"/>
        <v>0</v>
      </c>
    </row>
    <row r="16" spans="1:11" x14ac:dyDescent="0.25">
      <c r="A16" s="30" t="s">
        <v>613</v>
      </c>
      <c r="B16" s="30" t="s">
        <v>614</v>
      </c>
      <c r="C16">
        <v>0</v>
      </c>
      <c r="D16" s="5">
        <v>64.97</v>
      </c>
      <c r="E16" s="14">
        <f t="shared" ref="E16:E33" si="3">+C16*D16</f>
        <v>0</v>
      </c>
      <c r="F16" s="26">
        <f t="shared" si="2"/>
        <v>0</v>
      </c>
    </row>
    <row r="17" spans="1:6" x14ac:dyDescent="0.25">
      <c r="A17" s="30" t="s">
        <v>615</v>
      </c>
      <c r="B17" s="30" t="s">
        <v>616</v>
      </c>
      <c r="C17">
        <v>0</v>
      </c>
      <c r="D17" s="5">
        <v>89.97</v>
      </c>
      <c r="E17" s="14">
        <f t="shared" si="3"/>
        <v>0</v>
      </c>
      <c r="F17" s="26">
        <f t="shared" si="2"/>
        <v>0</v>
      </c>
    </row>
    <row r="18" spans="1:6" x14ac:dyDescent="0.25">
      <c r="A18" s="30" t="s">
        <v>504</v>
      </c>
      <c r="B18" s="30">
        <v>2535475</v>
      </c>
      <c r="C18">
        <v>0</v>
      </c>
      <c r="D18" s="5">
        <v>24.98</v>
      </c>
      <c r="E18" s="14">
        <f t="shared" si="3"/>
        <v>0</v>
      </c>
      <c r="F18" s="26">
        <f t="shared" si="2"/>
        <v>0</v>
      </c>
    </row>
    <row r="19" spans="1:6" x14ac:dyDescent="0.25">
      <c r="A19" s="30" t="s">
        <v>505</v>
      </c>
      <c r="B19" s="30"/>
      <c r="C19">
        <v>0</v>
      </c>
      <c r="D19" s="5">
        <v>10.9</v>
      </c>
      <c r="E19" s="14">
        <f t="shared" si="3"/>
        <v>0</v>
      </c>
      <c r="F19" s="26">
        <f t="shared" si="2"/>
        <v>0</v>
      </c>
    </row>
    <row r="20" spans="1:6" x14ac:dyDescent="0.25">
      <c r="A20" s="30" t="s">
        <v>621</v>
      </c>
      <c r="B20" s="30" t="s">
        <v>622</v>
      </c>
      <c r="C20">
        <v>0</v>
      </c>
      <c r="D20" s="5">
        <v>62.97</v>
      </c>
      <c r="E20" s="14">
        <f t="shared" si="3"/>
        <v>0</v>
      </c>
      <c r="F20" s="26">
        <f t="shared" si="2"/>
        <v>0</v>
      </c>
    </row>
    <row r="21" spans="1:6" x14ac:dyDescent="0.25">
      <c r="A21" s="30" t="s">
        <v>623</v>
      </c>
      <c r="B21" s="30" t="s">
        <v>624</v>
      </c>
      <c r="C21">
        <v>0</v>
      </c>
      <c r="D21" s="5">
        <v>54.98</v>
      </c>
      <c r="E21" s="14">
        <f t="shared" si="3"/>
        <v>0</v>
      </c>
      <c r="F21" s="26">
        <f t="shared" si="2"/>
        <v>0</v>
      </c>
    </row>
    <row r="22" spans="1:6" x14ac:dyDescent="0.25">
      <c r="A22" s="30" t="s">
        <v>506</v>
      </c>
      <c r="B22" s="30" t="s">
        <v>507</v>
      </c>
      <c r="C22">
        <v>0</v>
      </c>
      <c r="D22" s="5">
        <v>17.97</v>
      </c>
      <c r="E22" s="14">
        <f t="shared" si="3"/>
        <v>0</v>
      </c>
      <c r="F22" s="26">
        <f t="shared" si="2"/>
        <v>0</v>
      </c>
    </row>
    <row r="23" spans="1:6" x14ac:dyDescent="0.25">
      <c r="A23" s="30" t="s">
        <v>508</v>
      </c>
      <c r="B23" s="30" t="s">
        <v>509</v>
      </c>
      <c r="C23">
        <v>0</v>
      </c>
      <c r="D23" s="5">
        <v>16.98</v>
      </c>
      <c r="E23" s="14">
        <f t="shared" si="3"/>
        <v>0</v>
      </c>
      <c r="F23" s="26">
        <f t="shared" si="2"/>
        <v>0</v>
      </c>
    </row>
    <row r="24" spans="1:6" x14ac:dyDescent="0.25">
      <c r="A24" s="30" t="s">
        <v>510</v>
      </c>
      <c r="B24" s="30" t="s">
        <v>511</v>
      </c>
      <c r="C24">
        <v>0</v>
      </c>
      <c r="D24" s="5">
        <v>3.27</v>
      </c>
      <c r="E24" s="14">
        <f t="shared" si="3"/>
        <v>0</v>
      </c>
      <c r="F24" s="26">
        <f t="shared" si="2"/>
        <v>0</v>
      </c>
    </row>
    <row r="25" spans="1:6" x14ac:dyDescent="0.25">
      <c r="A25" s="30" t="s">
        <v>617</v>
      </c>
      <c r="B25" s="30" t="s">
        <v>618</v>
      </c>
      <c r="C25">
        <v>0</v>
      </c>
      <c r="D25" s="5">
        <v>79.97</v>
      </c>
      <c r="E25" s="14">
        <f t="shared" si="3"/>
        <v>0</v>
      </c>
      <c r="F25" s="26">
        <f t="shared" si="2"/>
        <v>0</v>
      </c>
    </row>
    <row r="26" spans="1:6" x14ac:dyDescent="0.25">
      <c r="A26" s="30" t="s">
        <v>619</v>
      </c>
      <c r="B26" s="30" t="s">
        <v>620</v>
      </c>
      <c r="C26">
        <v>0</v>
      </c>
      <c r="D26" s="5">
        <v>123</v>
      </c>
      <c r="E26" s="14">
        <f t="shared" si="3"/>
        <v>0</v>
      </c>
      <c r="F26" s="26">
        <f t="shared" si="2"/>
        <v>0</v>
      </c>
    </row>
    <row r="27" spans="1:6" x14ac:dyDescent="0.25">
      <c r="A27" s="30" t="s">
        <v>512</v>
      </c>
      <c r="B27" s="30" t="s">
        <v>513</v>
      </c>
      <c r="C27">
        <v>0</v>
      </c>
      <c r="D27" s="5">
        <v>13.98</v>
      </c>
      <c r="E27" s="14">
        <f t="shared" si="3"/>
        <v>0</v>
      </c>
      <c r="F27" s="26">
        <f t="shared" si="2"/>
        <v>0</v>
      </c>
    </row>
    <row r="28" spans="1:6" x14ac:dyDescent="0.25">
      <c r="A28" s="30" t="s">
        <v>514</v>
      </c>
      <c r="B28" s="30">
        <v>39800072986</v>
      </c>
      <c r="C28">
        <v>0</v>
      </c>
      <c r="D28" s="5">
        <v>17.87</v>
      </c>
      <c r="E28" s="14">
        <f t="shared" si="3"/>
        <v>0</v>
      </c>
      <c r="F28" s="26">
        <f t="shared" si="2"/>
        <v>0</v>
      </c>
    </row>
    <row r="29" spans="1:6" x14ac:dyDescent="0.25">
      <c r="A29" s="30" t="s">
        <v>515</v>
      </c>
      <c r="B29" s="303">
        <v>46335120372</v>
      </c>
      <c r="C29">
        <v>0</v>
      </c>
      <c r="D29" s="5">
        <v>99.97</v>
      </c>
      <c r="E29" s="14">
        <f t="shared" si="3"/>
        <v>0</v>
      </c>
      <c r="F29" s="26">
        <f t="shared" si="2"/>
        <v>0</v>
      </c>
    </row>
    <row r="30" spans="1:6" x14ac:dyDescent="0.25">
      <c r="A30" s="30" t="s">
        <v>516</v>
      </c>
      <c r="B30" s="303">
        <v>792145370178</v>
      </c>
      <c r="C30">
        <v>0</v>
      </c>
      <c r="D30" s="5">
        <v>59.97</v>
      </c>
      <c r="E30" s="14">
        <f t="shared" si="3"/>
        <v>0</v>
      </c>
      <c r="F30" s="26">
        <f t="shared" si="2"/>
        <v>0</v>
      </c>
    </row>
    <row r="31" spans="1:6" x14ac:dyDescent="0.25">
      <c r="A31" s="30" t="s">
        <v>517</v>
      </c>
      <c r="B31" s="30">
        <v>82392573331</v>
      </c>
      <c r="C31">
        <v>0</v>
      </c>
      <c r="D31" s="5">
        <v>109</v>
      </c>
      <c r="E31" s="14">
        <f t="shared" si="3"/>
        <v>0</v>
      </c>
      <c r="F31" s="26">
        <f t="shared" si="2"/>
        <v>0</v>
      </c>
    </row>
    <row r="32" spans="1:6" x14ac:dyDescent="0.25">
      <c r="A32" s="30" t="s">
        <v>518</v>
      </c>
      <c r="B32" s="30">
        <v>5190530</v>
      </c>
      <c r="C32">
        <v>0</v>
      </c>
      <c r="D32" s="5">
        <v>18.98</v>
      </c>
      <c r="E32" s="14">
        <f t="shared" si="3"/>
        <v>0</v>
      </c>
      <c r="F32" s="26">
        <f t="shared" si="2"/>
        <v>0</v>
      </c>
    </row>
    <row r="33" spans="1:10" ht="15.75" thickBot="1" x14ac:dyDescent="0.3">
      <c r="A33" s="30" t="s">
        <v>519</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B8" sqref="B8"/>
    </sheetView>
  </sheetViews>
  <sheetFormatPr defaultRowHeight="15" x14ac:dyDescent="0.25"/>
  <cols>
    <col min="2" max="2" width="35.5703125" style="2" bestFit="1" customWidth="1"/>
    <col min="3" max="3" width="35.5703125" style="2" customWidth="1"/>
    <col min="4" max="4" width="24.7109375" style="2" customWidth="1"/>
    <col min="5" max="5" width="15.28515625" style="18" customWidth="1"/>
    <col min="6" max="6" width="10.140625" bestFit="1" customWidth="1"/>
    <col min="8" max="8" width="10.140625" bestFit="1" customWidth="1"/>
    <col min="10" max="10" width="19.28515625" bestFit="1" customWidth="1"/>
    <col min="11" max="11" width="12.7109375" bestFit="1" customWidth="1"/>
  </cols>
  <sheetData>
    <row r="1" spans="1:12" s="3" customFormat="1" x14ac:dyDescent="0.25">
      <c r="B1" s="32" t="s">
        <v>781</v>
      </c>
      <c r="C1" s="32"/>
      <c r="D1" s="32"/>
      <c r="E1" s="16"/>
      <c r="J1" s="930" t="s">
        <v>2</v>
      </c>
      <c r="K1" s="930" t="str">
        <f>IF(Profit!$Q$6,IF(L1="No","No","Yes"),"no")</f>
        <v>No</v>
      </c>
      <c r="L1" s="932" t="s">
        <v>1098</v>
      </c>
    </row>
    <row r="2" spans="1:12" s="57" customFormat="1" ht="30.75" thickBot="1" x14ac:dyDescent="0.3">
      <c r="A2" s="57" t="s">
        <v>309</v>
      </c>
      <c r="B2" s="57" t="s">
        <v>261</v>
      </c>
      <c r="C2" s="57" t="s">
        <v>204</v>
      </c>
      <c r="D2" s="57" t="s">
        <v>236</v>
      </c>
      <c r="E2" s="347" t="s">
        <v>534</v>
      </c>
      <c r="F2" s="57" t="s">
        <v>324</v>
      </c>
      <c r="G2" s="57" t="s">
        <v>535</v>
      </c>
      <c r="H2" s="270"/>
      <c r="I2" s="347">
        <v>20</v>
      </c>
      <c r="J2" s="931"/>
      <c r="K2" s="931"/>
      <c r="L2" s="933"/>
    </row>
    <row r="4" spans="1:12" x14ac:dyDescent="0.25">
      <c r="A4" s="186">
        <v>45888</v>
      </c>
      <c r="B4" s="2" t="s">
        <v>1097</v>
      </c>
      <c r="C4" s="2" t="s">
        <v>1099</v>
      </c>
      <c r="D4" s="2">
        <v>1</v>
      </c>
      <c r="E4" s="18">
        <v>5000</v>
      </c>
      <c r="F4" s="5">
        <f>+D4*E4</f>
        <v>5000</v>
      </c>
    </row>
    <row r="5" spans="1:12" x14ac:dyDescent="0.25">
      <c r="A5" s="186">
        <v>45924</v>
      </c>
      <c r="B5" s="2" t="s">
        <v>1097</v>
      </c>
      <c r="C5" s="2" t="s">
        <v>1099</v>
      </c>
      <c r="D5" s="2">
        <v>1</v>
      </c>
      <c r="E5" s="18">
        <v>4951.83</v>
      </c>
      <c r="F5" s="5">
        <f t="shared" ref="F5:F7" si="0">+D5*E5</f>
        <v>4951.83</v>
      </c>
    </row>
    <row r="6" spans="1:12" x14ac:dyDescent="0.25">
      <c r="A6" s="186">
        <v>45955</v>
      </c>
      <c r="B6" s="2" t="s">
        <v>1097</v>
      </c>
      <c r="C6" s="2" t="s">
        <v>1099</v>
      </c>
      <c r="D6" s="2">
        <v>1</v>
      </c>
      <c r="E6" s="18">
        <v>4396.3100000000004</v>
      </c>
      <c r="F6" s="5">
        <f t="shared" si="0"/>
        <v>4396.3100000000004</v>
      </c>
    </row>
    <row r="7" spans="1:12" x14ac:dyDescent="0.25">
      <c r="A7" s="186">
        <v>45945</v>
      </c>
      <c r="B7" s="2" t="s">
        <v>1097</v>
      </c>
      <c r="C7" s="2" t="s">
        <v>1100</v>
      </c>
      <c r="D7" s="2">
        <v>1</v>
      </c>
      <c r="E7" s="18">
        <v>-6568.14</v>
      </c>
      <c r="F7" s="5">
        <f t="shared" si="0"/>
        <v>-6568.14</v>
      </c>
    </row>
    <row r="8" spans="1:12" x14ac:dyDescent="0.25">
      <c r="A8" s="186">
        <v>45853</v>
      </c>
      <c r="B8" s="2" t="s">
        <v>1103</v>
      </c>
      <c r="C8" s="2" t="s">
        <v>1099</v>
      </c>
      <c r="D8" s="2">
        <v>1</v>
      </c>
      <c r="E8" s="18">
        <v>300</v>
      </c>
      <c r="F8" s="5">
        <f t="shared" ref="F8:F18" si="1">+D8*E8</f>
        <v>300</v>
      </c>
    </row>
    <row r="9" spans="1:12" x14ac:dyDescent="0.25">
      <c r="B9" s="2" t="s">
        <v>536</v>
      </c>
      <c r="D9" s="2">
        <v>0</v>
      </c>
      <c r="E9" s="18">
        <v>32.979999999999997</v>
      </c>
      <c r="F9" s="5">
        <f t="shared" si="1"/>
        <v>0</v>
      </c>
    </row>
    <row r="10" spans="1:12" x14ac:dyDescent="0.25">
      <c r="B10" s="2" t="s">
        <v>537</v>
      </c>
      <c r="D10" s="2">
        <v>0</v>
      </c>
      <c r="E10" s="18">
        <v>28.47</v>
      </c>
      <c r="F10" s="5">
        <f t="shared" si="1"/>
        <v>0</v>
      </c>
    </row>
    <row r="11" spans="1:12" x14ac:dyDescent="0.25">
      <c r="B11" s="2" t="s">
        <v>538</v>
      </c>
      <c r="F11" s="5">
        <f t="shared" si="1"/>
        <v>0</v>
      </c>
    </row>
    <row r="12" spans="1:12" x14ac:dyDescent="0.25">
      <c r="B12" s="2" t="s">
        <v>539</v>
      </c>
      <c r="D12" s="2">
        <v>0</v>
      </c>
      <c r="E12" s="18">
        <v>1000</v>
      </c>
      <c r="F12" s="5">
        <f t="shared" si="1"/>
        <v>0</v>
      </c>
    </row>
    <row r="13" spans="1:12" x14ac:dyDescent="0.25">
      <c r="B13" s="2" t="s">
        <v>540</v>
      </c>
      <c r="F13" s="5">
        <f t="shared" si="1"/>
        <v>0</v>
      </c>
    </row>
    <row r="14" spans="1:12" x14ac:dyDescent="0.25">
      <c r="B14" s="2" t="s">
        <v>540</v>
      </c>
      <c r="F14" s="5">
        <f t="shared" si="1"/>
        <v>0</v>
      </c>
    </row>
    <row r="15" spans="1:12" x14ac:dyDescent="0.25">
      <c r="B15" s="2" t="s">
        <v>541</v>
      </c>
      <c r="D15" s="2">
        <v>0</v>
      </c>
      <c r="E15" s="18">
        <v>5500</v>
      </c>
      <c r="F15" s="5">
        <f t="shared" si="1"/>
        <v>0</v>
      </c>
    </row>
    <row r="16" spans="1:12" x14ac:dyDescent="0.25">
      <c r="B16" s="2" t="s">
        <v>542</v>
      </c>
      <c r="E16" s="18">
        <v>1604326</v>
      </c>
      <c r="F16" s="5">
        <f t="shared" si="1"/>
        <v>0</v>
      </c>
    </row>
    <row r="17" spans="2:11" x14ac:dyDescent="0.25">
      <c r="B17" s="2" t="s">
        <v>543</v>
      </c>
      <c r="E17" s="18">
        <v>228556</v>
      </c>
      <c r="F17" s="5">
        <f t="shared" si="1"/>
        <v>0</v>
      </c>
    </row>
    <row r="18" spans="2:11" x14ac:dyDescent="0.25">
      <c r="B18" s="2" t="s">
        <v>544</v>
      </c>
      <c r="D18" s="2">
        <v>0</v>
      </c>
      <c r="E18" s="18">
        <v>400</v>
      </c>
      <c r="F18" s="5">
        <f t="shared" si="1"/>
        <v>0</v>
      </c>
      <c r="K18" s="3" t="s">
        <v>160</v>
      </c>
    </row>
    <row r="19" spans="2:11" x14ac:dyDescent="0.25">
      <c r="B19" s="2" t="s">
        <v>545</v>
      </c>
      <c r="D19" s="2">
        <v>0</v>
      </c>
      <c r="E19" s="18">
        <v>7.33</v>
      </c>
      <c r="F19" s="5">
        <f>+D19*E19</f>
        <v>0</v>
      </c>
      <c r="K19" s="3"/>
    </row>
    <row r="20" spans="2:11" x14ac:dyDescent="0.25">
      <c r="B20" s="2" t="s">
        <v>546</v>
      </c>
      <c r="D20" s="2">
        <v>0</v>
      </c>
      <c r="E20" s="18">
        <v>9.9700000000000006</v>
      </c>
      <c r="F20" s="5">
        <f>+D20*E20</f>
        <v>0</v>
      </c>
      <c r="K20" s="3"/>
    </row>
    <row r="21" spans="2:11" x14ac:dyDescent="0.25">
      <c r="B21" s="2" t="s">
        <v>547</v>
      </c>
      <c r="D21" s="2">
        <v>0</v>
      </c>
      <c r="E21" s="18">
        <v>3.98</v>
      </c>
      <c r="F21" s="5">
        <f>+D21*E21</f>
        <v>0</v>
      </c>
      <c r="K21" s="3"/>
    </row>
    <row r="22" spans="2:11" x14ac:dyDescent="0.25">
      <c r="B22" s="2" t="s">
        <v>608</v>
      </c>
      <c r="D22" s="2">
        <v>0</v>
      </c>
      <c r="E22" s="18">
        <v>7.68</v>
      </c>
      <c r="F22" s="5">
        <f>+D22*E22</f>
        <v>0</v>
      </c>
      <c r="J22" s="1"/>
      <c r="K22" t="s">
        <v>160</v>
      </c>
    </row>
    <row r="23" spans="2:11" x14ac:dyDescent="0.25">
      <c r="B23" s="2" t="s">
        <v>686</v>
      </c>
      <c r="D23" s="2">
        <v>0</v>
      </c>
      <c r="E23" s="18">
        <v>10000</v>
      </c>
      <c r="F23" s="5">
        <f>+D23*E23</f>
        <v>0</v>
      </c>
    </row>
    <row r="25" spans="2:11" x14ac:dyDescent="0.25">
      <c r="H25" s="5">
        <f>IF(K1="No",SUM(F4:F23),0)</f>
        <v>8079.9999999999991</v>
      </c>
    </row>
    <row r="26" spans="2:11" x14ac:dyDescent="0.25">
      <c r="K26" s="2"/>
    </row>
    <row r="27" spans="2:11" x14ac:dyDescent="0.25">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294</v>
      </c>
      <c r="B1" s="16"/>
      <c r="H1" s="930" t="s">
        <v>2</v>
      </c>
      <c r="I1" s="930" t="str">
        <f>IF(Profit!$Q$6,IF(J1="No","No","Yes"),"no")</f>
        <v>Yes</v>
      </c>
      <c r="J1" s="932"/>
    </row>
    <row r="2" spans="1:10" s="15" customFormat="1" ht="15.75" thickBot="1" x14ac:dyDescent="0.3">
      <c r="A2" s="3" t="s">
        <v>261</v>
      </c>
      <c r="B2" s="17" t="s">
        <v>520</v>
      </c>
      <c r="C2" s="30" t="s">
        <v>521</v>
      </c>
      <c r="D2" s="3" t="s">
        <v>321</v>
      </c>
      <c r="E2" s="8" t="s">
        <v>522</v>
      </c>
      <c r="F2" s="6" t="s">
        <v>523</v>
      </c>
      <c r="G2" s="15" t="s">
        <v>324</v>
      </c>
      <c r="H2" s="931"/>
      <c r="I2" s="931"/>
      <c r="J2" s="933"/>
    </row>
    <row r="4" spans="1:10" x14ac:dyDescent="0.25">
      <c r="A4" s="2" t="s">
        <v>524</v>
      </c>
      <c r="B4" s="18">
        <v>0.79</v>
      </c>
      <c r="C4" s="2">
        <v>500</v>
      </c>
      <c r="D4">
        <v>0</v>
      </c>
      <c r="E4" s="5">
        <v>60</v>
      </c>
      <c r="F4" s="1">
        <f>+C4*B4*D4</f>
        <v>0</v>
      </c>
    </row>
    <row r="5" spans="1:10" x14ac:dyDescent="0.25">
      <c r="A5" s="2" t="s">
        <v>525</v>
      </c>
      <c r="B5" s="18">
        <v>1</v>
      </c>
      <c r="C5" s="2">
        <f>24*10</f>
        <v>240</v>
      </c>
      <c r="D5">
        <v>0</v>
      </c>
      <c r="E5" s="5">
        <v>60</v>
      </c>
      <c r="F5" s="1">
        <f>+C5*B5*D5</f>
        <v>0</v>
      </c>
    </row>
    <row r="6" spans="1:10" x14ac:dyDescent="0.25">
      <c r="A6" s="2" t="s">
        <v>526</v>
      </c>
      <c r="D6">
        <v>0</v>
      </c>
      <c r="E6" s="5">
        <v>150</v>
      </c>
      <c r="F6" s="1">
        <f t="shared" ref="F6:F11" si="0">+D6*E6</f>
        <v>0</v>
      </c>
    </row>
    <row r="7" spans="1:10" x14ac:dyDescent="0.25">
      <c r="A7" s="2" t="s">
        <v>527</v>
      </c>
      <c r="D7">
        <v>0</v>
      </c>
      <c r="E7" s="5">
        <v>3000</v>
      </c>
      <c r="F7" s="1">
        <f t="shared" si="0"/>
        <v>0</v>
      </c>
    </row>
    <row r="8" spans="1:10" x14ac:dyDescent="0.25">
      <c r="A8" s="2" t="s">
        <v>528</v>
      </c>
      <c r="D8">
        <v>0</v>
      </c>
      <c r="E8" s="5">
        <v>165</v>
      </c>
      <c r="F8" s="1">
        <f t="shared" si="0"/>
        <v>0</v>
      </c>
    </row>
    <row r="9" spans="1:10" x14ac:dyDescent="0.25">
      <c r="A9" s="2" t="s">
        <v>529</v>
      </c>
      <c r="D9">
        <v>0</v>
      </c>
      <c r="E9" s="5">
        <v>29</v>
      </c>
      <c r="F9" s="1">
        <f t="shared" si="0"/>
        <v>0</v>
      </c>
    </row>
    <row r="10" spans="1:10" x14ac:dyDescent="0.25">
      <c r="A10" s="2" t="s">
        <v>530</v>
      </c>
      <c r="D10">
        <v>0</v>
      </c>
      <c r="E10" s="5">
        <v>15</v>
      </c>
      <c r="F10" s="1">
        <f t="shared" si="0"/>
        <v>0</v>
      </c>
    </row>
    <row r="11" spans="1:10" x14ac:dyDescent="0.25">
      <c r="A11" s="2" t="s">
        <v>531</v>
      </c>
      <c r="D11">
        <v>0</v>
      </c>
      <c r="E11" s="5">
        <v>1100</v>
      </c>
      <c r="F11" s="1">
        <f t="shared" si="0"/>
        <v>0</v>
      </c>
    </row>
    <row r="12" spans="1:10" x14ac:dyDescent="0.25">
      <c r="A12" s="2" t="s">
        <v>634</v>
      </c>
      <c r="D12">
        <v>0</v>
      </c>
      <c r="E12" s="5">
        <v>285</v>
      </c>
      <c r="F12" s="1">
        <v>0</v>
      </c>
    </row>
    <row r="13" spans="1:10" x14ac:dyDescent="0.25">
      <c r="A13" s="2" t="s">
        <v>633</v>
      </c>
      <c r="D13">
        <v>0</v>
      </c>
      <c r="E13" s="5">
        <v>975</v>
      </c>
      <c r="F13" s="1">
        <f>+D13*E13</f>
        <v>0</v>
      </c>
    </row>
    <row r="14" spans="1:10" x14ac:dyDescent="0.25">
      <c r="A14" s="2" t="s">
        <v>532</v>
      </c>
      <c r="D14">
        <v>0</v>
      </c>
      <c r="E14" s="5">
        <v>60</v>
      </c>
      <c r="F14" s="1">
        <f>+D14*E14</f>
        <v>0</v>
      </c>
    </row>
    <row r="15" spans="1:10" x14ac:dyDescent="0.25">
      <c r="A15" s="2" t="s">
        <v>533</v>
      </c>
      <c r="D15">
        <v>0</v>
      </c>
      <c r="E15" s="5">
        <v>800</v>
      </c>
      <c r="F15" s="1">
        <f>+D15*E15</f>
        <v>0</v>
      </c>
    </row>
    <row r="16" spans="1:10" ht="15.75" thickBot="1" x14ac:dyDescent="0.3">
      <c r="F16" s="29"/>
      <c r="G16" s="23"/>
    </row>
    <row r="17" spans="3:7" x14ac:dyDescent="0.25">
      <c r="C17" s="2">
        <f>+SUM(C4:C16)</f>
        <v>740</v>
      </c>
      <c r="F17" s="15" t="s">
        <v>324</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57" customFormat="1" ht="30.75" thickBot="1" x14ac:dyDescent="0.3">
      <c r="A2"/>
      <c r="B2" s="832" t="s">
        <v>716</v>
      </c>
      <c r="C2" s="938"/>
      <c r="D2" s="312" t="s">
        <v>142</v>
      </c>
      <c r="E2" s="323" t="s">
        <v>144</v>
      </c>
      <c r="F2" s="193" t="s">
        <v>145</v>
      </c>
      <c r="G2" s="159"/>
      <c r="H2" s="153"/>
    </row>
    <row r="3" spans="1:11" ht="15.75" thickBot="1" x14ac:dyDescent="0.3">
      <c r="B3" s="189" t="s">
        <v>193</v>
      </c>
      <c r="C3" s="190">
        <f>+SUM(E3:G3)</f>
        <v>335000</v>
      </c>
      <c r="D3" s="190"/>
      <c r="E3" s="265">
        <v>50000</v>
      </c>
      <c r="F3" s="320">
        <v>285000</v>
      </c>
      <c r="G3" s="262"/>
      <c r="I3" s="57"/>
      <c r="J3" s="57"/>
      <c r="K3" s="57"/>
    </row>
    <row r="4" spans="1:11" x14ac:dyDescent="0.25">
      <c r="B4" s="189" t="s">
        <v>194</v>
      </c>
      <c r="C4" s="190">
        <f>+SUM(E4:$G$4)</f>
        <v>89099.277500000011</v>
      </c>
      <c r="D4" s="190"/>
      <c r="E4" s="265">
        <v>10000.13875</v>
      </c>
      <c r="F4" s="321">
        <v>79099.138750000013</v>
      </c>
      <c r="G4" s="262"/>
      <c r="I4" s="57"/>
      <c r="J4" s="57"/>
      <c r="K4" s="57"/>
    </row>
    <row r="5" spans="1:11" x14ac:dyDescent="0.25">
      <c r="B5" s="191" t="s">
        <v>195</v>
      </c>
      <c r="C5" s="192">
        <f>+SUM(E5:G5)</f>
        <v>84974.5</v>
      </c>
      <c r="D5" s="192"/>
      <c r="E5" s="265">
        <v>0</v>
      </c>
      <c r="F5" s="321">
        <v>84974.5</v>
      </c>
      <c r="G5" s="154"/>
      <c r="I5" s="57"/>
      <c r="J5" s="57"/>
      <c r="K5" s="57"/>
    </row>
    <row r="6" spans="1:11" ht="15.75" thickBot="1" x14ac:dyDescent="0.3">
      <c r="B6" s="156" t="s">
        <v>196</v>
      </c>
      <c r="C6" s="151">
        <f>+SUM($E$6:$G$6)</f>
        <v>91406.693999999989</v>
      </c>
      <c r="D6" s="151"/>
      <c r="E6" s="314">
        <v>30489.599999999999</v>
      </c>
      <c r="F6" s="314">
        <v>60917.093999999997</v>
      </c>
      <c r="G6" s="154"/>
      <c r="I6" s="57"/>
      <c r="J6" s="57"/>
      <c r="K6" s="57"/>
    </row>
    <row r="7" spans="1:11" ht="15.75" thickBot="1" x14ac:dyDescent="0.3">
      <c r="B7" s="156" t="s">
        <v>197</v>
      </c>
      <c r="C7" s="151">
        <f>+SUM($E$7:$G$7)</f>
        <v>0</v>
      </c>
      <c r="D7" s="151"/>
      <c r="E7" s="265"/>
      <c r="F7" s="322"/>
      <c r="G7" s="154"/>
      <c r="I7" s="57"/>
      <c r="J7" s="57"/>
      <c r="K7" s="57"/>
    </row>
    <row r="8" spans="1:11" ht="15.75" thickBot="1" x14ac:dyDescent="0.3">
      <c r="B8" s="156" t="s">
        <v>198</v>
      </c>
      <c r="C8" s="804">
        <f>+AVERAGE(E3:F3)</f>
        <v>167500</v>
      </c>
      <c r="D8" s="778"/>
      <c r="E8" s="939"/>
      <c r="F8" s="751"/>
      <c r="G8" s="654"/>
      <c r="I8" s="57"/>
      <c r="J8" s="57"/>
      <c r="K8" s="57"/>
    </row>
    <row r="9" spans="1:11" ht="15.75" thickBot="1" x14ac:dyDescent="0.3">
      <c r="B9" s="156" t="s">
        <v>199</v>
      </c>
      <c r="C9" s="804">
        <f>+AVERAGE(E4:F4)</f>
        <v>44549.638750000006</v>
      </c>
      <c r="D9" s="778"/>
      <c r="E9" s="655"/>
      <c r="F9" s="764"/>
      <c r="G9" s="656"/>
      <c r="I9" s="57"/>
      <c r="J9" s="57"/>
      <c r="K9" s="57"/>
    </row>
    <row r="10" spans="1:11" ht="15.75" thickBot="1" x14ac:dyDescent="0.3">
      <c r="B10" s="156" t="s">
        <v>200</v>
      </c>
      <c r="C10" s="804">
        <f>+AVERAGE(E5:F5)</f>
        <v>42487.25</v>
      </c>
      <c r="D10" s="778"/>
      <c r="E10" s="805" t="s">
        <v>201</v>
      </c>
      <c r="F10" s="715"/>
      <c r="G10" s="713"/>
      <c r="I10" s="57"/>
      <c r="J10" s="57"/>
      <c r="K10" s="57"/>
    </row>
    <row r="11" spans="1:11" ht="15.75" thickBot="1" x14ac:dyDescent="0.3">
      <c r="B11" s="156" t="s">
        <v>202</v>
      </c>
      <c r="C11" s="804">
        <f>+AVERAGE(E6:F6)</f>
        <v>45703.346999999994</v>
      </c>
      <c r="D11" s="778"/>
      <c r="E11" s="806" t="s">
        <v>203</v>
      </c>
      <c r="F11" s="936"/>
      <c r="G11" s="93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89" t="s">
        <v>691</v>
      </c>
      <c r="C1" s="790"/>
      <c r="E1" s="789" t="s">
        <v>695</v>
      </c>
      <c r="F1" s="790"/>
      <c r="H1" s="789" t="s">
        <v>694</v>
      </c>
      <c r="I1" s="790"/>
      <c r="L1" s="789" t="s">
        <v>710</v>
      </c>
      <c r="M1" s="790"/>
    </row>
    <row r="2" spans="1:14" x14ac:dyDescent="0.25">
      <c r="A2" s="2" t="s">
        <v>692</v>
      </c>
    </row>
    <row r="3" spans="1:14" x14ac:dyDescent="0.25">
      <c r="A3" s="2" t="s">
        <v>696</v>
      </c>
      <c r="B3" s="350">
        <v>0.56000000000000005</v>
      </c>
      <c r="E3" s="350">
        <f>+B3</f>
        <v>0.56000000000000005</v>
      </c>
      <c r="H3" s="350">
        <f>+E3</f>
        <v>0.56000000000000005</v>
      </c>
      <c r="L3" s="350">
        <f>+E3</f>
        <v>0.56000000000000005</v>
      </c>
    </row>
    <row r="4" spans="1:14" ht="15.75" thickBot="1" x14ac:dyDescent="0.3">
      <c r="A4" s="2" t="s">
        <v>693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701</v>
      </c>
      <c r="B12" s="789" t="s">
        <v>691</v>
      </c>
      <c r="C12" s="790"/>
      <c r="D12" s="3"/>
      <c r="E12" s="789" t="s">
        <v>695</v>
      </c>
      <c r="F12" s="790"/>
      <c r="G12" s="3"/>
      <c r="H12" s="789" t="s">
        <v>694</v>
      </c>
      <c r="I12" s="790"/>
      <c r="J12" s="3"/>
      <c r="K12" s="3"/>
    </row>
    <row r="13" spans="1:14" x14ac:dyDescent="0.25">
      <c r="A13" s="2" t="s">
        <v>703</v>
      </c>
      <c r="B13" s="350">
        <v>0.2</v>
      </c>
      <c r="C13">
        <f>+B13*STR!$C$4</f>
        <v>0</v>
      </c>
      <c r="E13" s="350">
        <f>+B13</f>
        <v>0.2</v>
      </c>
      <c r="F13">
        <f>+E13*STR!$F$4</f>
        <v>0</v>
      </c>
      <c r="H13" s="350">
        <f>+E13</f>
        <v>0.2</v>
      </c>
      <c r="I13">
        <f>+H13*STR!$M$4</f>
        <v>0</v>
      </c>
      <c r="K13" s="4">
        <f>+C13+F13+I13</f>
        <v>0</v>
      </c>
    </row>
    <row r="14" spans="1:14" ht="15.75" thickBot="1" x14ac:dyDescent="0.3">
      <c r="A14" s="2" t="s">
        <v>697</v>
      </c>
      <c r="B14" s="350">
        <v>0.05</v>
      </c>
      <c r="C14">
        <f>+B14*STR!$C$4</f>
        <v>0</v>
      </c>
      <c r="E14" s="350">
        <v>0.05</v>
      </c>
      <c r="F14">
        <f>+E14*STR!$C$4</f>
        <v>0</v>
      </c>
      <c r="H14" s="350">
        <v>0.05</v>
      </c>
      <c r="I14">
        <f>+H14*STR!$C$4</f>
        <v>0</v>
      </c>
      <c r="K14" s="351">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57" customFormat="1" ht="30.75" thickBot="1" x14ac:dyDescent="0.3">
      <c r="A2"/>
      <c r="B2" s="832" t="s">
        <v>715</v>
      </c>
      <c r="C2" s="938"/>
      <c r="D2" s="312" t="s">
        <v>142</v>
      </c>
      <c r="E2" s="323" t="s">
        <v>555</v>
      </c>
      <c r="F2" s="193" t="s">
        <v>147</v>
      </c>
      <c r="G2" s="159"/>
      <c r="H2" s="153"/>
    </row>
    <row r="3" spans="1:8" ht="15.75" thickBot="1" x14ac:dyDescent="0.3">
      <c r="B3" s="189" t="s">
        <v>193</v>
      </c>
      <c r="C3" s="190">
        <f>+SUM(E3:G3)</f>
        <v>750000</v>
      </c>
      <c r="D3" s="190"/>
      <c r="E3" s="265">
        <v>435000</v>
      </c>
      <c r="F3" s="320">
        <v>315000</v>
      </c>
      <c r="G3" s="262"/>
    </row>
    <row r="4" spans="1:8" x14ac:dyDescent="0.25">
      <c r="B4" s="189" t="s">
        <v>194</v>
      </c>
      <c r="C4" s="190">
        <f>+SUM(E4:$G$4)</f>
        <v>352369</v>
      </c>
      <c r="D4" s="190"/>
      <c r="E4" s="265">
        <v>249869</v>
      </c>
      <c r="F4" s="321">
        <v>102500</v>
      </c>
      <c r="G4" s="262"/>
    </row>
    <row r="5" spans="1:8" x14ac:dyDescent="0.25">
      <c r="B5" s="191" t="s">
        <v>195</v>
      </c>
      <c r="C5" s="192">
        <f>+SUM(E5:G5)</f>
        <v>242267</v>
      </c>
      <c r="D5" s="192"/>
      <c r="E5" s="265">
        <v>98192</v>
      </c>
      <c r="F5" s="321">
        <f>+F3+-F4-F6</f>
        <v>144075</v>
      </c>
      <c r="G5" s="154"/>
    </row>
    <row r="6" spans="1:8" ht="15.75" thickBot="1" x14ac:dyDescent="0.3">
      <c r="B6" s="156" t="s">
        <v>196</v>
      </c>
      <c r="C6" s="151">
        <f>+SUM($E$6:$G$6)</f>
        <v>155363.89666666667</v>
      </c>
      <c r="D6" s="151"/>
      <c r="E6" s="265">
        <v>86938.896666666667</v>
      </c>
      <c r="F6" s="321">
        <v>68425</v>
      </c>
      <c r="G6" s="154"/>
    </row>
    <row r="7" spans="1:8" ht="15.75" thickBot="1" x14ac:dyDescent="0.3">
      <c r="B7" s="156" t="s">
        <v>197</v>
      </c>
      <c r="C7" s="151">
        <f>+SUM($E$7:$G$7)</f>
        <v>0</v>
      </c>
      <c r="D7" s="151"/>
      <c r="E7" s="265"/>
      <c r="F7" s="322"/>
      <c r="G7" s="154"/>
    </row>
    <row r="8" spans="1:8" ht="15.75" thickBot="1" x14ac:dyDescent="0.3">
      <c r="B8" s="156" t="s">
        <v>198</v>
      </c>
      <c r="C8" s="804">
        <f>+AVERAGE(E3:F3)</f>
        <v>375000</v>
      </c>
      <c r="D8" s="778"/>
      <c r="E8" s="939"/>
      <c r="F8" s="751"/>
      <c r="G8" s="654"/>
    </row>
    <row r="9" spans="1:8" ht="15.75" thickBot="1" x14ac:dyDescent="0.3">
      <c r="B9" s="156" t="s">
        <v>199</v>
      </c>
      <c r="C9" s="804">
        <f>+AVERAGE(E4:F4)</f>
        <v>176184.5</v>
      </c>
      <c r="D9" s="778"/>
      <c r="E9" s="655"/>
      <c r="F9" s="764"/>
      <c r="G9" s="656"/>
    </row>
    <row r="10" spans="1:8" ht="15.75" thickBot="1" x14ac:dyDescent="0.3">
      <c r="B10" s="156" t="s">
        <v>200</v>
      </c>
      <c r="C10" s="804">
        <f>+AVERAGE(E5:F5)</f>
        <v>121133.5</v>
      </c>
      <c r="D10" s="778"/>
      <c r="E10" s="805" t="s">
        <v>201</v>
      </c>
      <c r="F10" s="715"/>
      <c r="G10" s="713"/>
    </row>
    <row r="11" spans="1:8" ht="15.75" thickBot="1" x14ac:dyDescent="0.3">
      <c r="B11" s="156" t="s">
        <v>202</v>
      </c>
      <c r="C11" s="804">
        <f>+AVERAGE(E6:F6)</f>
        <v>77681.948333333334</v>
      </c>
      <c r="D11" s="778"/>
      <c r="E11" s="806" t="s">
        <v>203</v>
      </c>
      <c r="F11" s="936"/>
      <c r="G11" s="93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57" customFormat="1" ht="45.75" thickBot="1" x14ac:dyDescent="0.3">
      <c r="A2" s="162"/>
      <c r="B2" s="832" t="s">
        <v>560</v>
      </c>
      <c r="C2" s="943"/>
      <c r="D2" s="312" t="s">
        <v>142</v>
      </c>
      <c r="E2" s="188" t="s">
        <v>148</v>
      </c>
      <c r="F2" s="188" t="s">
        <v>149</v>
      </c>
      <c r="G2" s="188" t="s">
        <v>150</v>
      </c>
      <c r="H2" s="193" t="s">
        <v>151</v>
      </c>
      <c r="I2" s="159"/>
      <c r="J2" s="153"/>
    </row>
    <row r="3" spans="1:10" ht="15.75" thickBot="1" x14ac:dyDescent="0.3">
      <c r="A3" s="165"/>
      <c r="B3" s="189" t="s">
        <v>193</v>
      </c>
      <c r="C3" s="190">
        <f>+SUM(E3:I3)</f>
        <v>1262529</v>
      </c>
      <c r="D3" s="190"/>
      <c r="E3" s="265">
        <v>210000</v>
      </c>
      <c r="F3" s="265">
        <v>423529</v>
      </c>
      <c r="G3" s="265">
        <v>330000</v>
      </c>
      <c r="H3" s="264">
        <v>299000</v>
      </c>
      <c r="I3" s="262"/>
    </row>
    <row r="4" spans="1:10" x14ac:dyDescent="0.25">
      <c r="A4" s="165"/>
      <c r="B4" s="189" t="s">
        <v>194</v>
      </c>
      <c r="C4" s="190">
        <f>+SUM(E4:$I$4)</f>
        <v>554594.92000000004</v>
      </c>
      <c r="D4" s="190"/>
      <c r="E4" s="265">
        <v>127000</v>
      </c>
      <c r="F4" s="265">
        <v>174585.47</v>
      </c>
      <c r="G4" s="265">
        <v>85975.790000000008</v>
      </c>
      <c r="H4" s="264">
        <v>167033.66</v>
      </c>
      <c r="I4" s="262"/>
    </row>
    <row r="5" spans="1:10" x14ac:dyDescent="0.25">
      <c r="A5" s="165"/>
      <c r="B5" s="191" t="s">
        <v>195</v>
      </c>
      <c r="C5" s="192">
        <f>+SUM(E5:I5)</f>
        <v>148708.10749999998</v>
      </c>
      <c r="D5" s="192"/>
      <c r="E5" s="265">
        <v>15000</v>
      </c>
      <c r="F5" s="265">
        <v>12223</v>
      </c>
      <c r="G5" s="265">
        <v>82805.727499999994</v>
      </c>
      <c r="H5" s="264">
        <v>38679.380000000005</v>
      </c>
      <c r="I5" s="154"/>
    </row>
    <row r="6" spans="1:10" ht="15.75" thickBot="1" x14ac:dyDescent="0.3">
      <c r="A6" s="165"/>
      <c r="B6" s="156" t="s">
        <v>196</v>
      </c>
      <c r="C6" s="151">
        <f>+SUM($E$6:$I$6)</f>
        <v>471212.07700000005</v>
      </c>
      <c r="D6" s="151"/>
      <c r="E6" s="265">
        <v>67485.868000000002</v>
      </c>
      <c r="F6" s="265">
        <v>154708.03800000003</v>
      </c>
      <c r="G6" s="265">
        <v>154490.20250000001</v>
      </c>
      <c r="H6" s="264">
        <v>94527.968499999988</v>
      </c>
      <c r="I6" s="154"/>
    </row>
    <row r="7" spans="1:10" ht="15.75" thickBot="1" x14ac:dyDescent="0.3">
      <c r="A7" s="165"/>
      <c r="B7" s="156" t="s">
        <v>197</v>
      </c>
      <c r="C7" s="151">
        <f>+SUM($E$7:$I$7)</f>
        <v>15470.803800000003</v>
      </c>
      <c r="D7" s="151"/>
      <c r="E7" s="319"/>
      <c r="F7" s="326">
        <v>15470.803800000003</v>
      </c>
      <c r="G7" s="326"/>
      <c r="H7" s="328"/>
      <c r="I7" s="154"/>
    </row>
    <row r="8" spans="1:10" ht="15.75" thickBot="1" x14ac:dyDescent="0.3">
      <c r="A8" s="165"/>
      <c r="B8" s="156" t="s">
        <v>198</v>
      </c>
      <c r="C8" s="804">
        <f>+AVERAGE(E3:H3)</f>
        <v>315632.25</v>
      </c>
      <c r="D8" s="940"/>
      <c r="E8" s="939"/>
      <c r="F8" s="751"/>
      <c r="G8" s="751"/>
      <c r="H8" s="751"/>
      <c r="I8" s="654"/>
    </row>
    <row r="9" spans="1:10" ht="15.75" thickBot="1" x14ac:dyDescent="0.3">
      <c r="A9" s="165"/>
      <c r="B9" s="156" t="s">
        <v>199</v>
      </c>
      <c r="C9" s="804">
        <f>+AVERAGE(E4:H4)</f>
        <v>138648.73000000001</v>
      </c>
      <c r="D9" s="940"/>
      <c r="E9" s="655"/>
      <c r="F9" s="764"/>
      <c r="G9" s="764"/>
      <c r="H9" s="764"/>
      <c r="I9" s="656"/>
    </row>
    <row r="10" spans="1:10" ht="15.75" thickBot="1" x14ac:dyDescent="0.3">
      <c r="A10" s="165"/>
      <c r="B10" s="156" t="s">
        <v>200</v>
      </c>
      <c r="C10" s="804">
        <f>+AVERAGE(E5:H5)</f>
        <v>37177.026874999996</v>
      </c>
      <c r="D10" s="940"/>
      <c r="E10" s="805" t="s">
        <v>201</v>
      </c>
      <c r="F10" s="944"/>
      <c r="G10" s="944"/>
      <c r="H10" s="944"/>
      <c r="I10" s="945"/>
    </row>
    <row r="11" spans="1:10" ht="15.75" thickBot="1" x14ac:dyDescent="0.3">
      <c r="B11" s="156" t="s">
        <v>202</v>
      </c>
      <c r="C11" s="804">
        <f>+AVERAGE(E6:H6)</f>
        <v>117803.01925000001</v>
      </c>
      <c r="D11" s="940"/>
      <c r="E11" s="806" t="s">
        <v>203</v>
      </c>
      <c r="F11" s="941"/>
      <c r="G11" s="941"/>
      <c r="H11" s="941"/>
      <c r="I11" s="94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32" t="s">
        <v>560</v>
      </c>
      <c r="C2" s="938"/>
      <c r="D2" s="312" t="s">
        <v>142</v>
      </c>
      <c r="E2" s="323" t="s">
        <v>152</v>
      </c>
      <c r="F2" s="323" t="s">
        <v>153</v>
      </c>
      <c r="G2" s="193" t="s">
        <v>154</v>
      </c>
      <c r="H2" s="159"/>
      <c r="I2" s="153"/>
    </row>
    <row r="3" spans="1:9" ht="15.75" thickBot="1" x14ac:dyDescent="0.3">
      <c r="B3" s="189" t="s">
        <v>193</v>
      </c>
      <c r="C3" s="190">
        <f>+SUM(E3:H3)</f>
        <v>811800</v>
      </c>
      <c r="D3" s="190"/>
      <c r="E3" s="265">
        <v>363900</v>
      </c>
      <c r="F3" s="324">
        <v>210000</v>
      </c>
      <c r="G3" s="320">
        <v>237900</v>
      </c>
      <c r="H3" s="262"/>
    </row>
    <row r="4" spans="1:9" x14ac:dyDescent="0.25">
      <c r="B4" s="189" t="s">
        <v>194</v>
      </c>
      <c r="C4" s="190">
        <f>+SUM(E4:$H$4)</f>
        <v>401770.9</v>
      </c>
      <c r="D4" s="190"/>
      <c r="E4" s="265">
        <v>220000</v>
      </c>
      <c r="F4" s="325">
        <v>107061.9</v>
      </c>
      <c r="G4" s="321">
        <v>74709</v>
      </c>
      <c r="H4" s="262"/>
    </row>
    <row r="5" spans="1:9" x14ac:dyDescent="0.25">
      <c r="B5" s="191" t="s">
        <v>195</v>
      </c>
      <c r="C5" s="192">
        <f>+SUM(E5:H5)</f>
        <v>146350.07515412499</v>
      </c>
      <c r="D5" s="192"/>
      <c r="E5" s="265">
        <v>27507.698</v>
      </c>
      <c r="F5" s="325">
        <v>47760.57</v>
      </c>
      <c r="G5" s="321">
        <v>71081.80715412501</v>
      </c>
      <c r="H5" s="154"/>
    </row>
    <row r="6" spans="1:9" ht="15.75" thickBot="1" x14ac:dyDescent="0.3">
      <c r="B6" s="156" t="s">
        <v>196</v>
      </c>
      <c r="C6" s="151">
        <f>+SUM($E$6:$H$6)</f>
        <v>257067.10484587503</v>
      </c>
      <c r="D6" s="151"/>
      <c r="E6" s="265">
        <v>92658.781999999992</v>
      </c>
      <c r="F6" s="325">
        <v>64240.530000000028</v>
      </c>
      <c r="G6" s="321">
        <v>100167.792845875</v>
      </c>
      <c r="H6" s="154"/>
    </row>
    <row r="7" spans="1:9" ht="15.75" thickBot="1" x14ac:dyDescent="0.3">
      <c r="B7" s="156" t="s">
        <v>197</v>
      </c>
      <c r="C7" s="151">
        <f>+SUM($E$7:$H$7)</f>
        <v>0</v>
      </c>
      <c r="D7" s="151"/>
      <c r="E7" s="319"/>
      <c r="F7" s="326"/>
      <c r="G7" s="327"/>
      <c r="H7" s="154"/>
    </row>
    <row r="8" spans="1:9" ht="15.75" thickBot="1" x14ac:dyDescent="0.3">
      <c r="B8" s="156" t="s">
        <v>198</v>
      </c>
      <c r="C8" s="804">
        <f>+AVERAGE(E3:G3)</f>
        <v>270600</v>
      </c>
      <c r="D8" s="778"/>
      <c r="E8" s="939"/>
      <c r="F8" s="946"/>
      <c r="G8" s="751"/>
      <c r="H8" s="654"/>
    </row>
    <row r="9" spans="1:9" ht="15.75" thickBot="1" x14ac:dyDescent="0.3">
      <c r="B9" s="156" t="s">
        <v>199</v>
      </c>
      <c r="C9" s="804">
        <f>+AVERAGE(E4:G4)</f>
        <v>133923.63333333333</v>
      </c>
      <c r="D9" s="778"/>
      <c r="E9" s="655"/>
      <c r="F9" s="764"/>
      <c r="G9" s="764"/>
      <c r="H9" s="656"/>
    </row>
    <row r="10" spans="1:9" ht="15.75" thickBot="1" x14ac:dyDescent="0.3">
      <c r="B10" s="156" t="s">
        <v>200</v>
      </c>
      <c r="C10" s="804">
        <f>+AVERAGE(E5:G5)</f>
        <v>48783.358384708328</v>
      </c>
      <c r="D10" s="778"/>
      <c r="E10" s="805" t="s">
        <v>201</v>
      </c>
      <c r="F10" s="944"/>
      <c r="G10" s="715"/>
      <c r="H10" s="713"/>
    </row>
    <row r="11" spans="1:9" ht="15.75" thickBot="1" x14ac:dyDescent="0.3">
      <c r="B11" s="156" t="s">
        <v>202</v>
      </c>
      <c r="C11" s="804">
        <f>+AVERAGE(E6:G6)</f>
        <v>85689.034948625005</v>
      </c>
      <c r="D11" s="778"/>
      <c r="E11" s="806" t="s">
        <v>203</v>
      </c>
      <c r="F11" s="941"/>
      <c r="G11" s="936"/>
      <c r="H11" s="93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32" t="s">
        <v>560</v>
      </c>
      <c r="C2" s="938"/>
      <c r="D2" s="312" t="s">
        <v>142</v>
      </c>
      <c r="E2" s="323" t="s">
        <v>155</v>
      </c>
      <c r="F2" s="323" t="s">
        <v>156</v>
      </c>
      <c r="G2" s="193" t="s">
        <v>157</v>
      </c>
      <c r="H2" s="159"/>
      <c r="I2" s="153"/>
    </row>
    <row r="3" spans="1:9" ht="15.75" thickBot="1" x14ac:dyDescent="0.3">
      <c r="B3" s="189" t="s">
        <v>193</v>
      </c>
      <c r="C3" s="190">
        <f>+SUM(E3:H3)</f>
        <v>540000</v>
      </c>
      <c r="D3" s="190"/>
      <c r="E3" s="265">
        <v>150000</v>
      </c>
      <c r="F3" s="324">
        <v>195000</v>
      </c>
      <c r="G3" s="320">
        <v>195000</v>
      </c>
      <c r="H3" s="262"/>
    </row>
    <row r="4" spans="1:9" x14ac:dyDescent="0.25">
      <c r="B4" s="189" t="s">
        <v>194</v>
      </c>
      <c r="C4" s="190">
        <f>+SUM(E4:$H$4)</f>
        <v>310642.71000000002</v>
      </c>
      <c r="D4" s="190"/>
      <c r="E4" s="265">
        <v>71644.86</v>
      </c>
      <c r="F4" s="325">
        <v>110309.86</v>
      </c>
      <c r="G4" s="321">
        <v>128687.99</v>
      </c>
      <c r="H4" s="262"/>
    </row>
    <row r="5" spans="1:9" x14ac:dyDescent="0.25">
      <c r="B5" s="191" t="s">
        <v>195</v>
      </c>
      <c r="C5" s="192">
        <f>+SUM(E5:H5)</f>
        <v>49980.701499999996</v>
      </c>
      <c r="D5" s="192"/>
      <c r="E5" s="265">
        <v>6302.96</v>
      </c>
      <c r="F5" s="325">
        <v>20425.14</v>
      </c>
      <c r="G5" s="321">
        <v>23252.601500000001</v>
      </c>
      <c r="H5" s="154"/>
    </row>
    <row r="6" spans="1:9" ht="15.75" thickBot="1" x14ac:dyDescent="0.3">
      <c r="B6" s="156" t="s">
        <v>196</v>
      </c>
      <c r="C6" s="151">
        <f>+SUM($E$6:$H$6)</f>
        <v>116039.9257777778</v>
      </c>
      <c r="D6" s="151"/>
      <c r="E6" s="265">
        <v>37694.072</v>
      </c>
      <c r="F6" s="325">
        <v>52771.490000000005</v>
      </c>
      <c r="G6" s="321">
        <v>25574.363777777784</v>
      </c>
      <c r="H6" s="154"/>
    </row>
    <row r="7" spans="1:9" ht="15.75" thickBot="1" x14ac:dyDescent="0.3">
      <c r="B7" s="156" t="s">
        <v>197</v>
      </c>
      <c r="C7" s="151">
        <f>+SUM($E$7:$H$7)</f>
        <v>0</v>
      </c>
      <c r="D7" s="151"/>
      <c r="E7" s="319"/>
      <c r="F7" s="326"/>
      <c r="G7" s="327"/>
      <c r="H7" s="154"/>
    </row>
    <row r="8" spans="1:9" ht="15.75" thickBot="1" x14ac:dyDescent="0.3">
      <c r="B8" s="156" t="s">
        <v>198</v>
      </c>
      <c r="C8" s="804">
        <f>+AVERAGE(E3:G3)</f>
        <v>180000</v>
      </c>
      <c r="D8" s="778"/>
      <c r="E8" s="939"/>
      <c r="F8" s="946"/>
      <c r="G8" s="751"/>
      <c r="H8" s="654"/>
    </row>
    <row r="9" spans="1:9" ht="15.75" thickBot="1" x14ac:dyDescent="0.3">
      <c r="B9" s="156" t="s">
        <v>199</v>
      </c>
      <c r="C9" s="804">
        <f>+AVERAGE(E4:G4)</f>
        <v>103547.57</v>
      </c>
      <c r="D9" s="778"/>
      <c r="E9" s="655"/>
      <c r="F9" s="764"/>
      <c r="G9" s="764"/>
      <c r="H9" s="656"/>
    </row>
    <row r="10" spans="1:9" ht="15.75" thickBot="1" x14ac:dyDescent="0.3">
      <c r="B10" s="156" t="s">
        <v>200</v>
      </c>
      <c r="C10" s="804">
        <f>+AVERAGE(E5:G5)</f>
        <v>16660.233833333332</v>
      </c>
      <c r="D10" s="778"/>
      <c r="E10" s="805" t="s">
        <v>201</v>
      </c>
      <c r="F10" s="944"/>
      <c r="G10" s="715"/>
      <c r="H10" s="713"/>
    </row>
    <row r="11" spans="1:9" ht="15.75" thickBot="1" x14ac:dyDescent="0.3">
      <c r="B11" s="156" t="s">
        <v>202</v>
      </c>
      <c r="C11" s="804">
        <f>+AVERAGE(E6:G6)</f>
        <v>38679.975259259263</v>
      </c>
      <c r="D11" s="778"/>
      <c r="E11" s="806" t="s">
        <v>203</v>
      </c>
      <c r="F11" s="941"/>
      <c r="G11" s="936"/>
      <c r="H11" s="93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698</v>
      </c>
      <c r="C2">
        <v>1000</v>
      </c>
    </row>
    <row r="3" spans="1:3" x14ac:dyDescent="0.25">
      <c r="A3" t="s">
        <v>700</v>
      </c>
      <c r="C3">
        <v>9000</v>
      </c>
    </row>
    <row r="18" spans="6:7" x14ac:dyDescent="0.25">
      <c r="F18" s="30" t="s">
        <v>705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metadata/properties"/>
    <ds:schemaRef ds:uri="http://www.w3.org/XML/1998/namespace"/>
    <ds:schemaRef ds:uri="http://purl.org/dc/dcmitype/"/>
    <ds:schemaRef ds:uri="http://schemas.microsoft.com/office/infopath/2007/PartnerControls"/>
    <ds:schemaRef ds:uri="http://schemas.openxmlformats.org/package/2006/metadata/core-properties"/>
    <ds:schemaRef ds:uri="http://schemas.microsoft.com/office/2006/documentManagement/type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7A7E67C4-0D4E-4668-ADCC-ED376861D8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Sheet1</vt:lpstr>
      <vt:lpstr>MOG</vt:lpstr>
      <vt:lpstr>Todo</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Exterior</vt:lpstr>
      <vt:lpstr>Landscape</vt:lpstr>
      <vt:lpstr>2024</vt:lpstr>
      <vt:lpstr>STR</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2026-05-20T15:38:04Z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